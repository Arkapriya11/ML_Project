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28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C45" i="39"/>
  <c r="D45"/>
  <c r="E45"/>
  <c r="F45"/>
  <c r="G45"/>
  <c r="H45"/>
  <c r="I45"/>
  <c r="J45"/>
  <c r="K45"/>
  <c r="L45"/>
  <c r="M45"/>
  <c r="N45"/>
  <c r="O45"/>
  <c r="P45"/>
  <c r="Q45"/>
  <c r="B45"/>
  <c r="A38"/>
  <c r="Q37"/>
  <c r="A37"/>
  <c r="Q36"/>
  <c r="M36"/>
  <c r="J36"/>
  <c r="I36"/>
  <c r="B36"/>
  <c r="A36"/>
  <c r="L35"/>
  <c r="E35"/>
  <c r="C35"/>
  <c r="Q34"/>
  <c r="M34"/>
  <c r="L34"/>
  <c r="E34"/>
  <c r="D34"/>
  <c r="B34"/>
  <c r="P33"/>
  <c r="O33"/>
  <c r="N33"/>
  <c r="I33"/>
  <c r="P32"/>
  <c r="O32"/>
  <c r="M32"/>
  <c r="F32"/>
  <c r="P31"/>
  <c r="O31"/>
  <c r="G31"/>
  <c r="Q29"/>
  <c r="I29"/>
  <c r="A29"/>
  <c r="L28"/>
  <c r="M27"/>
  <c r="I27"/>
  <c r="B27"/>
  <c r="N26"/>
  <c r="P24"/>
  <c r="O24"/>
  <c r="M24"/>
  <c r="E24"/>
  <c r="D24"/>
  <c r="Q23"/>
  <c r="N23"/>
  <c r="F23"/>
  <c r="A23"/>
  <c r="Q22"/>
  <c r="O22"/>
  <c r="B22"/>
  <c r="A22"/>
  <c r="P21"/>
  <c r="O21"/>
  <c r="H21"/>
  <c r="G21"/>
  <c r="C21"/>
  <c r="Q20"/>
  <c r="J20"/>
  <c r="I20"/>
  <c r="D20"/>
  <c r="A20"/>
  <c r="J19"/>
  <c r="E19"/>
  <c r="C19"/>
  <c r="N16"/>
  <c r="J16"/>
  <c r="F16"/>
  <c r="B16"/>
  <c r="H15"/>
  <c r="P14"/>
  <c r="H14"/>
  <c r="Q40" i="41"/>
  <c r="P40"/>
  <c r="O40"/>
  <c r="N40"/>
  <c r="M40"/>
  <c r="L40"/>
  <c r="K40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9" i="39" s="1"/>
  <c r="Q40" i="40"/>
  <c r="P40"/>
  <c r="O40"/>
  <c r="N40"/>
  <c r="M40"/>
  <c r="L40"/>
  <c r="K40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40" i="43"/>
  <c r="P40"/>
  <c r="O40"/>
  <c r="N40"/>
  <c r="M40"/>
  <c r="L40"/>
  <c r="K40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6" i="39" s="1"/>
  <c r="O36" i="33"/>
  <c r="O36" i="39" s="1"/>
  <c r="N36" i="33"/>
  <c r="N36" i="39" s="1"/>
  <c r="M36" i="33"/>
  <c r="L36"/>
  <c r="L36" i="39" s="1"/>
  <c r="K36" i="33"/>
  <c r="K36" i="39" s="1"/>
  <c r="J36" i="33"/>
  <c r="I36"/>
  <c r="H36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5" i="39" s="1"/>
  <c r="P36" i="32"/>
  <c r="P35" i="39" s="1"/>
  <c r="O36" i="32"/>
  <c r="O35" i="39" s="1"/>
  <c r="N36" i="32"/>
  <c r="N35" i="39" s="1"/>
  <c r="M36" i="32"/>
  <c r="M35" i="39" s="1"/>
  <c r="L36" i="32"/>
  <c r="K36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D36"/>
  <c r="D35" i="39" s="1"/>
  <c r="C36" i="32"/>
  <c r="B36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4" i="39" s="1"/>
  <c r="O36" i="31"/>
  <c r="O34" i="39" s="1"/>
  <c r="N36" i="31"/>
  <c r="N34" i="39" s="1"/>
  <c r="M36" i="31"/>
  <c r="L36"/>
  <c r="K36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D36"/>
  <c r="C36"/>
  <c r="C34" i="39" s="1"/>
  <c r="B36" i="31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O36"/>
  <c r="N36"/>
  <c r="M36"/>
  <c r="M33" i="39" s="1"/>
  <c r="L36" i="30"/>
  <c r="L33" i="39" s="1"/>
  <c r="K36" i="30"/>
  <c r="K33" i="39" s="1"/>
  <c r="J36" i="30"/>
  <c r="J33" i="39" s="1"/>
  <c r="I36" i="30"/>
  <c r="H36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O36"/>
  <c r="N36"/>
  <c r="N32" i="39" s="1"/>
  <c r="M36" i="29"/>
  <c r="L36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E36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I40" i="28"/>
  <c r="Q38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O36"/>
  <c r="N36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F36"/>
  <c r="F31" i="39" s="1"/>
  <c r="E36" i="28"/>
  <c r="E31" i="39" s="1"/>
  <c r="D36" i="28"/>
  <c r="D31" i="39" s="1"/>
  <c r="C36" i="28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40"/>
  <c r="H40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H3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N28" i="39" s="1"/>
  <c r="M36" i="25"/>
  <c r="M28" i="39" s="1"/>
  <c r="L36" i="25"/>
  <c r="K36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39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L36"/>
  <c r="L27" i="39" s="1"/>
  <c r="K36" i="24"/>
  <c r="K27" i="39" s="1"/>
  <c r="J36" i="24"/>
  <c r="J27" i="39" s="1"/>
  <c r="I36" i="24"/>
  <c r="H36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O26" i="39" s="1"/>
  <c r="N36" i="23"/>
  <c r="M36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O36"/>
  <c r="N36"/>
  <c r="N24" i="39" s="1"/>
  <c r="M36" i="21"/>
  <c r="L36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D36"/>
  <c r="C36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3" i="39" s="1"/>
  <c r="O36" i="20"/>
  <c r="O23" i="39" s="1"/>
  <c r="N36" i="20"/>
  <c r="M36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E36"/>
  <c r="E23" i="39" s="1"/>
  <c r="D36" i="20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2" i="39" s="1"/>
  <c r="O36" i="19"/>
  <c r="N36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9" i="18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O36"/>
  <c r="N36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G36"/>
  <c r="F36"/>
  <c r="F21" i="39" s="1"/>
  <c r="E36" i="18"/>
  <c r="E21" i="39" s="1"/>
  <c r="D36" i="18"/>
  <c r="D21" i="39" s="1"/>
  <c r="C36" i="18"/>
  <c r="B36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O39" i="17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I36"/>
  <c r="H36"/>
  <c r="H20" i="39" s="1"/>
  <c r="G36" i="17"/>
  <c r="G20" i="39" s="1"/>
  <c r="F36" i="17"/>
  <c r="F20" i="39" s="1"/>
  <c r="E36" i="17"/>
  <c r="E20" i="39" s="1"/>
  <c r="D36" i="17"/>
  <c r="C36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N39" i="16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I36"/>
  <c r="I19" i="39" s="1"/>
  <c r="H36" i="16"/>
  <c r="H19" i="39" s="1"/>
  <c r="G36" i="16"/>
  <c r="G19" i="39" s="1"/>
  <c r="F36" i="16"/>
  <c r="F19" i="39" s="1"/>
  <c r="E36" i="16"/>
  <c r="D36"/>
  <c r="D19" i="39" s="1"/>
  <c r="C36" i="16"/>
  <c r="B3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L39" i="13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M36"/>
  <c r="M16" i="39" s="1"/>
  <c r="L36" i="13"/>
  <c r="L16" i="39" s="1"/>
  <c r="K36" i="13"/>
  <c r="K16" i="39" s="1"/>
  <c r="J36" i="13"/>
  <c r="I36"/>
  <c r="I16" i="39" s="1"/>
  <c r="H36" i="13"/>
  <c r="H16" i="39" s="1"/>
  <c r="G36" i="13"/>
  <c r="G16" i="39" s="1"/>
  <c r="F36" i="13"/>
  <c r="E36"/>
  <c r="E16" i="39" s="1"/>
  <c r="D36" i="13"/>
  <c r="D16" i="39" s="1"/>
  <c r="C36" i="13"/>
  <c r="C16" i="39" s="1"/>
  <c r="B36" i="1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C39" i="12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G36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9" i="11"/>
  <c r="I39"/>
  <c r="Q38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O36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G36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J39" i="41" l="1"/>
  <c r="I39"/>
  <c r="H39"/>
  <c r="G39"/>
  <c r="F39"/>
  <c r="E39"/>
  <c r="D39"/>
  <c r="C39"/>
  <c r="B39"/>
  <c r="Q39"/>
  <c r="P39"/>
  <c r="O39"/>
  <c r="N39"/>
  <c r="M39"/>
  <c r="L39"/>
  <c r="K39"/>
  <c r="I39" i="40"/>
  <c r="H39"/>
  <c r="G39"/>
  <c r="F39"/>
  <c r="E39"/>
  <c r="D39"/>
  <c r="C39"/>
  <c r="B39"/>
  <c r="Q39"/>
  <c r="P39"/>
  <c r="O39"/>
  <c r="N39"/>
  <c r="M39"/>
  <c r="L39"/>
  <c r="K39"/>
  <c r="J39"/>
  <c r="I39" i="43"/>
  <c r="H39"/>
  <c r="G39"/>
  <c r="F39"/>
  <c r="E39"/>
  <c r="D39"/>
  <c r="C39"/>
  <c r="B39"/>
  <c r="Q39"/>
  <c r="P39"/>
  <c r="O39"/>
  <c r="N39"/>
  <c r="M39"/>
  <c r="L39"/>
  <c r="K39"/>
  <c r="J39"/>
  <c r="E39" i="33"/>
  <c r="D39"/>
  <c r="C39"/>
  <c r="B39"/>
  <c r="Q39"/>
  <c r="P39"/>
  <c r="O39"/>
  <c r="N39"/>
  <c r="M39"/>
  <c r="L39"/>
  <c r="K39"/>
  <c r="J39"/>
  <c r="I39"/>
  <c r="H39"/>
  <c r="G39"/>
  <c r="F39"/>
  <c r="D39" i="32"/>
  <c r="C39"/>
  <c r="B39"/>
  <c r="Q39"/>
  <c r="P39"/>
  <c r="O39"/>
  <c r="N39"/>
  <c r="M39"/>
  <c r="L39"/>
  <c r="K39"/>
  <c r="J39"/>
  <c r="I39"/>
  <c r="H39"/>
  <c r="G39"/>
  <c r="F39"/>
  <c r="E39"/>
  <c r="P39" i="31"/>
  <c r="O39"/>
  <c r="N39"/>
  <c r="M39"/>
  <c r="L39"/>
  <c r="K39"/>
  <c r="J39"/>
  <c r="I39"/>
  <c r="H39"/>
  <c r="G39"/>
  <c r="F39"/>
  <c r="E39"/>
  <c r="D39"/>
  <c r="C39"/>
  <c r="B39"/>
  <c r="Q39"/>
  <c r="N39" i="30"/>
  <c r="M39"/>
  <c r="L39"/>
  <c r="K39"/>
  <c r="J39"/>
  <c r="I39"/>
  <c r="H39"/>
  <c r="G39"/>
  <c r="F39"/>
  <c r="E39"/>
  <c r="D39"/>
  <c r="C39"/>
  <c r="B39"/>
  <c r="Q39"/>
  <c r="P39"/>
  <c r="O39"/>
  <c r="L39" i="29"/>
  <c r="K39"/>
  <c r="J39"/>
  <c r="I39"/>
  <c r="H39"/>
  <c r="G39"/>
  <c r="F39"/>
  <c r="E39"/>
  <c r="D39"/>
  <c r="C39"/>
  <c r="B39"/>
  <c r="Q39"/>
  <c r="P39"/>
  <c r="O39"/>
  <c r="N39"/>
  <c r="M39"/>
  <c r="Q40" i="28"/>
  <c r="K39"/>
  <c r="J39"/>
  <c r="H39"/>
  <c r="G39"/>
  <c r="F39"/>
  <c r="E39"/>
  <c r="D39"/>
  <c r="C39"/>
  <c r="B39"/>
  <c r="P39"/>
  <c r="O39"/>
  <c r="N39"/>
  <c r="M39"/>
  <c r="L39"/>
  <c r="M39" i="27"/>
  <c r="L39"/>
  <c r="K39"/>
  <c r="J39"/>
  <c r="I39"/>
  <c r="H39"/>
  <c r="G39"/>
  <c r="F39"/>
  <c r="E39"/>
  <c r="D39"/>
  <c r="C39"/>
  <c r="B39"/>
  <c r="Q39"/>
  <c r="P39"/>
  <c r="O39"/>
  <c r="N39"/>
  <c r="L39" i="26"/>
  <c r="K39"/>
  <c r="J39"/>
  <c r="I39"/>
  <c r="H39"/>
  <c r="G39"/>
  <c r="F39"/>
  <c r="E39"/>
  <c r="D39"/>
  <c r="C39"/>
  <c r="B39"/>
  <c r="Q39"/>
  <c r="P39"/>
  <c r="O39"/>
  <c r="N39"/>
  <c r="M39"/>
  <c r="L39" i="25"/>
  <c r="K39"/>
  <c r="J39"/>
  <c r="I39"/>
  <c r="H39"/>
  <c r="G39"/>
  <c r="F39"/>
  <c r="E39"/>
  <c r="M39"/>
  <c r="D39"/>
  <c r="C39"/>
  <c r="B39"/>
  <c r="Q39"/>
  <c r="P39"/>
  <c r="O39"/>
  <c r="N39"/>
  <c r="K40" i="24"/>
  <c r="J39"/>
  <c r="I39"/>
  <c r="L40"/>
  <c r="H39"/>
  <c r="G39"/>
  <c r="F39"/>
  <c r="E39"/>
  <c r="D39"/>
  <c r="C39"/>
  <c r="B39"/>
  <c r="Q39"/>
  <c r="P39"/>
  <c r="O39"/>
  <c r="N39"/>
  <c r="M39"/>
  <c r="M40" i="23"/>
  <c r="K39"/>
  <c r="J39"/>
  <c r="I39"/>
  <c r="L39"/>
  <c r="H39"/>
  <c r="G39"/>
  <c r="F39"/>
  <c r="E39"/>
  <c r="D39"/>
  <c r="C39"/>
  <c r="B39"/>
  <c r="Q39"/>
  <c r="P39"/>
  <c r="O39"/>
  <c r="N39"/>
  <c r="O39" i="22"/>
  <c r="N39"/>
  <c r="M39"/>
  <c r="K39"/>
  <c r="J39"/>
  <c r="I39"/>
  <c r="L39"/>
  <c r="H39"/>
  <c r="G39"/>
  <c r="F39"/>
  <c r="E39"/>
  <c r="C39"/>
  <c r="D40"/>
  <c r="B39"/>
  <c r="Q39"/>
  <c r="P39"/>
  <c r="K39" i="21"/>
  <c r="J39"/>
  <c r="L39"/>
  <c r="I39"/>
  <c r="G39"/>
  <c r="F39"/>
  <c r="E39"/>
  <c r="D39"/>
  <c r="H40"/>
  <c r="C39"/>
  <c r="B39"/>
  <c r="Q39"/>
  <c r="P40"/>
  <c r="O39"/>
  <c r="N39"/>
  <c r="M39"/>
  <c r="J39" i="20"/>
  <c r="I39"/>
  <c r="H39"/>
  <c r="G40"/>
  <c r="F39"/>
  <c r="E39"/>
  <c r="D39"/>
  <c r="C39"/>
  <c r="B39"/>
  <c r="Q39"/>
  <c r="P39"/>
  <c r="O40"/>
  <c r="N39"/>
  <c r="M39"/>
  <c r="L39"/>
  <c r="K39"/>
  <c r="G39" i="19"/>
  <c r="F39"/>
  <c r="D39"/>
  <c r="H40"/>
  <c r="E40"/>
  <c r="C39"/>
  <c r="B39"/>
  <c r="Q39"/>
  <c r="P39"/>
  <c r="O39"/>
  <c r="N39"/>
  <c r="M39"/>
  <c r="L39"/>
  <c r="K39"/>
  <c r="J39"/>
  <c r="I39"/>
  <c r="D39" i="18"/>
  <c r="C39"/>
  <c r="E40"/>
  <c r="B39"/>
  <c r="P39"/>
  <c r="O39"/>
  <c r="N39"/>
  <c r="M39"/>
  <c r="L39"/>
  <c r="K39"/>
  <c r="J39"/>
  <c r="I39"/>
  <c r="H39"/>
  <c r="G39"/>
  <c r="F39"/>
  <c r="B39" i="17"/>
  <c r="Q39"/>
  <c r="P39"/>
  <c r="N39"/>
  <c r="M39"/>
  <c r="L39"/>
  <c r="K39"/>
  <c r="J39"/>
  <c r="I39"/>
  <c r="H39"/>
  <c r="G39"/>
  <c r="F39"/>
  <c r="E39"/>
  <c r="D39"/>
  <c r="C39"/>
  <c r="Q39" i="16"/>
  <c r="P39"/>
  <c r="O39"/>
  <c r="M39"/>
  <c r="L39"/>
  <c r="K39"/>
  <c r="J39"/>
  <c r="I39"/>
  <c r="H39"/>
  <c r="G39"/>
  <c r="F40"/>
  <c r="E39"/>
  <c r="D39"/>
  <c r="C39"/>
  <c r="B39"/>
  <c r="C39" i="15"/>
  <c r="B39"/>
  <c r="Q39"/>
  <c r="P39"/>
  <c r="O39"/>
  <c r="N39"/>
  <c r="M39"/>
  <c r="L39"/>
  <c r="K39"/>
  <c r="J39"/>
  <c r="I39"/>
  <c r="H39"/>
  <c r="G39"/>
  <c r="F39"/>
  <c r="E39"/>
  <c r="D39"/>
  <c r="B39" i="13"/>
  <c r="Q39"/>
  <c r="P39"/>
  <c r="O39"/>
  <c r="N39"/>
  <c r="M39"/>
  <c r="K39"/>
  <c r="J39"/>
  <c r="I39"/>
  <c r="H39"/>
  <c r="G39"/>
  <c r="F39"/>
  <c r="E40"/>
  <c r="D39"/>
  <c r="C39"/>
  <c r="B39" i="12"/>
  <c r="Q39"/>
  <c r="P39"/>
  <c r="O39"/>
  <c r="N39"/>
  <c r="M39"/>
  <c r="L39"/>
  <c r="K39"/>
  <c r="J39"/>
  <c r="I39"/>
  <c r="H39"/>
  <c r="G39"/>
  <c r="F39"/>
  <c r="E39"/>
  <c r="D39"/>
  <c r="C39" i="11"/>
  <c r="B39"/>
  <c r="P39"/>
  <c r="O40"/>
  <c r="N39"/>
  <c r="M39"/>
  <c r="L39"/>
  <c r="K39"/>
  <c r="J39"/>
  <c r="H39"/>
  <c r="G40"/>
  <c r="F39"/>
  <c r="E39"/>
  <c r="D39"/>
  <c r="E39" i="10"/>
  <c r="D39"/>
  <c r="C39"/>
  <c r="B39"/>
  <c r="Q39"/>
  <c r="P39"/>
  <c r="O39"/>
  <c r="N39"/>
  <c r="M39"/>
  <c r="L39"/>
  <c r="K39"/>
  <c r="J39"/>
  <c r="I39"/>
  <c r="H39"/>
  <c r="G39"/>
  <c r="F39"/>
  <c r="G39" i="9"/>
  <c r="F39"/>
  <c r="E39"/>
  <c r="D39"/>
  <c r="C39"/>
  <c r="B39"/>
  <c r="Q39"/>
  <c r="P39"/>
  <c r="O39"/>
  <c r="N39"/>
  <c r="M39"/>
  <c r="L39"/>
  <c r="K39"/>
  <c r="J39"/>
  <c r="I39"/>
  <c r="H39"/>
  <c r="L39" i="8"/>
  <c r="I39"/>
  <c r="H39"/>
  <c r="G39"/>
  <c r="F39"/>
  <c r="E39"/>
  <c r="D39"/>
  <c r="C39"/>
  <c r="B39"/>
  <c r="Q39"/>
  <c r="P39"/>
  <c r="O39"/>
  <c r="N39"/>
  <c r="M39"/>
  <c r="K39"/>
  <c r="J39"/>
  <c r="K39" i="3"/>
  <c r="J39"/>
  <c r="I39"/>
  <c r="H39"/>
  <c r="G39"/>
  <c r="F39"/>
  <c r="E39"/>
  <c r="D39"/>
  <c r="C39"/>
  <c r="B39"/>
  <c r="Q39"/>
  <c r="P39"/>
  <c r="O39"/>
  <c r="N39"/>
  <c r="M39"/>
  <c r="L39"/>
  <c r="N39" i="2"/>
  <c r="M39"/>
  <c r="L39"/>
  <c r="K39"/>
  <c r="J39"/>
  <c r="I39"/>
  <c r="H39"/>
  <c r="G39"/>
  <c r="F39"/>
  <c r="E39"/>
  <c r="D39"/>
  <c r="C39"/>
  <c r="B39"/>
  <c r="Q39"/>
  <c r="P39"/>
  <c r="O39"/>
  <c r="G39" i="14"/>
  <c r="O46" i="39"/>
  <c r="F39" i="14"/>
  <c r="N46" i="39"/>
  <c r="E39" i="14"/>
  <c r="M46" i="39"/>
  <c r="D39" i="14"/>
  <c r="L46" i="39"/>
  <c r="C39" i="14"/>
  <c r="K47" i="39"/>
  <c r="B39" i="14"/>
  <c r="J47" i="39"/>
  <c r="Q39" i="14"/>
  <c r="I47" i="39"/>
  <c r="P39" i="14"/>
  <c r="H46" i="39"/>
  <c r="O39" i="14"/>
  <c r="G46" i="39"/>
  <c r="N39" i="14"/>
  <c r="F46" i="39"/>
  <c r="M39" i="14"/>
  <c r="E46" i="39"/>
  <c r="L39" i="14"/>
  <c r="D46" i="39"/>
  <c r="K39" i="14"/>
  <c r="C46" i="39"/>
  <c r="J39" i="14"/>
  <c r="B47" i="39"/>
  <c r="I39" i="14"/>
  <c r="Q47" i="39"/>
  <c r="H39" i="14"/>
  <c r="P46" i="39"/>
  <c r="Q41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B46" l="1"/>
  <c r="Q46"/>
  <c r="M47"/>
  <c r="J46"/>
  <c r="N47"/>
  <c r="K46"/>
  <c r="H47"/>
  <c r="I46"/>
  <c r="P47"/>
  <c r="F47"/>
  <c r="E47"/>
  <c r="C47"/>
  <c r="D47"/>
  <c r="L47"/>
  <c r="O47"/>
  <c r="G47"/>
</calcChain>
</file>

<file path=xl/sharedStrings.xml><?xml version="1.0" encoding="utf-8"?>
<sst xmlns="http://schemas.openxmlformats.org/spreadsheetml/2006/main" count="3848" uniqueCount="800">
  <si>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</si>
  <si>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</si>
  <si>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</si>
  <si>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</si>
  <si>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</si>
  <si>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</si>
  <si>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</si>
  <si>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</si>
  <si>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</si>
  <si>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</si>
  <si>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</si>
  <si>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</si>
  <si>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</si>
  <si>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</si>
  <si>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</si>
  <si>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</si>
  <si>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</si>
  <si>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</si>
  <si>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</si>
  <si>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</si>
  <si>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</si>
  <si>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</si>
  <si>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</si>
  <si>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</si>
  <si>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</si>
  <si>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</si>
  <si>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</si>
  <si>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</si>
  <si>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</si>
  <si>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</si>
  <si>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</si>
  <si>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</si>
  <si>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</si>
  <si>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</si>
  <si>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</si>
  <si>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</si>
  <si>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</si>
  <si>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</si>
  <si>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</si>
  <si>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</si>
  <si>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</si>
  <si>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</si>
  <si>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</si>
  <si>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</si>
  <si>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</si>
  <si>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</si>
  <si>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</si>
  <si>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</si>
  <si>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</si>
  <si>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</si>
  <si>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</si>
  <si>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</si>
  <si>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</si>
  <si>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</si>
  <si>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</si>
  <si>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</si>
  <si>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</si>
  <si>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</si>
  <si>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</si>
  <si>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</si>
  <si>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09/07/2023 01:00</t>
  </si>
  <si>
    <t>09/07/2023 02:00</t>
  </si>
  <si>
    <t>09/07/2023 03:00</t>
  </si>
  <si>
    <t>09/07/2023 04:00</t>
  </si>
  <si>
    <t>09/07/2023 05:00</t>
  </si>
  <si>
    <t>09/07/2023 06:00</t>
  </si>
  <si>
    <t>09/07/2023 07:00</t>
  </si>
  <si>
    <t>09/07/2023 08:00</t>
  </si>
  <si>
    <t>09/07/2023 09:00</t>
  </si>
  <si>
    <t>09/07/2023 10:00</t>
  </si>
  <si>
    <t>09/07/2023 11:00</t>
  </si>
  <si>
    <t>09/07/2023 12:00</t>
  </si>
  <si>
    <t>09/07/2023 13:00</t>
  </si>
  <si>
    <t>09/07/2023 14:00</t>
  </si>
  <si>
    <t>09/07/2023 15:00</t>
  </si>
  <si>
    <t>09/07/2023 16:00</t>
  </si>
  <si>
    <t>09/07/2023 17:00</t>
  </si>
  <si>
    <t>09/07/2023 18:00</t>
  </si>
  <si>
    <t>09/07/2023 19:00</t>
  </si>
  <si>
    <t>09/07/2023 20:00</t>
  </si>
  <si>
    <t>09/07/2023 21:00</t>
  </si>
  <si>
    <t>09/07/2023 22:00</t>
  </si>
  <si>
    <t>09/07/2023 23:00</t>
  </si>
  <si>
    <t>09/07/2023 24:00</t>
  </si>
  <si>
    <t>01/07/2023 01:00</t>
  </si>
  <si>
    <t>01/07/2023 02:00</t>
  </si>
  <si>
    <t>01/07/2023 03:00</t>
  </si>
  <si>
    <t>01/07/2023 05:00</t>
  </si>
  <si>
    <t>01/07/2023 06:00</t>
  </si>
  <si>
    <t>01/07/2023 07:00</t>
  </si>
  <si>
    <t>01/07/2023 08:00</t>
  </si>
  <si>
    <t>01/07/2023 09:00</t>
  </si>
  <si>
    <t>01/07/2023 10:00</t>
  </si>
  <si>
    <t>01/07/2023 11:00</t>
  </si>
  <si>
    <t>01/07/2023 12:00</t>
  </si>
  <si>
    <t>01/07/2023 13:00</t>
  </si>
  <si>
    <t>01/07/2023 14:00</t>
  </si>
  <si>
    <t>01/07/2023 15:00</t>
  </si>
  <si>
    <t>01/07/2023 16:00</t>
  </si>
  <si>
    <t>01/07/2023 17:00</t>
  </si>
  <si>
    <t>01/07/2023 18:00</t>
  </si>
  <si>
    <t>01/07/2023 19:00</t>
  </si>
  <si>
    <t>01/07/2023 20:00</t>
  </si>
  <si>
    <t>01/07/2023 21:00</t>
  </si>
  <si>
    <t>01/07/2023 22:00</t>
  </si>
  <si>
    <t>01/07/2023 23:00</t>
  </si>
  <si>
    <t>01/07/2023 24:00</t>
  </si>
  <si>
    <t>02/07/2023 01:00</t>
  </si>
  <si>
    <t>02/07/2023 02:00</t>
  </si>
  <si>
    <t>02/07/2023 03:00</t>
  </si>
  <si>
    <t>02/07/2023 04:00</t>
  </si>
  <si>
    <t>02/07/2023 05:00</t>
  </si>
  <si>
    <t>02/07/2023 06:00</t>
  </si>
  <si>
    <t>02/07/2023 07:00</t>
  </si>
  <si>
    <t>02/07/2023 08:00</t>
  </si>
  <si>
    <t>02/07/2023 09:00</t>
  </si>
  <si>
    <t>02/07/2023 10:00</t>
  </si>
  <si>
    <t>02/07/2023 11:00</t>
  </si>
  <si>
    <t>02/07/2023 12:00</t>
  </si>
  <si>
    <t>02/07/2023 13:00</t>
  </si>
  <si>
    <t>02/07/2023 14:00</t>
  </si>
  <si>
    <t>02/07/2023 15:00</t>
  </si>
  <si>
    <t>02/07/2023 16:00</t>
  </si>
  <si>
    <t>02/07/2023 17:00</t>
  </si>
  <si>
    <t>02/07/2023 18:00</t>
  </si>
  <si>
    <t>02/07/2023 19:00</t>
  </si>
  <si>
    <t>02/07/2023 20:00</t>
  </si>
  <si>
    <t>02/07/2023 21:00</t>
  </si>
  <si>
    <t>02/07/2023 22:00</t>
  </si>
  <si>
    <t>02/07/2023 23:00</t>
  </si>
  <si>
    <t>02/07/2023 24:00</t>
  </si>
  <si>
    <t>03/07/2023 01:00</t>
  </si>
  <si>
    <t>03/07/2023 02:00</t>
  </si>
  <si>
    <t>03/07/2023 03:00</t>
  </si>
  <si>
    <t>03/07/2023 04:00</t>
  </si>
  <si>
    <t>03/07/2023 05:00</t>
  </si>
  <si>
    <t>03/07/2023 06:00</t>
  </si>
  <si>
    <t>03/07/2023 07:00</t>
  </si>
  <si>
    <t>03/07/2023 08:00</t>
  </si>
  <si>
    <t>03/07/2023 09:00</t>
  </si>
  <si>
    <t>03/07/2023 10:00</t>
  </si>
  <si>
    <t>03/07/2023 11:00</t>
  </si>
  <si>
    <t>03/07/2023 12:00</t>
  </si>
  <si>
    <t>03/07/2023 13:00</t>
  </si>
  <si>
    <t>03/07/2023 14:00</t>
  </si>
  <si>
    <t>03/07/2023 15:00</t>
  </si>
  <si>
    <t>03/07/2023 16:00</t>
  </si>
  <si>
    <t>03/07/2023 17:00</t>
  </si>
  <si>
    <t>03/07/2023 18:00</t>
  </si>
  <si>
    <t>03/07/2023 19:00</t>
  </si>
  <si>
    <t>03/07/2023 20:00</t>
  </si>
  <si>
    <t>03/07/2023 21:00</t>
  </si>
  <si>
    <t>03/07/2023 22:00</t>
  </si>
  <si>
    <t>03/07/2023 23:00</t>
  </si>
  <si>
    <t>03/07/2023 24:00</t>
  </si>
  <si>
    <t>04/07/2023 01:00</t>
  </si>
  <si>
    <t>04/07/2023 02:00</t>
  </si>
  <si>
    <t>04/07/2023 03:00</t>
  </si>
  <si>
    <t>04/07/2023 04:00</t>
  </si>
  <si>
    <t>04/07/2023 05:00</t>
  </si>
  <si>
    <t>04/07/2023 06:00</t>
  </si>
  <si>
    <t>04/07/2023 07:00</t>
  </si>
  <si>
    <t>04/07/2023 08:00</t>
  </si>
  <si>
    <t>04/07/2023 09:00</t>
  </si>
  <si>
    <t>04/07/2023 10:00</t>
  </si>
  <si>
    <t>04/07/2023 11:00</t>
  </si>
  <si>
    <t>04/07/2023 12:00</t>
  </si>
  <si>
    <t>04/07/2023 13:00</t>
  </si>
  <si>
    <t>04/07/2023 14:00</t>
  </si>
  <si>
    <t>04/07/2023 15:00</t>
  </si>
  <si>
    <t>04/07/2023 16:00</t>
  </si>
  <si>
    <t>04/07/2023 17:00</t>
  </si>
  <si>
    <t>04/07/2023 18:00</t>
  </si>
  <si>
    <t>04/07/2023 19:00</t>
  </si>
  <si>
    <t>04/07/2023 20:00</t>
  </si>
  <si>
    <t>04/07/2023 21:00</t>
  </si>
  <si>
    <t>04/07/2023 22:00</t>
  </si>
  <si>
    <t>04/07/2023 23:00</t>
  </si>
  <si>
    <t>04/07/2023 24:00</t>
  </si>
  <si>
    <t>05/07/2023 01:00</t>
  </si>
  <si>
    <t>05/07/2023 02:00</t>
  </si>
  <si>
    <t>05/07/2023 03:00</t>
  </si>
  <si>
    <t>05/07/2023 04:00</t>
  </si>
  <si>
    <t>05/07/2023 05:00</t>
  </si>
  <si>
    <t>05/07/2023 06:00</t>
  </si>
  <si>
    <t>05/07/2023 07:00</t>
  </si>
  <si>
    <t>05/07/2023 08:00</t>
  </si>
  <si>
    <t>05/07/2023 09:00</t>
  </si>
  <si>
    <t>05/07/2023 10:00</t>
  </si>
  <si>
    <t>05/07/2023 11:00</t>
  </si>
  <si>
    <t>05/07/2023 12:00</t>
  </si>
  <si>
    <t>05/07/2023 13:00</t>
  </si>
  <si>
    <t>05/07/2023 14:00</t>
  </si>
  <si>
    <t>05/07/2023 15:00</t>
  </si>
  <si>
    <t>05/07/2023 16:00</t>
  </si>
  <si>
    <t>05/07/2023 17:00</t>
  </si>
  <si>
    <t>05/07/2023 18:00</t>
  </si>
  <si>
    <t>05/07/2023 19:00</t>
  </si>
  <si>
    <t>05/07/2023 20:00</t>
  </si>
  <si>
    <t>05/07/2023 21:00</t>
  </si>
  <si>
    <t>05/07/2023 22:00</t>
  </si>
  <si>
    <t>05/07/2023 23:00</t>
  </si>
  <si>
    <t>05/07/2023 24:00</t>
  </si>
  <si>
    <t>06/07/2023 01:00</t>
  </si>
  <si>
    <t>06/07/2023 02:00</t>
  </si>
  <si>
    <t>06/07/2023 03:00</t>
  </si>
  <si>
    <t>06/07/2023 04:00</t>
  </si>
  <si>
    <t>06/07/2023 05:00</t>
  </si>
  <si>
    <t>06/07/2023 06:00</t>
  </si>
  <si>
    <t>06/07/2023 07:00</t>
  </si>
  <si>
    <t>06/07/2023 08:00</t>
  </si>
  <si>
    <t>06/07/2023 09:00</t>
  </si>
  <si>
    <t>06/07/2023 10:00</t>
  </si>
  <si>
    <t>06/07/2023 11:00</t>
  </si>
  <si>
    <t>06/07/2023 12:00</t>
  </si>
  <si>
    <t>06/07/2023 13:00</t>
  </si>
  <si>
    <t>06/07/2023 14:00</t>
  </si>
  <si>
    <t>06/07/2023 15:00</t>
  </si>
  <si>
    <t>06/07/2023 16:00</t>
  </si>
  <si>
    <t>06/07/2023 17:00</t>
  </si>
  <si>
    <t>06/07/2023 18:00</t>
  </si>
  <si>
    <t>06/07/2023 19:00</t>
  </si>
  <si>
    <t>06/07/2023 20:00</t>
  </si>
  <si>
    <t>06/07/2023 21:00</t>
  </si>
  <si>
    <t>06/07/2023 22:00</t>
  </si>
  <si>
    <t>06/07/2023 23:00</t>
  </si>
  <si>
    <t>06/07/2023 24:00</t>
  </si>
  <si>
    <t>07/07/2023 01:00</t>
  </si>
  <si>
    <t>07/07/2023 02:00</t>
  </si>
  <si>
    <t>07/07/2023 03:00</t>
  </si>
  <si>
    <t>07/07/2023 04:00</t>
  </si>
  <si>
    <t>07/07/2023 05:00</t>
  </si>
  <si>
    <t>07/07/2023 06:00</t>
  </si>
  <si>
    <t>07/07/2023 07:00</t>
  </si>
  <si>
    <t>07/07/2023 08:00</t>
  </si>
  <si>
    <t>07/07/2023 09:00</t>
  </si>
  <si>
    <t>07/07/2023 10:00</t>
  </si>
  <si>
    <t>07/07/2023 11:00</t>
  </si>
  <si>
    <t>07/07/2023 12:00</t>
  </si>
  <si>
    <t>07/07/2023 13:00</t>
  </si>
  <si>
    <t>07/07/2023 14:00</t>
  </si>
  <si>
    <t>07/07/2023 15:00</t>
  </si>
  <si>
    <t>07/07/2023 16:00</t>
  </si>
  <si>
    <t>07/07/2023 17:00</t>
  </si>
  <si>
    <t>07/07/2023 18:00</t>
  </si>
  <si>
    <t>07/07/2023 19:00</t>
  </si>
  <si>
    <t>07/07/2023 20:00</t>
  </si>
  <si>
    <t>07/07/2023 21:00</t>
  </si>
  <si>
    <t>07/07/2023 22:00</t>
  </si>
  <si>
    <t>07/07/2023 23:00</t>
  </si>
  <si>
    <t>07/07/2023 24:00</t>
  </si>
  <si>
    <t>08/07/2023 01:00</t>
  </si>
  <si>
    <t>08/07/2023 02:00</t>
  </si>
  <si>
    <t>08/07/2023 03:00</t>
  </si>
  <si>
    <t>08/07/2023 04:00</t>
  </si>
  <si>
    <t>08/07/2023 05:00</t>
  </si>
  <si>
    <t>08/07/2023 06:00</t>
  </si>
  <si>
    <t>08/07/2023 07:00</t>
  </si>
  <si>
    <t>08/07/2023 08:00</t>
  </si>
  <si>
    <t>08/07/2023 09:00</t>
  </si>
  <si>
    <t>08/07/2023 10:00</t>
  </si>
  <si>
    <t>08/07/2023 11:00</t>
  </si>
  <si>
    <t>08/07/2023 12:00</t>
  </si>
  <si>
    <t>08/07/2023 13:00</t>
  </si>
  <si>
    <t>08/07/2023 14:00</t>
  </si>
  <si>
    <t>08/07/2023 15:00</t>
  </si>
  <si>
    <t>08/07/2023 16:00</t>
  </si>
  <si>
    <t>08/07/2023 17:00</t>
  </si>
  <si>
    <t>08/07/2023 18:00</t>
  </si>
  <si>
    <t>08/07/2023 19:00</t>
  </si>
  <si>
    <t>08/07/2023 20:00</t>
  </si>
  <si>
    <t>08/07/2023 21:00</t>
  </si>
  <si>
    <t>08/07/2023 22:00</t>
  </si>
  <si>
    <t>08/07/2023 23:00</t>
  </si>
  <si>
    <t>08/07/2023 24:00</t>
  </si>
  <si>
    <t>10/07/2023 01:00</t>
  </si>
  <si>
    <t>10/07/2023 02:00</t>
  </si>
  <si>
    <t>10/07/2023 03:00</t>
  </si>
  <si>
    <t>10/07/2023 05:00</t>
  </si>
  <si>
    <t>10/07/2023 06:00</t>
  </si>
  <si>
    <t>10/07/2023 07:00</t>
  </si>
  <si>
    <t>10/07/2023 08:00</t>
  </si>
  <si>
    <t>10/07/2023 09:00</t>
  </si>
  <si>
    <t>10/07/2023 10:00</t>
  </si>
  <si>
    <t>10/07/2023 11:00</t>
  </si>
  <si>
    <t>10/07/2023 12:00</t>
  </si>
  <si>
    <t>10/07/2023 13:00</t>
  </si>
  <si>
    <t>10/07/2023 14:00</t>
  </si>
  <si>
    <t>10/07/2023 15:00</t>
  </si>
  <si>
    <t>10/07/2023 16:00</t>
  </si>
  <si>
    <t>10/07/2023 17:00</t>
  </si>
  <si>
    <t>10/07/2023 18:00</t>
  </si>
  <si>
    <t>10/07/2023 19:00</t>
  </si>
  <si>
    <t>10/07/2023 20:00</t>
  </si>
  <si>
    <t>10/07/2023 21:00</t>
  </si>
  <si>
    <t>10/07/2023 22:00</t>
  </si>
  <si>
    <t>10/07/2023 23:00</t>
  </si>
  <si>
    <t>10/07/2023 24:00</t>
  </si>
  <si>
    <t>11/07/2023 01:00</t>
  </si>
  <si>
    <t>11/07/2023 02:00</t>
  </si>
  <si>
    <t>11/07/2023 03:00</t>
  </si>
  <si>
    <t>11/07/2023 04:00</t>
  </si>
  <si>
    <t>11/07/2023 05:00</t>
  </si>
  <si>
    <t>11/07/2023 06:00</t>
  </si>
  <si>
    <t>11/07/2023 07:00</t>
  </si>
  <si>
    <t>11/07/2023 08:00</t>
  </si>
  <si>
    <t>11/07/2023 09:00</t>
  </si>
  <si>
    <t>11/07/2023 10:00</t>
  </si>
  <si>
    <t>11/07/2023 11:00</t>
  </si>
  <si>
    <t>11/07/2023 12:00</t>
  </si>
  <si>
    <t>11/07/2023 13:00</t>
  </si>
  <si>
    <t>11/07/2023 14:00</t>
  </si>
  <si>
    <t>11/07/2023 15:00</t>
  </si>
  <si>
    <t>11/07/2023 16:00</t>
  </si>
  <si>
    <t>11/07/2023 17:00</t>
  </si>
  <si>
    <t>11/07/2023 18:00</t>
  </si>
  <si>
    <t>11/07/2023 19:00</t>
  </si>
  <si>
    <t>11/07/2023 20:00</t>
  </si>
  <si>
    <t>11/07/2023 21:00</t>
  </si>
  <si>
    <t>11/07/2023 22:00</t>
  </si>
  <si>
    <t>11/07/2023 23:00</t>
  </si>
  <si>
    <t>11/07/2023 24:00</t>
  </si>
  <si>
    <t>12/07/2023 01:00</t>
  </si>
  <si>
    <t>12/07/2023 02:00</t>
  </si>
  <si>
    <t>12/07/2023 03:00</t>
  </si>
  <si>
    <t>12/07/2023 04:00</t>
  </si>
  <si>
    <t>12/07/2023 05:00</t>
  </si>
  <si>
    <t>12/07/2023 06:00</t>
  </si>
  <si>
    <t>12/07/2023 07:00</t>
  </si>
  <si>
    <t>12/07/2023 08:00</t>
  </si>
  <si>
    <t>12/07/2023 09:00</t>
  </si>
  <si>
    <t>12/07/2023 10:00</t>
  </si>
  <si>
    <t>12/07/2023 11:00</t>
  </si>
  <si>
    <t>12/07/2023 12:00</t>
  </si>
  <si>
    <t>12/07/2023 13:00</t>
  </si>
  <si>
    <t>12/07/2023 14:00</t>
  </si>
  <si>
    <t>12/07/2023 15:00</t>
  </si>
  <si>
    <t>12/07/2023 16:00</t>
  </si>
  <si>
    <t>12/07/2023 17:00</t>
  </si>
  <si>
    <t>12/07/2023 18:00</t>
  </si>
  <si>
    <t>12/07/2023 19:00</t>
  </si>
  <si>
    <t>12/07/2023 20:00</t>
  </si>
  <si>
    <t>12/07/2023 21:00</t>
  </si>
  <si>
    <t>12/07/2023 22:00</t>
  </si>
  <si>
    <t>12/07/2023 23:00</t>
  </si>
  <si>
    <t>12/07/2023 24:00</t>
  </si>
  <si>
    <t>13/07/2023 01:00</t>
  </si>
  <si>
    <t>13/07/2023 02:00</t>
  </si>
  <si>
    <t>13/07/2023 03:00</t>
  </si>
  <si>
    <t>13/07/2023 04:00</t>
  </si>
  <si>
    <t>13/07/2023 05:00</t>
  </si>
  <si>
    <t>13/07/2023 06:00</t>
  </si>
  <si>
    <t>13/07/2023 07:00</t>
  </si>
  <si>
    <t>13/07/2023 08:00</t>
  </si>
  <si>
    <t>13/07/2023 09:00</t>
  </si>
  <si>
    <t>13/07/2023 10:00</t>
  </si>
  <si>
    <t>13/07/2023 11:00</t>
  </si>
  <si>
    <t>13/07/2023 12:00</t>
  </si>
  <si>
    <t>13/07/2023 13:00</t>
  </si>
  <si>
    <t>13/07/2023 14:00</t>
  </si>
  <si>
    <t>13/07/2023 15:00</t>
  </si>
  <si>
    <t>13/07/2023 16:00</t>
  </si>
  <si>
    <t>13/07/2023 17:00</t>
  </si>
  <si>
    <t>13/07/2023 18:00</t>
  </si>
  <si>
    <t>13/07/2023 19:00</t>
  </si>
  <si>
    <t>13/07/2023 20:00</t>
  </si>
  <si>
    <t>13/07/2023 21:00</t>
  </si>
  <si>
    <t>13/07/2023 22:00</t>
  </si>
  <si>
    <t>13/07/2023 23:00</t>
  </si>
  <si>
    <t>13/07/2023 24:00</t>
  </si>
  <si>
    <t>14/07/2023 01:00</t>
  </si>
  <si>
    <t>14/07/2023 02:00</t>
  </si>
  <si>
    <t>14/07/2023 03:00</t>
  </si>
  <si>
    <t>14/07/2023 04:00</t>
  </si>
  <si>
    <t>14/07/2023 05:00</t>
  </si>
  <si>
    <t>14/07/2023 06:00</t>
  </si>
  <si>
    <t>14/07/2023 07:00</t>
  </si>
  <si>
    <t>14/07/2023 08:00</t>
  </si>
  <si>
    <t>14/07/2023 09:00</t>
  </si>
  <si>
    <t>14/07/2023 10:00</t>
  </si>
  <si>
    <t>14/07/2023 11:00</t>
  </si>
  <si>
    <t>14/07/2023 12:00</t>
  </si>
  <si>
    <t>14/07/2023 13:00</t>
  </si>
  <si>
    <t>14/07/2023 14:00</t>
  </si>
  <si>
    <t>14/07/2023 15:00</t>
  </si>
  <si>
    <t>14/07/2023 16:00</t>
  </si>
  <si>
    <t>14/07/2023 17:00</t>
  </si>
  <si>
    <t>14/07/2023 18:00</t>
  </si>
  <si>
    <t>14/07/2023 19:00</t>
  </si>
  <si>
    <t>14/07/2023 20:00</t>
  </si>
  <si>
    <t>14/07/2023 21:00</t>
  </si>
  <si>
    <t>14/07/2023 22:00</t>
  </si>
  <si>
    <t>14/07/2023 23:00</t>
  </si>
  <si>
    <t>14/07/2023 24:00</t>
  </si>
  <si>
    <t>15/07/2023 01:00</t>
  </si>
  <si>
    <t>15/07/2023 02:00</t>
  </si>
  <si>
    <t>15/07/2023 03:00</t>
  </si>
  <si>
    <t>15/07/2023 04:00</t>
  </si>
  <si>
    <t>15/07/2023 05:00</t>
  </si>
  <si>
    <t>15/07/2023 06:00</t>
  </si>
  <si>
    <t>15/07/2023 07:00</t>
  </si>
  <si>
    <t>15/07/2023 08:00</t>
  </si>
  <si>
    <t>15/07/2023 09:00</t>
  </si>
  <si>
    <t>15/07/2023 10:00</t>
  </si>
  <si>
    <t>15/07/2023 11:00</t>
  </si>
  <si>
    <t>15/07/2023 12:00</t>
  </si>
  <si>
    <t>15/07/2023 13:00</t>
  </si>
  <si>
    <t>15/07/2023 14:00</t>
  </si>
  <si>
    <t>15/07/2023 15:00</t>
  </si>
  <si>
    <t>15/07/2023 16:00</t>
  </si>
  <si>
    <t>15/07/2023 17:00</t>
  </si>
  <si>
    <t>15/07/2023 18:00</t>
  </si>
  <si>
    <t>15/07/2023 19:00</t>
  </si>
  <si>
    <t>15/07/2023 20:00</t>
  </si>
  <si>
    <t>15/07/2023 21:00</t>
  </si>
  <si>
    <t>15/07/2023 22:00</t>
  </si>
  <si>
    <t>15/07/2023 23:00</t>
  </si>
  <si>
    <t>15/07/2023 24:00</t>
  </si>
  <si>
    <t>16/07/2023 01:00</t>
  </si>
  <si>
    <t>16/07/2023 02:00</t>
  </si>
  <si>
    <t>16/07/2023 03:00</t>
  </si>
  <si>
    <t>16/07/2023 04:00</t>
  </si>
  <si>
    <t>16/07/2023 05:00</t>
  </si>
  <si>
    <t>16/07/2023 06:00</t>
  </si>
  <si>
    <t>16/07/2023 07:00</t>
  </si>
  <si>
    <t>16/07/2023 08:00</t>
  </si>
  <si>
    <t>16/07/2023 09:00</t>
  </si>
  <si>
    <t>16/07/2023 10:00</t>
  </si>
  <si>
    <t>16/07/2023 11:00</t>
  </si>
  <si>
    <t>16/07/2023 12:00</t>
  </si>
  <si>
    <t>16/07/2023 13:00</t>
  </si>
  <si>
    <t>16/07/2023 14:00</t>
  </si>
  <si>
    <t>16/07/2023 15:00</t>
  </si>
  <si>
    <t>16/07/2023 16:00</t>
  </si>
  <si>
    <t>16/07/2023 17:00</t>
  </si>
  <si>
    <t>16/07/2023 18:00</t>
  </si>
  <si>
    <t>16/07/2023 19:00</t>
  </si>
  <si>
    <t>16/07/2023 20:00</t>
  </si>
  <si>
    <t>16/07/2023 21:00</t>
  </si>
  <si>
    <t>16/07/2023 22:00</t>
  </si>
  <si>
    <t>16/07/2023 23:00</t>
  </si>
  <si>
    <t>16/07/2023 24:00</t>
  </si>
  <si>
    <t>17/07/2023 01:00</t>
  </si>
  <si>
    <t>17/07/2023 02:00</t>
  </si>
  <si>
    <t>17/07/2023 03:00</t>
  </si>
  <si>
    <t>17/07/2023 04:00</t>
  </si>
  <si>
    <t>17/07/2023 05:00</t>
  </si>
  <si>
    <t>17/07/2023 06:00</t>
  </si>
  <si>
    <t>17/07/2023 07:00</t>
  </si>
  <si>
    <t>17/07/2023 08:00</t>
  </si>
  <si>
    <t>17/07/2023 09:00</t>
  </si>
  <si>
    <t>17/07/2023 10:00</t>
  </si>
  <si>
    <t>17/07/2023 11:00</t>
  </si>
  <si>
    <t>17/07/2023 12:00</t>
  </si>
  <si>
    <t>17/07/2023 13:00</t>
  </si>
  <si>
    <t>17/07/2023 14:00</t>
  </si>
  <si>
    <t>17/07/2023 15:00</t>
  </si>
  <si>
    <t>17/07/2023 16:00</t>
  </si>
  <si>
    <t>17/07/2023 17:00</t>
  </si>
  <si>
    <t>17/07/2023 18:00</t>
  </si>
  <si>
    <t>17/07/2023 19:00</t>
  </si>
  <si>
    <t>17/07/2023 20:00</t>
  </si>
  <si>
    <t>17/07/2023 21:00</t>
  </si>
  <si>
    <t>17/07/2023 22:00</t>
  </si>
  <si>
    <t>17/07/2023 23:00</t>
  </si>
  <si>
    <t>17/07/2023 24:00</t>
  </si>
  <si>
    <t>18/07/2023 01:00</t>
  </si>
  <si>
    <t>18/07/2023 02:00</t>
  </si>
  <si>
    <t>18/07/2023 03:00</t>
  </si>
  <si>
    <t>18/07/2023 04:00</t>
  </si>
  <si>
    <t>18/07/2023 05:00</t>
  </si>
  <si>
    <t>18/07/2023 06:00</t>
  </si>
  <si>
    <t>18/07/2023 07:00</t>
  </si>
  <si>
    <t>18/07/2023 08:00</t>
  </si>
  <si>
    <t>18/07/2023 09:00</t>
  </si>
  <si>
    <t>18/07/2023 10:00</t>
  </si>
  <si>
    <t>18/07/2023 11:00</t>
  </si>
  <si>
    <t>18/07/2023 12:00</t>
  </si>
  <si>
    <t>18/07/2023 13:00</t>
  </si>
  <si>
    <t>18/07/2023 14:00</t>
  </si>
  <si>
    <t>18/07/2023 15:00</t>
  </si>
  <si>
    <t>18/07/2023 16:00</t>
  </si>
  <si>
    <t>18/07/2023 17:00</t>
  </si>
  <si>
    <t>18/07/2023 18:00</t>
  </si>
  <si>
    <t>18/07/2023 19:00</t>
  </si>
  <si>
    <t>18/07/2023 20:00</t>
  </si>
  <si>
    <t>18/07/2023 21:00</t>
  </si>
  <si>
    <t>18/07/2023 22:00</t>
  </si>
  <si>
    <t>18/07/2023 23:00</t>
  </si>
  <si>
    <t>18/07/2023 24:00</t>
  </si>
  <si>
    <t>19/07/2023 01:00</t>
  </si>
  <si>
    <t>19/07/2023 02:00</t>
  </si>
  <si>
    <t>19/07/2023 03:00</t>
  </si>
  <si>
    <t>19/07/2023 04:00</t>
  </si>
  <si>
    <t>19/07/2023 05:00</t>
  </si>
  <si>
    <t>19/07/2023 06:00</t>
  </si>
  <si>
    <t>19/07/2023 07:00</t>
  </si>
  <si>
    <t>19/07/2023 08:00</t>
  </si>
  <si>
    <t>19/07/2023 09:00</t>
  </si>
  <si>
    <t>19/07/2023 10:00</t>
  </si>
  <si>
    <t>19/07/2023 11:00</t>
  </si>
  <si>
    <t>19/07/2023 12:00</t>
  </si>
  <si>
    <t>19/07/2023 13:00</t>
  </si>
  <si>
    <t>19/07/2023 14:00</t>
  </si>
  <si>
    <t>19/07/2023 15:00</t>
  </si>
  <si>
    <t>19/07/2023 16:00</t>
  </si>
  <si>
    <t>19/07/2023 17:00</t>
  </si>
  <si>
    <t>19/07/2023 18:00</t>
  </si>
  <si>
    <t>19/07/2023 19:00</t>
  </si>
  <si>
    <t>19/07/2023 20:00</t>
  </si>
  <si>
    <t>19/07/2023 21:00</t>
  </si>
  <si>
    <t>19/07/2023 22:00</t>
  </si>
  <si>
    <t>19/07/2023 23:00</t>
  </si>
  <si>
    <t>19/07/2023 24:00</t>
  </si>
  <si>
    <t>20/07/2023 01:00</t>
  </si>
  <si>
    <t>20/07/2023 02:00</t>
  </si>
  <si>
    <t>20/07/2023 03:00</t>
  </si>
  <si>
    <t>20/07/2023 04:00</t>
  </si>
  <si>
    <t>20/07/2023 05:00</t>
  </si>
  <si>
    <t>20/07/2023 06:00</t>
  </si>
  <si>
    <t>20/07/2023 07:00</t>
  </si>
  <si>
    <t>20/07/2023 08:00</t>
  </si>
  <si>
    <t>20/07/2023 09:00</t>
  </si>
  <si>
    <t>20/07/2023 10:00</t>
  </si>
  <si>
    <t>20/07/2023 11:00</t>
  </si>
  <si>
    <t>20/07/2023 12:00</t>
  </si>
  <si>
    <t>20/07/2023 13:00</t>
  </si>
  <si>
    <t>20/07/2023 14:00</t>
  </si>
  <si>
    <t>20/07/2023 15:00</t>
  </si>
  <si>
    <t>20/07/2023 16:00</t>
  </si>
  <si>
    <t>20/07/2023 17:00</t>
  </si>
  <si>
    <t>20/07/2023 18:00</t>
  </si>
  <si>
    <t>20/07/2023 19:00</t>
  </si>
  <si>
    <t>20/07/2023 20:00</t>
  </si>
  <si>
    <t>20/07/2023 21:00</t>
  </si>
  <si>
    <t>20/07/2023 22:00</t>
  </si>
  <si>
    <t>20/07/2023 23:00</t>
  </si>
  <si>
    <t>20/07/2023 24:00</t>
  </si>
  <si>
    <t>21/07/2023 01:00</t>
  </si>
  <si>
    <t>21/07/2023 02:00</t>
  </si>
  <si>
    <t>21/07/2023 03:00</t>
  </si>
  <si>
    <t>21/07/2023 04:00</t>
  </si>
  <si>
    <t>21/07/2023 05:00</t>
  </si>
  <si>
    <t>21/07/2023 06:00</t>
  </si>
  <si>
    <t>21/07/2023 07:00</t>
  </si>
  <si>
    <t>21/07/2023 08:00</t>
  </si>
  <si>
    <t>21/07/2023 09:00</t>
  </si>
  <si>
    <t>21/07/2023 10:00</t>
  </si>
  <si>
    <t>21/07/2023 11:00</t>
  </si>
  <si>
    <t>21/07/2023 12:00</t>
  </si>
  <si>
    <t>21/07/2023 13:00</t>
  </si>
  <si>
    <t>21/07/2023 14:00</t>
  </si>
  <si>
    <t>21/07/2023 15:00</t>
  </si>
  <si>
    <t>21/07/2023 16:00</t>
  </si>
  <si>
    <t>21/07/2023 17:00</t>
  </si>
  <si>
    <t>21/07/2023 18:00</t>
  </si>
  <si>
    <t>21/07/2023 19:00</t>
  </si>
  <si>
    <t>21/07/2023 20:00</t>
  </si>
  <si>
    <t>21/07/2023 21:00</t>
  </si>
  <si>
    <t>21/07/2023 22:00</t>
  </si>
  <si>
    <t>21/07/2023 23:00</t>
  </si>
  <si>
    <t>21/07/2023 24:00</t>
  </si>
  <si>
    <t>22/07/2023 02:00</t>
  </si>
  <si>
    <t>22/07/2023 03:00</t>
  </si>
  <si>
    <t>22/07/2023 05:00</t>
  </si>
  <si>
    <t>22/07/2023 06:00</t>
  </si>
  <si>
    <t>22/07/2023 07:00</t>
  </si>
  <si>
    <t>22/07/2023 08:00</t>
  </si>
  <si>
    <t>22/07/2023 09:00</t>
  </si>
  <si>
    <t>22/07/2023 10:00</t>
  </si>
  <si>
    <t>22/07/2023 11:00</t>
  </si>
  <si>
    <t>22/07/2023 12:00</t>
  </si>
  <si>
    <t>22/07/2023 13:00</t>
  </si>
  <si>
    <t>22/07/2023 14:00</t>
  </si>
  <si>
    <t>22/07/2023 15:00</t>
  </si>
  <si>
    <t>22/07/2023 16:00</t>
  </si>
  <si>
    <t>22/07/2023 17:00</t>
  </si>
  <si>
    <t>22/07/2023 18:00</t>
  </si>
  <si>
    <t>22/07/2023 19:00</t>
  </si>
  <si>
    <t>22/07/2023 20:00</t>
  </si>
  <si>
    <t>22/07/2023 21:00</t>
  </si>
  <si>
    <t>22/07/2023 22:00</t>
  </si>
  <si>
    <t>22/07/2023 23:00</t>
  </si>
  <si>
    <t>22/07/2023 24:00</t>
  </si>
  <si>
    <t>23/07/2023 01:00</t>
  </si>
  <si>
    <t>23/07/2023 02:00</t>
  </si>
  <si>
    <t>23/07/2023 03:00</t>
  </si>
  <si>
    <t>23/07/2023 04:00</t>
  </si>
  <si>
    <t>23/07/2023 05:00</t>
  </si>
  <si>
    <t>23/07/2023 06:00</t>
  </si>
  <si>
    <t>23/07/2023 07:00</t>
  </si>
  <si>
    <t>23/07/2023 08:00</t>
  </si>
  <si>
    <t>23/07/2023 09:00</t>
  </si>
  <si>
    <t>23/07/2023 10:00</t>
  </si>
  <si>
    <t>23/07/2023 11:00</t>
  </si>
  <si>
    <t>23/07/2023 12:00</t>
  </si>
  <si>
    <t>23/07/2023 13:00</t>
  </si>
  <si>
    <t>23/07/2023 14:00</t>
  </si>
  <si>
    <t>23/07/2023 15:00</t>
  </si>
  <si>
    <t>23/07/2023 16:00</t>
  </si>
  <si>
    <t>23/07/2023 17:00</t>
  </si>
  <si>
    <t>23/07/2023 18:00</t>
  </si>
  <si>
    <t>23/07/2023 19:00</t>
  </si>
  <si>
    <t>23/07/2023 20:00</t>
  </si>
  <si>
    <t>23/07/2023 21:00</t>
  </si>
  <si>
    <t>23/07/2023 22:00</t>
  </si>
  <si>
    <t>23/07/2023 23:00</t>
  </si>
  <si>
    <t>23/07/2023 24:00</t>
  </si>
  <si>
    <t>24/07/2023 01:00</t>
  </si>
  <si>
    <t>24/07/2023 02:00</t>
  </si>
  <si>
    <t>24/07/2023 03:00</t>
  </si>
  <si>
    <t>24/07/2023 04:00</t>
  </si>
  <si>
    <t>24/07/2023 05:00</t>
  </si>
  <si>
    <t>24/07/2023 06:00</t>
  </si>
  <si>
    <t>24/07/2023 07:00</t>
  </si>
  <si>
    <t>24/07/2023 08:00</t>
  </si>
  <si>
    <t>24/07/2023 09:00</t>
  </si>
  <si>
    <t>24/07/2023 10:00</t>
  </si>
  <si>
    <t>24/07/2023 11:00</t>
  </si>
  <si>
    <t>24/07/2023 12:00</t>
  </si>
  <si>
    <t>24/07/2023 13:00</t>
  </si>
  <si>
    <t>24/07/2023 14:00</t>
  </si>
  <si>
    <t>24/07/2023 15:00</t>
  </si>
  <si>
    <t>24/07/2023 16:00</t>
  </si>
  <si>
    <t>24/07/2023 17:00</t>
  </si>
  <si>
    <t>24/07/2023 18:00</t>
  </si>
  <si>
    <t>24/07/2023 19:00</t>
  </si>
  <si>
    <t>24/07/2023 20:00</t>
  </si>
  <si>
    <t>24/07/2023 21:00</t>
  </si>
  <si>
    <t>24/07/2023 22:00</t>
  </si>
  <si>
    <t>24/07/2023 23:00</t>
  </si>
  <si>
    <t>24/07/2023 24:00</t>
  </si>
  <si>
    <t>25/07/2023 01:00</t>
  </si>
  <si>
    <t>25/07/2023 02:00</t>
  </si>
  <si>
    <t>25/07/2023 03:00</t>
  </si>
  <si>
    <t>25/07/2023 04:00</t>
  </si>
  <si>
    <t>25/07/2023 05:00</t>
  </si>
  <si>
    <t>25/07/2023 06:00</t>
  </si>
  <si>
    <t>25/07/2023 07:00</t>
  </si>
  <si>
    <t>25/07/2023 08:00</t>
  </si>
  <si>
    <t>25/07/2023 09:00</t>
  </si>
  <si>
    <t>25/07/2023 10:00</t>
  </si>
  <si>
    <t>25/07/2023 11:00</t>
  </si>
  <si>
    <t>25/07/2023 12:00</t>
  </si>
  <si>
    <t>25/07/2023 13:00</t>
  </si>
  <si>
    <t>25/07/2023 14:00</t>
  </si>
  <si>
    <t>25/07/2023 15:00</t>
  </si>
  <si>
    <t>25/07/2023 16:00</t>
  </si>
  <si>
    <t>25/07/2023 17:00</t>
  </si>
  <si>
    <t>25/07/2023 18:00</t>
  </si>
  <si>
    <t>25/07/2023 19:00</t>
  </si>
  <si>
    <t>25/07/2023 20:00</t>
  </si>
  <si>
    <t>25/07/2023 21:00</t>
  </si>
  <si>
    <t>25/07/2023 22:00</t>
  </si>
  <si>
    <t>25/07/2023 23:00</t>
  </si>
  <si>
    <t>25/07/2023 24:00</t>
  </si>
  <si>
    <t>26/07/2023 01:00</t>
  </si>
  <si>
    <t>26/07/2023 02:00</t>
  </si>
  <si>
    <t>26/07/2023 03:00</t>
  </si>
  <si>
    <t>26/07/2023 04:00</t>
  </si>
  <si>
    <t>26/07/2023 05:00</t>
  </si>
  <si>
    <t>26/07/2023 06:00</t>
  </si>
  <si>
    <t>26/07/2023 07:00</t>
  </si>
  <si>
    <t>26/07/2023 08:00</t>
  </si>
  <si>
    <t>26/07/2023 09:00</t>
  </si>
  <si>
    <t>26/07/2023 10:00</t>
  </si>
  <si>
    <t>26/07/2023 11:00</t>
  </si>
  <si>
    <t>26/07/2023 12:00</t>
  </si>
  <si>
    <t>26/07/2023 13:00</t>
  </si>
  <si>
    <t>26/07/2023 14:00</t>
  </si>
  <si>
    <t>26/07/2023 15:00</t>
  </si>
  <si>
    <t>26/07/2023 16:00</t>
  </si>
  <si>
    <t>26/07/2023 17:00</t>
  </si>
  <si>
    <t>26/07/2023 18:00</t>
  </si>
  <si>
    <t>26/07/2023 19:00</t>
  </si>
  <si>
    <t>26/07/2023 20:00</t>
  </si>
  <si>
    <t>26/07/2023 21:00</t>
  </si>
  <si>
    <t>26/07/2023 22:00</t>
  </si>
  <si>
    <t>26/07/2023 23:00</t>
  </si>
  <si>
    <t>26/07/2023 24:00</t>
  </si>
  <si>
    <t>27/07/2023 01:00</t>
  </si>
  <si>
    <t>27/07/2023 02:00</t>
  </si>
  <si>
    <t>27/07/2023 03:00</t>
  </si>
  <si>
    <t>27/07/2023 04:00</t>
  </si>
  <si>
    <t>27/07/2023 05:00</t>
  </si>
  <si>
    <t>27/07/2023 06:00</t>
  </si>
  <si>
    <t>27/07/2023 07:00</t>
  </si>
  <si>
    <t>27/07/2023 08:00</t>
  </si>
  <si>
    <t>27/07/2023 09:00</t>
  </si>
  <si>
    <t>27/07/2023 10:00</t>
  </si>
  <si>
    <t>27/07/2023 11:00</t>
  </si>
  <si>
    <t>27/07/2023 12:00</t>
  </si>
  <si>
    <t>27/07/2023 13:00</t>
  </si>
  <si>
    <t>27/07/2023 14:00</t>
  </si>
  <si>
    <t>27/07/2023 15:00</t>
  </si>
  <si>
    <t>27/07/2023 16:00</t>
  </si>
  <si>
    <t>27/07/2023 17:00</t>
  </si>
  <si>
    <t>27/07/2023 18:00</t>
  </si>
  <si>
    <t>27/07/2023 19:00</t>
  </si>
  <si>
    <t>27/07/2023 20:00</t>
  </si>
  <si>
    <t>27/07/2023 21:00</t>
  </si>
  <si>
    <t>27/07/2023 22:00</t>
  </si>
  <si>
    <t>27/07/2023 23:00</t>
  </si>
  <si>
    <t>27/07/2023 24:00</t>
  </si>
  <si>
    <t>28/07/2023 01:00</t>
  </si>
  <si>
    <t>28/07/2023 02:00</t>
  </si>
  <si>
    <t>28/07/2023 03:00</t>
  </si>
  <si>
    <t>28/07/2023 04:00</t>
  </si>
  <si>
    <t>28/07/2023 05:00</t>
  </si>
  <si>
    <t>28/07/2023 06:00</t>
  </si>
  <si>
    <t>28/07/2023 07:00</t>
  </si>
  <si>
    <t>28/07/2023 08:00</t>
  </si>
  <si>
    <t>28/07/2023 09:00</t>
  </si>
  <si>
    <t>28/07/2023 10:00</t>
  </si>
  <si>
    <t>28/07/2023 11:00</t>
  </si>
  <si>
    <t>28/07/2023 12:00</t>
  </si>
  <si>
    <t>28/07/2023 13:00</t>
  </si>
  <si>
    <t>28/07/2023 14:00</t>
  </si>
  <si>
    <t>28/07/2023 15:00</t>
  </si>
  <si>
    <t>28/07/2023 16:00</t>
  </si>
  <si>
    <t>28/07/2023 17:00</t>
  </si>
  <si>
    <t>28/07/2023 18:00</t>
  </si>
  <si>
    <t>28/07/2023 19:00</t>
  </si>
  <si>
    <t>28/07/2023 20:00</t>
  </si>
  <si>
    <t>28/07/2023 21:00</t>
  </si>
  <si>
    <t>28/07/2023 22:00</t>
  </si>
  <si>
    <t>28/07/2023 23:00</t>
  </si>
  <si>
    <t>28/07/2023 24:00</t>
  </si>
  <si>
    <t>29/07/2023 01:00</t>
  </si>
  <si>
    <t>29/07/2023 02:00</t>
  </si>
  <si>
    <t>29/07/2023 03:00</t>
  </si>
  <si>
    <t>29/07/2023 04:00</t>
  </si>
  <si>
    <t>29/07/2023 05:00</t>
  </si>
  <si>
    <t>29/07/2023 06:00</t>
  </si>
  <si>
    <t>29/07/2023 07:00</t>
  </si>
  <si>
    <t>29/07/2023 08:00</t>
  </si>
  <si>
    <t>29/07/2023 09:00</t>
  </si>
  <si>
    <t>29/07/2023 10:00</t>
  </si>
  <si>
    <t>29/07/2023 11:00</t>
  </si>
  <si>
    <t>29/07/2023 12:00</t>
  </si>
  <si>
    <t>29/07/2023 13:00</t>
  </si>
  <si>
    <t>29/07/2023 14:00</t>
  </si>
  <si>
    <t>29/07/2023 15:00</t>
  </si>
  <si>
    <t>29/07/2023 16:00</t>
  </si>
  <si>
    <t>29/07/2023 17:00</t>
  </si>
  <si>
    <t>29/07/2023 18:00</t>
  </si>
  <si>
    <t>29/07/2023 19:00</t>
  </si>
  <si>
    <t>29/07/2023 20:00</t>
  </si>
  <si>
    <t>29/07/2023 21:00</t>
  </si>
  <si>
    <t>29/07/2023 22:00</t>
  </si>
  <si>
    <t>29/07/2023 23:00</t>
  </si>
  <si>
    <t>29/07/2023 24:00</t>
  </si>
  <si>
    <t>30/07/2023 01:00</t>
  </si>
  <si>
    <t>30/07/2023 02:00</t>
  </si>
  <si>
    <t>30/07/2023 03:00</t>
  </si>
  <si>
    <t>30/07/2023 04:00</t>
  </si>
  <si>
    <t>30/07/2023 05:00</t>
  </si>
  <si>
    <t>30/07/2023 06:00</t>
  </si>
  <si>
    <t>30/07/2023 07:00</t>
  </si>
  <si>
    <t>30/07/2023 08:00</t>
  </si>
  <si>
    <t>30/07/2023 09:00</t>
  </si>
  <si>
    <t>30/07/2023 10:00</t>
  </si>
  <si>
    <t>30/07/2023 11:00</t>
  </si>
  <si>
    <t>30/07/2023 12:00</t>
  </si>
  <si>
    <t>30/07/2023 13:00</t>
  </si>
  <si>
    <t>30/07/2023 14:00</t>
  </si>
  <si>
    <t>30/07/2023 15:00</t>
  </si>
  <si>
    <t>30/07/2023 16:00</t>
  </si>
  <si>
    <t>30/07/2023 17:00</t>
  </si>
  <si>
    <t>30/07/2023 18:00</t>
  </si>
  <si>
    <t>30/07/2023 19:00</t>
  </si>
  <si>
    <t>30/07/2023 20:00</t>
  </si>
  <si>
    <t>30/07/2023 21:00</t>
  </si>
  <si>
    <t>30/07/2023 22:00</t>
  </si>
  <si>
    <t>30/07/2023 23:00</t>
  </si>
  <si>
    <t>30/07/2023 24:00</t>
  </si>
  <si>
    <t>31/07/2023 01:00</t>
  </si>
  <si>
    <t>31/07/2023 02:00</t>
  </si>
  <si>
    <t>31/07/2023 03:00</t>
  </si>
  <si>
    <t>31/07/2023 04:00</t>
  </si>
  <si>
    <t>31/07/2023 05:00</t>
  </si>
  <si>
    <t>31/07/2023 06:00</t>
  </si>
  <si>
    <t>31/07/2023 07:00</t>
  </si>
  <si>
    <t>31/07/2023 08:00</t>
  </si>
  <si>
    <t>31/07/2023 09:00</t>
  </si>
  <si>
    <t>31/07/2023 10:00</t>
  </si>
  <si>
    <t>31/07/2023 11:00</t>
  </si>
  <si>
    <t>31/07/2023 12:00</t>
  </si>
  <si>
    <t>31/07/2023 13:00</t>
  </si>
  <si>
    <t>31/07/2023 14:00</t>
  </si>
  <si>
    <t>31/07/2023 15:00</t>
  </si>
  <si>
    <t>31/07/2023 16:00</t>
  </si>
  <si>
    <t>31/07/2023 17:00</t>
  </si>
  <si>
    <t>31/07/2023 18:00</t>
  </si>
  <si>
    <t>31/07/2023 19:00</t>
  </si>
  <si>
    <t>31/07/2023 20:00</t>
  </si>
  <si>
    <t>31/07/2023 21:00</t>
  </si>
  <si>
    <t>31/07/2023 22:00</t>
  </si>
  <si>
    <t>31/07/2023 23:00</t>
  </si>
  <si>
    <t>31/07/2023 24:00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</si>
</sst>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11" fillId="3" borderId="0" xfId="0" applyFont="1" applyFill="1" applyAlignment="1">
      <alignment horizontal="left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84</v>
      </c>
      <c r="B9" s="51">
        <v>10.42</v>
      </c>
      <c r="C9" s="51">
        <v>34.450000000000003</v>
      </c>
      <c r="D9" s="51">
        <v>25.31</v>
      </c>
      <c r="E9" s="51">
        <v>7.56</v>
      </c>
      <c r="F9" s="51">
        <v>10</v>
      </c>
      <c r="G9" s="51">
        <v>25.24</v>
      </c>
      <c r="H9" s="51">
        <v>8.16</v>
      </c>
      <c r="I9" s="51">
        <v>3.59</v>
      </c>
      <c r="J9" s="51">
        <v>0.31</v>
      </c>
      <c r="K9" s="51">
        <v>230.48</v>
      </c>
      <c r="L9" s="51">
        <v>27.7</v>
      </c>
      <c r="M9" s="51">
        <v>81.849999999999994</v>
      </c>
      <c r="N9" s="51">
        <v>0</v>
      </c>
      <c r="O9" s="51">
        <v>0</v>
      </c>
      <c r="P9" s="51">
        <v>0.46</v>
      </c>
      <c r="Q9" s="51">
        <v>4.49</v>
      </c>
    </row>
    <row r="10" spans="1:21" customFormat="1">
      <c r="A10" s="50" t="s">
        <v>85</v>
      </c>
      <c r="B10" s="51">
        <v>10.98</v>
      </c>
      <c r="C10" s="51">
        <v>33.75</v>
      </c>
      <c r="D10" s="51">
        <v>25.4</v>
      </c>
      <c r="E10" s="51">
        <v>7.36</v>
      </c>
      <c r="F10" s="51">
        <v>8.75</v>
      </c>
      <c r="G10" s="51">
        <v>19.14</v>
      </c>
      <c r="H10" s="51">
        <v>9.15</v>
      </c>
      <c r="I10" s="51">
        <v>3.54</v>
      </c>
      <c r="J10" s="51">
        <v>0.73</v>
      </c>
      <c r="K10" s="51">
        <v>254.81</v>
      </c>
      <c r="L10" s="51">
        <v>28.11</v>
      </c>
      <c r="M10" s="51">
        <v>77.14</v>
      </c>
      <c r="N10" s="51">
        <v>0</v>
      </c>
      <c r="O10" s="51">
        <v>0</v>
      </c>
      <c r="P10" s="51">
        <v>0.44</v>
      </c>
      <c r="Q10" s="51">
        <v>4.5</v>
      </c>
    </row>
    <row r="11" spans="1:21" customFormat="1">
      <c r="A11" s="50" t="s">
        <v>86</v>
      </c>
      <c r="B11" s="51">
        <v>11.4</v>
      </c>
      <c r="C11" s="51">
        <v>35.880000000000003</v>
      </c>
      <c r="D11" s="51">
        <v>26.85</v>
      </c>
      <c r="E11" s="51">
        <v>6.49</v>
      </c>
      <c r="F11" s="51">
        <v>8.56</v>
      </c>
      <c r="G11" s="51">
        <v>16.8</v>
      </c>
      <c r="H11" s="51">
        <v>6.53</v>
      </c>
      <c r="I11" s="51">
        <v>3.4</v>
      </c>
      <c r="J11" s="51">
        <v>0.5</v>
      </c>
      <c r="K11" s="51">
        <v>247.92</v>
      </c>
      <c r="L11" s="51">
        <v>27.72</v>
      </c>
      <c r="M11" s="51">
        <v>81.040000000000006</v>
      </c>
      <c r="N11" s="51">
        <v>0</v>
      </c>
      <c r="O11" s="51">
        <v>0</v>
      </c>
      <c r="P11" s="51">
        <v>0.43</v>
      </c>
      <c r="Q11" s="51">
        <v>4.49</v>
      </c>
    </row>
    <row r="12" spans="1:21" customFormat="1">
      <c r="A12" s="52">
        <v>45108.166666666664</v>
      </c>
      <c r="B12" s="51">
        <v>11.66</v>
      </c>
      <c r="C12" s="51">
        <v>34.51</v>
      </c>
      <c r="D12" s="51">
        <v>26.27</v>
      </c>
      <c r="E12" s="51">
        <v>6.13</v>
      </c>
      <c r="F12" s="51">
        <v>6.34</v>
      </c>
      <c r="G12" s="51">
        <v>14.98</v>
      </c>
      <c r="H12" s="51">
        <v>4.71</v>
      </c>
      <c r="I12" s="51">
        <v>3.32</v>
      </c>
      <c r="J12" s="51">
        <v>0.51</v>
      </c>
      <c r="K12" s="51">
        <v>258.2</v>
      </c>
      <c r="L12" s="51">
        <v>26.97</v>
      </c>
      <c r="M12" s="51">
        <v>82.51</v>
      </c>
      <c r="N12" s="51">
        <v>0</v>
      </c>
      <c r="O12" s="51">
        <v>0</v>
      </c>
      <c r="P12" s="51">
        <v>0.41</v>
      </c>
      <c r="Q12" s="51">
        <v>4.54</v>
      </c>
    </row>
    <row r="13" spans="1:21" customFormat="1">
      <c r="A13" s="50" t="s">
        <v>87</v>
      </c>
      <c r="B13" s="51">
        <v>12.62</v>
      </c>
      <c r="C13" s="51">
        <v>35.96</v>
      </c>
      <c r="D13" s="51">
        <v>27.78</v>
      </c>
      <c r="E13" s="51">
        <v>6.88</v>
      </c>
      <c r="F13" s="51">
        <v>5.59</v>
      </c>
      <c r="G13" s="51">
        <v>13.47</v>
      </c>
      <c r="H13" s="51">
        <v>3.56</v>
      </c>
      <c r="I13" s="51">
        <v>3.28</v>
      </c>
      <c r="J13" s="51">
        <v>0.42</v>
      </c>
      <c r="K13" s="51">
        <v>252.36</v>
      </c>
      <c r="L13" s="51">
        <v>26.72</v>
      </c>
      <c r="M13" s="51">
        <v>83.88</v>
      </c>
      <c r="N13" s="51">
        <v>0</v>
      </c>
      <c r="O13" s="51">
        <v>0</v>
      </c>
      <c r="P13" s="51">
        <v>0.41</v>
      </c>
      <c r="Q13" s="51">
        <v>4.58</v>
      </c>
    </row>
    <row r="14" spans="1:21" customFormat="1">
      <c r="A14" s="50" t="s">
        <v>88</v>
      </c>
      <c r="B14" s="51">
        <v>12.99</v>
      </c>
      <c r="C14" s="51">
        <v>36.9</v>
      </c>
      <c r="D14" s="51">
        <v>28.65</v>
      </c>
      <c r="E14" s="51">
        <v>6.33</v>
      </c>
      <c r="F14" s="51">
        <v>6.04</v>
      </c>
      <c r="G14" s="51">
        <v>9.6999999999999993</v>
      </c>
      <c r="H14" s="51">
        <v>2.76</v>
      </c>
      <c r="I14" s="51">
        <v>3.21</v>
      </c>
      <c r="J14" s="51">
        <v>0.43</v>
      </c>
      <c r="K14" s="51">
        <v>252.63</v>
      </c>
      <c r="L14" s="51">
        <v>26.18</v>
      </c>
      <c r="M14" s="51">
        <v>85.67</v>
      </c>
      <c r="N14" s="51">
        <v>21.9</v>
      </c>
      <c r="O14" s="51">
        <v>0</v>
      </c>
      <c r="P14" s="51">
        <v>0.4</v>
      </c>
      <c r="Q14" s="51">
        <v>4.5599999999999996</v>
      </c>
    </row>
    <row r="15" spans="1:21" customFormat="1">
      <c r="A15" s="50" t="s">
        <v>89</v>
      </c>
      <c r="B15" s="51">
        <v>13.51</v>
      </c>
      <c r="C15" s="51">
        <v>37.42</v>
      </c>
      <c r="D15" s="51">
        <v>29.34</v>
      </c>
      <c r="E15" s="51">
        <v>6.27</v>
      </c>
      <c r="F15" s="51">
        <v>4.25</v>
      </c>
      <c r="G15" s="51">
        <v>9.48</v>
      </c>
      <c r="H15" s="51">
        <v>1.95</v>
      </c>
      <c r="I15" s="51">
        <v>3.18</v>
      </c>
      <c r="J15" s="51">
        <v>0.54</v>
      </c>
      <c r="K15" s="51">
        <v>245.33</v>
      </c>
      <c r="L15" s="51">
        <v>27.56</v>
      </c>
      <c r="M15" s="51">
        <v>83.32</v>
      </c>
      <c r="N15" s="51">
        <v>53.7</v>
      </c>
      <c r="O15" s="51">
        <v>0</v>
      </c>
      <c r="P15" s="51">
        <v>0.39</v>
      </c>
      <c r="Q15" s="51">
        <v>4.6500000000000004</v>
      </c>
    </row>
    <row r="16" spans="1:21" customFormat="1">
      <c r="A16" s="50" t="s">
        <v>90</v>
      </c>
      <c r="B16" s="51">
        <v>13.86</v>
      </c>
      <c r="C16" s="51">
        <v>37.630000000000003</v>
      </c>
      <c r="D16" s="51">
        <v>29.47</v>
      </c>
      <c r="E16" s="51">
        <v>6.35</v>
      </c>
      <c r="F16" s="51">
        <v>3.55</v>
      </c>
      <c r="G16" s="51">
        <v>7.18</v>
      </c>
      <c r="H16" s="51">
        <v>2.0299999999999998</v>
      </c>
      <c r="I16" s="51">
        <v>3.2</v>
      </c>
      <c r="J16" s="51">
        <v>1.08</v>
      </c>
      <c r="K16" s="51">
        <v>264.33999999999997</v>
      </c>
      <c r="L16" s="51">
        <v>29.56</v>
      </c>
      <c r="M16" s="51">
        <v>75.88</v>
      </c>
      <c r="N16" s="51">
        <v>65.7</v>
      </c>
      <c r="O16" s="51">
        <v>0</v>
      </c>
      <c r="P16" s="51">
        <v>0.4</v>
      </c>
      <c r="Q16" s="51">
        <v>4.67</v>
      </c>
    </row>
    <row r="17" spans="1:17" customFormat="1">
      <c r="A17" s="50" t="s">
        <v>91</v>
      </c>
      <c r="B17" s="51">
        <v>12.89</v>
      </c>
      <c r="C17" s="51">
        <v>34.17</v>
      </c>
      <c r="D17" s="51">
        <v>27.14</v>
      </c>
      <c r="E17" s="51">
        <v>6.58</v>
      </c>
      <c r="F17" s="51">
        <v>5.12</v>
      </c>
      <c r="G17" s="51">
        <v>8.1999999999999993</v>
      </c>
      <c r="H17" s="51">
        <v>3.3</v>
      </c>
      <c r="I17" s="51">
        <v>3.14</v>
      </c>
      <c r="J17" s="51">
        <v>1.3</v>
      </c>
      <c r="K17" s="51">
        <v>261.44</v>
      </c>
      <c r="L17" s="51">
        <v>30.4</v>
      </c>
      <c r="M17" s="51">
        <v>67.69</v>
      </c>
      <c r="N17" s="51">
        <v>126.6</v>
      </c>
      <c r="O17" s="51">
        <v>0</v>
      </c>
      <c r="P17" s="51">
        <v>0.37</v>
      </c>
      <c r="Q17" s="51">
        <v>4.58</v>
      </c>
    </row>
    <row r="18" spans="1:17" customFormat="1">
      <c r="A18" s="50" t="s">
        <v>92</v>
      </c>
      <c r="B18" s="51">
        <v>11.01</v>
      </c>
      <c r="C18" s="51">
        <v>37.17</v>
      </c>
      <c r="D18" s="51">
        <v>27.2</v>
      </c>
      <c r="E18" s="51">
        <v>6.21</v>
      </c>
      <c r="F18" s="51">
        <v>5.19</v>
      </c>
      <c r="G18" s="51">
        <v>11.69</v>
      </c>
      <c r="H18" s="51">
        <v>4.0199999999999996</v>
      </c>
      <c r="I18" s="51">
        <v>3.14</v>
      </c>
      <c r="J18" s="51">
        <v>1.21</v>
      </c>
      <c r="K18" s="51">
        <v>270.32</v>
      </c>
      <c r="L18" s="51">
        <v>31.22</v>
      </c>
      <c r="M18" s="51">
        <v>65.209999999999994</v>
      </c>
      <c r="N18" s="51">
        <v>164.2</v>
      </c>
      <c r="O18" s="51">
        <v>0</v>
      </c>
      <c r="P18" s="51">
        <v>0.4</v>
      </c>
      <c r="Q18" s="51">
        <v>4.4800000000000004</v>
      </c>
    </row>
    <row r="19" spans="1:17" customFormat="1">
      <c r="A19" s="50" t="s">
        <v>93</v>
      </c>
      <c r="B19" s="51">
        <v>9.34</v>
      </c>
      <c r="C19" s="51">
        <v>31.62</v>
      </c>
      <c r="D19" s="51">
        <v>22.96</v>
      </c>
      <c r="E19" s="51">
        <v>4.13</v>
      </c>
      <c r="F19" s="51">
        <v>10.69</v>
      </c>
      <c r="G19" s="51">
        <v>16.920000000000002</v>
      </c>
      <c r="H19" s="51">
        <v>4.59</v>
      </c>
      <c r="I19" s="51">
        <v>3.03</v>
      </c>
      <c r="J19" s="51">
        <v>1.31</v>
      </c>
      <c r="K19" s="51">
        <v>269.8</v>
      </c>
      <c r="L19" s="51">
        <v>31.92</v>
      </c>
      <c r="M19" s="51">
        <v>61.48</v>
      </c>
      <c r="N19" s="51">
        <v>232.8</v>
      </c>
      <c r="O19" s="51">
        <v>0</v>
      </c>
      <c r="P19" s="51">
        <v>0.35</v>
      </c>
      <c r="Q19" s="51">
        <v>4.28</v>
      </c>
    </row>
    <row r="20" spans="1:17" customFormat="1">
      <c r="A20" s="50" t="s">
        <v>94</v>
      </c>
      <c r="B20" s="51">
        <v>3.95</v>
      </c>
      <c r="C20" s="51">
        <v>26.06</v>
      </c>
      <c r="D20" s="51">
        <v>14.06</v>
      </c>
      <c r="E20" s="51">
        <v>4.2</v>
      </c>
      <c r="F20" s="51">
        <v>12.9</v>
      </c>
      <c r="G20" s="51">
        <v>12.6</v>
      </c>
      <c r="H20" s="51">
        <v>6.07</v>
      </c>
      <c r="I20" s="51">
        <v>3.05</v>
      </c>
      <c r="J20" s="51">
        <v>1.06</v>
      </c>
      <c r="K20" s="51">
        <v>252.99</v>
      </c>
      <c r="L20" s="51">
        <v>32.74</v>
      </c>
      <c r="M20" s="51">
        <v>61.17</v>
      </c>
      <c r="N20" s="51">
        <v>712.9</v>
      </c>
      <c r="O20" s="51">
        <v>0</v>
      </c>
      <c r="P20" s="51">
        <v>0.37</v>
      </c>
      <c r="Q20" s="51">
        <v>4.0599999999999996</v>
      </c>
    </row>
    <row r="21" spans="1:17" customFormat="1">
      <c r="A21" s="50" t="s">
        <v>95</v>
      </c>
      <c r="B21" s="51">
        <v>2.52</v>
      </c>
      <c r="C21" s="51">
        <v>27.28</v>
      </c>
      <c r="D21" s="51">
        <v>15.23</v>
      </c>
      <c r="E21" s="51">
        <v>2.92</v>
      </c>
      <c r="F21" s="51">
        <v>6.42</v>
      </c>
      <c r="G21" s="51">
        <v>11.01</v>
      </c>
      <c r="H21" s="51">
        <v>5.52</v>
      </c>
      <c r="I21" s="51">
        <v>2.66</v>
      </c>
      <c r="J21" s="51">
        <v>1.1200000000000001</v>
      </c>
      <c r="K21" s="51">
        <v>251.19</v>
      </c>
      <c r="L21" s="51">
        <v>33.71</v>
      </c>
      <c r="M21" s="51">
        <v>57.87</v>
      </c>
      <c r="N21" s="51">
        <v>948.1</v>
      </c>
      <c r="O21" s="51">
        <v>0</v>
      </c>
      <c r="P21" s="51">
        <v>0.34</v>
      </c>
      <c r="Q21" s="51">
        <v>3.9</v>
      </c>
    </row>
    <row r="22" spans="1:17" customFormat="1">
      <c r="A22" s="50" t="s">
        <v>96</v>
      </c>
      <c r="B22" s="51">
        <v>2.72</v>
      </c>
      <c r="C22" s="51">
        <v>27.3</v>
      </c>
      <c r="D22" s="51">
        <v>15.35</v>
      </c>
      <c r="E22" s="51">
        <v>2.81</v>
      </c>
      <c r="F22" s="51">
        <v>6.78</v>
      </c>
      <c r="G22" s="51">
        <v>9.74</v>
      </c>
      <c r="H22" s="51">
        <v>6.04</v>
      </c>
      <c r="I22" s="51">
        <v>2.76</v>
      </c>
      <c r="J22" s="51">
        <v>1.05</v>
      </c>
      <c r="K22" s="51">
        <v>263.67</v>
      </c>
      <c r="L22" s="51">
        <v>33.58</v>
      </c>
      <c r="M22" s="51">
        <v>56.76</v>
      </c>
      <c r="N22" s="51">
        <v>867.9</v>
      </c>
      <c r="O22" s="51">
        <v>0</v>
      </c>
      <c r="P22" s="51">
        <v>0.33</v>
      </c>
      <c r="Q22" s="51">
        <v>3.9</v>
      </c>
    </row>
    <row r="23" spans="1:17" customFormat="1">
      <c r="A23" s="50" t="s">
        <v>97</v>
      </c>
      <c r="B23" s="51">
        <v>2.7</v>
      </c>
      <c r="C23" s="51">
        <v>29.09</v>
      </c>
      <c r="D23" s="51">
        <v>16.05</v>
      </c>
      <c r="E23" s="51">
        <v>2.92</v>
      </c>
      <c r="F23" s="51">
        <v>8.1199999999999992</v>
      </c>
      <c r="G23" s="51">
        <v>7.33</v>
      </c>
      <c r="H23" s="51">
        <v>4.3499999999999996</v>
      </c>
      <c r="I23" s="51">
        <v>2.66</v>
      </c>
      <c r="J23" s="51">
        <v>1.27</v>
      </c>
      <c r="K23" s="51">
        <v>267.20999999999998</v>
      </c>
      <c r="L23" s="51">
        <v>33.9</v>
      </c>
      <c r="M23" s="51">
        <v>57.98</v>
      </c>
      <c r="N23" s="51">
        <v>694</v>
      </c>
      <c r="O23" s="51">
        <v>0</v>
      </c>
      <c r="P23" s="51">
        <v>0.33</v>
      </c>
      <c r="Q23" s="51">
        <v>3.92</v>
      </c>
    </row>
    <row r="24" spans="1:17" customFormat="1">
      <c r="A24" s="50" t="s">
        <v>98</v>
      </c>
      <c r="B24" s="51">
        <v>1.91</v>
      </c>
      <c r="C24" s="51">
        <v>27.26</v>
      </c>
      <c r="D24" s="51">
        <v>14.56</v>
      </c>
      <c r="E24" s="51">
        <v>2.73</v>
      </c>
      <c r="F24" s="51">
        <v>7.98</v>
      </c>
      <c r="G24" s="51">
        <v>7.55</v>
      </c>
      <c r="H24" s="51">
        <v>3.42</v>
      </c>
      <c r="I24" s="51">
        <v>2.54</v>
      </c>
      <c r="J24" s="51">
        <v>1.28</v>
      </c>
      <c r="K24" s="51">
        <v>262.10000000000002</v>
      </c>
      <c r="L24" s="51">
        <v>33.51</v>
      </c>
      <c r="M24" s="51">
        <v>56.58</v>
      </c>
      <c r="N24" s="51">
        <v>560.9</v>
      </c>
      <c r="O24" s="51">
        <v>0</v>
      </c>
      <c r="P24" s="51">
        <v>0.28999999999999998</v>
      </c>
      <c r="Q24" s="51">
        <v>3.86</v>
      </c>
    </row>
    <row r="25" spans="1:17" customFormat="1">
      <c r="A25" s="50" t="s">
        <v>99</v>
      </c>
      <c r="B25" s="51">
        <v>2.2799999999999998</v>
      </c>
      <c r="C25" s="51">
        <v>27.4</v>
      </c>
      <c r="D25" s="51">
        <v>14.92</v>
      </c>
      <c r="E25" s="51">
        <v>3.08</v>
      </c>
      <c r="F25" s="51">
        <v>8.56</v>
      </c>
      <c r="G25" s="51">
        <v>9.36</v>
      </c>
      <c r="H25" s="51">
        <v>3.65</v>
      </c>
      <c r="I25" s="51">
        <v>2.38</v>
      </c>
      <c r="J25" s="51">
        <v>1.23</v>
      </c>
      <c r="K25" s="51">
        <v>258.2</v>
      </c>
      <c r="L25" s="51">
        <v>32.19</v>
      </c>
      <c r="M25" s="51">
        <v>60.77</v>
      </c>
      <c r="N25" s="51">
        <v>265.5</v>
      </c>
      <c r="O25" s="51">
        <v>0</v>
      </c>
      <c r="P25" s="51">
        <v>0.28999999999999998</v>
      </c>
      <c r="Q25" s="51">
        <v>3.88</v>
      </c>
    </row>
    <row r="26" spans="1:17" customFormat="1">
      <c r="A26" s="50" t="s">
        <v>100</v>
      </c>
      <c r="B26" s="51">
        <v>3.23</v>
      </c>
      <c r="C26" s="51">
        <v>32.03</v>
      </c>
      <c r="D26" s="51">
        <v>18.170000000000002</v>
      </c>
      <c r="E26" s="51">
        <v>3.66</v>
      </c>
      <c r="F26" s="51">
        <v>7.62</v>
      </c>
      <c r="G26" s="51">
        <v>11.94</v>
      </c>
      <c r="H26" s="51">
        <v>4.6399999999999997</v>
      </c>
      <c r="I26" s="51">
        <v>2.46</v>
      </c>
      <c r="J26" s="51">
        <v>1.35</v>
      </c>
      <c r="K26" s="51">
        <v>257.58999999999997</v>
      </c>
      <c r="L26" s="51">
        <v>32.049999999999997</v>
      </c>
      <c r="M26" s="51">
        <v>61.01</v>
      </c>
      <c r="N26" s="51">
        <v>180.3</v>
      </c>
      <c r="O26" s="51">
        <v>0</v>
      </c>
      <c r="P26" s="51">
        <v>0.32</v>
      </c>
      <c r="Q26" s="51">
        <v>4.01</v>
      </c>
    </row>
    <row r="27" spans="1:17" customFormat="1">
      <c r="A27" s="50" t="s">
        <v>101</v>
      </c>
      <c r="B27" s="51">
        <v>3.31</v>
      </c>
      <c r="C27" s="51">
        <v>30.61</v>
      </c>
      <c r="D27" s="51">
        <v>17.600000000000001</v>
      </c>
      <c r="E27" s="51">
        <v>5.33</v>
      </c>
      <c r="F27" s="51">
        <v>10.130000000000001</v>
      </c>
      <c r="G27" s="51">
        <v>9.2899999999999991</v>
      </c>
      <c r="H27" s="51">
        <v>3.6</v>
      </c>
      <c r="I27" s="51">
        <v>2.3199999999999998</v>
      </c>
      <c r="J27" s="51">
        <v>0.91</v>
      </c>
      <c r="K27" s="51">
        <v>266.29000000000002</v>
      </c>
      <c r="L27" s="51">
        <v>30.98</v>
      </c>
      <c r="M27" s="51">
        <v>65.680000000000007</v>
      </c>
      <c r="N27" s="51">
        <v>67.7</v>
      </c>
      <c r="O27" s="51">
        <v>0</v>
      </c>
      <c r="P27" s="51">
        <v>0.3</v>
      </c>
      <c r="Q27" s="51">
        <v>3.94</v>
      </c>
    </row>
    <row r="28" spans="1:17" customFormat="1">
      <c r="A28" s="50" t="s">
        <v>102</v>
      </c>
      <c r="B28" s="51">
        <v>3.77</v>
      </c>
      <c r="C28" s="51">
        <v>29.79</v>
      </c>
      <c r="D28" s="51">
        <v>17.37</v>
      </c>
      <c r="E28" s="51">
        <v>5.91</v>
      </c>
      <c r="F28" s="51">
        <v>11.13</v>
      </c>
      <c r="G28" s="51">
        <v>11.32</v>
      </c>
      <c r="H28" s="51">
        <v>3.31</v>
      </c>
      <c r="I28" s="51">
        <v>2.3199999999999998</v>
      </c>
      <c r="J28" s="51">
        <v>0.77</v>
      </c>
      <c r="K28" s="51">
        <v>263.83</v>
      </c>
      <c r="L28" s="51">
        <v>29.74</v>
      </c>
      <c r="M28" s="51">
        <v>67.12</v>
      </c>
      <c r="N28" s="51">
        <v>0</v>
      </c>
      <c r="O28" s="51">
        <v>0</v>
      </c>
      <c r="P28" s="51">
        <v>0.33</v>
      </c>
      <c r="Q28" s="51">
        <v>4.07</v>
      </c>
    </row>
    <row r="29" spans="1:17" customFormat="1">
      <c r="A29" s="50" t="s">
        <v>103</v>
      </c>
      <c r="B29" s="51">
        <v>4.2699999999999996</v>
      </c>
      <c r="C29" s="51">
        <v>30.53</v>
      </c>
      <c r="D29" s="51">
        <v>18.32</v>
      </c>
      <c r="E29" s="51">
        <v>5.93</v>
      </c>
      <c r="F29" s="51">
        <v>11.89</v>
      </c>
      <c r="G29" s="51">
        <v>12.96</v>
      </c>
      <c r="H29" s="51">
        <v>4.8099999999999996</v>
      </c>
      <c r="I29" s="51">
        <v>2.48</v>
      </c>
      <c r="J29" s="51">
        <v>0.51</v>
      </c>
      <c r="K29" s="51">
        <v>259.72000000000003</v>
      </c>
      <c r="L29" s="51">
        <v>29.29</v>
      </c>
      <c r="M29" s="51">
        <v>71.989999999999995</v>
      </c>
      <c r="N29" s="51">
        <v>0</v>
      </c>
      <c r="O29" s="51">
        <v>0</v>
      </c>
      <c r="P29" s="51">
        <v>0.36</v>
      </c>
      <c r="Q29" s="51">
        <v>4.12</v>
      </c>
    </row>
    <row r="30" spans="1:17" customFormat="1">
      <c r="A30" s="50" t="s">
        <v>104</v>
      </c>
      <c r="B30" s="51">
        <v>5.43</v>
      </c>
      <c r="C30" s="51">
        <v>31.64</v>
      </c>
      <c r="D30" s="51">
        <v>19.66</v>
      </c>
      <c r="E30" s="51">
        <v>6.27</v>
      </c>
      <c r="F30" s="51">
        <v>11.04</v>
      </c>
      <c r="G30" s="51">
        <v>15.14</v>
      </c>
      <c r="H30" s="51">
        <v>5.9</v>
      </c>
      <c r="I30" s="51">
        <v>2.7</v>
      </c>
      <c r="J30" s="51">
        <v>0.42</v>
      </c>
      <c r="K30" s="51">
        <v>254.11</v>
      </c>
      <c r="L30" s="51">
        <v>28.67</v>
      </c>
      <c r="M30" s="51">
        <v>75.09</v>
      </c>
      <c r="N30" s="51">
        <v>0</v>
      </c>
      <c r="O30" s="51">
        <v>0</v>
      </c>
      <c r="P30" s="51">
        <v>0.38</v>
      </c>
      <c r="Q30" s="51">
        <v>4.24</v>
      </c>
    </row>
    <row r="31" spans="1:17" customFormat="1">
      <c r="A31" s="50" t="s">
        <v>105</v>
      </c>
      <c r="B31" s="51">
        <v>6.41</v>
      </c>
      <c r="C31" s="51">
        <v>32.840000000000003</v>
      </c>
      <c r="D31" s="51">
        <v>21.25</v>
      </c>
      <c r="E31" s="51">
        <v>6.59</v>
      </c>
      <c r="F31" s="51">
        <v>13.76</v>
      </c>
      <c r="G31" s="51">
        <v>16.940000000000001</v>
      </c>
      <c r="H31" s="51">
        <v>4.91</v>
      </c>
      <c r="I31" s="51">
        <v>2.65</v>
      </c>
      <c r="J31" s="51">
        <v>0.2</v>
      </c>
      <c r="K31" s="51">
        <v>244.05</v>
      </c>
      <c r="L31" s="51">
        <v>28.17</v>
      </c>
      <c r="M31" s="51">
        <v>76.319999999999993</v>
      </c>
      <c r="N31" s="51">
        <v>0</v>
      </c>
      <c r="O31" s="51">
        <v>0</v>
      </c>
      <c r="P31" s="51">
        <v>0.38</v>
      </c>
      <c r="Q31" s="51">
        <v>4.2699999999999996</v>
      </c>
    </row>
    <row r="32" spans="1:17" customFormat="1">
      <c r="A32" s="50" t="s">
        <v>106</v>
      </c>
      <c r="B32" s="51">
        <v>7.79</v>
      </c>
      <c r="C32" s="51">
        <v>33.07</v>
      </c>
      <c r="D32" s="51">
        <v>21.99</v>
      </c>
      <c r="E32" s="51">
        <v>6.96</v>
      </c>
      <c r="F32" s="51">
        <v>9.08</v>
      </c>
      <c r="G32" s="51">
        <v>15.36</v>
      </c>
      <c r="H32" s="51">
        <v>5.5</v>
      </c>
      <c r="I32" s="51">
        <v>2.62</v>
      </c>
      <c r="J32" s="51">
        <v>0.18</v>
      </c>
      <c r="K32" s="51">
        <v>201.06</v>
      </c>
      <c r="L32" s="51">
        <v>28.03</v>
      </c>
      <c r="M32" s="51">
        <v>81.11</v>
      </c>
      <c r="N32" s="51">
        <v>0</v>
      </c>
      <c r="O32" s="51">
        <v>0</v>
      </c>
      <c r="P32" s="51">
        <v>0.38</v>
      </c>
      <c r="Q32" s="51">
        <v>4.3600000000000003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1.91</v>
      </c>
      <c r="C34" s="41">
        <f t="shared" si="0"/>
        <v>26.06</v>
      </c>
      <c r="D34" s="41">
        <f t="shared" si="0"/>
        <v>14.06</v>
      </c>
      <c r="E34" s="41">
        <f t="shared" si="0"/>
        <v>2.73</v>
      </c>
      <c r="F34" s="41">
        <f t="shared" si="0"/>
        <v>3.55</v>
      </c>
      <c r="G34" s="41">
        <f t="shared" si="0"/>
        <v>7.18</v>
      </c>
      <c r="H34" s="41">
        <f t="shared" si="0"/>
        <v>1.95</v>
      </c>
      <c r="I34" s="41">
        <f t="shared" si="0"/>
        <v>2.3199999999999998</v>
      </c>
      <c r="J34" s="41">
        <f t="shared" si="0"/>
        <v>0.18</v>
      </c>
      <c r="K34" s="41">
        <f t="shared" si="0"/>
        <v>201.06</v>
      </c>
      <c r="L34" s="41">
        <f t="shared" si="0"/>
        <v>26.18</v>
      </c>
      <c r="M34" s="41">
        <f t="shared" si="0"/>
        <v>56.58</v>
      </c>
      <c r="N34" s="41">
        <f t="shared" si="0"/>
        <v>0</v>
      </c>
      <c r="O34" s="41">
        <f t="shared" si="0"/>
        <v>0</v>
      </c>
      <c r="P34" s="41">
        <f t="shared" si="0"/>
        <v>0.28999999999999998</v>
      </c>
      <c r="Q34" s="41">
        <f t="shared" si="0"/>
        <v>3.86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13.86</v>
      </c>
      <c r="C35" s="33">
        <f t="shared" si="1"/>
        <v>37.630000000000003</v>
      </c>
      <c r="D35" s="33">
        <f t="shared" si="1"/>
        <v>29.47</v>
      </c>
      <c r="E35" s="33">
        <f t="shared" si="1"/>
        <v>7.56</v>
      </c>
      <c r="F35" s="33">
        <f t="shared" si="1"/>
        <v>13.76</v>
      </c>
      <c r="G35" s="33">
        <f t="shared" si="1"/>
        <v>25.24</v>
      </c>
      <c r="H35" s="33">
        <f t="shared" si="1"/>
        <v>9.15</v>
      </c>
      <c r="I35" s="33">
        <f t="shared" si="1"/>
        <v>3.59</v>
      </c>
      <c r="J35" s="33">
        <f t="shared" si="1"/>
        <v>1.35</v>
      </c>
      <c r="K35" s="33">
        <f t="shared" si="1"/>
        <v>270.32</v>
      </c>
      <c r="L35" s="33">
        <f t="shared" si="1"/>
        <v>33.9</v>
      </c>
      <c r="M35" s="33">
        <f t="shared" si="1"/>
        <v>85.67</v>
      </c>
      <c r="N35" s="33">
        <f t="shared" si="1"/>
        <v>948.1</v>
      </c>
      <c r="O35" s="33">
        <f t="shared" si="1"/>
        <v>0</v>
      </c>
      <c r="P35" s="33">
        <f t="shared" si="1"/>
        <v>0.46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7.5404166666666663</v>
      </c>
      <c r="C36" s="41">
        <f t="shared" si="2"/>
        <v>32.265000000000001</v>
      </c>
      <c r="D36" s="41">
        <f t="shared" si="2"/>
        <v>21.704166666666669</v>
      </c>
      <c r="E36" s="41">
        <f t="shared" si="2"/>
        <v>5.3999999999999995</v>
      </c>
      <c r="F36" s="41">
        <f t="shared" si="2"/>
        <v>8.3120833333333337</v>
      </c>
      <c r="G36" s="41">
        <f t="shared" si="2"/>
        <v>12.639166666666668</v>
      </c>
      <c r="H36" s="41">
        <f t="shared" si="2"/>
        <v>4.6866666666666674</v>
      </c>
      <c r="I36" s="41">
        <f t="shared" si="2"/>
        <v>2.9012500000000006</v>
      </c>
      <c r="J36" s="41">
        <f t="shared" si="2"/>
        <v>0.82041666666666668</v>
      </c>
      <c r="K36" s="41">
        <f t="shared" si="2"/>
        <v>254.56833333333336</v>
      </c>
      <c r="L36" s="41">
        <f t="shared" si="2"/>
        <v>30.025833333333324</v>
      </c>
      <c r="M36" s="41">
        <f t="shared" si="2"/>
        <v>70.63</v>
      </c>
      <c r="N36" s="41">
        <f t="shared" si="2"/>
        <v>206.75833333333333</v>
      </c>
      <c r="O36" s="41">
        <f t="shared" si="2"/>
        <v>0</v>
      </c>
      <c r="P36" s="41">
        <f t="shared" si="2"/>
        <v>0.36916666666666681</v>
      </c>
      <c r="Q36" s="41">
        <f t="shared" si="2"/>
        <v>4.2645833333333334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4.3652525990626465</v>
      </c>
      <c r="C37" s="41">
        <f t="shared" ref="C37:Q37" si="3">STDEV(C9:C32)</f>
        <v>3.6342991669347287</v>
      </c>
      <c r="D37" s="41">
        <f t="shared" si="3"/>
        <v>5.4088799103010121</v>
      </c>
      <c r="E37" s="41">
        <f t="shared" si="3"/>
        <v>1.611704471777573</v>
      </c>
      <c r="F37" s="41">
        <f t="shared" si="3"/>
        <v>2.7485537369546775</v>
      </c>
      <c r="G37" s="41">
        <f t="shared" si="3"/>
        <v>4.3413190909302388</v>
      </c>
      <c r="H37" s="41">
        <f t="shared" si="3"/>
        <v>1.7420394511248454</v>
      </c>
      <c r="I37" s="41">
        <f t="shared" si="3"/>
        <v>0.39749555644220957</v>
      </c>
      <c r="J37" s="41">
        <f t="shared" si="3"/>
        <v>0.39954843170179283</v>
      </c>
      <c r="K37" s="41">
        <f t="shared" si="3"/>
        <v>14.616555136487339</v>
      </c>
      <c r="L37" s="41">
        <f t="shared" si="3"/>
        <v>2.4777776098872364</v>
      </c>
      <c r="M37" s="41">
        <f t="shared" si="3"/>
        <v>10.048840729158808</v>
      </c>
      <c r="N37" s="41">
        <f t="shared" si="3"/>
        <v>305.25011115856915</v>
      </c>
      <c r="O37" s="41">
        <f t="shared" si="3"/>
        <v>0</v>
      </c>
      <c r="P37" s="41">
        <f t="shared" si="3"/>
        <v>4.6430562148752706E-2</v>
      </c>
      <c r="Q37" s="41">
        <f t="shared" si="3"/>
        <v>0.28402356250488775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02/07/2023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107</v>
      </c>
      <c r="B9" s="51">
        <v>9.92</v>
      </c>
      <c r="C9" s="51">
        <v>34.49</v>
      </c>
      <c r="D9" s="51">
        <v>24.93</v>
      </c>
      <c r="E9" s="51">
        <v>6.93</v>
      </c>
      <c r="F9" s="51">
        <v>10.52</v>
      </c>
      <c r="G9" s="51">
        <v>16.09</v>
      </c>
      <c r="H9" s="51">
        <v>6.1</v>
      </c>
      <c r="I9" s="51">
        <v>2.58</v>
      </c>
      <c r="J9" s="51">
        <v>0.18</v>
      </c>
      <c r="K9" s="51">
        <v>204.98</v>
      </c>
      <c r="L9" s="51">
        <v>27.24</v>
      </c>
      <c r="M9" s="51">
        <v>83.08</v>
      </c>
      <c r="N9" s="51">
        <v>0</v>
      </c>
      <c r="O9" s="51">
        <v>0</v>
      </c>
      <c r="P9" s="51">
        <v>0.37</v>
      </c>
      <c r="Q9" s="51">
        <v>4.42</v>
      </c>
    </row>
    <row r="10" spans="1:21" customFormat="1">
      <c r="A10" s="50" t="s">
        <v>108</v>
      </c>
      <c r="B10" s="51">
        <v>10.9</v>
      </c>
      <c r="C10" s="51">
        <v>35.659999999999997</v>
      </c>
      <c r="D10" s="51">
        <v>26.33</v>
      </c>
      <c r="E10" s="51">
        <v>7</v>
      </c>
      <c r="F10" s="51">
        <v>9.1199999999999992</v>
      </c>
      <c r="G10" s="51">
        <v>16.37</v>
      </c>
      <c r="H10" s="51">
        <v>4.3499999999999996</v>
      </c>
      <c r="I10" s="51">
        <v>2.75</v>
      </c>
      <c r="J10" s="51">
        <v>0.39</v>
      </c>
      <c r="K10" s="51">
        <v>254.78</v>
      </c>
      <c r="L10" s="51">
        <v>27.27</v>
      </c>
      <c r="M10" s="51">
        <v>81.55</v>
      </c>
      <c r="N10" s="51">
        <v>0</v>
      </c>
      <c r="O10" s="51">
        <v>0</v>
      </c>
      <c r="P10" s="51">
        <v>0.38</v>
      </c>
      <c r="Q10" s="51">
        <v>4.4800000000000004</v>
      </c>
    </row>
    <row r="11" spans="1:21" customFormat="1">
      <c r="A11" s="50" t="s">
        <v>109</v>
      </c>
      <c r="B11" s="51">
        <v>11.87</v>
      </c>
      <c r="C11" s="51">
        <v>35.1</v>
      </c>
      <c r="D11" s="51">
        <v>26.59</v>
      </c>
      <c r="E11" s="51">
        <v>6.1</v>
      </c>
      <c r="F11" s="51">
        <v>6.99</v>
      </c>
      <c r="G11" s="51">
        <v>13.4</v>
      </c>
      <c r="H11" s="51">
        <v>4.18</v>
      </c>
      <c r="I11" s="51">
        <v>2.79</v>
      </c>
      <c r="J11" s="51">
        <v>0.45</v>
      </c>
      <c r="K11" s="51">
        <v>252.07</v>
      </c>
      <c r="L11" s="51">
        <v>27.29</v>
      </c>
      <c r="M11" s="51">
        <v>79.52</v>
      </c>
      <c r="N11" s="51">
        <v>0</v>
      </c>
      <c r="O11" s="51">
        <v>0</v>
      </c>
      <c r="P11" s="51">
        <v>0.37</v>
      </c>
      <c r="Q11" s="51">
        <v>4.5</v>
      </c>
    </row>
    <row r="12" spans="1:21" customFormat="1">
      <c r="A12" s="50" t="s">
        <v>110</v>
      </c>
      <c r="B12" s="51">
        <v>12.44</v>
      </c>
      <c r="C12" s="51">
        <v>35.99</v>
      </c>
      <c r="D12" s="51">
        <v>27.31</v>
      </c>
      <c r="E12" s="51">
        <v>6.21</v>
      </c>
      <c r="F12" s="51">
        <v>7.9</v>
      </c>
      <c r="G12" s="51">
        <v>13.96</v>
      </c>
      <c r="H12" s="51">
        <v>4.6100000000000003</v>
      </c>
      <c r="I12" s="51">
        <v>2.75</v>
      </c>
      <c r="J12" s="51">
        <v>0.38</v>
      </c>
      <c r="K12" s="51">
        <v>251.72</v>
      </c>
      <c r="L12" s="51">
        <v>26.89</v>
      </c>
      <c r="M12" s="51">
        <v>81.069999999999993</v>
      </c>
      <c r="N12" s="51">
        <v>0</v>
      </c>
      <c r="O12" s="51">
        <v>0</v>
      </c>
      <c r="P12" s="51">
        <v>0.37</v>
      </c>
      <c r="Q12" s="51">
        <v>4.5599999999999996</v>
      </c>
    </row>
    <row r="13" spans="1:21" customFormat="1">
      <c r="A13" s="50" t="s">
        <v>111</v>
      </c>
      <c r="B13" s="51">
        <v>13.24</v>
      </c>
      <c r="C13" s="51">
        <v>37.270000000000003</v>
      </c>
      <c r="D13" s="51">
        <v>29.04</v>
      </c>
      <c r="E13" s="51">
        <v>6.35</v>
      </c>
      <c r="F13" s="51">
        <v>7.11</v>
      </c>
      <c r="G13" s="51">
        <v>14.39</v>
      </c>
      <c r="H13" s="51">
        <v>5.65</v>
      </c>
      <c r="I13" s="51">
        <v>2.69</v>
      </c>
      <c r="J13" s="51">
        <v>0.42</v>
      </c>
      <c r="K13" s="51">
        <v>257.25</v>
      </c>
      <c r="L13" s="51">
        <v>26.49</v>
      </c>
      <c r="M13" s="51">
        <v>82.69</v>
      </c>
      <c r="N13" s="51">
        <v>0</v>
      </c>
      <c r="O13" s="51">
        <v>0</v>
      </c>
      <c r="P13" s="51">
        <v>0.37</v>
      </c>
      <c r="Q13" s="51">
        <v>4.57</v>
      </c>
    </row>
    <row r="14" spans="1:21" customFormat="1">
      <c r="A14" s="50" t="s">
        <v>112</v>
      </c>
      <c r="B14" s="51">
        <v>13.75</v>
      </c>
      <c r="C14" s="51">
        <v>37.340000000000003</v>
      </c>
      <c r="D14" s="51">
        <v>29.35</v>
      </c>
      <c r="E14" s="51">
        <v>5.65</v>
      </c>
      <c r="F14" s="51">
        <v>5.54</v>
      </c>
      <c r="G14" s="51">
        <v>10.1</v>
      </c>
      <c r="H14" s="51">
        <v>6.32</v>
      </c>
      <c r="I14" s="51">
        <v>2.82</v>
      </c>
      <c r="J14" s="51">
        <v>0.46</v>
      </c>
      <c r="K14" s="51">
        <v>260.08</v>
      </c>
      <c r="L14" s="51">
        <v>26.41</v>
      </c>
      <c r="M14" s="51">
        <v>83.12</v>
      </c>
      <c r="N14" s="51">
        <v>19</v>
      </c>
      <c r="O14" s="51">
        <v>0</v>
      </c>
      <c r="P14" s="51">
        <v>0.37</v>
      </c>
      <c r="Q14" s="51">
        <v>4.62</v>
      </c>
    </row>
    <row r="15" spans="1:21" customFormat="1">
      <c r="A15" s="50" t="s">
        <v>113</v>
      </c>
      <c r="B15" s="51">
        <v>14.39</v>
      </c>
      <c r="C15" s="51">
        <v>36.58</v>
      </c>
      <c r="D15" s="51">
        <v>29.6</v>
      </c>
      <c r="E15" s="51">
        <v>6.59</v>
      </c>
      <c r="F15" s="51">
        <v>4.71</v>
      </c>
      <c r="G15" s="51">
        <v>9.9499999999999993</v>
      </c>
      <c r="H15" s="51">
        <v>4.8600000000000003</v>
      </c>
      <c r="I15" s="51">
        <v>2.86</v>
      </c>
      <c r="J15" s="51">
        <v>0.8</v>
      </c>
      <c r="K15" s="51">
        <v>265.45999999999998</v>
      </c>
      <c r="L15" s="51">
        <v>27.68</v>
      </c>
      <c r="M15" s="51">
        <v>81.39</v>
      </c>
      <c r="N15" s="51">
        <v>63.3</v>
      </c>
      <c r="O15" s="51">
        <v>0</v>
      </c>
      <c r="P15" s="51">
        <v>0.37</v>
      </c>
      <c r="Q15" s="51">
        <v>4.63</v>
      </c>
    </row>
    <row r="16" spans="1:21" customFormat="1">
      <c r="A16" s="50" t="s">
        <v>114</v>
      </c>
      <c r="B16" s="51">
        <v>14.52</v>
      </c>
      <c r="C16" s="51">
        <v>37.35</v>
      </c>
      <c r="D16" s="51">
        <v>29.87</v>
      </c>
      <c r="E16" s="51">
        <v>7.8</v>
      </c>
      <c r="F16" s="51">
        <v>3.75</v>
      </c>
      <c r="G16" s="51">
        <v>10.130000000000001</v>
      </c>
      <c r="H16" s="51">
        <v>5.05</v>
      </c>
      <c r="I16" s="51">
        <v>3.1</v>
      </c>
      <c r="J16" s="51">
        <v>0.93</v>
      </c>
      <c r="K16" s="51">
        <v>271.18</v>
      </c>
      <c r="L16" s="51">
        <v>29.47</v>
      </c>
      <c r="M16" s="51">
        <v>74.510000000000005</v>
      </c>
      <c r="N16" s="51">
        <v>91.7</v>
      </c>
      <c r="O16" s="51">
        <v>0</v>
      </c>
      <c r="P16" s="51">
        <v>0.4</v>
      </c>
      <c r="Q16" s="51">
        <v>4.66</v>
      </c>
    </row>
    <row r="17" spans="1:17" customFormat="1">
      <c r="A17" s="50" t="s">
        <v>115</v>
      </c>
      <c r="B17" s="51">
        <v>14.75</v>
      </c>
      <c r="C17" s="51">
        <v>38.049999999999997</v>
      </c>
      <c r="D17" s="51">
        <v>30.66</v>
      </c>
      <c r="E17" s="51">
        <v>7.22</v>
      </c>
      <c r="F17" s="51">
        <v>4.7</v>
      </c>
      <c r="G17" s="51">
        <v>12.24</v>
      </c>
      <c r="H17" s="51">
        <v>3.69</v>
      </c>
      <c r="I17" s="51">
        <v>3.35</v>
      </c>
      <c r="J17" s="51">
        <v>1.28</v>
      </c>
      <c r="K17" s="51">
        <v>285.02</v>
      </c>
      <c r="L17" s="51">
        <v>30.34</v>
      </c>
      <c r="M17" s="51">
        <v>66.13</v>
      </c>
      <c r="N17" s="51">
        <v>130.5</v>
      </c>
      <c r="O17" s="51">
        <v>0</v>
      </c>
      <c r="P17" s="51">
        <v>0.43</v>
      </c>
      <c r="Q17" s="51">
        <v>4.67</v>
      </c>
    </row>
    <row r="18" spans="1:17" customFormat="1">
      <c r="A18" s="50" t="s">
        <v>116</v>
      </c>
      <c r="B18" s="51">
        <v>13.31</v>
      </c>
      <c r="C18" s="51">
        <v>38.409999999999997</v>
      </c>
      <c r="D18" s="51">
        <v>29.6</v>
      </c>
      <c r="E18" s="51">
        <v>7.23</v>
      </c>
      <c r="F18" s="51">
        <v>6.02</v>
      </c>
      <c r="G18" s="51">
        <v>14.06</v>
      </c>
      <c r="H18" s="51">
        <v>3.32</v>
      </c>
      <c r="I18" s="51">
        <v>3.41</v>
      </c>
      <c r="J18" s="51">
        <v>1.1299999999999999</v>
      </c>
      <c r="K18" s="51">
        <v>283.24</v>
      </c>
      <c r="L18" s="51">
        <v>31.29</v>
      </c>
      <c r="M18" s="51">
        <v>61.98</v>
      </c>
      <c r="N18" s="51">
        <v>231.6</v>
      </c>
      <c r="O18" s="51">
        <v>0</v>
      </c>
      <c r="P18" s="51">
        <v>0.46</v>
      </c>
      <c r="Q18" s="51">
        <v>4.62</v>
      </c>
    </row>
    <row r="19" spans="1:17" customFormat="1">
      <c r="A19" s="50" t="s">
        <v>117</v>
      </c>
      <c r="B19" s="51">
        <v>11.92</v>
      </c>
      <c r="C19" s="51">
        <v>32.06</v>
      </c>
      <c r="D19" s="51">
        <v>25.26</v>
      </c>
      <c r="E19" s="51">
        <v>8.69</v>
      </c>
      <c r="F19" s="51">
        <v>8.1</v>
      </c>
      <c r="G19" s="51">
        <v>17.05</v>
      </c>
      <c r="H19" s="51">
        <v>4.08</v>
      </c>
      <c r="I19" s="51">
        <v>3.35</v>
      </c>
      <c r="J19" s="51">
        <v>0.93</v>
      </c>
      <c r="K19" s="51">
        <v>291.02</v>
      </c>
      <c r="L19" s="51">
        <v>31.57</v>
      </c>
      <c r="M19" s="51">
        <v>60.96</v>
      </c>
      <c r="N19" s="51">
        <v>310.89999999999998</v>
      </c>
      <c r="O19" s="51">
        <v>0</v>
      </c>
      <c r="P19" s="51">
        <v>0.42</v>
      </c>
      <c r="Q19" s="51">
        <v>4.45</v>
      </c>
    </row>
    <row r="20" spans="1:17" customFormat="1">
      <c r="A20" s="50" t="s">
        <v>118</v>
      </c>
      <c r="B20" s="51">
        <v>10.5</v>
      </c>
      <c r="C20" s="51">
        <v>34.39</v>
      </c>
      <c r="D20" s="51">
        <v>24.64</v>
      </c>
      <c r="E20" s="51">
        <v>8.73</v>
      </c>
      <c r="F20" s="51">
        <v>8.49</v>
      </c>
      <c r="G20" s="51">
        <v>16.95</v>
      </c>
      <c r="H20" s="51">
        <v>4.9000000000000004</v>
      </c>
      <c r="I20" s="51">
        <v>3.24</v>
      </c>
      <c r="J20" s="51">
        <v>0.98</v>
      </c>
      <c r="K20" s="51">
        <v>283.60000000000002</v>
      </c>
      <c r="L20" s="51">
        <v>31.97</v>
      </c>
      <c r="M20" s="51">
        <v>60.13</v>
      </c>
      <c r="N20" s="51">
        <v>384.1</v>
      </c>
      <c r="O20" s="51">
        <v>0</v>
      </c>
      <c r="P20" s="51">
        <v>0.44</v>
      </c>
      <c r="Q20" s="51">
        <v>4.38</v>
      </c>
    </row>
    <row r="21" spans="1:17" customFormat="1">
      <c r="A21" s="50" t="s">
        <v>119</v>
      </c>
      <c r="B21" s="51">
        <v>9.08</v>
      </c>
      <c r="C21" s="51">
        <v>31.3</v>
      </c>
      <c r="D21" s="51">
        <v>22.57</v>
      </c>
      <c r="E21" s="51">
        <v>9.0299999999999994</v>
      </c>
      <c r="F21" s="51">
        <v>9.31</v>
      </c>
      <c r="G21" s="51">
        <v>18.350000000000001</v>
      </c>
      <c r="H21" s="51">
        <v>6.81</v>
      </c>
      <c r="I21" s="51">
        <v>3.63</v>
      </c>
      <c r="J21" s="51">
        <v>1.01</v>
      </c>
      <c r="K21" s="51">
        <v>273.38</v>
      </c>
      <c r="L21" s="51">
        <v>33.01</v>
      </c>
      <c r="M21" s="51">
        <v>61.61</v>
      </c>
      <c r="N21" s="51">
        <v>722.3</v>
      </c>
      <c r="O21" s="51">
        <v>0</v>
      </c>
      <c r="P21" s="51">
        <v>0.46</v>
      </c>
      <c r="Q21" s="51">
        <v>4.34</v>
      </c>
    </row>
    <row r="22" spans="1:17" customFormat="1">
      <c r="A22" s="50" t="s">
        <v>120</v>
      </c>
      <c r="B22" s="51">
        <v>7.61</v>
      </c>
      <c r="C22" s="51">
        <v>32.380000000000003</v>
      </c>
      <c r="D22" s="51">
        <v>21.55</v>
      </c>
      <c r="E22" s="51">
        <v>7.62</v>
      </c>
      <c r="F22" s="51">
        <v>8.66</v>
      </c>
      <c r="G22" s="51">
        <v>17</v>
      </c>
      <c r="H22" s="51">
        <v>5.49</v>
      </c>
      <c r="I22" s="51">
        <v>3.72</v>
      </c>
      <c r="J22" s="51">
        <v>1.1100000000000001</v>
      </c>
      <c r="K22" s="51">
        <v>264.83</v>
      </c>
      <c r="L22" s="51">
        <v>32.47</v>
      </c>
      <c r="M22" s="51">
        <v>61.36</v>
      </c>
      <c r="N22" s="51">
        <v>391.5</v>
      </c>
      <c r="O22" s="51">
        <v>0</v>
      </c>
      <c r="P22" s="51">
        <v>0.47</v>
      </c>
      <c r="Q22" s="51">
        <v>4.2300000000000004</v>
      </c>
    </row>
    <row r="23" spans="1:17" customFormat="1">
      <c r="A23" s="50" t="s">
        <v>121</v>
      </c>
      <c r="B23" s="51">
        <v>7.08</v>
      </c>
      <c r="C23" s="51">
        <v>31.45</v>
      </c>
      <c r="D23" s="51">
        <v>21.07</v>
      </c>
      <c r="E23" s="51">
        <v>7.21</v>
      </c>
      <c r="F23" s="51">
        <v>10.62</v>
      </c>
      <c r="G23" s="51">
        <v>18.149999999999999</v>
      </c>
      <c r="H23" s="51">
        <v>5.16</v>
      </c>
      <c r="I23" s="51">
        <v>3.69</v>
      </c>
      <c r="J23" s="51">
        <v>1.01</v>
      </c>
      <c r="K23" s="51">
        <v>266.11</v>
      </c>
      <c r="L23" s="51">
        <v>32.21</v>
      </c>
      <c r="M23" s="51">
        <v>63.22</v>
      </c>
      <c r="N23" s="51">
        <v>435.8</v>
      </c>
      <c r="O23" s="51">
        <v>0</v>
      </c>
      <c r="P23" s="51">
        <v>0.44</v>
      </c>
      <c r="Q23" s="51">
        <v>4.16</v>
      </c>
    </row>
    <row r="24" spans="1:17" customFormat="1">
      <c r="A24" s="50" t="s">
        <v>122</v>
      </c>
      <c r="B24" s="51">
        <v>6.25</v>
      </c>
      <c r="C24" s="51">
        <v>27.82</v>
      </c>
      <c r="D24" s="51">
        <v>18.440000000000001</v>
      </c>
      <c r="E24" s="51">
        <v>6.76</v>
      </c>
      <c r="F24" s="51">
        <v>9.92</v>
      </c>
      <c r="G24" s="51">
        <v>16.350000000000001</v>
      </c>
      <c r="H24" s="51">
        <v>6.13</v>
      </c>
      <c r="I24" s="51">
        <v>3.29</v>
      </c>
      <c r="J24" s="51">
        <v>0.83</v>
      </c>
      <c r="K24" s="51">
        <v>253.43</v>
      </c>
      <c r="L24" s="51">
        <v>33.08</v>
      </c>
      <c r="M24" s="51">
        <v>60.46</v>
      </c>
      <c r="N24" s="51">
        <v>492.9</v>
      </c>
      <c r="O24" s="51">
        <v>0</v>
      </c>
      <c r="P24" s="51">
        <v>0.4</v>
      </c>
      <c r="Q24" s="51">
        <v>4.07</v>
      </c>
    </row>
    <row r="25" spans="1:17" customFormat="1">
      <c r="A25" s="50" t="s">
        <v>123</v>
      </c>
      <c r="B25" s="51">
        <v>6.13</v>
      </c>
      <c r="C25" s="51">
        <v>31.94</v>
      </c>
      <c r="D25" s="51">
        <v>20.36</v>
      </c>
      <c r="E25" s="51">
        <v>6</v>
      </c>
      <c r="F25" s="51">
        <v>8.06</v>
      </c>
      <c r="G25" s="51">
        <v>14.03</v>
      </c>
      <c r="H25" s="51">
        <v>6.42</v>
      </c>
      <c r="I25" s="51">
        <v>3.3</v>
      </c>
      <c r="J25" s="51">
        <v>1.03</v>
      </c>
      <c r="K25" s="51">
        <v>261.14999999999998</v>
      </c>
      <c r="L25" s="51">
        <v>32.409999999999997</v>
      </c>
      <c r="M25" s="51">
        <v>61.24</v>
      </c>
      <c r="N25" s="51">
        <v>374.7</v>
      </c>
      <c r="O25" s="51">
        <v>0</v>
      </c>
      <c r="P25" s="51">
        <v>0.41</v>
      </c>
      <c r="Q25" s="51">
        <v>4.13</v>
      </c>
    </row>
    <row r="26" spans="1:17" customFormat="1">
      <c r="A26" s="50" t="s">
        <v>124</v>
      </c>
      <c r="B26" s="51">
        <v>6.09</v>
      </c>
      <c r="C26" s="51">
        <v>28.18</v>
      </c>
      <c r="D26" s="51">
        <v>18.559999999999999</v>
      </c>
      <c r="E26" s="51">
        <v>5.71</v>
      </c>
      <c r="F26" s="51">
        <v>10.42</v>
      </c>
      <c r="G26" s="51">
        <v>14.57</v>
      </c>
      <c r="H26" s="51">
        <v>6.57</v>
      </c>
      <c r="I26" s="51">
        <v>3.22</v>
      </c>
      <c r="J26" s="51">
        <v>0.96</v>
      </c>
      <c r="K26" s="51">
        <v>254.29</v>
      </c>
      <c r="L26" s="51">
        <v>31.13</v>
      </c>
      <c r="M26" s="51">
        <v>63.73</v>
      </c>
      <c r="N26" s="51">
        <v>80.3</v>
      </c>
      <c r="O26" s="51">
        <v>0</v>
      </c>
      <c r="P26" s="51">
        <v>0.36</v>
      </c>
      <c r="Q26" s="51">
        <v>4.01</v>
      </c>
    </row>
    <row r="27" spans="1:17" customFormat="1">
      <c r="A27" s="50" t="s">
        <v>125</v>
      </c>
      <c r="B27" s="51">
        <v>5.78</v>
      </c>
      <c r="C27" s="51">
        <v>31.01</v>
      </c>
      <c r="D27" s="51">
        <v>19.79</v>
      </c>
      <c r="E27" s="51">
        <v>5.26</v>
      </c>
      <c r="F27" s="51">
        <v>16.59</v>
      </c>
      <c r="G27" s="51">
        <v>15.25</v>
      </c>
      <c r="H27" s="51">
        <v>4.5999999999999996</v>
      </c>
      <c r="I27" s="51">
        <v>2.92</v>
      </c>
      <c r="J27" s="51">
        <v>0.68</v>
      </c>
      <c r="K27" s="51">
        <v>252.66</v>
      </c>
      <c r="L27" s="51">
        <v>30.53</v>
      </c>
      <c r="M27" s="51">
        <v>67.28</v>
      </c>
      <c r="N27" s="51">
        <v>28.3</v>
      </c>
      <c r="O27" s="51">
        <v>0</v>
      </c>
      <c r="P27" s="51">
        <v>0.39</v>
      </c>
      <c r="Q27" s="51">
        <v>4.1100000000000003</v>
      </c>
    </row>
    <row r="28" spans="1:17" customFormat="1">
      <c r="A28" s="50" t="s">
        <v>126</v>
      </c>
      <c r="B28" s="51">
        <v>5.71</v>
      </c>
      <c r="C28" s="51">
        <v>27.14</v>
      </c>
      <c r="D28" s="51">
        <v>17.670000000000002</v>
      </c>
      <c r="E28" s="51">
        <v>5.74</v>
      </c>
      <c r="F28" s="51">
        <v>18.41</v>
      </c>
      <c r="G28" s="51">
        <v>11.5</v>
      </c>
      <c r="H28" s="51">
        <v>3.92</v>
      </c>
      <c r="I28" s="51">
        <v>2.65</v>
      </c>
      <c r="J28" s="51">
        <v>0.46</v>
      </c>
      <c r="K28" s="51">
        <v>248.97</v>
      </c>
      <c r="L28" s="51">
        <v>29.83</v>
      </c>
      <c r="M28" s="51">
        <v>71.540000000000006</v>
      </c>
      <c r="N28" s="51">
        <v>0</v>
      </c>
      <c r="O28" s="51">
        <v>0</v>
      </c>
      <c r="P28" s="51">
        <v>0.39</v>
      </c>
      <c r="Q28" s="51">
        <v>4.09</v>
      </c>
    </row>
    <row r="29" spans="1:17" customFormat="1">
      <c r="A29" s="50" t="s">
        <v>127</v>
      </c>
      <c r="B29" s="51">
        <v>5.78</v>
      </c>
      <c r="C29" s="51">
        <v>28.81</v>
      </c>
      <c r="D29" s="51">
        <v>18.64</v>
      </c>
      <c r="E29" s="51">
        <v>6.16</v>
      </c>
      <c r="F29" s="51">
        <v>18.75</v>
      </c>
      <c r="G29" s="51">
        <v>12.41</v>
      </c>
      <c r="H29" s="51">
        <v>4.8899999999999997</v>
      </c>
      <c r="I29" s="51">
        <v>2.71</v>
      </c>
      <c r="J29" s="51">
        <v>0.27</v>
      </c>
      <c r="K29" s="51">
        <v>239.79</v>
      </c>
      <c r="L29" s="51">
        <v>29.22</v>
      </c>
      <c r="M29" s="51">
        <v>75.45</v>
      </c>
      <c r="N29" s="51">
        <v>0</v>
      </c>
      <c r="O29" s="51">
        <v>0</v>
      </c>
      <c r="P29" s="51">
        <v>0.39</v>
      </c>
      <c r="Q29" s="51">
        <v>4.17</v>
      </c>
    </row>
    <row r="30" spans="1:17" customFormat="1">
      <c r="A30" s="50" t="s">
        <v>128</v>
      </c>
      <c r="B30" s="51">
        <v>6.43</v>
      </c>
      <c r="C30" s="51">
        <v>29.69</v>
      </c>
      <c r="D30" s="51">
        <v>19.62</v>
      </c>
      <c r="E30" s="51">
        <v>5.97</v>
      </c>
      <c r="F30" s="51">
        <v>15.35</v>
      </c>
      <c r="G30" s="51">
        <v>12.78</v>
      </c>
      <c r="H30" s="51">
        <v>5.47</v>
      </c>
      <c r="I30" s="51">
        <v>2.8</v>
      </c>
      <c r="J30" s="51">
        <v>0.22</v>
      </c>
      <c r="K30" s="51">
        <v>176.66</v>
      </c>
      <c r="L30" s="51">
        <v>28.48</v>
      </c>
      <c r="M30" s="51">
        <v>79.790000000000006</v>
      </c>
      <c r="N30" s="51">
        <v>0</v>
      </c>
      <c r="O30" s="51">
        <v>0</v>
      </c>
      <c r="P30" s="51">
        <v>0.4</v>
      </c>
      <c r="Q30" s="51">
        <v>4.21</v>
      </c>
    </row>
    <row r="31" spans="1:17" customFormat="1">
      <c r="A31" s="50" t="s">
        <v>129</v>
      </c>
      <c r="B31" s="51">
        <v>7.24</v>
      </c>
      <c r="C31" s="51">
        <v>30.39</v>
      </c>
      <c r="D31" s="51">
        <v>20.64</v>
      </c>
      <c r="E31" s="51">
        <v>6.06</v>
      </c>
      <c r="F31" s="51">
        <v>12.98</v>
      </c>
      <c r="G31" s="51">
        <v>15.84</v>
      </c>
      <c r="H31" s="51">
        <v>5.9</v>
      </c>
      <c r="I31" s="51">
        <v>2.85</v>
      </c>
      <c r="J31" s="51">
        <v>0.21</v>
      </c>
      <c r="K31" s="51">
        <v>217.7</v>
      </c>
      <c r="L31" s="51">
        <v>27.96</v>
      </c>
      <c r="M31" s="51">
        <v>80.47</v>
      </c>
      <c r="N31" s="51">
        <v>0</v>
      </c>
      <c r="O31" s="51">
        <v>0</v>
      </c>
      <c r="P31" s="51">
        <v>0.41</v>
      </c>
      <c r="Q31" s="51">
        <v>4.3099999999999996</v>
      </c>
    </row>
    <row r="32" spans="1:17" customFormat="1">
      <c r="A32" s="50" t="s">
        <v>130</v>
      </c>
      <c r="B32" s="51">
        <v>8.86</v>
      </c>
      <c r="C32" s="51">
        <v>31.19</v>
      </c>
      <c r="D32" s="51">
        <v>22.02</v>
      </c>
      <c r="E32" s="51">
        <v>6.73</v>
      </c>
      <c r="F32" s="51">
        <v>10.130000000000001</v>
      </c>
      <c r="G32" s="51">
        <v>18.12</v>
      </c>
      <c r="H32" s="51">
        <v>6.99</v>
      </c>
      <c r="I32" s="51">
        <v>2.96</v>
      </c>
      <c r="J32" s="51">
        <v>0.33</v>
      </c>
      <c r="K32" s="51">
        <v>250.87</v>
      </c>
      <c r="L32" s="51">
        <v>27.86</v>
      </c>
      <c r="M32" s="51">
        <v>80.989999999999995</v>
      </c>
      <c r="N32" s="51">
        <v>0</v>
      </c>
      <c r="O32" s="51">
        <v>0</v>
      </c>
      <c r="P32" s="51">
        <v>0.43</v>
      </c>
      <c r="Q32" s="51">
        <v>4.34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5.71</v>
      </c>
      <c r="C34" s="41">
        <f t="shared" si="0"/>
        <v>27.14</v>
      </c>
      <c r="D34" s="41">
        <f t="shared" si="0"/>
        <v>17.670000000000002</v>
      </c>
      <c r="E34" s="41">
        <f t="shared" si="0"/>
        <v>5.26</v>
      </c>
      <c r="F34" s="41">
        <f t="shared" si="0"/>
        <v>3.75</v>
      </c>
      <c r="G34" s="41">
        <f t="shared" si="0"/>
        <v>9.9499999999999993</v>
      </c>
      <c r="H34" s="41">
        <f t="shared" si="0"/>
        <v>3.32</v>
      </c>
      <c r="I34" s="41">
        <f t="shared" si="0"/>
        <v>2.58</v>
      </c>
      <c r="J34" s="41">
        <f t="shared" si="0"/>
        <v>0.18</v>
      </c>
      <c r="K34" s="41">
        <f t="shared" si="0"/>
        <v>176.66</v>
      </c>
      <c r="L34" s="41">
        <f t="shared" si="0"/>
        <v>26.41</v>
      </c>
      <c r="M34" s="41">
        <f t="shared" si="0"/>
        <v>60.13</v>
      </c>
      <c r="N34" s="41">
        <f t="shared" si="0"/>
        <v>0</v>
      </c>
      <c r="O34" s="41">
        <f t="shared" si="0"/>
        <v>0</v>
      </c>
      <c r="P34" s="41">
        <f t="shared" si="0"/>
        <v>0.36</v>
      </c>
      <c r="Q34" s="41">
        <f t="shared" si="0"/>
        <v>4.01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14.75</v>
      </c>
      <c r="C35" s="33">
        <f t="shared" si="1"/>
        <v>38.409999999999997</v>
      </c>
      <c r="D35" s="33">
        <f t="shared" si="1"/>
        <v>30.66</v>
      </c>
      <c r="E35" s="33">
        <f t="shared" si="1"/>
        <v>9.0299999999999994</v>
      </c>
      <c r="F35" s="33">
        <f t="shared" si="1"/>
        <v>18.75</v>
      </c>
      <c r="G35" s="33">
        <f t="shared" si="1"/>
        <v>18.350000000000001</v>
      </c>
      <c r="H35" s="33">
        <f t="shared" si="1"/>
        <v>6.99</v>
      </c>
      <c r="I35" s="33">
        <f t="shared" si="1"/>
        <v>3.72</v>
      </c>
      <c r="J35" s="33">
        <f t="shared" si="1"/>
        <v>1.28</v>
      </c>
      <c r="K35" s="33">
        <f t="shared" si="1"/>
        <v>291.02</v>
      </c>
      <c r="L35" s="33">
        <f t="shared" si="1"/>
        <v>33.08</v>
      </c>
      <c r="M35" s="33">
        <f t="shared" si="1"/>
        <v>83.12</v>
      </c>
      <c r="N35" s="33">
        <f t="shared" si="1"/>
        <v>722.3</v>
      </c>
      <c r="O35" s="33">
        <f t="shared" si="1"/>
        <v>0</v>
      </c>
      <c r="P35" s="33">
        <f t="shared" si="1"/>
        <v>0.47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9.7312500000000028</v>
      </c>
      <c r="C36" s="41">
        <f t="shared" si="2"/>
        <v>33.082916666666669</v>
      </c>
      <c r="D36" s="41">
        <f t="shared" si="2"/>
        <v>23.921249999999997</v>
      </c>
      <c r="E36" s="41">
        <f t="shared" si="2"/>
        <v>6.78125</v>
      </c>
      <c r="F36" s="41">
        <f t="shared" si="2"/>
        <v>9.6729166666666639</v>
      </c>
      <c r="G36" s="41">
        <f t="shared" si="2"/>
        <v>14.543333333333331</v>
      </c>
      <c r="H36" s="41">
        <f t="shared" si="2"/>
        <v>5.2275</v>
      </c>
      <c r="I36" s="41">
        <f t="shared" si="2"/>
        <v>3.0595833333333324</v>
      </c>
      <c r="J36" s="41">
        <f t="shared" si="2"/>
        <v>0.68541666666666645</v>
      </c>
      <c r="K36" s="41">
        <f t="shared" si="2"/>
        <v>255.00999999999996</v>
      </c>
      <c r="L36" s="41">
        <f t="shared" si="2"/>
        <v>29.670833333333334</v>
      </c>
      <c r="M36" s="41">
        <f t="shared" si="2"/>
        <v>71.802916666666661</v>
      </c>
      <c r="N36" s="41">
        <f t="shared" si="2"/>
        <v>156.53749999999999</v>
      </c>
      <c r="O36" s="41">
        <f t="shared" si="2"/>
        <v>0</v>
      </c>
      <c r="P36" s="41">
        <f t="shared" si="2"/>
        <v>0.40416666666666679</v>
      </c>
      <c r="Q36" s="41">
        <f t="shared" si="2"/>
        <v>4.3637500000000005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3.2660737131914104</v>
      </c>
      <c r="C37" s="41">
        <f t="shared" ref="C37:Q37" si="3">STDEV(C9:C32)</f>
        <v>3.5055229457512143</v>
      </c>
      <c r="D37" s="41">
        <f t="shared" si="3"/>
        <v>4.3372454818197017</v>
      </c>
      <c r="E37" s="41">
        <f t="shared" si="3"/>
        <v>1.0194470474765647</v>
      </c>
      <c r="F37" s="41">
        <f t="shared" si="3"/>
        <v>4.1278433985785421</v>
      </c>
      <c r="G37" s="41">
        <f t="shared" si="3"/>
        <v>2.5900439255410226</v>
      </c>
      <c r="H37" s="41">
        <f t="shared" si="3"/>
        <v>1.0305391159801851</v>
      </c>
      <c r="I37" s="41">
        <f t="shared" si="3"/>
        <v>0.34766899758831293</v>
      </c>
      <c r="J37" s="41">
        <f t="shared" si="3"/>
        <v>0.34777527935081398</v>
      </c>
      <c r="K37" s="41">
        <f t="shared" si="3"/>
        <v>25.669234672963594</v>
      </c>
      <c r="L37" s="41">
        <f t="shared" si="3"/>
        <v>2.2560988196570633</v>
      </c>
      <c r="M37" s="41">
        <f t="shared" si="3"/>
        <v>9.1962192038319781</v>
      </c>
      <c r="N37" s="41">
        <f t="shared" si="3"/>
        <v>207.99792392881147</v>
      </c>
      <c r="O37" s="41">
        <f t="shared" si="3"/>
        <v>0</v>
      </c>
      <c r="P37" s="41">
        <f t="shared" si="3"/>
        <v>3.2958032163007647E-2</v>
      </c>
      <c r="Q37" s="41">
        <f t="shared" si="3"/>
        <v>0.21241494461465998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03/07/2023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131</v>
      </c>
      <c r="B9" s="51">
        <v>9.7200000000000006</v>
      </c>
      <c r="C9" s="51">
        <v>33.76</v>
      </c>
      <c r="D9" s="51">
        <v>24.38</v>
      </c>
      <c r="E9" s="51">
        <v>5.94</v>
      </c>
      <c r="F9" s="51">
        <v>12.17</v>
      </c>
      <c r="G9" s="51">
        <v>16.36</v>
      </c>
      <c r="H9" s="51">
        <v>8.39</v>
      </c>
      <c r="I9" s="51">
        <v>3.01</v>
      </c>
      <c r="J9" s="51">
        <v>0.25</v>
      </c>
      <c r="K9" s="51">
        <v>219.1</v>
      </c>
      <c r="L9" s="51">
        <v>27.97</v>
      </c>
      <c r="M9" s="51">
        <v>85.5</v>
      </c>
      <c r="N9" s="51">
        <v>0</v>
      </c>
      <c r="O9" s="51">
        <v>0</v>
      </c>
      <c r="P9" s="51">
        <v>0.42</v>
      </c>
      <c r="Q9" s="51">
        <v>4.3899999999999997</v>
      </c>
    </row>
    <row r="10" spans="1:21" customFormat="1">
      <c r="A10" s="50" t="s">
        <v>132</v>
      </c>
      <c r="B10" s="51">
        <v>10.94</v>
      </c>
      <c r="C10" s="51">
        <v>34.54</v>
      </c>
      <c r="D10" s="51">
        <v>25.78</v>
      </c>
      <c r="E10" s="51">
        <v>5.87</v>
      </c>
      <c r="F10" s="51">
        <v>7.49</v>
      </c>
      <c r="G10" s="51">
        <v>15.7</v>
      </c>
      <c r="H10" s="51">
        <v>8.2899999999999991</v>
      </c>
      <c r="I10" s="51">
        <v>3.06</v>
      </c>
      <c r="J10" s="51">
        <v>0.26</v>
      </c>
      <c r="K10" s="51">
        <v>180.07</v>
      </c>
      <c r="L10" s="51">
        <v>26.98</v>
      </c>
      <c r="M10" s="51">
        <v>86.69</v>
      </c>
      <c r="N10" s="51">
        <v>0</v>
      </c>
      <c r="O10" s="51">
        <v>0</v>
      </c>
      <c r="P10" s="51">
        <v>0.41</v>
      </c>
      <c r="Q10" s="51">
        <v>4.47</v>
      </c>
    </row>
    <row r="11" spans="1:21" customFormat="1">
      <c r="A11" s="50" t="s">
        <v>133</v>
      </c>
      <c r="B11" s="51">
        <v>11.45</v>
      </c>
      <c r="C11" s="51">
        <v>33.909999999999997</v>
      </c>
      <c r="D11" s="51">
        <v>25.86</v>
      </c>
      <c r="E11" s="51">
        <v>5.16</v>
      </c>
      <c r="F11" s="51">
        <v>10.25</v>
      </c>
      <c r="G11" s="51">
        <v>18.5</v>
      </c>
      <c r="H11" s="51">
        <v>6.54</v>
      </c>
      <c r="I11" s="51">
        <v>3.08</v>
      </c>
      <c r="J11" s="51">
        <v>0.22</v>
      </c>
      <c r="K11" s="51">
        <v>236.02</v>
      </c>
      <c r="L11" s="51">
        <v>26.98</v>
      </c>
      <c r="M11" s="51">
        <v>86.27</v>
      </c>
      <c r="N11" s="51">
        <v>0</v>
      </c>
      <c r="O11" s="51">
        <v>0</v>
      </c>
      <c r="P11" s="51">
        <v>0.41</v>
      </c>
      <c r="Q11" s="51">
        <v>4.51</v>
      </c>
    </row>
    <row r="12" spans="1:21" customFormat="1">
      <c r="A12" s="50" t="s">
        <v>134</v>
      </c>
      <c r="B12" s="51">
        <v>12.56</v>
      </c>
      <c r="C12" s="51">
        <v>33.79</v>
      </c>
      <c r="D12" s="51">
        <v>26.67</v>
      </c>
      <c r="E12" s="51">
        <v>5.43</v>
      </c>
      <c r="F12" s="51">
        <v>7.82</v>
      </c>
      <c r="G12" s="51">
        <v>15</v>
      </c>
      <c r="H12" s="51">
        <v>5.17</v>
      </c>
      <c r="I12" s="51">
        <v>3.02</v>
      </c>
      <c r="J12" s="51">
        <v>0.23</v>
      </c>
      <c r="K12" s="51">
        <v>175.27</v>
      </c>
      <c r="L12" s="51">
        <v>26.93</v>
      </c>
      <c r="M12" s="51">
        <v>87.64</v>
      </c>
      <c r="N12" s="51">
        <v>0</v>
      </c>
      <c r="O12" s="51">
        <v>0</v>
      </c>
      <c r="P12" s="51">
        <v>0.42</v>
      </c>
      <c r="Q12" s="51">
        <v>4.58</v>
      </c>
    </row>
    <row r="13" spans="1:21" customFormat="1">
      <c r="A13" s="50" t="s">
        <v>135</v>
      </c>
      <c r="B13" s="51">
        <v>13.43</v>
      </c>
      <c r="C13" s="51">
        <v>33.950000000000003</v>
      </c>
      <c r="D13" s="51">
        <v>27.46</v>
      </c>
      <c r="E13" s="51">
        <v>5.48</v>
      </c>
      <c r="F13" s="51">
        <v>7.32</v>
      </c>
      <c r="G13" s="51">
        <v>15</v>
      </c>
      <c r="H13" s="51">
        <v>5.5</v>
      </c>
      <c r="I13" s="51">
        <v>3.04</v>
      </c>
      <c r="J13" s="51">
        <v>0.17</v>
      </c>
      <c r="K13" s="51">
        <v>175.87</v>
      </c>
      <c r="L13" s="51">
        <v>26.78</v>
      </c>
      <c r="M13" s="51">
        <v>88.1</v>
      </c>
      <c r="N13" s="51">
        <v>0</v>
      </c>
      <c r="O13" s="51">
        <v>0</v>
      </c>
      <c r="P13" s="51">
        <v>0.41</v>
      </c>
      <c r="Q13" s="51">
        <v>4.5999999999999996</v>
      </c>
    </row>
    <row r="14" spans="1:21" customFormat="1">
      <c r="A14" s="50" t="s">
        <v>136</v>
      </c>
      <c r="B14" s="51">
        <v>14.07</v>
      </c>
      <c r="C14" s="51">
        <v>34.44</v>
      </c>
      <c r="D14" s="51">
        <v>28.23</v>
      </c>
      <c r="E14" s="51">
        <v>5.72</v>
      </c>
      <c r="F14" s="51">
        <v>7.08</v>
      </c>
      <c r="G14" s="51">
        <v>13.72</v>
      </c>
      <c r="H14" s="51">
        <v>5.76</v>
      </c>
      <c r="I14" s="51">
        <v>3.1</v>
      </c>
      <c r="J14" s="51">
        <v>0.21</v>
      </c>
      <c r="K14" s="51">
        <v>181.91</v>
      </c>
      <c r="L14" s="51">
        <v>26.69</v>
      </c>
      <c r="M14" s="51">
        <v>88.96</v>
      </c>
      <c r="N14" s="51">
        <v>12.1</v>
      </c>
      <c r="O14" s="51">
        <v>0</v>
      </c>
      <c r="P14" s="51">
        <v>0.4</v>
      </c>
      <c r="Q14" s="51">
        <v>4.6399999999999997</v>
      </c>
    </row>
    <row r="15" spans="1:21" customFormat="1">
      <c r="A15" s="50" t="s">
        <v>137</v>
      </c>
      <c r="B15" s="51">
        <v>14.3</v>
      </c>
      <c r="C15" s="51">
        <v>33.33</v>
      </c>
      <c r="D15" s="51">
        <v>27.68</v>
      </c>
      <c r="E15" s="51">
        <v>5.4</v>
      </c>
      <c r="F15" s="51">
        <v>6.52</v>
      </c>
      <c r="G15" s="51">
        <v>14.15</v>
      </c>
      <c r="H15" s="51">
        <v>5.53</v>
      </c>
      <c r="I15" s="51">
        <v>3.11</v>
      </c>
      <c r="J15" s="51">
        <v>0.25</v>
      </c>
      <c r="K15" s="51">
        <v>261.8</v>
      </c>
      <c r="L15" s="51">
        <v>27.64</v>
      </c>
      <c r="M15" s="51">
        <v>86.19</v>
      </c>
      <c r="N15" s="51">
        <v>74.900000000000006</v>
      </c>
      <c r="O15" s="51">
        <v>0</v>
      </c>
      <c r="P15" s="51">
        <v>0.41</v>
      </c>
      <c r="Q15" s="51">
        <v>4.7300000000000004</v>
      </c>
    </row>
    <row r="16" spans="1:21" customFormat="1">
      <c r="A16" s="50" t="s">
        <v>138</v>
      </c>
      <c r="B16" s="51">
        <v>14.91</v>
      </c>
      <c r="C16" s="51">
        <v>35.61</v>
      </c>
      <c r="D16" s="51">
        <v>29.51</v>
      </c>
      <c r="E16" s="51">
        <v>9.3699999999999992</v>
      </c>
      <c r="F16" s="51">
        <v>7.47</v>
      </c>
      <c r="G16" s="51">
        <v>12.54</v>
      </c>
      <c r="H16" s="51">
        <v>4.49</v>
      </c>
      <c r="I16" s="51">
        <v>3.67</v>
      </c>
      <c r="J16" s="51">
        <v>0.43</v>
      </c>
      <c r="K16" s="51">
        <v>283.95</v>
      </c>
      <c r="L16" s="51">
        <v>29.03</v>
      </c>
      <c r="M16" s="51">
        <v>79.37</v>
      </c>
      <c r="N16" s="51">
        <v>133.9</v>
      </c>
      <c r="O16" s="51">
        <v>0</v>
      </c>
      <c r="P16" s="51">
        <v>0.5</v>
      </c>
      <c r="Q16" s="51">
        <v>4.72</v>
      </c>
    </row>
    <row r="17" spans="1:17" customFormat="1">
      <c r="A17" s="50" t="s">
        <v>139</v>
      </c>
      <c r="B17" s="51">
        <v>15.39</v>
      </c>
      <c r="C17" s="51">
        <v>36.090000000000003</v>
      </c>
      <c r="D17" s="51">
        <v>30.15</v>
      </c>
      <c r="E17" s="51">
        <v>8.14</v>
      </c>
      <c r="F17" s="51">
        <v>8.06</v>
      </c>
      <c r="G17" s="51">
        <v>19.670000000000002</v>
      </c>
      <c r="H17" s="51">
        <v>4.93</v>
      </c>
      <c r="I17" s="51">
        <v>4.2300000000000004</v>
      </c>
      <c r="J17" s="51">
        <v>0.27</v>
      </c>
      <c r="K17" s="51">
        <v>241.79</v>
      </c>
      <c r="L17" s="51">
        <v>29.07</v>
      </c>
      <c r="M17" s="51">
        <v>79.63</v>
      </c>
      <c r="N17" s="51">
        <v>153.19999999999999</v>
      </c>
      <c r="O17" s="51">
        <v>0</v>
      </c>
      <c r="P17" s="51">
        <v>0.52</v>
      </c>
      <c r="Q17" s="51">
        <v>4.76</v>
      </c>
    </row>
    <row r="18" spans="1:17" customFormat="1">
      <c r="A18" s="50" t="s">
        <v>140</v>
      </c>
      <c r="B18" s="51">
        <v>15.19</v>
      </c>
      <c r="C18" s="51">
        <v>37.19</v>
      </c>
      <c r="D18" s="51">
        <v>30.51</v>
      </c>
      <c r="E18" s="51">
        <v>7.96</v>
      </c>
      <c r="F18" s="51">
        <v>8.94</v>
      </c>
      <c r="G18" s="51">
        <v>25.15</v>
      </c>
      <c r="H18" s="51">
        <v>6.93</v>
      </c>
      <c r="I18" s="51">
        <v>4.4800000000000004</v>
      </c>
      <c r="J18" s="51">
        <v>0.28999999999999998</v>
      </c>
      <c r="K18" s="51">
        <v>265.3</v>
      </c>
      <c r="L18" s="51">
        <v>31.01</v>
      </c>
      <c r="M18" s="51">
        <v>77.37</v>
      </c>
      <c r="N18" s="51">
        <v>359.1</v>
      </c>
      <c r="O18" s="51">
        <v>0</v>
      </c>
      <c r="P18" s="51">
        <v>0.56000000000000005</v>
      </c>
      <c r="Q18" s="51">
        <v>4.78</v>
      </c>
    </row>
    <row r="19" spans="1:17" customFormat="1">
      <c r="A19" s="50" t="s">
        <v>141</v>
      </c>
      <c r="B19" s="51">
        <v>14.98</v>
      </c>
      <c r="C19" s="51">
        <v>34.01</v>
      </c>
      <c r="D19" s="51">
        <v>27.94</v>
      </c>
      <c r="E19" s="51">
        <v>17.89</v>
      </c>
      <c r="F19" s="51">
        <v>9.4700000000000006</v>
      </c>
      <c r="G19" s="51">
        <v>27.93</v>
      </c>
      <c r="H19" s="51">
        <v>9.1300000000000008</v>
      </c>
      <c r="I19" s="51">
        <v>4.62</v>
      </c>
      <c r="J19" s="51">
        <v>0.85</v>
      </c>
      <c r="K19" s="51">
        <v>318.57</v>
      </c>
      <c r="L19" s="51">
        <v>32.31</v>
      </c>
      <c r="M19" s="51">
        <v>67.44</v>
      </c>
      <c r="N19" s="51">
        <v>374.2</v>
      </c>
      <c r="O19" s="51">
        <v>0</v>
      </c>
      <c r="P19" s="51">
        <v>0.54</v>
      </c>
      <c r="Q19" s="51">
        <v>4.63</v>
      </c>
    </row>
    <row r="20" spans="1:17" customFormat="1">
      <c r="A20" s="50" t="s">
        <v>142</v>
      </c>
      <c r="B20" s="51">
        <v>14.2</v>
      </c>
      <c r="C20" s="51">
        <v>36.869999999999997</v>
      </c>
      <c r="D20" s="51">
        <v>29.61</v>
      </c>
      <c r="E20" s="51">
        <v>25.58</v>
      </c>
      <c r="F20" s="51">
        <v>16.16</v>
      </c>
      <c r="G20" s="51">
        <v>31.85</v>
      </c>
      <c r="H20" s="51">
        <v>8.26</v>
      </c>
      <c r="I20" s="51">
        <v>4.49</v>
      </c>
      <c r="J20" s="51">
        <v>0.76</v>
      </c>
      <c r="K20" s="51">
        <v>333.32</v>
      </c>
      <c r="L20" s="51">
        <v>34.42</v>
      </c>
      <c r="M20" s="51">
        <v>58.57</v>
      </c>
      <c r="N20" s="51">
        <v>748.7</v>
      </c>
      <c r="O20" s="51">
        <v>0</v>
      </c>
      <c r="P20" s="51">
        <v>0.56999999999999995</v>
      </c>
      <c r="Q20" s="51">
        <v>4.74</v>
      </c>
    </row>
    <row r="21" spans="1:17" customFormat="1">
      <c r="A21" s="50" t="s">
        <v>143</v>
      </c>
      <c r="B21" s="51">
        <v>11.05</v>
      </c>
      <c r="C21" s="51">
        <v>32.99</v>
      </c>
      <c r="D21" s="51">
        <v>24.52</v>
      </c>
      <c r="E21" s="51">
        <v>20.81</v>
      </c>
      <c r="F21" s="51">
        <v>19.45</v>
      </c>
      <c r="G21" s="51">
        <v>33.299999999999997</v>
      </c>
      <c r="H21" s="51">
        <v>9.93</v>
      </c>
      <c r="I21" s="51">
        <v>4.51</v>
      </c>
      <c r="J21" s="51">
        <v>0.43</v>
      </c>
      <c r="K21" s="51">
        <v>331.33</v>
      </c>
      <c r="L21" s="51">
        <v>34.96</v>
      </c>
      <c r="M21" s="51">
        <v>55.36</v>
      </c>
      <c r="N21" s="51">
        <v>751.9</v>
      </c>
      <c r="O21" s="51">
        <v>0</v>
      </c>
      <c r="P21" s="51">
        <v>0.53</v>
      </c>
      <c r="Q21" s="51">
        <v>4.5999999999999996</v>
      </c>
    </row>
    <row r="22" spans="1:17" customFormat="1">
      <c r="A22" s="50" t="s">
        <v>144</v>
      </c>
      <c r="B22" s="51">
        <v>7.98</v>
      </c>
      <c r="C22" s="51">
        <v>30.77</v>
      </c>
      <c r="D22" s="51">
        <v>21.43</v>
      </c>
      <c r="E22" s="51">
        <v>17.190000000000001</v>
      </c>
      <c r="F22" s="51">
        <v>29.51</v>
      </c>
      <c r="G22" s="51">
        <v>35.020000000000003</v>
      </c>
      <c r="H22" s="51">
        <v>10.61</v>
      </c>
      <c r="I22" s="51">
        <v>4.4800000000000004</v>
      </c>
      <c r="J22" s="51">
        <v>0.4</v>
      </c>
      <c r="K22" s="51">
        <v>254.95</v>
      </c>
      <c r="L22" s="51">
        <v>34.94</v>
      </c>
      <c r="M22" s="51">
        <v>58.3</v>
      </c>
      <c r="N22" s="51">
        <v>457.4</v>
      </c>
      <c r="O22" s="51">
        <v>0</v>
      </c>
      <c r="P22" s="51">
        <v>0.52</v>
      </c>
      <c r="Q22" s="51">
        <v>4.42</v>
      </c>
    </row>
    <row r="23" spans="1:17" customFormat="1">
      <c r="A23" s="50" t="s">
        <v>145</v>
      </c>
      <c r="B23" s="51">
        <v>5.2</v>
      </c>
      <c r="C23" s="51">
        <v>29.65</v>
      </c>
      <c r="D23" s="51">
        <v>18.62</v>
      </c>
      <c r="E23" s="51">
        <v>14.87</v>
      </c>
      <c r="F23" s="51">
        <v>30.03</v>
      </c>
      <c r="G23" s="51">
        <v>35.049999999999997</v>
      </c>
      <c r="H23" s="51">
        <v>11.73</v>
      </c>
      <c r="I23" s="51">
        <v>4.45</v>
      </c>
      <c r="J23" s="51">
        <v>0.37</v>
      </c>
      <c r="K23" s="51">
        <v>200.7</v>
      </c>
      <c r="L23" s="51">
        <v>34.67</v>
      </c>
      <c r="M23" s="51">
        <v>62.75</v>
      </c>
      <c r="N23" s="51">
        <v>433.3</v>
      </c>
      <c r="O23" s="51">
        <v>0</v>
      </c>
      <c r="P23" s="51">
        <v>0.55000000000000004</v>
      </c>
      <c r="Q23" s="51">
        <v>4.24</v>
      </c>
    </row>
    <row r="24" spans="1:17" customFormat="1">
      <c r="A24" s="50" t="s">
        <v>146</v>
      </c>
      <c r="B24" s="51">
        <v>4.54</v>
      </c>
      <c r="C24" s="51">
        <v>29.55</v>
      </c>
      <c r="D24" s="51">
        <v>18.02</v>
      </c>
      <c r="E24" s="51">
        <v>13.54</v>
      </c>
      <c r="F24" s="51">
        <v>26.93</v>
      </c>
      <c r="G24" s="51">
        <v>29.89</v>
      </c>
      <c r="H24" s="51">
        <v>12.7</v>
      </c>
      <c r="I24" s="51">
        <v>4.4000000000000004</v>
      </c>
      <c r="J24" s="51">
        <v>0.4</v>
      </c>
      <c r="K24" s="51">
        <v>237.8</v>
      </c>
      <c r="L24" s="51">
        <v>35.58</v>
      </c>
      <c r="M24" s="51">
        <v>56.98</v>
      </c>
      <c r="N24" s="51">
        <v>536.70000000000005</v>
      </c>
      <c r="O24" s="51">
        <v>0</v>
      </c>
      <c r="P24" s="51">
        <v>0.52</v>
      </c>
      <c r="Q24" s="51">
        <v>4.16</v>
      </c>
    </row>
    <row r="25" spans="1:17" customFormat="1">
      <c r="A25" s="50" t="s">
        <v>147</v>
      </c>
      <c r="B25" s="51">
        <v>4.2300000000000004</v>
      </c>
      <c r="C25" s="51">
        <v>26.65</v>
      </c>
      <c r="D25" s="51">
        <v>16.27</v>
      </c>
      <c r="E25" s="51">
        <v>12.69</v>
      </c>
      <c r="F25" s="51">
        <v>32.93</v>
      </c>
      <c r="G25" s="51">
        <v>29.77</v>
      </c>
      <c r="H25" s="51">
        <v>11.78</v>
      </c>
      <c r="I25" s="51">
        <v>4.3</v>
      </c>
      <c r="J25" s="51">
        <v>0.35</v>
      </c>
      <c r="K25" s="51">
        <v>217.14</v>
      </c>
      <c r="L25" s="51">
        <v>34.68</v>
      </c>
      <c r="M25" s="51">
        <v>57.44</v>
      </c>
      <c r="N25" s="51">
        <v>235.6</v>
      </c>
      <c r="O25" s="51">
        <v>0</v>
      </c>
      <c r="P25" s="51">
        <v>0.5</v>
      </c>
      <c r="Q25" s="51">
        <v>4.08</v>
      </c>
    </row>
    <row r="26" spans="1:17" customFormat="1">
      <c r="A26" s="50" t="s">
        <v>148</v>
      </c>
      <c r="B26" s="51">
        <v>3.9</v>
      </c>
      <c r="C26" s="51">
        <v>22.85</v>
      </c>
      <c r="D26" s="51">
        <v>14.02</v>
      </c>
      <c r="E26" s="51">
        <v>12.75</v>
      </c>
      <c r="F26" s="51">
        <v>47.51</v>
      </c>
      <c r="G26" s="51">
        <v>29.78</v>
      </c>
      <c r="H26" s="51">
        <v>12.29</v>
      </c>
      <c r="I26" s="51">
        <v>3.57</v>
      </c>
      <c r="J26" s="51">
        <v>0.38</v>
      </c>
      <c r="K26" s="51">
        <v>196.03</v>
      </c>
      <c r="L26" s="51">
        <v>34.270000000000003</v>
      </c>
      <c r="M26" s="51">
        <v>60.13</v>
      </c>
      <c r="N26" s="51">
        <v>142.4</v>
      </c>
      <c r="O26" s="51">
        <v>0</v>
      </c>
      <c r="P26" s="51">
        <v>0.47</v>
      </c>
      <c r="Q26" s="51">
        <v>4.03</v>
      </c>
    </row>
    <row r="27" spans="1:17" customFormat="1">
      <c r="A27" s="50" t="s">
        <v>149</v>
      </c>
      <c r="B27" s="51">
        <v>3.43</v>
      </c>
      <c r="C27" s="51">
        <v>21.54</v>
      </c>
      <c r="D27" s="51">
        <v>12.96</v>
      </c>
      <c r="E27" s="51">
        <v>9.4600000000000009</v>
      </c>
      <c r="F27" s="51">
        <v>42.93</v>
      </c>
      <c r="G27" s="51">
        <v>26.21</v>
      </c>
      <c r="H27" s="51">
        <v>11.49</v>
      </c>
      <c r="I27" s="51">
        <v>3.12</v>
      </c>
      <c r="J27" s="51">
        <v>0.24</v>
      </c>
      <c r="K27" s="51">
        <v>202.53</v>
      </c>
      <c r="L27" s="51">
        <v>32.799999999999997</v>
      </c>
      <c r="M27" s="51">
        <v>67.02</v>
      </c>
      <c r="N27" s="51">
        <v>18.5</v>
      </c>
      <c r="O27" s="51">
        <v>0</v>
      </c>
      <c r="P27" s="51">
        <v>0.47</v>
      </c>
      <c r="Q27" s="51">
        <v>3.98</v>
      </c>
    </row>
    <row r="28" spans="1:17" customFormat="1">
      <c r="A28" s="50" t="s">
        <v>150</v>
      </c>
      <c r="B28" s="51">
        <v>3.46</v>
      </c>
      <c r="C28" s="51">
        <v>21.59</v>
      </c>
      <c r="D28" s="51">
        <v>12.96</v>
      </c>
      <c r="E28" s="51">
        <v>8.9</v>
      </c>
      <c r="F28" s="51">
        <v>33.520000000000003</v>
      </c>
      <c r="G28" s="51">
        <v>25.54</v>
      </c>
      <c r="H28" s="51">
        <v>11.18</v>
      </c>
      <c r="I28" s="51">
        <v>3.7</v>
      </c>
      <c r="J28" s="51">
        <v>0.18</v>
      </c>
      <c r="K28" s="51">
        <v>218.23</v>
      </c>
      <c r="L28" s="51">
        <v>31.24</v>
      </c>
      <c r="M28" s="51">
        <v>72.86</v>
      </c>
      <c r="N28" s="51">
        <v>0</v>
      </c>
      <c r="O28" s="51">
        <v>0</v>
      </c>
      <c r="P28" s="51">
        <v>0.52</v>
      </c>
      <c r="Q28" s="51">
        <v>4.03</v>
      </c>
    </row>
    <row r="29" spans="1:17" customFormat="1">
      <c r="A29" s="50" t="s">
        <v>151</v>
      </c>
      <c r="B29" s="51">
        <v>3.99</v>
      </c>
      <c r="C29" s="51">
        <v>24.2</v>
      </c>
      <c r="D29" s="51">
        <v>14.79</v>
      </c>
      <c r="E29" s="51">
        <v>7.88</v>
      </c>
      <c r="F29" s="51">
        <v>27.56</v>
      </c>
      <c r="G29" s="51">
        <v>26.75</v>
      </c>
      <c r="H29" s="51">
        <v>12.15</v>
      </c>
      <c r="I29" s="51">
        <v>3.95</v>
      </c>
      <c r="J29" s="51">
        <v>0.16</v>
      </c>
      <c r="K29" s="51">
        <v>196.54</v>
      </c>
      <c r="L29" s="51">
        <v>30.5</v>
      </c>
      <c r="M29" s="51">
        <v>75.31</v>
      </c>
      <c r="N29" s="51">
        <v>0</v>
      </c>
      <c r="O29" s="51">
        <v>0</v>
      </c>
      <c r="P29" s="51">
        <v>0.62</v>
      </c>
      <c r="Q29" s="51">
        <v>4.1100000000000003</v>
      </c>
    </row>
    <row r="30" spans="1:17" customFormat="1">
      <c r="A30" s="50" t="s">
        <v>152</v>
      </c>
      <c r="B30" s="51">
        <v>4.28</v>
      </c>
      <c r="C30" s="51">
        <v>22.24</v>
      </c>
      <c r="D30" s="51">
        <v>13.98</v>
      </c>
      <c r="E30" s="51">
        <v>7.72</v>
      </c>
      <c r="F30" s="51">
        <v>20.92</v>
      </c>
      <c r="G30" s="51">
        <v>30.51</v>
      </c>
      <c r="H30" s="51">
        <v>13.6</v>
      </c>
      <c r="I30" s="51">
        <v>4.2</v>
      </c>
      <c r="J30" s="51">
        <v>0.17</v>
      </c>
      <c r="K30" s="51">
        <v>219.03</v>
      </c>
      <c r="L30" s="51">
        <v>30.22</v>
      </c>
      <c r="M30" s="51">
        <v>79.91</v>
      </c>
      <c r="N30" s="51">
        <v>0</v>
      </c>
      <c r="O30" s="51">
        <v>0</v>
      </c>
      <c r="P30" s="51">
        <v>0.62</v>
      </c>
      <c r="Q30" s="51">
        <v>4.1100000000000003</v>
      </c>
    </row>
    <row r="31" spans="1:17" customFormat="1">
      <c r="A31" s="50" t="s">
        <v>153</v>
      </c>
      <c r="B31" s="51">
        <v>4.92</v>
      </c>
      <c r="C31" s="51">
        <v>26.92</v>
      </c>
      <c r="D31" s="51">
        <v>16.97</v>
      </c>
      <c r="E31" s="51">
        <v>7.32</v>
      </c>
      <c r="F31" s="51">
        <v>20.65</v>
      </c>
      <c r="G31" s="51">
        <v>34.51</v>
      </c>
      <c r="H31" s="51">
        <v>14.31</v>
      </c>
      <c r="I31" s="51">
        <v>4.08</v>
      </c>
      <c r="J31" s="51">
        <v>0.17</v>
      </c>
      <c r="K31" s="51">
        <v>210.84</v>
      </c>
      <c r="L31" s="51">
        <v>29.76</v>
      </c>
      <c r="M31" s="51">
        <v>80.400000000000006</v>
      </c>
      <c r="N31" s="51">
        <v>0</v>
      </c>
      <c r="O31" s="51">
        <v>0</v>
      </c>
      <c r="P31" s="51">
        <v>0.57999999999999996</v>
      </c>
      <c r="Q31" s="51">
        <v>4.2300000000000004</v>
      </c>
    </row>
    <row r="32" spans="1:17" customFormat="1">
      <c r="A32" s="50" t="s">
        <v>154</v>
      </c>
      <c r="B32" s="51">
        <v>6.42</v>
      </c>
      <c r="C32" s="51">
        <v>28.94</v>
      </c>
      <c r="D32" s="51">
        <v>19.04</v>
      </c>
      <c r="E32" s="51">
        <v>6.98</v>
      </c>
      <c r="F32" s="51">
        <v>11.97</v>
      </c>
      <c r="G32" s="51">
        <v>35.93</v>
      </c>
      <c r="H32" s="51">
        <v>14.29</v>
      </c>
      <c r="I32" s="51">
        <v>4.46</v>
      </c>
      <c r="J32" s="51">
        <v>0.16</v>
      </c>
      <c r="K32" s="51">
        <v>226.42</v>
      </c>
      <c r="L32" s="51">
        <v>29.18</v>
      </c>
      <c r="M32" s="51">
        <v>84.85</v>
      </c>
      <c r="N32" s="51">
        <v>0</v>
      </c>
      <c r="O32" s="51">
        <v>0</v>
      </c>
      <c r="P32" s="51">
        <v>0.63</v>
      </c>
      <c r="Q32" s="51">
        <v>4.3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3.43</v>
      </c>
      <c r="C34" s="41">
        <f t="shared" si="0"/>
        <v>21.54</v>
      </c>
      <c r="D34" s="41">
        <f t="shared" si="0"/>
        <v>12.96</v>
      </c>
      <c r="E34" s="41">
        <f t="shared" si="0"/>
        <v>5.16</v>
      </c>
      <c r="F34" s="41">
        <f t="shared" si="0"/>
        <v>6.52</v>
      </c>
      <c r="G34" s="41">
        <f t="shared" si="0"/>
        <v>12.54</v>
      </c>
      <c r="H34" s="41">
        <f t="shared" si="0"/>
        <v>4.49</v>
      </c>
      <c r="I34" s="41">
        <f t="shared" si="0"/>
        <v>3.01</v>
      </c>
      <c r="J34" s="41">
        <f t="shared" si="0"/>
        <v>0.16</v>
      </c>
      <c r="K34" s="41">
        <f t="shared" si="0"/>
        <v>175.27</v>
      </c>
      <c r="L34" s="41">
        <f t="shared" si="0"/>
        <v>26.69</v>
      </c>
      <c r="M34" s="41">
        <f t="shared" si="0"/>
        <v>55.36</v>
      </c>
      <c r="N34" s="41">
        <f t="shared" si="0"/>
        <v>0</v>
      </c>
      <c r="O34" s="41">
        <f t="shared" si="0"/>
        <v>0</v>
      </c>
      <c r="P34" s="41">
        <f t="shared" si="0"/>
        <v>0.4</v>
      </c>
      <c r="Q34" s="41">
        <f t="shared" si="0"/>
        <v>3.98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15.39</v>
      </c>
      <c r="C35" s="33">
        <f t="shared" si="1"/>
        <v>37.19</v>
      </c>
      <c r="D35" s="33">
        <f t="shared" si="1"/>
        <v>30.51</v>
      </c>
      <c r="E35" s="33">
        <f t="shared" si="1"/>
        <v>25.58</v>
      </c>
      <c r="F35" s="33">
        <f t="shared" si="1"/>
        <v>47.51</v>
      </c>
      <c r="G35" s="33">
        <f t="shared" si="1"/>
        <v>35.93</v>
      </c>
      <c r="H35" s="33">
        <f t="shared" si="1"/>
        <v>14.31</v>
      </c>
      <c r="I35" s="33">
        <f t="shared" si="1"/>
        <v>4.62</v>
      </c>
      <c r="J35" s="33">
        <f t="shared" si="1"/>
        <v>0.85</v>
      </c>
      <c r="K35" s="33">
        <f t="shared" si="1"/>
        <v>333.32</v>
      </c>
      <c r="L35" s="33">
        <f t="shared" si="1"/>
        <v>35.58</v>
      </c>
      <c r="M35" s="33">
        <f t="shared" si="1"/>
        <v>88.96</v>
      </c>
      <c r="N35" s="33">
        <f t="shared" si="1"/>
        <v>751.9</v>
      </c>
      <c r="O35" s="33">
        <f t="shared" si="1"/>
        <v>0</v>
      </c>
      <c r="P35" s="33">
        <f t="shared" si="1"/>
        <v>0.63</v>
      </c>
      <c r="Q35" s="33">
        <f t="shared" si="1"/>
        <v>4.78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9.3558333333333312</v>
      </c>
      <c r="C36" s="41">
        <f t="shared" si="2"/>
        <v>30.640833333333333</v>
      </c>
      <c r="D36" s="41">
        <f t="shared" si="2"/>
        <v>22.389999999999997</v>
      </c>
      <c r="E36" s="41">
        <f t="shared" si="2"/>
        <v>10.335416666666665</v>
      </c>
      <c r="F36" s="41">
        <f t="shared" si="2"/>
        <v>18.860833333333336</v>
      </c>
      <c r="G36" s="41">
        <f t="shared" si="2"/>
        <v>24.90958333333333</v>
      </c>
      <c r="H36" s="41">
        <f t="shared" si="2"/>
        <v>9.3741666666666656</v>
      </c>
      <c r="I36" s="41">
        <f t="shared" si="2"/>
        <v>3.8387500000000006</v>
      </c>
      <c r="J36" s="41">
        <f t="shared" si="2"/>
        <v>0.31666666666666671</v>
      </c>
      <c r="K36" s="41">
        <f t="shared" si="2"/>
        <v>232.68791666666664</v>
      </c>
      <c r="L36" s="41">
        <f t="shared" si="2"/>
        <v>30.775416666666661</v>
      </c>
      <c r="M36" s="41">
        <f t="shared" si="2"/>
        <v>74.293333333333337</v>
      </c>
      <c r="N36" s="41">
        <f t="shared" si="2"/>
        <v>184.66250000000002</v>
      </c>
      <c r="O36" s="41">
        <f t="shared" si="2"/>
        <v>0</v>
      </c>
      <c r="P36" s="41">
        <f t="shared" si="2"/>
        <v>0.50416666666666676</v>
      </c>
      <c r="Q36" s="41">
        <f t="shared" si="2"/>
        <v>4.41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4.6201401415472523</v>
      </c>
      <c r="C37" s="41">
        <f t="shared" ref="C37:Q37" si="3">STDEV(C9:C32)</f>
        <v>5.1222192173066183</v>
      </c>
      <c r="D37" s="41">
        <f t="shared" si="3"/>
        <v>6.2086888624978354</v>
      </c>
      <c r="E37" s="41">
        <f t="shared" si="3"/>
        <v>5.4976785449913264</v>
      </c>
      <c r="F37" s="41">
        <f t="shared" si="3"/>
        <v>12.303843484568294</v>
      </c>
      <c r="G37" s="41">
        <f t="shared" si="3"/>
        <v>8.0006366481275979</v>
      </c>
      <c r="H37" s="41">
        <f t="shared" si="3"/>
        <v>3.2042579235416921</v>
      </c>
      <c r="I37" s="41">
        <f t="shared" si="3"/>
        <v>0.61994608811888596</v>
      </c>
      <c r="J37" s="41">
        <f t="shared" si="3"/>
        <v>0.17568911937472578</v>
      </c>
      <c r="K37" s="41">
        <f t="shared" si="3"/>
        <v>46.709672118139302</v>
      </c>
      <c r="L37" s="41">
        <f t="shared" si="3"/>
        <v>3.1238242715796893</v>
      </c>
      <c r="M37" s="41">
        <f t="shared" si="3"/>
        <v>11.931289032246889</v>
      </c>
      <c r="N37" s="41">
        <f t="shared" si="3"/>
        <v>245.37210396084942</v>
      </c>
      <c r="O37" s="41">
        <f t="shared" si="3"/>
        <v>0</v>
      </c>
      <c r="P37" s="41">
        <f t="shared" si="3"/>
        <v>7.3361325355878318E-2</v>
      </c>
      <c r="Q37" s="41">
        <f t="shared" si="3"/>
        <v>0.27041031624262724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5.14062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04/07/2023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155</v>
      </c>
      <c r="B9" s="51">
        <v>6.12</v>
      </c>
      <c r="C9" s="51">
        <v>25.94</v>
      </c>
      <c r="D9" s="51">
        <v>17.420000000000002</v>
      </c>
      <c r="E9" s="51">
        <v>6.64</v>
      </c>
      <c r="F9" s="51">
        <v>15.82</v>
      </c>
      <c r="G9" s="51">
        <v>33.78</v>
      </c>
      <c r="H9" s="51">
        <v>15.03</v>
      </c>
      <c r="I9" s="51">
        <v>4.5599999999999996</v>
      </c>
      <c r="J9" s="51">
        <v>0.14000000000000001</v>
      </c>
      <c r="K9" s="51">
        <v>206.73</v>
      </c>
      <c r="L9" s="51">
        <v>29.15</v>
      </c>
      <c r="M9" s="51">
        <v>83.84</v>
      </c>
      <c r="N9" s="51">
        <v>0</v>
      </c>
      <c r="O9" s="51">
        <v>0</v>
      </c>
      <c r="P9" s="51">
        <v>0.63</v>
      </c>
      <c r="Q9" s="51">
        <v>4.2699999999999996</v>
      </c>
    </row>
    <row r="10" spans="1:21" customFormat="1">
      <c r="A10" s="50" t="s">
        <v>156</v>
      </c>
      <c r="B10" s="51">
        <v>6.36</v>
      </c>
      <c r="C10" s="51">
        <v>28.34</v>
      </c>
      <c r="D10" s="51">
        <v>18.87</v>
      </c>
      <c r="E10" s="51">
        <v>6.72</v>
      </c>
      <c r="F10" s="51">
        <v>15.21</v>
      </c>
      <c r="G10" s="51">
        <v>30.13</v>
      </c>
      <c r="H10" s="51">
        <v>12.7</v>
      </c>
      <c r="I10" s="51">
        <v>4.4400000000000004</v>
      </c>
      <c r="J10" s="51">
        <v>0.18</v>
      </c>
      <c r="K10" s="51">
        <v>221.39</v>
      </c>
      <c r="L10" s="51">
        <v>29.11</v>
      </c>
      <c r="M10" s="51">
        <v>86.18</v>
      </c>
      <c r="N10" s="51">
        <v>0</v>
      </c>
      <c r="O10" s="51">
        <v>0</v>
      </c>
      <c r="P10" s="51">
        <v>0.64</v>
      </c>
      <c r="Q10" s="51">
        <v>4.37</v>
      </c>
    </row>
    <row r="11" spans="1:21" customFormat="1">
      <c r="A11" s="50" t="s">
        <v>157</v>
      </c>
      <c r="B11" s="51">
        <v>6.98</v>
      </c>
      <c r="C11" s="51">
        <v>28.07</v>
      </c>
      <c r="D11" s="51">
        <v>19.22</v>
      </c>
      <c r="E11" s="51">
        <v>6.57</v>
      </c>
      <c r="F11" s="51">
        <v>16.48</v>
      </c>
      <c r="G11" s="51">
        <v>30.38</v>
      </c>
      <c r="H11" s="51">
        <v>13.35</v>
      </c>
      <c r="I11" s="51">
        <v>4.08</v>
      </c>
      <c r="J11" s="51">
        <v>0.14000000000000001</v>
      </c>
      <c r="K11" s="51">
        <v>201.84</v>
      </c>
      <c r="L11" s="51">
        <v>28.78</v>
      </c>
      <c r="M11" s="51">
        <v>85.23</v>
      </c>
      <c r="N11" s="51">
        <v>0</v>
      </c>
      <c r="O11" s="51">
        <v>0</v>
      </c>
      <c r="P11" s="51">
        <v>0.56999999999999995</v>
      </c>
      <c r="Q11" s="51">
        <v>4.3899999999999997</v>
      </c>
    </row>
    <row r="12" spans="1:21" customFormat="1">
      <c r="A12" s="50" t="s">
        <v>158</v>
      </c>
      <c r="B12" s="51">
        <v>7.86</v>
      </c>
      <c r="C12" s="51">
        <v>29.53</v>
      </c>
      <c r="D12" s="51">
        <v>20.68</v>
      </c>
      <c r="E12" s="51">
        <v>6.29</v>
      </c>
      <c r="F12" s="51">
        <v>13.86</v>
      </c>
      <c r="G12" s="51">
        <v>31.13</v>
      </c>
      <c r="H12" s="51">
        <v>12.21</v>
      </c>
      <c r="I12" s="51">
        <v>4.04</v>
      </c>
      <c r="J12" s="51">
        <v>0.16</v>
      </c>
      <c r="K12" s="51">
        <v>203.38</v>
      </c>
      <c r="L12" s="51">
        <v>28.32</v>
      </c>
      <c r="M12" s="51">
        <v>87.7</v>
      </c>
      <c r="N12" s="51">
        <v>0</v>
      </c>
      <c r="O12" s="51">
        <v>0</v>
      </c>
      <c r="P12" s="51">
        <v>0.55000000000000004</v>
      </c>
      <c r="Q12" s="51">
        <v>4.4400000000000004</v>
      </c>
    </row>
    <row r="13" spans="1:21" customFormat="1">
      <c r="A13" s="50" t="s">
        <v>159</v>
      </c>
      <c r="B13" s="51">
        <v>9.01</v>
      </c>
      <c r="C13" s="51">
        <v>30.73</v>
      </c>
      <c r="D13" s="51">
        <v>22.15</v>
      </c>
      <c r="E13" s="51">
        <v>6.23</v>
      </c>
      <c r="F13" s="51">
        <v>10.74</v>
      </c>
      <c r="G13" s="51">
        <v>27.53</v>
      </c>
      <c r="H13" s="51">
        <v>12.69</v>
      </c>
      <c r="I13" s="51">
        <v>4.2699999999999996</v>
      </c>
      <c r="J13" s="51">
        <v>0.2</v>
      </c>
      <c r="K13" s="51">
        <v>187.03</v>
      </c>
      <c r="L13" s="51">
        <v>28.14</v>
      </c>
      <c r="M13" s="51">
        <v>89.19</v>
      </c>
      <c r="N13" s="51">
        <v>0</v>
      </c>
      <c r="O13" s="51">
        <v>0</v>
      </c>
      <c r="P13" s="51">
        <v>0.57999999999999996</v>
      </c>
      <c r="Q13" s="51">
        <v>4.46</v>
      </c>
    </row>
    <row r="14" spans="1:21" customFormat="1">
      <c r="A14" s="50" t="s">
        <v>160</v>
      </c>
      <c r="B14" s="51">
        <v>9.94</v>
      </c>
      <c r="C14" s="51">
        <v>30.64</v>
      </c>
      <c r="D14" s="51">
        <v>22.71</v>
      </c>
      <c r="E14" s="51">
        <v>6.27</v>
      </c>
      <c r="F14" s="51">
        <v>8.9700000000000006</v>
      </c>
      <c r="G14" s="51">
        <v>28.11</v>
      </c>
      <c r="H14" s="51">
        <v>11.75</v>
      </c>
      <c r="I14" s="51">
        <v>4.13</v>
      </c>
      <c r="J14" s="51">
        <v>0.11</v>
      </c>
      <c r="K14" s="51">
        <v>289.92</v>
      </c>
      <c r="L14" s="51">
        <v>28.02</v>
      </c>
      <c r="M14" s="51">
        <v>90.94</v>
      </c>
      <c r="N14" s="51">
        <v>21.6</v>
      </c>
      <c r="O14" s="51">
        <v>0</v>
      </c>
      <c r="P14" s="51">
        <v>0.56000000000000005</v>
      </c>
      <c r="Q14" s="51">
        <v>4.5199999999999996</v>
      </c>
    </row>
    <row r="15" spans="1:21" customFormat="1">
      <c r="A15" s="50" t="s">
        <v>161</v>
      </c>
      <c r="B15" s="51">
        <v>14.79</v>
      </c>
      <c r="C15" s="51">
        <v>35.44</v>
      </c>
      <c r="D15" s="51">
        <v>29.33</v>
      </c>
      <c r="E15" s="51">
        <v>6.54</v>
      </c>
      <c r="F15" s="51">
        <v>12.33</v>
      </c>
      <c r="G15" s="51">
        <v>28.82</v>
      </c>
      <c r="H15" s="51">
        <v>12.89</v>
      </c>
      <c r="I15" s="51">
        <v>4.4000000000000004</v>
      </c>
      <c r="J15" s="51">
        <v>0.2</v>
      </c>
      <c r="K15" s="51">
        <v>303.57</v>
      </c>
      <c r="L15" s="51">
        <v>30.27</v>
      </c>
      <c r="M15" s="51">
        <v>84.41</v>
      </c>
      <c r="N15" s="51">
        <v>67.900000000000006</v>
      </c>
      <c r="O15" s="51">
        <v>0</v>
      </c>
      <c r="P15" s="51">
        <v>0.59</v>
      </c>
      <c r="Q15" s="51">
        <v>4.6399999999999997</v>
      </c>
    </row>
    <row r="16" spans="1:21" customFormat="1">
      <c r="A16" s="50" t="s">
        <v>162</v>
      </c>
      <c r="B16" s="51">
        <v>12.4</v>
      </c>
      <c r="C16" s="51">
        <v>35.1</v>
      </c>
      <c r="D16" s="51">
        <v>27.24</v>
      </c>
      <c r="E16" s="51">
        <v>6.34</v>
      </c>
      <c r="F16" s="51">
        <v>13.18</v>
      </c>
      <c r="G16" s="51">
        <v>35.61</v>
      </c>
      <c r="H16" s="51">
        <v>13.31</v>
      </c>
      <c r="I16" s="51">
        <v>4.46</v>
      </c>
      <c r="J16" s="51">
        <v>0.36</v>
      </c>
      <c r="K16" s="51">
        <v>257.14999999999998</v>
      </c>
      <c r="L16" s="51">
        <v>32.18</v>
      </c>
      <c r="M16" s="51">
        <v>74.930000000000007</v>
      </c>
      <c r="N16" s="51">
        <v>124.4</v>
      </c>
      <c r="O16" s="51">
        <v>0</v>
      </c>
      <c r="P16" s="51">
        <v>0.55000000000000004</v>
      </c>
      <c r="Q16" s="51">
        <v>4.6500000000000004</v>
      </c>
    </row>
    <row r="17" spans="1:17" customFormat="1">
      <c r="A17" s="50" t="s">
        <v>163</v>
      </c>
      <c r="B17" s="51">
        <v>10.54</v>
      </c>
      <c r="C17" s="51">
        <v>28.26</v>
      </c>
      <c r="D17" s="51">
        <v>22.11</v>
      </c>
      <c r="E17" s="51">
        <v>6.52</v>
      </c>
      <c r="F17" s="51">
        <v>13.58</v>
      </c>
      <c r="G17" s="51">
        <v>33.32</v>
      </c>
      <c r="H17" s="51">
        <v>13.86</v>
      </c>
      <c r="I17" s="51">
        <v>4.3600000000000003</v>
      </c>
      <c r="J17" s="51">
        <v>0.56000000000000005</v>
      </c>
      <c r="K17" s="51">
        <v>276.56</v>
      </c>
      <c r="L17" s="51">
        <v>33.14</v>
      </c>
      <c r="M17" s="51">
        <v>66.510000000000005</v>
      </c>
      <c r="N17" s="51">
        <v>240.2</v>
      </c>
      <c r="O17" s="51">
        <v>0</v>
      </c>
      <c r="P17" s="51">
        <v>0.51</v>
      </c>
      <c r="Q17" s="51">
        <v>4.55</v>
      </c>
    </row>
    <row r="18" spans="1:17" customFormat="1">
      <c r="A18" s="50" t="s">
        <v>164</v>
      </c>
      <c r="B18" s="51">
        <v>8.9499999999999993</v>
      </c>
      <c r="C18" s="51">
        <v>33.119999999999997</v>
      </c>
      <c r="D18" s="51">
        <v>23.27</v>
      </c>
      <c r="E18" s="51">
        <v>6.15</v>
      </c>
      <c r="F18" s="51">
        <v>14.21</v>
      </c>
      <c r="G18" s="51">
        <v>29.66</v>
      </c>
      <c r="H18" s="51">
        <v>14.89</v>
      </c>
      <c r="I18" s="51">
        <v>4.21</v>
      </c>
      <c r="J18" s="51">
        <v>0.47</v>
      </c>
      <c r="K18" s="51">
        <v>316.33</v>
      </c>
      <c r="L18" s="51">
        <v>34.99</v>
      </c>
      <c r="M18" s="51">
        <v>62.37</v>
      </c>
      <c r="N18" s="51">
        <v>195.9</v>
      </c>
      <c r="O18" s="51">
        <v>0</v>
      </c>
      <c r="P18" s="51">
        <v>0.56000000000000005</v>
      </c>
      <c r="Q18" s="51">
        <v>4.45</v>
      </c>
    </row>
    <row r="19" spans="1:17" customFormat="1">
      <c r="A19" s="50" t="s">
        <v>165</v>
      </c>
      <c r="B19" s="51">
        <v>7.26</v>
      </c>
      <c r="C19" s="51">
        <v>28.63</v>
      </c>
      <c r="D19" s="51">
        <v>19.71</v>
      </c>
      <c r="E19" s="51">
        <v>6.71</v>
      </c>
      <c r="F19" s="51">
        <v>24.98</v>
      </c>
      <c r="G19" s="51">
        <v>30.76</v>
      </c>
      <c r="H19" s="51">
        <v>13.72</v>
      </c>
      <c r="I19" s="51">
        <v>4.0199999999999996</v>
      </c>
      <c r="J19" s="51">
        <v>0.44</v>
      </c>
      <c r="K19" s="51">
        <v>297.95999999999998</v>
      </c>
      <c r="L19" s="51">
        <v>35.5</v>
      </c>
      <c r="M19" s="51">
        <v>58.87</v>
      </c>
      <c r="N19" s="51">
        <v>259.3</v>
      </c>
      <c r="O19" s="51">
        <v>0</v>
      </c>
      <c r="P19" s="51">
        <v>0.49</v>
      </c>
      <c r="Q19" s="51">
        <v>4.2699999999999996</v>
      </c>
    </row>
    <row r="20" spans="1:17" customFormat="1">
      <c r="A20" s="50" t="s">
        <v>166</v>
      </c>
      <c r="B20" s="51">
        <v>1.81</v>
      </c>
      <c r="C20" s="51">
        <v>27.14</v>
      </c>
      <c r="D20" s="51">
        <v>14.19</v>
      </c>
      <c r="E20" s="51">
        <v>7.59</v>
      </c>
      <c r="F20" s="51">
        <v>47.94</v>
      </c>
      <c r="G20" s="51">
        <v>29.08</v>
      </c>
      <c r="H20" s="51">
        <v>12.8</v>
      </c>
      <c r="I20" s="51">
        <v>4</v>
      </c>
      <c r="J20" s="51">
        <v>0.42</v>
      </c>
      <c r="K20" s="51">
        <v>321.72000000000003</v>
      </c>
      <c r="L20" s="51">
        <v>36.15</v>
      </c>
      <c r="M20" s="51">
        <v>52.87</v>
      </c>
      <c r="N20" s="51">
        <v>438.5</v>
      </c>
      <c r="O20" s="51">
        <v>0</v>
      </c>
      <c r="P20" s="51">
        <v>0.53</v>
      </c>
      <c r="Q20" s="51">
        <v>3.96</v>
      </c>
    </row>
    <row r="21" spans="1:17" customFormat="1">
      <c r="A21" s="50" t="s">
        <v>167</v>
      </c>
      <c r="B21" s="51">
        <v>1.61</v>
      </c>
      <c r="C21" s="51">
        <v>18.29</v>
      </c>
      <c r="D21" s="51">
        <v>9.8000000000000007</v>
      </c>
      <c r="E21" s="51">
        <v>17.23</v>
      </c>
      <c r="F21" s="51">
        <v>63.3</v>
      </c>
      <c r="G21" s="51">
        <v>30.44</v>
      </c>
      <c r="H21" s="51">
        <v>12.94</v>
      </c>
      <c r="I21" s="51">
        <v>4.3</v>
      </c>
      <c r="J21" s="51">
        <v>0.27</v>
      </c>
      <c r="K21" s="51">
        <v>149.24</v>
      </c>
      <c r="L21" s="51">
        <v>36.67</v>
      </c>
      <c r="M21" s="51">
        <v>52.47</v>
      </c>
      <c r="N21" s="51">
        <v>614.29999999999995</v>
      </c>
      <c r="O21" s="51">
        <v>0</v>
      </c>
      <c r="P21" s="51">
        <v>0.62</v>
      </c>
      <c r="Q21" s="51">
        <v>3.65</v>
      </c>
    </row>
    <row r="22" spans="1:17" customFormat="1">
      <c r="A22" s="50" t="s">
        <v>168</v>
      </c>
      <c r="B22" s="51">
        <v>0.68</v>
      </c>
      <c r="C22" s="51">
        <v>17.97</v>
      </c>
      <c r="D22" s="51">
        <v>8.86</v>
      </c>
      <c r="E22" s="51">
        <v>17.02</v>
      </c>
      <c r="F22" s="51">
        <v>58.59</v>
      </c>
      <c r="G22" s="51">
        <v>36.28</v>
      </c>
      <c r="H22" s="51">
        <v>14.06</v>
      </c>
      <c r="I22" s="51">
        <v>4.41</v>
      </c>
      <c r="J22" s="51">
        <v>0.46</v>
      </c>
      <c r="K22" s="51">
        <v>299.26</v>
      </c>
      <c r="L22" s="51">
        <v>37.19</v>
      </c>
      <c r="M22" s="51">
        <v>50.79</v>
      </c>
      <c r="N22" s="51">
        <v>675.6</v>
      </c>
      <c r="O22" s="51">
        <v>0</v>
      </c>
      <c r="P22" s="51">
        <v>0.64</v>
      </c>
      <c r="Q22" s="51">
        <v>3.73</v>
      </c>
    </row>
    <row r="23" spans="1:17" customFormat="1">
      <c r="A23" s="50" t="s">
        <v>169</v>
      </c>
      <c r="B23" s="51">
        <v>0.71</v>
      </c>
      <c r="C23" s="51">
        <v>20.67</v>
      </c>
      <c r="D23" s="51">
        <v>9.9600000000000009</v>
      </c>
      <c r="E23" s="51">
        <v>14.25</v>
      </c>
      <c r="F23" s="51">
        <v>52.64</v>
      </c>
      <c r="G23" s="51">
        <v>39.79</v>
      </c>
      <c r="H23" s="51">
        <v>16.27</v>
      </c>
      <c r="I23" s="51">
        <v>4.2</v>
      </c>
      <c r="J23" s="51">
        <v>0.19</v>
      </c>
      <c r="K23" s="51">
        <v>145.44999999999999</v>
      </c>
      <c r="L23" s="51">
        <v>36.69</v>
      </c>
      <c r="M23" s="51">
        <v>54.06</v>
      </c>
      <c r="N23" s="51">
        <v>386.1</v>
      </c>
      <c r="O23" s="51">
        <v>0</v>
      </c>
      <c r="P23" s="51">
        <v>0.62</v>
      </c>
      <c r="Q23" s="51">
        <v>3.8</v>
      </c>
    </row>
    <row r="24" spans="1:17" customFormat="1">
      <c r="A24" s="50" t="s">
        <v>170</v>
      </c>
      <c r="B24" s="51">
        <v>5.14</v>
      </c>
      <c r="C24" s="51">
        <v>28.69</v>
      </c>
      <c r="D24" s="51">
        <v>18.07</v>
      </c>
      <c r="E24" s="51">
        <v>14.7</v>
      </c>
      <c r="F24" s="51">
        <v>56.11</v>
      </c>
      <c r="G24" s="51">
        <v>43.4</v>
      </c>
      <c r="H24" s="51">
        <v>18.3</v>
      </c>
      <c r="I24" s="51">
        <v>4.12</v>
      </c>
      <c r="J24" s="51">
        <v>0.6</v>
      </c>
      <c r="K24" s="51">
        <v>322.07</v>
      </c>
      <c r="L24" s="51">
        <v>35.950000000000003</v>
      </c>
      <c r="M24" s="51">
        <v>59.81</v>
      </c>
      <c r="N24" s="51">
        <v>257.5</v>
      </c>
      <c r="O24" s="51">
        <v>0</v>
      </c>
      <c r="P24" s="51">
        <v>0.64</v>
      </c>
      <c r="Q24" s="51">
        <v>3.87</v>
      </c>
    </row>
    <row r="25" spans="1:17" customFormat="1">
      <c r="A25" s="50" t="s">
        <v>171</v>
      </c>
      <c r="B25" s="51">
        <v>3.48</v>
      </c>
      <c r="C25" s="51">
        <v>29.18</v>
      </c>
      <c r="D25" s="51">
        <v>17</v>
      </c>
      <c r="E25" s="51">
        <v>9.68</v>
      </c>
      <c r="F25" s="51">
        <v>15.99</v>
      </c>
      <c r="G25" s="51">
        <v>47.61</v>
      </c>
      <c r="H25" s="51">
        <v>14.57</v>
      </c>
      <c r="I25" s="51">
        <v>4.5599999999999996</v>
      </c>
      <c r="J25" s="51">
        <v>1.18</v>
      </c>
      <c r="K25" s="51">
        <v>312.99</v>
      </c>
      <c r="L25" s="51">
        <v>32.49</v>
      </c>
      <c r="M25" s="51">
        <v>92.43</v>
      </c>
      <c r="N25" s="51">
        <v>59.5</v>
      </c>
      <c r="O25" s="51">
        <v>3.6</v>
      </c>
      <c r="P25" s="51">
        <v>0.61</v>
      </c>
      <c r="Q25" s="51">
        <v>3.94</v>
      </c>
    </row>
    <row r="26" spans="1:17" customFormat="1">
      <c r="A26" s="50" t="s">
        <v>172</v>
      </c>
      <c r="B26" s="51">
        <v>4.0199999999999996</v>
      </c>
      <c r="C26" s="51">
        <v>33.840000000000003</v>
      </c>
      <c r="D26" s="51">
        <v>19.62</v>
      </c>
      <c r="E26" s="51">
        <v>7.49</v>
      </c>
      <c r="F26" s="51">
        <v>11.31</v>
      </c>
      <c r="G26" s="51">
        <v>44.4</v>
      </c>
      <c r="H26" s="51">
        <v>14.89</v>
      </c>
      <c r="I26" s="51">
        <v>4.54</v>
      </c>
      <c r="J26" s="51">
        <v>0.41</v>
      </c>
      <c r="K26" s="51">
        <v>180.14</v>
      </c>
      <c r="L26" s="51">
        <v>25.32</v>
      </c>
      <c r="M26" s="51">
        <v>97.39</v>
      </c>
      <c r="N26" s="51">
        <v>17.3</v>
      </c>
      <c r="O26" s="51">
        <v>1.8</v>
      </c>
      <c r="P26" s="51">
        <v>0.56999999999999995</v>
      </c>
      <c r="Q26" s="51">
        <v>4.09</v>
      </c>
    </row>
    <row r="27" spans="1:17" customFormat="1">
      <c r="A27" s="50" t="s">
        <v>173</v>
      </c>
      <c r="B27" s="51">
        <v>5.71</v>
      </c>
      <c r="C27" s="51">
        <v>36.119999999999997</v>
      </c>
      <c r="D27" s="51">
        <v>22.12</v>
      </c>
      <c r="E27" s="51">
        <v>4.8499999999999996</v>
      </c>
      <c r="F27" s="51">
        <v>7.4</v>
      </c>
      <c r="G27" s="51">
        <v>31.99</v>
      </c>
      <c r="H27" s="51">
        <v>10.47</v>
      </c>
      <c r="I27" s="51">
        <v>4.3</v>
      </c>
      <c r="J27" s="51">
        <v>0.23</v>
      </c>
      <c r="K27" s="51">
        <v>220.05</v>
      </c>
      <c r="L27" s="51">
        <v>25.72</v>
      </c>
      <c r="M27" s="51">
        <v>97.47</v>
      </c>
      <c r="N27" s="51">
        <v>0.2</v>
      </c>
      <c r="O27" s="51">
        <v>0</v>
      </c>
      <c r="P27" s="51">
        <v>0.57999999999999996</v>
      </c>
      <c r="Q27" s="51">
        <v>4.18</v>
      </c>
    </row>
    <row r="28" spans="1:17" customFormat="1">
      <c r="A28" s="50" t="s">
        <v>174</v>
      </c>
      <c r="B28" s="51">
        <v>6.84</v>
      </c>
      <c r="C28" s="51">
        <v>34.86</v>
      </c>
      <c r="D28" s="51">
        <v>22.31</v>
      </c>
      <c r="E28" s="51">
        <v>4.7</v>
      </c>
      <c r="F28" s="51">
        <v>9.7200000000000006</v>
      </c>
      <c r="G28" s="51">
        <v>19.440000000000001</v>
      </c>
      <c r="H28" s="51">
        <v>7.42</v>
      </c>
      <c r="I28" s="51">
        <v>4.17</v>
      </c>
      <c r="J28" s="51">
        <v>0.24</v>
      </c>
      <c r="K28" s="51">
        <v>243.75</v>
      </c>
      <c r="L28" s="51">
        <v>26.16</v>
      </c>
      <c r="M28" s="51">
        <v>93.09</v>
      </c>
      <c r="N28" s="51">
        <v>0</v>
      </c>
      <c r="O28" s="51">
        <v>0</v>
      </c>
      <c r="P28" s="51">
        <v>0.56000000000000005</v>
      </c>
      <c r="Q28" s="51">
        <v>4.2300000000000004</v>
      </c>
    </row>
    <row r="29" spans="1:17" customFormat="1">
      <c r="A29" s="50" t="s">
        <v>175</v>
      </c>
      <c r="B29" s="51">
        <v>8.42</v>
      </c>
      <c r="C29" s="51">
        <v>35.49</v>
      </c>
      <c r="D29" s="51">
        <v>23.76</v>
      </c>
      <c r="E29" s="51">
        <v>4.87</v>
      </c>
      <c r="F29" s="51">
        <v>11.67</v>
      </c>
      <c r="G29" s="51">
        <v>13.86</v>
      </c>
      <c r="H29" s="51">
        <v>5.58</v>
      </c>
      <c r="I29" s="51">
        <v>3.97</v>
      </c>
      <c r="J29" s="51">
        <v>0.18</v>
      </c>
      <c r="K29" s="51">
        <v>246.82</v>
      </c>
      <c r="L29" s="51">
        <v>26.36</v>
      </c>
      <c r="M29" s="51">
        <v>91.21</v>
      </c>
      <c r="N29" s="51">
        <v>0</v>
      </c>
      <c r="O29" s="51">
        <v>0</v>
      </c>
      <c r="P29" s="51">
        <v>0.55000000000000004</v>
      </c>
      <c r="Q29" s="51">
        <v>4.3099999999999996</v>
      </c>
    </row>
    <row r="30" spans="1:17" customFormat="1">
      <c r="A30" s="50" t="s">
        <v>176</v>
      </c>
      <c r="B30" s="51">
        <v>10.26</v>
      </c>
      <c r="C30" s="51">
        <v>33.950000000000003</v>
      </c>
      <c r="D30" s="51">
        <v>24.24</v>
      </c>
      <c r="E30" s="51">
        <v>4.8899999999999997</v>
      </c>
      <c r="F30" s="51">
        <v>7.52</v>
      </c>
      <c r="G30" s="51">
        <v>11.58</v>
      </c>
      <c r="H30" s="51">
        <v>5.1100000000000003</v>
      </c>
      <c r="I30" s="51">
        <v>3.86</v>
      </c>
      <c r="J30" s="51">
        <v>0.21</v>
      </c>
      <c r="K30" s="51">
        <v>213.29</v>
      </c>
      <c r="L30" s="51">
        <v>26.87</v>
      </c>
      <c r="M30" s="51">
        <v>90.57</v>
      </c>
      <c r="N30" s="51">
        <v>0</v>
      </c>
      <c r="O30" s="51">
        <v>0</v>
      </c>
      <c r="P30" s="51">
        <v>0.54</v>
      </c>
      <c r="Q30" s="51">
        <v>4.42</v>
      </c>
    </row>
    <row r="31" spans="1:17" customFormat="1">
      <c r="A31" s="50" t="s">
        <v>177</v>
      </c>
      <c r="B31" s="51">
        <v>10.64</v>
      </c>
      <c r="C31" s="51">
        <v>30.91</v>
      </c>
      <c r="D31" s="51">
        <v>23.64</v>
      </c>
      <c r="E31" s="51">
        <v>4.74</v>
      </c>
      <c r="F31" s="51">
        <v>11.6</v>
      </c>
      <c r="G31" s="51">
        <v>12.96</v>
      </c>
      <c r="H31" s="51">
        <v>5.67</v>
      </c>
      <c r="I31" s="51">
        <v>3.81</v>
      </c>
      <c r="J31" s="51">
        <v>0.23</v>
      </c>
      <c r="K31" s="51">
        <v>216.8</v>
      </c>
      <c r="L31" s="51">
        <v>27.27</v>
      </c>
      <c r="M31" s="51">
        <v>87.69</v>
      </c>
      <c r="N31" s="51">
        <v>0</v>
      </c>
      <c r="O31" s="51">
        <v>0</v>
      </c>
      <c r="P31" s="51">
        <v>0.5</v>
      </c>
      <c r="Q31" s="51">
        <v>4.51</v>
      </c>
    </row>
    <row r="32" spans="1:17" customFormat="1">
      <c r="A32" s="50" t="s">
        <v>178</v>
      </c>
      <c r="B32" s="51">
        <v>11.64</v>
      </c>
      <c r="C32" s="51">
        <v>35.520000000000003</v>
      </c>
      <c r="D32" s="51">
        <v>26.85</v>
      </c>
      <c r="E32" s="51">
        <v>4.8499999999999996</v>
      </c>
      <c r="F32" s="51">
        <v>11.83</v>
      </c>
      <c r="G32" s="51">
        <v>11.3</v>
      </c>
      <c r="H32" s="51">
        <v>4.16</v>
      </c>
      <c r="I32" s="51">
        <v>3.57</v>
      </c>
      <c r="J32" s="51">
        <v>0.22</v>
      </c>
      <c r="K32" s="51">
        <v>241.22</v>
      </c>
      <c r="L32" s="51">
        <v>26.99</v>
      </c>
      <c r="M32" s="51">
        <v>90.31</v>
      </c>
      <c r="N32" s="51">
        <v>0</v>
      </c>
      <c r="O32" s="51">
        <v>0</v>
      </c>
      <c r="P32" s="51">
        <v>0.52</v>
      </c>
      <c r="Q32" s="51">
        <v>4.55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0.68</v>
      </c>
      <c r="C34" s="41">
        <f t="shared" si="0"/>
        <v>17.97</v>
      </c>
      <c r="D34" s="41">
        <f t="shared" si="0"/>
        <v>8.86</v>
      </c>
      <c r="E34" s="41">
        <f t="shared" si="0"/>
        <v>4.7</v>
      </c>
      <c r="F34" s="41">
        <f t="shared" si="0"/>
        <v>7.4</v>
      </c>
      <c r="G34" s="41">
        <f t="shared" si="0"/>
        <v>11.3</v>
      </c>
      <c r="H34" s="41">
        <f t="shared" si="0"/>
        <v>4.16</v>
      </c>
      <c r="I34" s="41">
        <f t="shared" si="0"/>
        <v>3.57</v>
      </c>
      <c r="J34" s="41">
        <f t="shared" si="0"/>
        <v>0.11</v>
      </c>
      <c r="K34" s="41">
        <f t="shared" si="0"/>
        <v>145.44999999999999</v>
      </c>
      <c r="L34" s="41">
        <f t="shared" si="0"/>
        <v>25.32</v>
      </c>
      <c r="M34" s="41">
        <f t="shared" si="0"/>
        <v>50.79</v>
      </c>
      <c r="N34" s="41">
        <f t="shared" si="0"/>
        <v>0</v>
      </c>
      <c r="O34" s="41">
        <f t="shared" si="0"/>
        <v>0</v>
      </c>
      <c r="P34" s="41">
        <f t="shared" si="0"/>
        <v>0.49</v>
      </c>
      <c r="Q34" s="41">
        <f t="shared" si="0"/>
        <v>3.65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14.79</v>
      </c>
      <c r="C35" s="33">
        <f t="shared" si="1"/>
        <v>36.119999999999997</v>
      </c>
      <c r="D35" s="33">
        <f t="shared" si="1"/>
        <v>29.33</v>
      </c>
      <c r="E35" s="33">
        <f t="shared" si="1"/>
        <v>17.23</v>
      </c>
      <c r="F35" s="33">
        <f t="shared" si="1"/>
        <v>63.3</v>
      </c>
      <c r="G35" s="33">
        <f t="shared" si="1"/>
        <v>47.61</v>
      </c>
      <c r="H35" s="33">
        <f t="shared" si="1"/>
        <v>18.3</v>
      </c>
      <c r="I35" s="33">
        <f t="shared" si="1"/>
        <v>4.5599999999999996</v>
      </c>
      <c r="J35" s="33">
        <f t="shared" si="1"/>
        <v>1.18</v>
      </c>
      <c r="K35" s="33">
        <f t="shared" si="1"/>
        <v>322.07</v>
      </c>
      <c r="L35" s="33">
        <f t="shared" si="1"/>
        <v>37.19</v>
      </c>
      <c r="M35" s="33">
        <f t="shared" si="1"/>
        <v>97.47</v>
      </c>
      <c r="N35" s="33">
        <f t="shared" si="1"/>
        <v>675.6</v>
      </c>
      <c r="O35" s="33">
        <f t="shared" si="1"/>
        <v>3.6</v>
      </c>
      <c r="P35" s="33">
        <f t="shared" si="1"/>
        <v>0.64</v>
      </c>
      <c r="Q35" s="33">
        <f t="shared" si="1"/>
        <v>4.6500000000000004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7.1320833333333313</v>
      </c>
      <c r="C36" s="41">
        <f t="shared" si="2"/>
        <v>29.851250000000004</v>
      </c>
      <c r="D36" s="41">
        <f t="shared" si="2"/>
        <v>20.130416666666669</v>
      </c>
      <c r="E36" s="41">
        <f t="shared" si="2"/>
        <v>7.8266666666666653</v>
      </c>
      <c r="F36" s="41">
        <f t="shared" si="2"/>
        <v>21.874166666666667</v>
      </c>
      <c r="G36" s="41">
        <f t="shared" si="2"/>
        <v>29.640000000000004</v>
      </c>
      <c r="H36" s="41">
        <f t="shared" si="2"/>
        <v>12.026666666666671</v>
      </c>
      <c r="I36" s="41">
        <f t="shared" si="2"/>
        <v>4.1991666666666667</v>
      </c>
      <c r="J36" s="41">
        <f t="shared" si="2"/>
        <v>0.32500000000000001</v>
      </c>
      <c r="K36" s="41">
        <f t="shared" si="2"/>
        <v>244.77750000000003</v>
      </c>
      <c r="L36" s="41">
        <f t="shared" si="2"/>
        <v>30.726250000000004</v>
      </c>
      <c r="M36" s="41">
        <f t="shared" si="2"/>
        <v>78.34708333333333</v>
      </c>
      <c r="N36" s="41">
        <f t="shared" si="2"/>
        <v>139.92916666666665</v>
      </c>
      <c r="O36" s="41">
        <f t="shared" si="2"/>
        <v>0.22500000000000001</v>
      </c>
      <c r="P36" s="41">
        <f t="shared" si="2"/>
        <v>0.57125000000000004</v>
      </c>
      <c r="Q36" s="41">
        <f t="shared" si="2"/>
        <v>4.2604166666666679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3.7865482493859171</v>
      </c>
      <c r="C37" s="41">
        <f t="shared" ref="C37:Q37" si="3">STDEV(C9:C32)</f>
        <v>5.217702569972305</v>
      </c>
      <c r="D37" s="41">
        <f t="shared" si="3"/>
        <v>5.3281145038997284</v>
      </c>
      <c r="E37" s="41">
        <f t="shared" si="3"/>
        <v>3.8482855207579596</v>
      </c>
      <c r="F37" s="41">
        <f t="shared" si="3"/>
        <v>18.238758757505753</v>
      </c>
      <c r="G37" s="41">
        <f t="shared" si="3"/>
        <v>9.9028875894203381</v>
      </c>
      <c r="H37" s="41">
        <f t="shared" si="3"/>
        <v>3.7388950549438977</v>
      </c>
      <c r="I37" s="41">
        <f t="shared" si="3"/>
        <v>0.25339291824060661</v>
      </c>
      <c r="J37" s="41">
        <f t="shared" si="3"/>
        <v>0.23010394626550079</v>
      </c>
      <c r="K37" s="41">
        <f t="shared" si="3"/>
        <v>54.60648402732096</v>
      </c>
      <c r="L37" s="41">
        <f t="shared" si="3"/>
        <v>4.0928036659270699</v>
      </c>
      <c r="M37" s="41">
        <f t="shared" si="3"/>
        <v>16.187146129532596</v>
      </c>
      <c r="N37" s="41">
        <f t="shared" si="3"/>
        <v>204.22054250707509</v>
      </c>
      <c r="O37" s="41">
        <f t="shared" si="3"/>
        <v>0.8071689656635932</v>
      </c>
      <c r="P37" s="41">
        <f t="shared" si="3"/>
        <v>4.513867521316927E-2</v>
      </c>
      <c r="Q37" s="41">
        <f t="shared" si="3"/>
        <v>0.295318239055474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05/07/2023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179</v>
      </c>
      <c r="B9" s="51">
        <v>10.87</v>
      </c>
      <c r="C9" s="51">
        <v>32.64</v>
      </c>
      <c r="D9" s="51">
        <v>24.57</v>
      </c>
      <c r="E9" s="51">
        <v>4.74</v>
      </c>
      <c r="F9" s="51">
        <v>12.14</v>
      </c>
      <c r="G9" s="51">
        <v>7.97</v>
      </c>
      <c r="H9" s="51">
        <v>3.88</v>
      </c>
      <c r="I9" s="51">
        <v>3.56</v>
      </c>
      <c r="J9" s="51">
        <v>0.41</v>
      </c>
      <c r="K9" s="51">
        <v>254.65</v>
      </c>
      <c r="L9" s="51">
        <v>26.75</v>
      </c>
      <c r="M9" s="51">
        <v>90.23</v>
      </c>
      <c r="N9" s="51">
        <v>0</v>
      </c>
      <c r="O9" s="51">
        <v>0</v>
      </c>
      <c r="P9" s="51">
        <v>0.46</v>
      </c>
      <c r="Q9" s="51">
        <v>4.5199999999999996</v>
      </c>
    </row>
    <row r="10" spans="1:21" customFormat="1">
      <c r="A10" s="50" t="s">
        <v>180</v>
      </c>
      <c r="B10" s="51">
        <v>11.95</v>
      </c>
      <c r="C10" s="51">
        <v>35.89</v>
      </c>
      <c r="D10" s="51">
        <v>27.29</v>
      </c>
      <c r="E10" s="51">
        <v>5.09</v>
      </c>
      <c r="F10" s="51">
        <v>8.92</v>
      </c>
      <c r="G10" s="51">
        <v>5.72</v>
      </c>
      <c r="H10" s="51">
        <v>2.97</v>
      </c>
      <c r="I10" s="51">
        <v>3.33</v>
      </c>
      <c r="J10" s="51">
        <v>0.92</v>
      </c>
      <c r="K10" s="51">
        <v>259.39999999999998</v>
      </c>
      <c r="L10" s="51">
        <v>26.69</v>
      </c>
      <c r="M10" s="51">
        <v>88.32</v>
      </c>
      <c r="N10" s="51">
        <v>0</v>
      </c>
      <c r="O10" s="51">
        <v>0.8</v>
      </c>
      <c r="P10" s="51">
        <v>0.47</v>
      </c>
      <c r="Q10" s="51">
        <v>4.54</v>
      </c>
    </row>
    <row r="11" spans="1:21" customFormat="1">
      <c r="A11" s="50" t="s">
        <v>181</v>
      </c>
      <c r="B11" s="51">
        <v>11.67</v>
      </c>
      <c r="C11" s="51">
        <v>37.26</v>
      </c>
      <c r="D11" s="51">
        <v>27.65</v>
      </c>
      <c r="E11" s="51">
        <v>5.22</v>
      </c>
      <c r="F11" s="51">
        <v>4.51</v>
      </c>
      <c r="G11" s="51">
        <v>4.4000000000000004</v>
      </c>
      <c r="H11" s="51">
        <v>2.25</v>
      </c>
      <c r="I11" s="51">
        <v>3.4</v>
      </c>
      <c r="J11" s="51">
        <v>1.41</v>
      </c>
      <c r="K11" s="51">
        <v>298.93</v>
      </c>
      <c r="L11" s="51">
        <v>25.25</v>
      </c>
      <c r="M11" s="51">
        <v>94.84</v>
      </c>
      <c r="N11" s="51">
        <v>0</v>
      </c>
      <c r="O11" s="51">
        <v>0.4</v>
      </c>
      <c r="P11" s="51">
        <v>0.47</v>
      </c>
      <c r="Q11" s="51">
        <v>4.5</v>
      </c>
    </row>
    <row r="12" spans="1:21" customFormat="1">
      <c r="A12" s="50" t="s">
        <v>182</v>
      </c>
      <c r="B12" s="51">
        <v>12.39</v>
      </c>
      <c r="C12" s="51">
        <v>36.39</v>
      </c>
      <c r="D12" s="51">
        <v>27.75</v>
      </c>
      <c r="E12" s="51">
        <v>5.08</v>
      </c>
      <c r="F12" s="51">
        <v>3.5</v>
      </c>
      <c r="G12" s="51">
        <v>4.5199999999999996</v>
      </c>
      <c r="H12" s="51">
        <v>1.82</v>
      </c>
      <c r="I12" s="51">
        <v>3.49</v>
      </c>
      <c r="J12" s="51">
        <v>0.96</v>
      </c>
      <c r="K12" s="51">
        <v>301.69</v>
      </c>
      <c r="L12" s="51">
        <v>25.01</v>
      </c>
      <c r="M12" s="51">
        <v>94.35</v>
      </c>
      <c r="N12" s="51">
        <v>0</v>
      </c>
      <c r="O12" s="51">
        <v>0</v>
      </c>
      <c r="P12" s="51">
        <v>0.5</v>
      </c>
      <c r="Q12" s="51">
        <v>4.53</v>
      </c>
    </row>
    <row r="13" spans="1:21" customFormat="1">
      <c r="A13" s="50" t="s">
        <v>183</v>
      </c>
      <c r="B13" s="51">
        <v>14.01</v>
      </c>
      <c r="C13" s="51">
        <v>38.56</v>
      </c>
      <c r="D13" s="51">
        <v>29.61</v>
      </c>
      <c r="E13" s="51">
        <v>5.18</v>
      </c>
      <c r="F13" s="51">
        <v>2.76</v>
      </c>
      <c r="G13" s="51">
        <v>8.51</v>
      </c>
      <c r="H13" s="51">
        <v>1.47</v>
      </c>
      <c r="I13" s="51">
        <v>3.64</v>
      </c>
      <c r="J13" s="51">
        <v>0.55000000000000004</v>
      </c>
      <c r="K13" s="51">
        <v>280.68</v>
      </c>
      <c r="L13" s="51">
        <v>24.85</v>
      </c>
      <c r="M13" s="51">
        <v>92.68</v>
      </c>
      <c r="N13" s="51">
        <v>0</v>
      </c>
      <c r="O13" s="51">
        <v>0</v>
      </c>
      <c r="P13" s="51">
        <v>0.54</v>
      </c>
      <c r="Q13" s="51">
        <v>4.62</v>
      </c>
    </row>
    <row r="14" spans="1:21" customFormat="1">
      <c r="A14" s="50" t="s">
        <v>184</v>
      </c>
      <c r="B14" s="51">
        <v>14.81</v>
      </c>
      <c r="C14" s="51">
        <v>38.11</v>
      </c>
      <c r="D14" s="51">
        <v>30.74</v>
      </c>
      <c r="E14" s="51">
        <v>4.71</v>
      </c>
      <c r="F14" s="51">
        <v>4.29</v>
      </c>
      <c r="G14" s="51">
        <v>13.45</v>
      </c>
      <c r="H14" s="51">
        <v>1.4</v>
      </c>
      <c r="I14" s="51">
        <v>3.63</v>
      </c>
      <c r="J14" s="51">
        <v>0.27</v>
      </c>
      <c r="K14" s="51">
        <v>216.7</v>
      </c>
      <c r="L14" s="51">
        <v>24.92</v>
      </c>
      <c r="M14" s="51">
        <v>95.02</v>
      </c>
      <c r="N14" s="51">
        <v>26.3</v>
      </c>
      <c r="O14" s="51">
        <v>0</v>
      </c>
      <c r="P14" s="51">
        <v>0.55000000000000004</v>
      </c>
      <c r="Q14" s="51">
        <v>4.6900000000000004</v>
      </c>
    </row>
    <row r="15" spans="1:21" customFormat="1">
      <c r="A15" s="50" t="s">
        <v>185</v>
      </c>
      <c r="B15" s="51">
        <v>16.09</v>
      </c>
      <c r="C15" s="51">
        <v>37.840000000000003</v>
      </c>
      <c r="D15" s="51">
        <v>31.63</v>
      </c>
      <c r="E15" s="51">
        <v>4.57</v>
      </c>
      <c r="F15" s="51">
        <v>4.09</v>
      </c>
      <c r="G15" s="51">
        <v>15.51</v>
      </c>
      <c r="H15" s="51">
        <v>2.35</v>
      </c>
      <c r="I15" s="51">
        <v>3.96</v>
      </c>
      <c r="J15" s="51">
        <v>0.23</v>
      </c>
      <c r="K15" s="51">
        <v>162.91999999999999</v>
      </c>
      <c r="L15" s="51">
        <v>26.87</v>
      </c>
      <c r="M15" s="51">
        <v>93.26</v>
      </c>
      <c r="N15" s="51">
        <v>75</v>
      </c>
      <c r="O15" s="51">
        <v>0</v>
      </c>
      <c r="P15" s="51">
        <v>0.64</v>
      </c>
      <c r="Q15" s="51">
        <v>4.7699999999999996</v>
      </c>
    </row>
    <row r="16" spans="1:21" customFormat="1">
      <c r="A16" s="50" t="s">
        <v>186</v>
      </c>
      <c r="B16" s="51">
        <v>16.57</v>
      </c>
      <c r="C16" s="51">
        <v>38.65</v>
      </c>
      <c r="D16" s="51">
        <v>32.44</v>
      </c>
      <c r="E16" s="51">
        <v>4.93</v>
      </c>
      <c r="F16" s="51">
        <v>7.83</v>
      </c>
      <c r="G16" s="51">
        <v>16.62</v>
      </c>
      <c r="H16" s="51">
        <v>3.13</v>
      </c>
      <c r="I16" s="51">
        <v>4.32</v>
      </c>
      <c r="J16" s="51">
        <v>0.25</v>
      </c>
      <c r="K16" s="51">
        <v>295.77</v>
      </c>
      <c r="L16" s="51">
        <v>29.32</v>
      </c>
      <c r="M16" s="51">
        <v>83.88</v>
      </c>
      <c r="N16" s="51">
        <v>128.6</v>
      </c>
      <c r="O16" s="51">
        <v>0</v>
      </c>
      <c r="P16" s="51">
        <v>0.67</v>
      </c>
      <c r="Q16" s="51">
        <v>4.8099999999999996</v>
      </c>
    </row>
    <row r="17" spans="1:17" customFormat="1">
      <c r="A17" s="50" t="s">
        <v>187</v>
      </c>
      <c r="B17" s="51">
        <v>16.34</v>
      </c>
      <c r="C17" s="51">
        <v>38.979999999999997</v>
      </c>
      <c r="D17" s="51">
        <v>32.43</v>
      </c>
      <c r="E17" s="51">
        <v>4.58</v>
      </c>
      <c r="F17" s="51">
        <v>9.15</v>
      </c>
      <c r="G17" s="51">
        <v>17.690000000000001</v>
      </c>
      <c r="H17" s="51">
        <v>3.94</v>
      </c>
      <c r="I17" s="51">
        <v>4.41</v>
      </c>
      <c r="J17" s="51">
        <v>0.49</v>
      </c>
      <c r="K17" s="51">
        <v>302.32</v>
      </c>
      <c r="L17" s="51">
        <v>28.78</v>
      </c>
      <c r="M17" s="51">
        <v>78.91</v>
      </c>
      <c r="N17" s="51">
        <v>256</v>
      </c>
      <c r="O17" s="51">
        <v>0</v>
      </c>
      <c r="P17" s="51">
        <v>0.68</v>
      </c>
      <c r="Q17" s="51">
        <v>4.82</v>
      </c>
    </row>
    <row r="18" spans="1:17" customFormat="1">
      <c r="A18" s="50" t="s">
        <v>188</v>
      </c>
      <c r="B18" s="51">
        <v>14.59</v>
      </c>
      <c r="C18" s="51">
        <v>38.630000000000003</v>
      </c>
      <c r="D18" s="51">
        <v>30.8</v>
      </c>
      <c r="E18" s="51">
        <v>4.22</v>
      </c>
      <c r="F18" s="51">
        <v>9.19</v>
      </c>
      <c r="G18" s="51">
        <v>13.97</v>
      </c>
      <c r="H18" s="51">
        <v>5.25</v>
      </c>
      <c r="I18" s="51">
        <v>4.24</v>
      </c>
      <c r="J18" s="51">
        <v>0.48</v>
      </c>
      <c r="K18" s="51">
        <v>300.99</v>
      </c>
      <c r="L18" s="51">
        <v>29.44</v>
      </c>
      <c r="M18" s="51">
        <v>75.66</v>
      </c>
      <c r="N18" s="51">
        <v>291.39999999999998</v>
      </c>
      <c r="O18" s="51">
        <v>0</v>
      </c>
      <c r="P18" s="51">
        <v>0.67</v>
      </c>
      <c r="Q18" s="51">
        <v>4.75</v>
      </c>
    </row>
    <row r="19" spans="1:17" customFormat="1">
      <c r="A19" s="50" t="s">
        <v>189</v>
      </c>
      <c r="B19" s="51">
        <v>12.72</v>
      </c>
      <c r="C19" s="51">
        <v>31.63</v>
      </c>
      <c r="D19" s="51">
        <v>25.03</v>
      </c>
      <c r="E19" s="51">
        <v>5.77</v>
      </c>
      <c r="F19" s="51">
        <v>8.14</v>
      </c>
      <c r="G19" s="51">
        <v>14.5</v>
      </c>
      <c r="H19" s="51">
        <v>6.25</v>
      </c>
      <c r="I19" s="51">
        <v>4.05</v>
      </c>
      <c r="J19" s="51">
        <v>0.37</v>
      </c>
      <c r="K19" s="51">
        <v>265.25</v>
      </c>
      <c r="L19" s="51">
        <v>31.1</v>
      </c>
      <c r="M19" s="51">
        <v>71.849999999999994</v>
      </c>
      <c r="N19" s="51">
        <v>397.2</v>
      </c>
      <c r="O19" s="51">
        <v>0</v>
      </c>
      <c r="P19" s="51">
        <v>0.56000000000000005</v>
      </c>
      <c r="Q19" s="51">
        <v>4.59</v>
      </c>
    </row>
    <row r="20" spans="1:17" customFormat="1">
      <c r="A20" s="50" t="s">
        <v>190</v>
      </c>
      <c r="B20" s="51">
        <v>11.24</v>
      </c>
      <c r="C20" s="51">
        <v>35.909999999999997</v>
      </c>
      <c r="D20" s="51">
        <v>26.73</v>
      </c>
      <c r="E20" s="51">
        <v>5.53</v>
      </c>
      <c r="F20" s="51">
        <v>14.35</v>
      </c>
      <c r="G20" s="51">
        <v>11.35</v>
      </c>
      <c r="H20" s="51">
        <v>4.96</v>
      </c>
      <c r="I20" s="51">
        <v>4</v>
      </c>
      <c r="J20" s="51">
        <v>0.33</v>
      </c>
      <c r="K20" s="51">
        <v>288.68</v>
      </c>
      <c r="L20" s="51">
        <v>31.91</v>
      </c>
      <c r="M20" s="51">
        <v>71.59</v>
      </c>
      <c r="N20" s="51">
        <v>629.5</v>
      </c>
      <c r="O20" s="51">
        <v>0</v>
      </c>
      <c r="P20" s="51">
        <v>0.57999999999999996</v>
      </c>
      <c r="Q20" s="51">
        <v>4.54</v>
      </c>
    </row>
    <row r="21" spans="1:17" customFormat="1">
      <c r="A21" s="50" t="s">
        <v>191</v>
      </c>
      <c r="B21" s="51">
        <v>8.64</v>
      </c>
      <c r="C21" s="51">
        <v>27.93</v>
      </c>
      <c r="D21" s="51">
        <v>20.48</v>
      </c>
      <c r="E21" s="51">
        <v>5.94</v>
      </c>
      <c r="F21" s="51">
        <v>14.12</v>
      </c>
      <c r="G21" s="51">
        <v>10.94</v>
      </c>
      <c r="H21" s="51">
        <v>5.47</v>
      </c>
      <c r="I21" s="51">
        <v>3.68</v>
      </c>
      <c r="J21" s="51">
        <v>0.53</v>
      </c>
      <c r="K21" s="51">
        <v>283.61</v>
      </c>
      <c r="L21" s="51">
        <v>33.54</v>
      </c>
      <c r="M21" s="51">
        <v>67.08</v>
      </c>
      <c r="N21" s="51">
        <v>945.7</v>
      </c>
      <c r="O21" s="51">
        <v>0</v>
      </c>
      <c r="P21" s="51">
        <v>0.49</v>
      </c>
      <c r="Q21" s="51">
        <v>4.3600000000000003</v>
      </c>
    </row>
    <row r="22" spans="1:17" customFormat="1">
      <c r="A22" s="50" t="s">
        <v>192</v>
      </c>
      <c r="B22" s="51">
        <v>7.84</v>
      </c>
      <c r="C22" s="51">
        <v>32.159999999999997</v>
      </c>
      <c r="D22" s="51">
        <v>22.04</v>
      </c>
      <c r="E22" s="51">
        <v>5.9</v>
      </c>
      <c r="F22" s="51">
        <v>13.39</v>
      </c>
      <c r="G22" s="51">
        <v>10.38</v>
      </c>
      <c r="H22" s="51">
        <v>4.09</v>
      </c>
      <c r="I22" s="51">
        <v>3.94</v>
      </c>
      <c r="J22" s="51">
        <v>0.28999999999999998</v>
      </c>
      <c r="K22" s="51">
        <v>259.32</v>
      </c>
      <c r="L22" s="51">
        <v>34.36</v>
      </c>
      <c r="M22" s="51">
        <v>63.42</v>
      </c>
      <c r="N22" s="51">
        <v>856.3</v>
      </c>
      <c r="O22" s="51">
        <v>0</v>
      </c>
      <c r="P22" s="51">
        <v>0.52</v>
      </c>
      <c r="Q22" s="51">
        <v>4.28</v>
      </c>
    </row>
    <row r="23" spans="1:17" customFormat="1">
      <c r="A23" s="50" t="s">
        <v>193</v>
      </c>
      <c r="B23" s="51">
        <v>7.18</v>
      </c>
      <c r="C23" s="51">
        <v>30.27</v>
      </c>
      <c r="D23" s="51">
        <v>20.53</v>
      </c>
      <c r="E23" s="51">
        <v>5.73</v>
      </c>
      <c r="F23" s="51">
        <v>22.95</v>
      </c>
      <c r="G23" s="51">
        <v>9.5</v>
      </c>
      <c r="H23" s="51">
        <v>4.1399999999999997</v>
      </c>
      <c r="I23" s="51">
        <v>3.91</v>
      </c>
      <c r="J23" s="51">
        <v>0.34</v>
      </c>
      <c r="K23" s="51">
        <v>290.31</v>
      </c>
      <c r="L23" s="51">
        <v>34.72</v>
      </c>
      <c r="M23" s="51">
        <v>59.96</v>
      </c>
      <c r="N23" s="51">
        <v>824.3</v>
      </c>
      <c r="O23" s="51">
        <v>0</v>
      </c>
      <c r="P23" s="51">
        <v>0.46</v>
      </c>
      <c r="Q23" s="51">
        <v>4.21</v>
      </c>
    </row>
    <row r="24" spans="1:17" customFormat="1">
      <c r="A24" s="50" t="s">
        <v>194</v>
      </c>
      <c r="B24" s="51">
        <v>6.07</v>
      </c>
      <c r="C24" s="51">
        <v>28.21</v>
      </c>
      <c r="D24" s="51">
        <v>18.47</v>
      </c>
      <c r="E24" s="51">
        <v>6.51</v>
      </c>
      <c r="F24" s="51">
        <v>33.369999999999997</v>
      </c>
      <c r="G24" s="51">
        <v>12.73</v>
      </c>
      <c r="H24" s="51">
        <v>5.3</v>
      </c>
      <c r="I24" s="51">
        <v>3.94</v>
      </c>
      <c r="J24" s="51">
        <v>0.44</v>
      </c>
      <c r="K24" s="51">
        <v>331.72</v>
      </c>
      <c r="L24" s="51">
        <v>33.89</v>
      </c>
      <c r="M24" s="51">
        <v>63.77</v>
      </c>
      <c r="N24" s="51">
        <v>369.6</v>
      </c>
      <c r="O24" s="51">
        <v>0</v>
      </c>
      <c r="P24" s="51">
        <v>0.49</v>
      </c>
      <c r="Q24" s="51">
        <v>4.1100000000000003</v>
      </c>
    </row>
    <row r="25" spans="1:17" customFormat="1">
      <c r="A25" s="50" t="s">
        <v>195</v>
      </c>
      <c r="B25" s="51">
        <v>5.31</v>
      </c>
      <c r="C25" s="51">
        <v>28.22</v>
      </c>
      <c r="D25" s="51">
        <v>17.96</v>
      </c>
      <c r="E25" s="51">
        <v>7.96</v>
      </c>
      <c r="F25" s="51">
        <v>33.369999999999997</v>
      </c>
      <c r="G25" s="51">
        <v>20.49</v>
      </c>
      <c r="H25" s="51">
        <v>8.1199999999999992</v>
      </c>
      <c r="I25" s="51">
        <v>3.72</v>
      </c>
      <c r="J25" s="51">
        <v>0.39</v>
      </c>
      <c r="K25" s="51">
        <v>312.16000000000003</v>
      </c>
      <c r="L25" s="51">
        <v>34.22</v>
      </c>
      <c r="M25" s="51">
        <v>59.79</v>
      </c>
      <c r="N25" s="51">
        <v>345.5</v>
      </c>
      <c r="O25" s="51">
        <v>0</v>
      </c>
      <c r="P25" s="51">
        <v>0.52</v>
      </c>
      <c r="Q25" s="51">
        <v>4.04</v>
      </c>
    </row>
    <row r="26" spans="1:17" customFormat="1">
      <c r="A26" s="50" t="s">
        <v>196</v>
      </c>
      <c r="B26" s="51">
        <v>3.41</v>
      </c>
      <c r="C26" s="51">
        <v>23.84</v>
      </c>
      <c r="D26" s="51">
        <v>14.15</v>
      </c>
      <c r="E26" s="51">
        <v>8.17</v>
      </c>
      <c r="F26" s="51">
        <v>50.2</v>
      </c>
      <c r="G26" s="51">
        <v>24.99</v>
      </c>
      <c r="H26" s="51">
        <v>9.31</v>
      </c>
      <c r="I26" s="51">
        <v>3.68</v>
      </c>
      <c r="J26" s="51">
        <v>0.31</v>
      </c>
      <c r="K26" s="51">
        <v>238.01</v>
      </c>
      <c r="L26" s="51">
        <v>33.68</v>
      </c>
      <c r="M26" s="51">
        <v>64.95</v>
      </c>
      <c r="N26" s="51">
        <v>117.9</v>
      </c>
      <c r="O26" s="51">
        <v>0</v>
      </c>
      <c r="P26" s="51">
        <v>0.51</v>
      </c>
      <c r="Q26" s="51">
        <v>4.0199999999999996</v>
      </c>
    </row>
    <row r="27" spans="1:17" customFormat="1">
      <c r="A27" s="50" t="s">
        <v>197</v>
      </c>
      <c r="B27" s="51">
        <v>2.58</v>
      </c>
      <c r="C27" s="51">
        <v>20.54</v>
      </c>
      <c r="D27" s="51">
        <v>11.67</v>
      </c>
      <c r="E27" s="51">
        <v>7.45</v>
      </c>
      <c r="F27" s="51">
        <v>45.72</v>
      </c>
      <c r="G27" s="51">
        <v>25.29</v>
      </c>
      <c r="H27" s="51">
        <v>8.2799999999999994</v>
      </c>
      <c r="I27" s="51">
        <v>3.6</v>
      </c>
      <c r="J27" s="51">
        <v>0.24</v>
      </c>
      <c r="K27" s="51">
        <v>262.83</v>
      </c>
      <c r="L27" s="51">
        <v>32.18</v>
      </c>
      <c r="M27" s="51">
        <v>70.44</v>
      </c>
      <c r="N27" s="51">
        <v>22.7</v>
      </c>
      <c r="O27" s="51">
        <v>0</v>
      </c>
      <c r="P27" s="51">
        <v>0.54</v>
      </c>
      <c r="Q27" s="51">
        <v>3.93</v>
      </c>
    </row>
    <row r="28" spans="1:17" customFormat="1">
      <c r="A28" s="50" t="s">
        <v>198</v>
      </c>
      <c r="B28" s="51">
        <v>4.42</v>
      </c>
      <c r="C28" s="51">
        <v>29.2</v>
      </c>
      <c r="D28" s="51">
        <v>17.760000000000002</v>
      </c>
      <c r="E28" s="51">
        <v>8.57</v>
      </c>
      <c r="F28" s="51">
        <v>37.200000000000003</v>
      </c>
      <c r="G28" s="51">
        <v>23.55</v>
      </c>
      <c r="H28" s="51">
        <v>8.35</v>
      </c>
      <c r="I28" s="51">
        <v>4.37</v>
      </c>
      <c r="J28" s="51">
        <v>0.99</v>
      </c>
      <c r="K28" s="51">
        <v>204.82</v>
      </c>
      <c r="L28" s="51">
        <v>31.01</v>
      </c>
      <c r="M28" s="51">
        <v>81.209999999999994</v>
      </c>
      <c r="N28" s="51">
        <v>1.2</v>
      </c>
      <c r="O28" s="51">
        <v>10</v>
      </c>
      <c r="P28" s="51">
        <v>0.63</v>
      </c>
      <c r="Q28" s="51">
        <v>3.99</v>
      </c>
    </row>
    <row r="29" spans="1:17" customFormat="1">
      <c r="A29" s="50" t="s">
        <v>199</v>
      </c>
      <c r="B29" s="51">
        <v>4.3899999999999997</v>
      </c>
      <c r="C29" s="51">
        <v>33.71</v>
      </c>
      <c r="D29" s="51">
        <v>19.66</v>
      </c>
      <c r="E29" s="51">
        <v>6.48</v>
      </c>
      <c r="F29" s="51">
        <v>6.22</v>
      </c>
      <c r="G29" s="51">
        <v>25.73</v>
      </c>
      <c r="H29" s="51">
        <v>7.48</v>
      </c>
      <c r="I29" s="51">
        <v>4.4000000000000004</v>
      </c>
      <c r="J29" s="51">
        <v>1.27</v>
      </c>
      <c r="K29" s="51">
        <v>235.89</v>
      </c>
      <c r="L29" s="51">
        <v>24.62</v>
      </c>
      <c r="M29" s="51">
        <v>97.62</v>
      </c>
      <c r="N29" s="51">
        <v>0.2</v>
      </c>
      <c r="O29" s="51">
        <v>26.2</v>
      </c>
      <c r="P29" s="51">
        <v>0.56000000000000005</v>
      </c>
      <c r="Q29" s="51">
        <v>4.04</v>
      </c>
    </row>
    <row r="30" spans="1:17" customFormat="1">
      <c r="A30" s="50" t="s">
        <v>200</v>
      </c>
      <c r="B30" s="51">
        <v>5.92</v>
      </c>
      <c r="C30" s="51">
        <v>33.909999999999997</v>
      </c>
      <c r="D30" s="51">
        <v>20.53</v>
      </c>
      <c r="E30" s="51">
        <v>5.72</v>
      </c>
      <c r="F30" s="51">
        <v>6.49</v>
      </c>
      <c r="G30" s="51">
        <v>18.96</v>
      </c>
      <c r="H30" s="51">
        <v>7.27</v>
      </c>
      <c r="I30" s="51">
        <v>4.25</v>
      </c>
      <c r="J30" s="51">
        <v>0.26</v>
      </c>
      <c r="K30" s="51">
        <v>188.4</v>
      </c>
      <c r="L30" s="51">
        <v>25.07</v>
      </c>
      <c r="M30" s="51">
        <v>98.15</v>
      </c>
      <c r="N30" s="51">
        <v>0</v>
      </c>
      <c r="O30" s="51">
        <v>0.2</v>
      </c>
      <c r="P30" s="51">
        <v>0.54</v>
      </c>
      <c r="Q30" s="51">
        <v>4.0999999999999996</v>
      </c>
    </row>
    <row r="31" spans="1:17" customFormat="1">
      <c r="A31" s="50" t="s">
        <v>201</v>
      </c>
      <c r="B31" s="51">
        <v>7.42</v>
      </c>
      <c r="C31" s="51">
        <v>32.82</v>
      </c>
      <c r="D31" s="51">
        <v>21.91</v>
      </c>
      <c r="E31" s="51">
        <v>5.43</v>
      </c>
      <c r="F31" s="51">
        <v>6.3</v>
      </c>
      <c r="G31" s="51">
        <v>13.51</v>
      </c>
      <c r="H31" s="51">
        <v>5.75</v>
      </c>
      <c r="I31" s="51">
        <v>4.0199999999999996</v>
      </c>
      <c r="J31" s="51">
        <v>0.25</v>
      </c>
      <c r="K31" s="51">
        <v>177.1</v>
      </c>
      <c r="L31" s="51">
        <v>25.38</v>
      </c>
      <c r="M31" s="51">
        <v>98.39</v>
      </c>
      <c r="N31" s="51">
        <v>0</v>
      </c>
      <c r="O31" s="51">
        <v>0</v>
      </c>
      <c r="P31" s="51">
        <v>0.53</v>
      </c>
      <c r="Q31" s="51">
        <v>4.2699999999999996</v>
      </c>
    </row>
    <row r="32" spans="1:17" customFormat="1">
      <c r="A32" s="50" t="s">
        <v>202</v>
      </c>
      <c r="B32" s="51">
        <v>9.41</v>
      </c>
      <c r="C32" s="51">
        <v>35.11</v>
      </c>
      <c r="D32" s="51">
        <v>24.74</v>
      </c>
      <c r="E32" s="51">
        <v>5</v>
      </c>
      <c r="F32" s="51">
        <v>6.42</v>
      </c>
      <c r="G32" s="51">
        <v>12.04</v>
      </c>
      <c r="H32" s="51">
        <v>4.33</v>
      </c>
      <c r="I32" s="51">
        <v>3.82</v>
      </c>
      <c r="J32" s="51">
        <v>0.49</v>
      </c>
      <c r="K32" s="51">
        <v>246.32</v>
      </c>
      <c r="L32" s="51">
        <v>26.09</v>
      </c>
      <c r="M32" s="51">
        <v>98.54</v>
      </c>
      <c r="N32" s="51">
        <v>0</v>
      </c>
      <c r="O32" s="51">
        <v>0</v>
      </c>
      <c r="P32" s="51">
        <v>0.53</v>
      </c>
      <c r="Q32" s="51">
        <v>4.42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2.58</v>
      </c>
      <c r="C34" s="41">
        <f t="shared" si="0"/>
        <v>20.54</v>
      </c>
      <c r="D34" s="41">
        <f t="shared" si="0"/>
        <v>11.67</v>
      </c>
      <c r="E34" s="41">
        <f t="shared" si="0"/>
        <v>4.22</v>
      </c>
      <c r="F34" s="41">
        <f t="shared" si="0"/>
        <v>2.76</v>
      </c>
      <c r="G34" s="41">
        <f t="shared" si="0"/>
        <v>4.4000000000000004</v>
      </c>
      <c r="H34" s="41">
        <f t="shared" si="0"/>
        <v>1.4</v>
      </c>
      <c r="I34" s="41">
        <f t="shared" si="0"/>
        <v>3.33</v>
      </c>
      <c r="J34" s="41">
        <f t="shared" si="0"/>
        <v>0.23</v>
      </c>
      <c r="K34" s="41">
        <f t="shared" si="0"/>
        <v>162.91999999999999</v>
      </c>
      <c r="L34" s="41">
        <f t="shared" si="0"/>
        <v>24.62</v>
      </c>
      <c r="M34" s="41">
        <f t="shared" si="0"/>
        <v>59.79</v>
      </c>
      <c r="N34" s="41">
        <f t="shared" si="0"/>
        <v>0</v>
      </c>
      <c r="O34" s="41">
        <f t="shared" si="0"/>
        <v>0</v>
      </c>
      <c r="P34" s="41">
        <f t="shared" si="0"/>
        <v>0.46</v>
      </c>
      <c r="Q34" s="41">
        <f t="shared" si="0"/>
        <v>3.93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16.57</v>
      </c>
      <c r="C35" s="33">
        <f t="shared" si="1"/>
        <v>38.979999999999997</v>
      </c>
      <c r="D35" s="33">
        <f t="shared" si="1"/>
        <v>32.44</v>
      </c>
      <c r="E35" s="33">
        <f t="shared" si="1"/>
        <v>8.57</v>
      </c>
      <c r="F35" s="33">
        <f t="shared" si="1"/>
        <v>50.2</v>
      </c>
      <c r="G35" s="33">
        <f t="shared" si="1"/>
        <v>25.73</v>
      </c>
      <c r="H35" s="33">
        <f t="shared" si="1"/>
        <v>9.31</v>
      </c>
      <c r="I35" s="33">
        <f t="shared" si="1"/>
        <v>4.41</v>
      </c>
      <c r="J35" s="33">
        <f t="shared" si="1"/>
        <v>1.41</v>
      </c>
      <c r="K35" s="33">
        <f t="shared" si="1"/>
        <v>331.72</v>
      </c>
      <c r="L35" s="33">
        <f t="shared" si="1"/>
        <v>34.72</v>
      </c>
      <c r="M35" s="33">
        <f t="shared" si="1"/>
        <v>98.54</v>
      </c>
      <c r="N35" s="33">
        <f t="shared" si="1"/>
        <v>945.7</v>
      </c>
      <c r="O35" s="33">
        <f t="shared" si="1"/>
        <v>26.2</v>
      </c>
      <c r="P35" s="33">
        <f t="shared" si="1"/>
        <v>0.68</v>
      </c>
      <c r="Q35" s="33">
        <f t="shared" si="1"/>
        <v>4.82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9.8266666666666662</v>
      </c>
      <c r="C36" s="41">
        <f t="shared" si="2"/>
        <v>33.183750000000011</v>
      </c>
      <c r="D36" s="41">
        <f t="shared" si="2"/>
        <v>24.023750000000007</v>
      </c>
      <c r="E36" s="41">
        <f t="shared" si="2"/>
        <v>5.7700000000000022</v>
      </c>
      <c r="F36" s="41">
        <f t="shared" si="2"/>
        <v>15.192500000000003</v>
      </c>
      <c r="G36" s="41">
        <f t="shared" si="2"/>
        <v>14.263333333333334</v>
      </c>
      <c r="H36" s="41">
        <f t="shared" si="2"/>
        <v>4.8983333333333334</v>
      </c>
      <c r="I36" s="41">
        <f t="shared" si="2"/>
        <v>3.89</v>
      </c>
      <c r="J36" s="41">
        <f t="shared" si="2"/>
        <v>0.5195833333333334</v>
      </c>
      <c r="K36" s="41">
        <f t="shared" si="2"/>
        <v>260.76958333333334</v>
      </c>
      <c r="L36" s="41">
        <f t="shared" si="2"/>
        <v>29.152083333333337</v>
      </c>
      <c r="M36" s="41">
        <f t="shared" si="2"/>
        <v>81.412916666666675</v>
      </c>
      <c r="N36" s="41">
        <f t="shared" si="2"/>
        <v>220.30833333333331</v>
      </c>
      <c r="O36" s="41">
        <f t="shared" si="2"/>
        <v>1.5666666666666667</v>
      </c>
      <c r="P36" s="41">
        <f t="shared" si="2"/>
        <v>0.54625000000000001</v>
      </c>
      <c r="Q36" s="41">
        <f t="shared" si="2"/>
        <v>4.3937499999999998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4.3671736623474731</v>
      </c>
      <c r="C37" s="41">
        <f t="shared" ref="C37:Q37" si="3">STDEV(C9:C32)</f>
        <v>4.9631553887665856</v>
      </c>
      <c r="D37" s="41">
        <f t="shared" si="3"/>
        <v>5.8599820540606329</v>
      </c>
      <c r="E37" s="41">
        <f t="shared" si="3"/>
        <v>1.1946256462936777</v>
      </c>
      <c r="F37" s="41">
        <f t="shared" si="3"/>
        <v>14.069489422459347</v>
      </c>
      <c r="G37" s="41">
        <f t="shared" si="3"/>
        <v>6.3859081725629121</v>
      </c>
      <c r="H37" s="41">
        <f t="shared" si="3"/>
        <v>2.3403579560227197</v>
      </c>
      <c r="I37" s="41">
        <f t="shared" si="3"/>
        <v>0.32447951633614663</v>
      </c>
      <c r="J37" s="41">
        <f t="shared" si="3"/>
        <v>0.33591509236020078</v>
      </c>
      <c r="K37" s="41">
        <f t="shared" si="3"/>
        <v>44.838371036536813</v>
      </c>
      <c r="L37" s="41">
        <f t="shared" si="3"/>
        <v>3.7120906791382167</v>
      </c>
      <c r="M37" s="41">
        <f t="shared" si="3"/>
        <v>13.898706064005497</v>
      </c>
      <c r="N37" s="41">
        <f t="shared" si="3"/>
        <v>305.02634799475032</v>
      </c>
      <c r="O37" s="41">
        <f t="shared" si="3"/>
        <v>5.6274688623839975</v>
      </c>
      <c r="P37" s="41">
        <f t="shared" si="3"/>
        <v>6.7296391789055776E-2</v>
      </c>
      <c r="Q37" s="41">
        <f t="shared" si="3"/>
        <v>0.2865205433108311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06/07/2023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203</v>
      </c>
      <c r="B9" s="51">
        <v>10.57</v>
      </c>
      <c r="C9" s="51">
        <v>35.25</v>
      </c>
      <c r="D9" s="51">
        <v>25.85</v>
      </c>
      <c r="E9" s="51">
        <v>4.91</v>
      </c>
      <c r="F9" s="51">
        <v>6.92</v>
      </c>
      <c r="G9" s="51">
        <v>10.89</v>
      </c>
      <c r="H9" s="51">
        <v>3.34</v>
      </c>
      <c r="I9" s="51">
        <v>3.92</v>
      </c>
      <c r="J9" s="51">
        <v>0.76</v>
      </c>
      <c r="K9" s="51">
        <v>249.1</v>
      </c>
      <c r="L9" s="51">
        <v>26.3</v>
      </c>
      <c r="M9" s="51">
        <v>98.24</v>
      </c>
      <c r="N9" s="51">
        <v>0</v>
      </c>
      <c r="O9" s="51">
        <v>0</v>
      </c>
      <c r="P9" s="51">
        <v>0.51</v>
      </c>
      <c r="Q9" s="51">
        <v>4.4000000000000004</v>
      </c>
    </row>
    <row r="10" spans="1:21" customFormat="1">
      <c r="A10" s="50" t="s">
        <v>204</v>
      </c>
      <c r="B10" s="51">
        <v>10.96</v>
      </c>
      <c r="C10" s="51">
        <v>34.6</v>
      </c>
      <c r="D10" s="51">
        <v>25.82</v>
      </c>
      <c r="E10" s="51">
        <v>4.7300000000000004</v>
      </c>
      <c r="F10" s="51">
        <v>6.31</v>
      </c>
      <c r="G10" s="51">
        <v>7.72</v>
      </c>
      <c r="H10" s="51">
        <v>2.4900000000000002</v>
      </c>
      <c r="I10" s="51">
        <v>3.73</v>
      </c>
      <c r="J10" s="51">
        <v>0.51</v>
      </c>
      <c r="K10" s="51">
        <v>242.84</v>
      </c>
      <c r="L10" s="51">
        <v>25.87</v>
      </c>
      <c r="M10" s="51">
        <v>92.56</v>
      </c>
      <c r="N10" s="51">
        <v>0</v>
      </c>
      <c r="O10" s="51">
        <v>0</v>
      </c>
      <c r="P10" s="51">
        <v>0.49</v>
      </c>
      <c r="Q10" s="51">
        <v>4.41</v>
      </c>
    </row>
    <row r="11" spans="1:21" customFormat="1">
      <c r="A11" s="50" t="s">
        <v>205</v>
      </c>
      <c r="B11" s="51">
        <v>12.03</v>
      </c>
      <c r="C11" s="51">
        <v>32.69</v>
      </c>
      <c r="D11" s="51">
        <v>25.08</v>
      </c>
      <c r="E11" s="51">
        <v>7</v>
      </c>
      <c r="F11" s="51">
        <v>6.57</v>
      </c>
      <c r="G11" s="51">
        <v>6.55</v>
      </c>
      <c r="H11" s="51">
        <v>1.93</v>
      </c>
      <c r="I11" s="51">
        <v>3.39</v>
      </c>
      <c r="J11" s="51">
        <v>0.25</v>
      </c>
      <c r="K11" s="51">
        <v>212.71</v>
      </c>
      <c r="L11" s="51">
        <v>26</v>
      </c>
      <c r="M11" s="51">
        <v>93.56</v>
      </c>
      <c r="N11" s="51">
        <v>0</v>
      </c>
      <c r="O11" s="51">
        <v>0</v>
      </c>
      <c r="P11" s="51">
        <v>0.46</v>
      </c>
      <c r="Q11" s="51">
        <v>4.5</v>
      </c>
    </row>
    <row r="12" spans="1:21" customFormat="1">
      <c r="A12" s="50" t="s">
        <v>206</v>
      </c>
      <c r="B12" s="51">
        <v>12.88</v>
      </c>
      <c r="C12" s="51">
        <v>34.08</v>
      </c>
      <c r="D12" s="51">
        <v>26.85</v>
      </c>
      <c r="E12" s="51">
        <v>7.48</v>
      </c>
      <c r="F12" s="51">
        <v>5.92</v>
      </c>
      <c r="G12" s="51">
        <v>8.34</v>
      </c>
      <c r="H12" s="51">
        <v>1.49</v>
      </c>
      <c r="I12" s="51">
        <v>3.33</v>
      </c>
      <c r="J12" s="51">
        <v>0.26</v>
      </c>
      <c r="K12" s="51">
        <v>243.36</v>
      </c>
      <c r="L12" s="51">
        <v>25.95</v>
      </c>
      <c r="M12" s="51">
        <v>92.87</v>
      </c>
      <c r="N12" s="51">
        <v>0</v>
      </c>
      <c r="O12" s="51">
        <v>0</v>
      </c>
      <c r="P12" s="51">
        <v>0.44</v>
      </c>
      <c r="Q12" s="51">
        <v>4.57</v>
      </c>
    </row>
    <row r="13" spans="1:21" customFormat="1">
      <c r="A13" s="50" t="s">
        <v>207</v>
      </c>
      <c r="B13" s="51">
        <v>14.5</v>
      </c>
      <c r="C13" s="51">
        <v>35.11</v>
      </c>
      <c r="D13" s="51">
        <v>28.92</v>
      </c>
      <c r="E13" s="51">
        <v>7.01</v>
      </c>
      <c r="F13" s="51">
        <v>5.33</v>
      </c>
      <c r="G13" s="51">
        <v>6.5</v>
      </c>
      <c r="H13" s="51">
        <v>1.36</v>
      </c>
      <c r="I13" s="51">
        <v>3.19</v>
      </c>
      <c r="J13" s="51">
        <v>0.24</v>
      </c>
      <c r="K13" s="51">
        <v>217.37</v>
      </c>
      <c r="L13" s="51">
        <v>25.85</v>
      </c>
      <c r="M13" s="51">
        <v>93.18</v>
      </c>
      <c r="N13" s="51">
        <v>0</v>
      </c>
      <c r="O13" s="51">
        <v>0</v>
      </c>
      <c r="P13" s="51">
        <v>0.44</v>
      </c>
      <c r="Q13" s="51">
        <v>4.63</v>
      </c>
    </row>
    <row r="14" spans="1:21" customFormat="1">
      <c r="A14" s="50" t="s">
        <v>208</v>
      </c>
      <c r="B14" s="51">
        <v>17.18</v>
      </c>
      <c r="C14" s="51">
        <v>35.03</v>
      </c>
      <c r="D14" s="51">
        <v>30.98</v>
      </c>
      <c r="E14" s="51">
        <v>7.78</v>
      </c>
      <c r="F14" s="51">
        <v>4.53</v>
      </c>
      <c r="G14" s="51">
        <v>11.38</v>
      </c>
      <c r="H14" s="51">
        <v>2.08</v>
      </c>
      <c r="I14" s="51">
        <v>3.27</v>
      </c>
      <c r="J14" s="51">
        <v>0.28000000000000003</v>
      </c>
      <c r="K14" s="51">
        <v>342.5</v>
      </c>
      <c r="L14" s="51">
        <v>25.9</v>
      </c>
      <c r="M14" s="51">
        <v>93.84</v>
      </c>
      <c r="N14" s="51">
        <v>0</v>
      </c>
      <c r="O14" s="51">
        <v>0</v>
      </c>
      <c r="P14" s="51">
        <v>0.45</v>
      </c>
      <c r="Q14" s="51">
        <v>4.76</v>
      </c>
    </row>
    <row r="15" spans="1:21" customFormat="1">
      <c r="A15" s="50" t="s">
        <v>209</v>
      </c>
      <c r="B15" s="51">
        <v>19.809999999999999</v>
      </c>
      <c r="C15" s="51">
        <v>36.31</v>
      </c>
      <c r="D15" s="51">
        <v>32.979999999999997</v>
      </c>
      <c r="E15" s="51">
        <v>8.84</v>
      </c>
      <c r="F15" s="51">
        <v>3.4</v>
      </c>
      <c r="G15" s="51">
        <v>23.71</v>
      </c>
      <c r="H15" s="51">
        <v>3.76</v>
      </c>
      <c r="I15" s="51">
        <v>3.45</v>
      </c>
      <c r="J15" s="51">
        <v>0.21</v>
      </c>
      <c r="K15" s="51">
        <v>357.59</v>
      </c>
      <c r="L15" s="51">
        <v>25.99</v>
      </c>
      <c r="M15" s="51">
        <v>91.57</v>
      </c>
      <c r="N15" s="51">
        <v>32.299999999999997</v>
      </c>
      <c r="O15" s="51">
        <v>0</v>
      </c>
      <c r="P15" s="51">
        <v>0.46</v>
      </c>
      <c r="Q15" s="51">
        <v>4.9000000000000004</v>
      </c>
    </row>
    <row r="16" spans="1:21" customFormat="1">
      <c r="A16" s="50" t="s">
        <v>210</v>
      </c>
      <c r="B16" s="51">
        <v>22.69</v>
      </c>
      <c r="C16" s="51">
        <v>38.58</v>
      </c>
      <c r="D16" s="51">
        <v>37.31</v>
      </c>
      <c r="E16" s="51">
        <v>9.43</v>
      </c>
      <c r="F16" s="51">
        <v>3.04</v>
      </c>
      <c r="G16" s="51">
        <v>37.29</v>
      </c>
      <c r="H16" s="51">
        <v>8.4</v>
      </c>
      <c r="I16" s="51">
        <v>3.94</v>
      </c>
      <c r="J16" s="51">
        <v>0.38</v>
      </c>
      <c r="K16" s="51">
        <v>79.14</v>
      </c>
      <c r="L16" s="51">
        <v>26.63</v>
      </c>
      <c r="M16" s="51">
        <v>90.88</v>
      </c>
      <c r="N16" s="51">
        <v>78.900000000000006</v>
      </c>
      <c r="O16" s="51">
        <v>0</v>
      </c>
      <c r="P16" s="51">
        <v>0.53</v>
      </c>
      <c r="Q16" s="51">
        <v>5.08</v>
      </c>
    </row>
    <row r="17" spans="1:17" customFormat="1">
      <c r="A17" s="50" t="s">
        <v>211</v>
      </c>
      <c r="B17" s="51">
        <v>22.82</v>
      </c>
      <c r="C17" s="51">
        <v>36.28</v>
      </c>
      <c r="D17" s="51">
        <v>36.090000000000003</v>
      </c>
      <c r="E17" s="51">
        <v>12.23</v>
      </c>
      <c r="F17" s="51">
        <v>4.91</v>
      </c>
      <c r="G17" s="51">
        <v>49.31</v>
      </c>
      <c r="H17" s="51">
        <v>16.63</v>
      </c>
      <c r="I17" s="51">
        <v>4.0599999999999996</v>
      </c>
      <c r="J17" s="51">
        <v>0.22</v>
      </c>
      <c r="K17" s="51">
        <v>240.49</v>
      </c>
      <c r="L17" s="51">
        <v>27.94</v>
      </c>
      <c r="M17" s="51">
        <v>87.25</v>
      </c>
      <c r="N17" s="51">
        <v>211.7</v>
      </c>
      <c r="O17" s="51">
        <v>0</v>
      </c>
      <c r="P17" s="51">
        <v>0.54</v>
      </c>
      <c r="Q17" s="51">
        <v>5.19</v>
      </c>
    </row>
    <row r="18" spans="1:17" customFormat="1">
      <c r="A18" s="50" t="s">
        <v>212</v>
      </c>
      <c r="B18" s="51">
        <v>21.63</v>
      </c>
      <c r="C18" s="51">
        <v>34.51</v>
      </c>
      <c r="D18" s="51">
        <v>34.24</v>
      </c>
      <c r="E18" s="51">
        <v>10.51</v>
      </c>
      <c r="F18" s="51">
        <v>9.19</v>
      </c>
      <c r="G18" s="51">
        <v>54.34</v>
      </c>
      <c r="H18" s="51">
        <v>20.65</v>
      </c>
      <c r="I18" s="51">
        <v>4.2699999999999996</v>
      </c>
      <c r="J18" s="51">
        <v>0.49</v>
      </c>
      <c r="K18" s="51">
        <v>255.66</v>
      </c>
      <c r="L18" s="51">
        <v>28.76</v>
      </c>
      <c r="M18" s="51">
        <v>82.9</v>
      </c>
      <c r="N18" s="51">
        <v>318.5</v>
      </c>
      <c r="O18" s="51">
        <v>0</v>
      </c>
      <c r="P18" s="51">
        <v>0.55000000000000004</v>
      </c>
      <c r="Q18" s="51">
        <v>5.12</v>
      </c>
    </row>
    <row r="19" spans="1:17" customFormat="1">
      <c r="A19" s="50" t="s">
        <v>213</v>
      </c>
      <c r="B19" s="51">
        <v>18.21</v>
      </c>
      <c r="C19" s="51">
        <v>34.5</v>
      </c>
      <c r="D19" s="51">
        <v>31.47</v>
      </c>
      <c r="E19" s="51">
        <v>7.79</v>
      </c>
      <c r="F19" s="51">
        <v>8.94</v>
      </c>
      <c r="G19" s="51">
        <v>45.57</v>
      </c>
      <c r="H19" s="51">
        <v>17.149999999999999</v>
      </c>
      <c r="I19" s="51">
        <v>4.29</v>
      </c>
      <c r="J19" s="51">
        <v>0.5</v>
      </c>
      <c r="K19" s="51">
        <v>265.12</v>
      </c>
      <c r="L19" s="51">
        <v>28.37</v>
      </c>
      <c r="M19" s="51">
        <v>84.84</v>
      </c>
      <c r="N19" s="51">
        <v>149.4</v>
      </c>
      <c r="O19" s="51">
        <v>0</v>
      </c>
      <c r="P19" s="51">
        <v>0.59</v>
      </c>
      <c r="Q19" s="51">
        <v>4.95</v>
      </c>
    </row>
    <row r="20" spans="1:17" customFormat="1">
      <c r="A20" s="50" t="s">
        <v>214</v>
      </c>
      <c r="B20" s="51">
        <v>15.39</v>
      </c>
      <c r="C20" s="51">
        <v>30.37</v>
      </c>
      <c r="D20" s="51">
        <v>26.81</v>
      </c>
      <c r="E20" s="51">
        <v>8.32</v>
      </c>
      <c r="F20" s="51">
        <v>12.86</v>
      </c>
      <c r="G20" s="51">
        <v>40.72</v>
      </c>
      <c r="H20" s="51">
        <v>12.73</v>
      </c>
      <c r="I20" s="51">
        <v>4.51</v>
      </c>
      <c r="J20" s="51">
        <v>0.32</v>
      </c>
      <c r="K20" s="51">
        <v>248.21</v>
      </c>
      <c r="L20" s="51">
        <v>28.49</v>
      </c>
      <c r="M20" s="51">
        <v>86.47</v>
      </c>
      <c r="N20" s="51">
        <v>206.8</v>
      </c>
      <c r="O20" s="51">
        <v>0</v>
      </c>
      <c r="P20" s="51">
        <v>0.57999999999999996</v>
      </c>
      <c r="Q20" s="51">
        <v>4.9000000000000004</v>
      </c>
    </row>
    <row r="21" spans="1:17" customFormat="1">
      <c r="A21" s="50" t="s">
        <v>215</v>
      </c>
      <c r="B21" s="51">
        <v>14.24</v>
      </c>
      <c r="C21" s="51">
        <v>32.229999999999997</v>
      </c>
      <c r="D21" s="51">
        <v>27.02</v>
      </c>
      <c r="E21" s="51">
        <v>7.22</v>
      </c>
      <c r="F21" s="51">
        <v>6.98</v>
      </c>
      <c r="G21" s="51">
        <v>26.06</v>
      </c>
      <c r="H21" s="51">
        <v>8.99</v>
      </c>
      <c r="I21" s="51">
        <v>4.55</v>
      </c>
      <c r="J21" s="51">
        <v>0.43</v>
      </c>
      <c r="K21" s="51">
        <v>254.05</v>
      </c>
      <c r="L21" s="51">
        <v>28.38</v>
      </c>
      <c r="M21" s="51">
        <v>89.66</v>
      </c>
      <c r="N21" s="51">
        <v>203</v>
      </c>
      <c r="O21" s="51">
        <v>0</v>
      </c>
      <c r="P21" s="51">
        <v>0.57999999999999996</v>
      </c>
      <c r="Q21" s="51">
        <v>4.7300000000000004</v>
      </c>
    </row>
    <row r="22" spans="1:17" customFormat="1">
      <c r="A22" s="50" t="s">
        <v>216</v>
      </c>
      <c r="B22" s="51">
        <v>14.39</v>
      </c>
      <c r="C22" s="51">
        <v>36.89</v>
      </c>
      <c r="D22" s="51">
        <v>29.77</v>
      </c>
      <c r="E22" s="51">
        <v>5.74</v>
      </c>
      <c r="F22" s="51">
        <v>6.99</v>
      </c>
      <c r="G22" s="51">
        <v>19.91</v>
      </c>
      <c r="H22" s="51">
        <v>9.16</v>
      </c>
      <c r="I22" s="51">
        <v>4.5199999999999996</v>
      </c>
      <c r="J22" s="51">
        <v>0.68</v>
      </c>
      <c r="K22" s="51">
        <v>256.86</v>
      </c>
      <c r="L22" s="51">
        <v>28.19</v>
      </c>
      <c r="M22" s="51">
        <v>89.39</v>
      </c>
      <c r="N22" s="51">
        <v>266.2</v>
      </c>
      <c r="O22" s="51">
        <v>0</v>
      </c>
      <c r="P22" s="51">
        <v>0.63</v>
      </c>
      <c r="Q22" s="51">
        <v>4.87</v>
      </c>
    </row>
    <row r="23" spans="1:17" customFormat="1">
      <c r="A23" s="50" t="s">
        <v>217</v>
      </c>
      <c r="B23" s="51">
        <v>7.99</v>
      </c>
      <c r="C23" s="51">
        <v>32.090000000000003</v>
      </c>
      <c r="D23" s="51">
        <v>21.06</v>
      </c>
      <c r="E23" s="51">
        <v>4.8</v>
      </c>
      <c r="F23" s="51">
        <v>8.61</v>
      </c>
      <c r="G23" s="51">
        <v>17.329999999999998</v>
      </c>
      <c r="H23" s="51">
        <v>8.6</v>
      </c>
      <c r="I23" s="51">
        <v>4.53</v>
      </c>
      <c r="J23" s="51">
        <v>0.71</v>
      </c>
      <c r="K23" s="51">
        <v>252.46</v>
      </c>
      <c r="L23" s="51">
        <v>29.06</v>
      </c>
      <c r="M23" s="51">
        <v>84.18</v>
      </c>
      <c r="N23" s="51">
        <v>481.7</v>
      </c>
      <c r="O23" s="51">
        <v>0</v>
      </c>
      <c r="P23" s="51">
        <v>0.43</v>
      </c>
      <c r="Q23" s="51">
        <v>4.58</v>
      </c>
    </row>
    <row r="24" spans="1:17" customFormat="1">
      <c r="A24" s="50" t="s">
        <v>218</v>
      </c>
      <c r="B24" s="51">
        <v>5.3</v>
      </c>
      <c r="C24" s="51">
        <v>36.71</v>
      </c>
      <c r="D24" s="51">
        <v>21.86</v>
      </c>
      <c r="E24" s="51">
        <v>5.14</v>
      </c>
      <c r="F24" s="51">
        <v>6.38</v>
      </c>
      <c r="G24" s="51">
        <v>18.46</v>
      </c>
      <c r="H24" s="51">
        <v>6.99</v>
      </c>
      <c r="I24" s="51">
        <v>3.29</v>
      </c>
      <c r="J24" s="51">
        <v>0.66</v>
      </c>
      <c r="K24" s="51">
        <v>257.38</v>
      </c>
      <c r="L24" s="51">
        <v>29.09</v>
      </c>
      <c r="M24" s="51">
        <v>79.09</v>
      </c>
      <c r="N24" s="51">
        <v>289.10000000000002</v>
      </c>
      <c r="O24" s="51">
        <v>0</v>
      </c>
      <c r="P24" s="51">
        <v>0.28000000000000003</v>
      </c>
      <c r="Q24" s="51">
        <v>4.26</v>
      </c>
    </row>
    <row r="25" spans="1:17" customFormat="1">
      <c r="A25" s="50" t="s">
        <v>219</v>
      </c>
      <c r="B25" s="51">
        <v>5.73</v>
      </c>
      <c r="C25" s="51">
        <v>33.32</v>
      </c>
      <c r="D25" s="51">
        <v>20.77</v>
      </c>
      <c r="E25" s="51">
        <v>5.09</v>
      </c>
      <c r="F25" s="51">
        <v>7.2</v>
      </c>
      <c r="G25" s="51">
        <v>12.92</v>
      </c>
      <c r="H25" s="51">
        <v>6.98</v>
      </c>
      <c r="I25" s="51">
        <v>3.07</v>
      </c>
      <c r="J25" s="51">
        <v>0.68</v>
      </c>
      <c r="K25" s="51">
        <v>250.69</v>
      </c>
      <c r="L25" s="51">
        <v>28.6</v>
      </c>
      <c r="M25" s="51">
        <v>82.46</v>
      </c>
      <c r="N25" s="51">
        <v>245.3</v>
      </c>
      <c r="O25" s="51">
        <v>0</v>
      </c>
      <c r="P25" s="51">
        <v>0.26</v>
      </c>
      <c r="Q25" s="51">
        <v>4.24</v>
      </c>
    </row>
    <row r="26" spans="1:17" customFormat="1">
      <c r="A26" s="50" t="s">
        <v>220</v>
      </c>
      <c r="B26" s="51">
        <v>6.23</v>
      </c>
      <c r="C26" s="51">
        <v>34.44</v>
      </c>
      <c r="D26" s="51">
        <v>21.94</v>
      </c>
      <c r="E26" s="51">
        <v>5.9</v>
      </c>
      <c r="F26" s="51">
        <v>7.28</v>
      </c>
      <c r="G26" s="51">
        <v>9.0500000000000007</v>
      </c>
      <c r="H26" s="51">
        <v>5.24</v>
      </c>
      <c r="I26" s="51">
        <v>3.09</v>
      </c>
      <c r="J26" s="51">
        <v>0.84</v>
      </c>
      <c r="K26" s="51">
        <v>259.69</v>
      </c>
      <c r="L26" s="51">
        <v>27.83</v>
      </c>
      <c r="M26" s="51">
        <v>85.96</v>
      </c>
      <c r="N26" s="51">
        <v>83.1</v>
      </c>
      <c r="O26" s="51">
        <v>0</v>
      </c>
      <c r="P26" s="51">
        <v>0.26</v>
      </c>
      <c r="Q26" s="51">
        <v>4.22</v>
      </c>
    </row>
    <row r="27" spans="1:17" customFormat="1">
      <c r="A27" s="50" t="s">
        <v>221</v>
      </c>
      <c r="B27" s="51">
        <v>7.51</v>
      </c>
      <c r="C27" s="51">
        <v>34.61</v>
      </c>
      <c r="D27" s="51">
        <v>22.7</v>
      </c>
      <c r="E27" s="51">
        <v>6.07</v>
      </c>
      <c r="F27" s="51">
        <v>6.55</v>
      </c>
      <c r="G27" s="51">
        <v>8.86</v>
      </c>
      <c r="H27" s="51">
        <v>3.79</v>
      </c>
      <c r="I27" s="51">
        <v>3</v>
      </c>
      <c r="J27" s="51">
        <v>0.73</v>
      </c>
      <c r="K27" s="51">
        <v>258.26</v>
      </c>
      <c r="L27" s="51">
        <v>26.77</v>
      </c>
      <c r="M27" s="51">
        <v>87.74</v>
      </c>
      <c r="N27" s="51">
        <v>0</v>
      </c>
      <c r="O27" s="51">
        <v>0</v>
      </c>
      <c r="P27" s="51">
        <v>0.25</v>
      </c>
      <c r="Q27" s="51">
        <v>4.2699999999999996</v>
      </c>
    </row>
    <row r="28" spans="1:17" customFormat="1">
      <c r="A28" s="50" t="s">
        <v>222</v>
      </c>
      <c r="B28" s="51">
        <v>8.1</v>
      </c>
      <c r="C28" s="51">
        <v>33.880000000000003</v>
      </c>
      <c r="D28" s="51">
        <v>23.15</v>
      </c>
      <c r="E28" s="51">
        <v>6.19</v>
      </c>
      <c r="F28" s="51">
        <v>5.57</v>
      </c>
      <c r="G28" s="51">
        <v>6.51</v>
      </c>
      <c r="H28" s="51">
        <v>2.74</v>
      </c>
      <c r="I28" s="51">
        <v>3.04</v>
      </c>
      <c r="J28" s="51">
        <v>0.64</v>
      </c>
      <c r="K28" s="51">
        <v>257.63</v>
      </c>
      <c r="L28" s="51">
        <v>26.31</v>
      </c>
      <c r="M28" s="51">
        <v>89.53</v>
      </c>
      <c r="N28" s="51">
        <v>0</v>
      </c>
      <c r="O28" s="51">
        <v>0</v>
      </c>
      <c r="P28" s="51">
        <v>0.25</v>
      </c>
      <c r="Q28" s="51">
        <v>4.33</v>
      </c>
    </row>
    <row r="29" spans="1:17" customFormat="1">
      <c r="A29" s="50" t="s">
        <v>223</v>
      </c>
      <c r="B29" s="51">
        <v>8.8000000000000007</v>
      </c>
      <c r="C29" s="51">
        <v>34.74</v>
      </c>
      <c r="D29" s="51">
        <v>24.16</v>
      </c>
      <c r="E29" s="51">
        <v>6.21</v>
      </c>
      <c r="F29" s="51">
        <v>7.05</v>
      </c>
      <c r="G29" s="51">
        <v>5.55</v>
      </c>
      <c r="H29" s="51">
        <v>2.12</v>
      </c>
      <c r="I29" s="51">
        <v>2.92</v>
      </c>
      <c r="J29" s="51">
        <v>0.3</v>
      </c>
      <c r="K29" s="51">
        <v>246.35</v>
      </c>
      <c r="L29" s="51">
        <v>26.37</v>
      </c>
      <c r="M29" s="51">
        <v>92.34</v>
      </c>
      <c r="N29" s="51">
        <v>0</v>
      </c>
      <c r="O29" s="51">
        <v>0.8</v>
      </c>
      <c r="P29" s="51">
        <v>0.26</v>
      </c>
      <c r="Q29" s="51">
        <v>4.3499999999999996</v>
      </c>
    </row>
    <row r="30" spans="1:17" customFormat="1">
      <c r="A30" s="50" t="s">
        <v>224</v>
      </c>
      <c r="B30" s="51">
        <v>10.07</v>
      </c>
      <c r="C30" s="51">
        <v>34.94</v>
      </c>
      <c r="D30" s="51">
        <v>25.11</v>
      </c>
      <c r="E30" s="51">
        <v>6.5</v>
      </c>
      <c r="F30" s="51">
        <v>4.8</v>
      </c>
      <c r="G30" s="51">
        <v>7.04</v>
      </c>
      <c r="H30" s="51">
        <v>2.19</v>
      </c>
      <c r="I30" s="51">
        <v>2.94</v>
      </c>
      <c r="J30" s="51">
        <v>0.47</v>
      </c>
      <c r="K30" s="51">
        <v>254.37</v>
      </c>
      <c r="L30" s="51">
        <v>25.61</v>
      </c>
      <c r="M30" s="51">
        <v>96.28</v>
      </c>
      <c r="N30" s="51">
        <v>0</v>
      </c>
      <c r="O30" s="51">
        <v>0.4</v>
      </c>
      <c r="P30" s="51">
        <v>0.25</v>
      </c>
      <c r="Q30" s="51">
        <v>4.42</v>
      </c>
    </row>
    <row r="31" spans="1:17" customFormat="1">
      <c r="A31" s="50" t="s">
        <v>225</v>
      </c>
      <c r="B31" s="51">
        <v>11.52</v>
      </c>
      <c r="C31" s="51">
        <v>35.65</v>
      </c>
      <c r="D31" s="51">
        <v>26.29</v>
      </c>
      <c r="E31" s="51">
        <v>6.52</v>
      </c>
      <c r="F31" s="51">
        <v>4.62</v>
      </c>
      <c r="G31" s="51">
        <v>7.55</v>
      </c>
      <c r="H31" s="51">
        <v>2.42</v>
      </c>
      <c r="I31" s="51">
        <v>2.99</v>
      </c>
      <c r="J31" s="51">
        <v>0.46</v>
      </c>
      <c r="K31" s="51">
        <v>253.43</v>
      </c>
      <c r="L31" s="51">
        <v>25.42</v>
      </c>
      <c r="M31" s="51">
        <v>95.87</v>
      </c>
      <c r="N31" s="51">
        <v>0</v>
      </c>
      <c r="O31" s="51">
        <v>0</v>
      </c>
      <c r="P31" s="51">
        <v>0.25</v>
      </c>
      <c r="Q31" s="51">
        <v>4.45</v>
      </c>
    </row>
    <row r="32" spans="1:17" customFormat="1">
      <c r="A32" s="50" t="s">
        <v>226</v>
      </c>
      <c r="B32" s="51">
        <v>12.27</v>
      </c>
      <c r="C32" s="51">
        <v>35.369999999999997</v>
      </c>
      <c r="D32" s="51">
        <v>27.19</v>
      </c>
      <c r="E32" s="51">
        <v>7.06</v>
      </c>
      <c r="F32" s="51">
        <v>4.2</v>
      </c>
      <c r="G32" s="51">
        <v>6.2</v>
      </c>
      <c r="H32" s="51">
        <v>2.2999999999999998</v>
      </c>
      <c r="I32" s="51">
        <v>2.99</v>
      </c>
      <c r="J32" s="51">
        <v>0.51</v>
      </c>
      <c r="K32" s="51">
        <v>262.81</v>
      </c>
      <c r="L32" s="51">
        <v>25.37</v>
      </c>
      <c r="M32" s="51">
        <v>94.54</v>
      </c>
      <c r="N32" s="51">
        <v>0</v>
      </c>
      <c r="O32" s="51">
        <v>0</v>
      </c>
      <c r="P32" s="51">
        <v>0.25</v>
      </c>
      <c r="Q32" s="51">
        <v>4.54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5.3</v>
      </c>
      <c r="C34" s="41">
        <f t="shared" si="0"/>
        <v>30.37</v>
      </c>
      <c r="D34" s="41">
        <f t="shared" si="0"/>
        <v>20.77</v>
      </c>
      <c r="E34" s="41">
        <f t="shared" si="0"/>
        <v>4.7300000000000004</v>
      </c>
      <c r="F34" s="41">
        <f t="shared" si="0"/>
        <v>3.04</v>
      </c>
      <c r="G34" s="41">
        <f t="shared" si="0"/>
        <v>5.55</v>
      </c>
      <c r="H34" s="41">
        <f t="shared" si="0"/>
        <v>1.36</v>
      </c>
      <c r="I34" s="41">
        <f t="shared" si="0"/>
        <v>2.92</v>
      </c>
      <c r="J34" s="41">
        <f t="shared" si="0"/>
        <v>0.21</v>
      </c>
      <c r="K34" s="41">
        <f t="shared" si="0"/>
        <v>79.14</v>
      </c>
      <c r="L34" s="41">
        <f t="shared" si="0"/>
        <v>25.37</v>
      </c>
      <c r="M34" s="41">
        <f t="shared" si="0"/>
        <v>79.09</v>
      </c>
      <c r="N34" s="41">
        <f t="shared" si="0"/>
        <v>0</v>
      </c>
      <c r="O34" s="41">
        <f t="shared" si="0"/>
        <v>0</v>
      </c>
      <c r="P34" s="41">
        <f t="shared" si="0"/>
        <v>0.25</v>
      </c>
      <c r="Q34" s="41">
        <f t="shared" si="0"/>
        <v>4.22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22.82</v>
      </c>
      <c r="C35" s="33">
        <f t="shared" si="1"/>
        <v>38.58</v>
      </c>
      <c r="D35" s="33">
        <f t="shared" si="1"/>
        <v>37.31</v>
      </c>
      <c r="E35" s="33">
        <f t="shared" si="1"/>
        <v>12.23</v>
      </c>
      <c r="F35" s="33">
        <f t="shared" si="1"/>
        <v>12.86</v>
      </c>
      <c r="G35" s="33">
        <f t="shared" si="1"/>
        <v>54.34</v>
      </c>
      <c r="H35" s="33">
        <f t="shared" si="1"/>
        <v>20.65</v>
      </c>
      <c r="I35" s="33">
        <f t="shared" si="1"/>
        <v>4.55</v>
      </c>
      <c r="J35" s="33">
        <f t="shared" si="1"/>
        <v>0.84</v>
      </c>
      <c r="K35" s="33">
        <f t="shared" si="1"/>
        <v>357.59</v>
      </c>
      <c r="L35" s="33">
        <f t="shared" si="1"/>
        <v>29.09</v>
      </c>
      <c r="M35" s="33">
        <f t="shared" si="1"/>
        <v>98.24</v>
      </c>
      <c r="N35" s="33">
        <f t="shared" si="1"/>
        <v>481.7</v>
      </c>
      <c r="O35" s="33">
        <f t="shared" si="1"/>
        <v>0.8</v>
      </c>
      <c r="P35" s="33">
        <f t="shared" si="1"/>
        <v>0.63</v>
      </c>
      <c r="Q35" s="33">
        <f t="shared" si="1"/>
        <v>5.19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12.950833333333334</v>
      </c>
      <c r="C36" s="41">
        <f t="shared" si="2"/>
        <v>34.674166666666679</v>
      </c>
      <c r="D36" s="41">
        <f t="shared" si="2"/>
        <v>27.22583333333333</v>
      </c>
      <c r="E36" s="41">
        <f t="shared" si="2"/>
        <v>7.0195833333333333</v>
      </c>
      <c r="F36" s="41">
        <f t="shared" si="2"/>
        <v>6.4229166666666666</v>
      </c>
      <c r="G36" s="41">
        <f t="shared" si="2"/>
        <v>18.65666666666667</v>
      </c>
      <c r="H36" s="41">
        <f t="shared" si="2"/>
        <v>6.3970833333333337</v>
      </c>
      <c r="I36" s="41">
        <f t="shared" si="2"/>
        <v>3.5949999999999993</v>
      </c>
      <c r="J36" s="41">
        <f t="shared" si="2"/>
        <v>0.48041666666666677</v>
      </c>
      <c r="K36" s="41">
        <f t="shared" si="2"/>
        <v>250.75291666666672</v>
      </c>
      <c r="L36" s="41">
        <f t="shared" si="2"/>
        <v>27.043749999999999</v>
      </c>
      <c r="M36" s="41">
        <f t="shared" si="2"/>
        <v>89.8</v>
      </c>
      <c r="N36" s="41">
        <f t="shared" si="2"/>
        <v>106.91666666666667</v>
      </c>
      <c r="O36" s="41">
        <f t="shared" si="2"/>
        <v>5.000000000000001E-2</v>
      </c>
      <c r="P36" s="41">
        <f t="shared" si="2"/>
        <v>0.41625000000000001</v>
      </c>
      <c r="Q36" s="41">
        <f t="shared" si="2"/>
        <v>4.6112500000000001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5.2930133742236203</v>
      </c>
      <c r="C37" s="41">
        <f t="shared" ref="C37:Q37" si="3">STDEV(C9:C32)</f>
        <v>1.7417904747615784</v>
      </c>
      <c r="D37" s="41">
        <f t="shared" si="3"/>
        <v>4.6677859165046209</v>
      </c>
      <c r="E37" s="41">
        <f t="shared" si="3"/>
        <v>1.8545302444382585</v>
      </c>
      <c r="F37" s="41">
        <f t="shared" si="3"/>
        <v>2.1092930593317116</v>
      </c>
      <c r="G37" s="41">
        <f t="shared" si="3"/>
        <v>15.382944442145821</v>
      </c>
      <c r="H37" s="41">
        <f t="shared" si="3"/>
        <v>5.5057965337464552</v>
      </c>
      <c r="I37" s="41">
        <f t="shared" si="3"/>
        <v>0.59644599595182124</v>
      </c>
      <c r="J37" s="41">
        <f t="shared" si="3"/>
        <v>0.1949465738777334</v>
      </c>
      <c r="K37" s="41">
        <f t="shared" si="3"/>
        <v>47.899436365855387</v>
      </c>
      <c r="L37" s="41">
        <f t="shared" si="3"/>
        <v>1.2985537523822868</v>
      </c>
      <c r="M37" s="41">
        <f t="shared" si="3"/>
        <v>4.8964512437692278</v>
      </c>
      <c r="N37" s="41">
        <f t="shared" si="3"/>
        <v>138.16010141567065</v>
      </c>
      <c r="O37" s="41">
        <f t="shared" si="3"/>
        <v>0.17937088125857628</v>
      </c>
      <c r="P37" s="41">
        <f t="shared" si="3"/>
        <v>0.13612055079166416</v>
      </c>
      <c r="Q37" s="41">
        <f t="shared" si="3"/>
        <v>0.29814371352260027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07/07/2023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227</v>
      </c>
      <c r="B9" s="51">
        <v>12.28</v>
      </c>
      <c r="C9" s="51">
        <v>35.5</v>
      </c>
      <c r="D9" s="51">
        <v>27.35</v>
      </c>
      <c r="E9" s="51">
        <v>6.75</v>
      </c>
      <c r="F9" s="51">
        <v>4.87</v>
      </c>
      <c r="G9" s="51">
        <v>7</v>
      </c>
      <c r="H9" s="51">
        <v>3.66</v>
      </c>
      <c r="I9" s="51">
        <v>2.88</v>
      </c>
      <c r="J9" s="51">
        <v>0.55000000000000004</v>
      </c>
      <c r="K9" s="51">
        <v>262.45</v>
      </c>
      <c r="L9" s="51">
        <v>25.42</v>
      </c>
      <c r="M9" s="51">
        <v>94.93</v>
      </c>
      <c r="N9" s="51">
        <v>0</v>
      </c>
      <c r="O9" s="51">
        <v>0</v>
      </c>
      <c r="P9" s="51">
        <v>0.25</v>
      </c>
      <c r="Q9" s="51">
        <v>4.58</v>
      </c>
    </row>
    <row r="10" spans="1:21" customFormat="1">
      <c r="A10" s="50" t="s">
        <v>228</v>
      </c>
      <c r="B10" s="51">
        <v>12.65</v>
      </c>
      <c r="C10" s="51">
        <v>35.520000000000003</v>
      </c>
      <c r="D10" s="51">
        <v>27.66</v>
      </c>
      <c r="E10" s="51">
        <v>6.77</v>
      </c>
      <c r="F10" s="51">
        <v>4.46</v>
      </c>
      <c r="G10" s="51">
        <v>5.24</v>
      </c>
      <c r="H10" s="51">
        <v>2.66</v>
      </c>
      <c r="I10" s="51">
        <v>2.84</v>
      </c>
      <c r="J10" s="51">
        <v>0.38</v>
      </c>
      <c r="K10" s="51">
        <v>254.85</v>
      </c>
      <c r="L10" s="51">
        <v>25.45</v>
      </c>
      <c r="M10" s="51">
        <v>93.63</v>
      </c>
      <c r="N10" s="51">
        <v>0</v>
      </c>
      <c r="O10" s="51">
        <v>0</v>
      </c>
      <c r="P10" s="51">
        <v>0.24</v>
      </c>
      <c r="Q10" s="51">
        <v>4.5999999999999996</v>
      </c>
    </row>
    <row r="11" spans="1:21" customFormat="1">
      <c r="A11" s="50" t="s">
        <v>229</v>
      </c>
      <c r="B11" s="51">
        <v>13.03</v>
      </c>
      <c r="C11" s="51">
        <v>36.65</v>
      </c>
      <c r="D11" s="51">
        <v>28.36</v>
      </c>
      <c r="E11" s="51">
        <v>5.89</v>
      </c>
      <c r="F11" s="51">
        <v>4.62</v>
      </c>
      <c r="G11" s="51">
        <v>3.99</v>
      </c>
      <c r="H11" s="51">
        <v>2.35</v>
      </c>
      <c r="I11" s="51">
        <v>2.8</v>
      </c>
      <c r="J11" s="51">
        <v>0.47</v>
      </c>
      <c r="K11" s="51">
        <v>255.96</v>
      </c>
      <c r="L11" s="51">
        <v>25.33</v>
      </c>
      <c r="M11" s="51">
        <v>94.2</v>
      </c>
      <c r="N11" s="51">
        <v>0</v>
      </c>
      <c r="O11" s="51">
        <v>0</v>
      </c>
      <c r="P11" s="51">
        <v>0.24</v>
      </c>
      <c r="Q11" s="51">
        <v>4.6100000000000003</v>
      </c>
    </row>
    <row r="12" spans="1:21" customFormat="1">
      <c r="A12" s="50" t="s">
        <v>230</v>
      </c>
      <c r="B12" s="51">
        <v>13.37</v>
      </c>
      <c r="C12" s="51">
        <v>34.76</v>
      </c>
      <c r="D12" s="51">
        <v>27.84</v>
      </c>
      <c r="E12" s="51">
        <v>6.53</v>
      </c>
      <c r="F12" s="51">
        <v>5.09</v>
      </c>
      <c r="G12" s="51">
        <v>4.32</v>
      </c>
      <c r="H12" s="51">
        <v>2.7</v>
      </c>
      <c r="I12" s="51">
        <v>2.76</v>
      </c>
      <c r="J12" s="51">
        <v>0.44</v>
      </c>
      <c r="K12" s="51">
        <v>256.48</v>
      </c>
      <c r="L12" s="51">
        <v>25.36</v>
      </c>
      <c r="M12" s="51">
        <v>94.32</v>
      </c>
      <c r="N12" s="51">
        <v>0</v>
      </c>
      <c r="O12" s="51">
        <v>0</v>
      </c>
      <c r="P12" s="51">
        <v>0.22</v>
      </c>
      <c r="Q12" s="51">
        <v>4.62</v>
      </c>
    </row>
    <row r="13" spans="1:21" customFormat="1">
      <c r="A13" s="50" t="s">
        <v>231</v>
      </c>
      <c r="B13" s="51">
        <v>14.13</v>
      </c>
      <c r="C13" s="51">
        <v>37.35</v>
      </c>
      <c r="D13" s="51">
        <v>29.66</v>
      </c>
      <c r="E13" s="51">
        <v>5.99</v>
      </c>
      <c r="F13" s="51">
        <v>5.2</v>
      </c>
      <c r="G13" s="51">
        <v>4.05</v>
      </c>
      <c r="H13" s="51">
        <v>2.9</v>
      </c>
      <c r="I13" s="51">
        <v>2.74</v>
      </c>
      <c r="J13" s="51">
        <v>0.6</v>
      </c>
      <c r="K13" s="51">
        <v>258.31</v>
      </c>
      <c r="L13" s="51">
        <v>25.22</v>
      </c>
      <c r="M13" s="51">
        <v>96.65</v>
      </c>
      <c r="N13" s="51">
        <v>0</v>
      </c>
      <c r="O13" s="51">
        <v>2.4</v>
      </c>
      <c r="P13" s="51">
        <v>0.24</v>
      </c>
      <c r="Q13" s="51">
        <v>4.66</v>
      </c>
    </row>
    <row r="14" spans="1:21" customFormat="1">
      <c r="A14" s="50" t="s">
        <v>232</v>
      </c>
      <c r="B14" s="51">
        <v>14.2</v>
      </c>
      <c r="C14" s="51">
        <v>35.950000000000003</v>
      </c>
      <c r="D14" s="51">
        <v>29.13</v>
      </c>
      <c r="E14" s="51">
        <v>5.82</v>
      </c>
      <c r="F14" s="51">
        <v>3.16</v>
      </c>
      <c r="G14" s="51">
        <v>2.96</v>
      </c>
      <c r="H14" s="51">
        <v>2.04</v>
      </c>
      <c r="I14" s="51">
        <v>2.75</v>
      </c>
      <c r="J14" s="51">
        <v>0.64</v>
      </c>
      <c r="K14" s="51">
        <v>261.57</v>
      </c>
      <c r="L14" s="51">
        <v>24.62</v>
      </c>
      <c r="M14" s="51">
        <v>97.41</v>
      </c>
      <c r="N14" s="51">
        <v>0</v>
      </c>
      <c r="O14" s="51">
        <v>2.2000000000000002</v>
      </c>
      <c r="P14" s="51">
        <v>0.22</v>
      </c>
      <c r="Q14" s="51">
        <v>4.5999999999999996</v>
      </c>
    </row>
    <row r="15" spans="1:21" customFormat="1">
      <c r="A15" s="50" t="s">
        <v>233</v>
      </c>
      <c r="B15" s="51">
        <v>14.59</v>
      </c>
      <c r="C15" s="51">
        <v>36.82</v>
      </c>
      <c r="D15" s="51">
        <v>29.7</v>
      </c>
      <c r="E15" s="51">
        <v>6.32</v>
      </c>
      <c r="F15" s="51">
        <v>2.67</v>
      </c>
      <c r="G15" s="51">
        <v>2.62</v>
      </c>
      <c r="H15" s="51">
        <v>1.59</v>
      </c>
      <c r="I15" s="51">
        <v>2.69</v>
      </c>
      <c r="J15" s="51">
        <v>0.92</v>
      </c>
      <c r="K15" s="51">
        <v>265.3</v>
      </c>
      <c r="L15" s="51">
        <v>24.4</v>
      </c>
      <c r="M15" s="51">
        <v>97.98</v>
      </c>
      <c r="N15" s="51">
        <v>0.5</v>
      </c>
      <c r="O15" s="51">
        <v>7</v>
      </c>
      <c r="P15" s="51">
        <v>0.23</v>
      </c>
      <c r="Q15" s="51">
        <v>4.66</v>
      </c>
    </row>
    <row r="16" spans="1:21" customFormat="1">
      <c r="A16" s="50" t="s">
        <v>234</v>
      </c>
      <c r="B16" s="51">
        <v>14.4</v>
      </c>
      <c r="C16" s="51">
        <v>34.82</v>
      </c>
      <c r="D16" s="51">
        <v>28.63</v>
      </c>
      <c r="E16" s="51">
        <v>6.04</v>
      </c>
      <c r="F16" s="51">
        <v>2.65</v>
      </c>
      <c r="G16" s="51">
        <v>2.2599999999999998</v>
      </c>
      <c r="H16" s="51">
        <v>1.28</v>
      </c>
      <c r="I16" s="51">
        <v>2.67</v>
      </c>
      <c r="J16" s="51">
        <v>0.7</v>
      </c>
      <c r="K16" s="51">
        <v>264.79000000000002</v>
      </c>
      <c r="L16" s="51">
        <v>24.28</v>
      </c>
      <c r="M16" s="51">
        <v>98.4</v>
      </c>
      <c r="N16" s="51">
        <v>23.4</v>
      </c>
      <c r="O16" s="51">
        <v>6.8</v>
      </c>
      <c r="P16" s="51">
        <v>0.21</v>
      </c>
      <c r="Q16" s="51">
        <v>4.62</v>
      </c>
    </row>
    <row r="17" spans="1:17" customFormat="1">
      <c r="A17" s="50" t="s">
        <v>235</v>
      </c>
      <c r="B17" s="51">
        <v>14.86</v>
      </c>
      <c r="C17" s="51">
        <v>35.03</v>
      </c>
      <c r="D17" s="51">
        <v>28.84</v>
      </c>
      <c r="E17" s="51">
        <v>6.28</v>
      </c>
      <c r="F17" s="51">
        <v>2.48</v>
      </c>
      <c r="G17" s="51">
        <v>2.57</v>
      </c>
      <c r="H17" s="51">
        <v>1.36</v>
      </c>
      <c r="I17" s="51">
        <v>2.69</v>
      </c>
      <c r="J17" s="51">
        <v>0.98</v>
      </c>
      <c r="K17" s="51">
        <v>243.35</v>
      </c>
      <c r="L17" s="51">
        <v>24.69</v>
      </c>
      <c r="M17" s="51">
        <v>98.59</v>
      </c>
      <c r="N17" s="51">
        <v>113.1</v>
      </c>
      <c r="O17" s="51">
        <v>0.6</v>
      </c>
      <c r="P17" s="51">
        <v>0.23</v>
      </c>
      <c r="Q17" s="51">
        <v>4.6399999999999997</v>
      </c>
    </row>
    <row r="18" spans="1:17" customFormat="1">
      <c r="A18" s="50" t="s">
        <v>236</v>
      </c>
      <c r="B18" s="51">
        <v>14.85</v>
      </c>
      <c r="C18" s="51">
        <v>33.67</v>
      </c>
      <c r="D18" s="51">
        <v>28.38</v>
      </c>
      <c r="E18" s="51">
        <v>5.95</v>
      </c>
      <c r="F18" s="51">
        <v>3.27</v>
      </c>
      <c r="G18" s="51">
        <v>2.94</v>
      </c>
      <c r="H18" s="51">
        <v>1.24</v>
      </c>
      <c r="I18" s="51">
        <v>2.66</v>
      </c>
      <c r="J18" s="51">
        <v>0.74</v>
      </c>
      <c r="K18" s="51">
        <v>223.81</v>
      </c>
      <c r="L18" s="51">
        <v>25.33</v>
      </c>
      <c r="M18" s="51">
        <v>98.62</v>
      </c>
      <c r="N18" s="51">
        <v>88.2</v>
      </c>
      <c r="O18" s="51">
        <v>0.2</v>
      </c>
      <c r="P18" s="51">
        <v>0.23</v>
      </c>
      <c r="Q18" s="51">
        <v>4.6399999999999997</v>
      </c>
    </row>
    <row r="19" spans="1:17" customFormat="1">
      <c r="A19" s="50" t="s">
        <v>237</v>
      </c>
      <c r="B19" s="51">
        <v>14.68</v>
      </c>
      <c r="C19" s="51">
        <v>34.119999999999997</v>
      </c>
      <c r="D19" s="51">
        <v>28.56</v>
      </c>
      <c r="E19" s="51">
        <v>6.2</v>
      </c>
      <c r="F19" s="51">
        <v>3.17</v>
      </c>
      <c r="G19" s="51">
        <v>2.25</v>
      </c>
      <c r="H19" s="51">
        <v>1.63</v>
      </c>
      <c r="I19" s="51">
        <v>2.62</v>
      </c>
      <c r="J19" s="51">
        <v>0.69</v>
      </c>
      <c r="K19" s="51">
        <v>258.17</v>
      </c>
      <c r="L19" s="51">
        <v>25.66</v>
      </c>
      <c r="M19" s="51">
        <v>98.61</v>
      </c>
      <c r="N19" s="51">
        <v>131.6</v>
      </c>
      <c r="O19" s="51">
        <v>0.2</v>
      </c>
      <c r="P19" s="51">
        <v>0.23</v>
      </c>
      <c r="Q19" s="51">
        <v>4.67</v>
      </c>
    </row>
    <row r="20" spans="1:17" customFormat="1">
      <c r="A20" s="50" t="s">
        <v>238</v>
      </c>
      <c r="B20" s="51">
        <v>14.44</v>
      </c>
      <c r="C20" s="51">
        <v>34.979999999999997</v>
      </c>
      <c r="D20" s="51">
        <v>28.81</v>
      </c>
      <c r="E20" s="51">
        <v>6.62</v>
      </c>
      <c r="F20" s="51">
        <v>3.49</v>
      </c>
      <c r="G20" s="51">
        <v>3.3</v>
      </c>
      <c r="H20" s="51">
        <v>2.21</v>
      </c>
      <c r="I20" s="51">
        <v>2.61</v>
      </c>
      <c r="J20" s="51">
        <v>0.83</v>
      </c>
      <c r="K20" s="51">
        <v>253.27</v>
      </c>
      <c r="L20" s="51">
        <v>26.03</v>
      </c>
      <c r="M20" s="51">
        <v>94.44</v>
      </c>
      <c r="N20" s="51">
        <v>170.4</v>
      </c>
      <c r="O20" s="51">
        <v>0</v>
      </c>
      <c r="P20" s="51">
        <v>0.24</v>
      </c>
      <c r="Q20" s="51">
        <v>4.63</v>
      </c>
    </row>
    <row r="21" spans="1:17" customFormat="1">
      <c r="A21" s="50" t="s">
        <v>239</v>
      </c>
      <c r="B21" s="51">
        <v>14.06</v>
      </c>
      <c r="C21" s="51">
        <v>34.590000000000003</v>
      </c>
      <c r="D21" s="51">
        <v>27.89</v>
      </c>
      <c r="E21" s="51">
        <v>6.64</v>
      </c>
      <c r="F21" s="51">
        <v>4.2300000000000004</v>
      </c>
      <c r="G21" s="51">
        <v>5.41</v>
      </c>
      <c r="H21" s="51">
        <v>2.83</v>
      </c>
      <c r="I21" s="51">
        <v>2.58</v>
      </c>
      <c r="J21" s="51">
        <v>1.08</v>
      </c>
      <c r="K21" s="51">
        <v>264.37</v>
      </c>
      <c r="L21" s="51">
        <v>26.93</v>
      </c>
      <c r="M21" s="51">
        <v>90.04</v>
      </c>
      <c r="N21" s="51">
        <v>372</v>
      </c>
      <c r="O21" s="51">
        <v>0</v>
      </c>
      <c r="P21" s="51">
        <v>0.23</v>
      </c>
      <c r="Q21" s="51">
        <v>4.6100000000000003</v>
      </c>
    </row>
    <row r="22" spans="1:17" customFormat="1">
      <c r="A22" s="50" t="s">
        <v>240</v>
      </c>
      <c r="B22" s="51">
        <v>12.51</v>
      </c>
      <c r="C22" s="51">
        <v>33.020000000000003</v>
      </c>
      <c r="D22" s="51">
        <v>25.68</v>
      </c>
      <c r="E22" s="51">
        <v>6.23</v>
      </c>
      <c r="F22" s="51">
        <v>4.51</v>
      </c>
      <c r="G22" s="51">
        <v>3.89</v>
      </c>
      <c r="H22" s="51">
        <v>3.67</v>
      </c>
      <c r="I22" s="51">
        <v>2.5499999999999998</v>
      </c>
      <c r="J22" s="51">
        <v>1.34</v>
      </c>
      <c r="K22" s="51">
        <v>267.68</v>
      </c>
      <c r="L22" s="51">
        <v>26.95</v>
      </c>
      <c r="M22" s="51">
        <v>86.04</v>
      </c>
      <c r="N22" s="51">
        <v>248.5</v>
      </c>
      <c r="O22" s="51">
        <v>0</v>
      </c>
      <c r="P22" s="51">
        <v>0.2</v>
      </c>
      <c r="Q22" s="51">
        <v>4.45</v>
      </c>
    </row>
    <row r="23" spans="1:17" customFormat="1">
      <c r="A23" s="50" t="s">
        <v>241</v>
      </c>
      <c r="B23" s="51">
        <v>10.97</v>
      </c>
      <c r="C23" s="51">
        <v>32.6</v>
      </c>
      <c r="D23" s="51">
        <v>24.55</v>
      </c>
      <c r="E23" s="51">
        <v>5.69</v>
      </c>
      <c r="F23" s="51">
        <v>4.6100000000000003</v>
      </c>
      <c r="G23" s="51">
        <v>3.85</v>
      </c>
      <c r="H23" s="51">
        <v>3.54</v>
      </c>
      <c r="I23" s="51">
        <v>2.4500000000000002</v>
      </c>
      <c r="J23" s="51">
        <v>0.95</v>
      </c>
      <c r="K23" s="51">
        <v>265.69</v>
      </c>
      <c r="L23" s="51">
        <v>27.01</v>
      </c>
      <c r="M23" s="51">
        <v>85.61</v>
      </c>
      <c r="N23" s="51">
        <v>170.9</v>
      </c>
      <c r="O23" s="51">
        <v>0</v>
      </c>
      <c r="P23" s="51">
        <v>0.36</v>
      </c>
      <c r="Q23" s="51">
        <v>4.4000000000000004</v>
      </c>
    </row>
    <row r="24" spans="1:17" customFormat="1">
      <c r="A24" s="50" t="s">
        <v>242</v>
      </c>
      <c r="B24" s="51">
        <v>9.86</v>
      </c>
      <c r="C24" s="51">
        <v>32.32</v>
      </c>
      <c r="D24" s="51">
        <v>23.74</v>
      </c>
      <c r="E24" s="51">
        <v>5.52</v>
      </c>
      <c r="F24" s="51">
        <v>5.0599999999999996</v>
      </c>
      <c r="G24" s="51">
        <v>5.38</v>
      </c>
      <c r="H24" s="51">
        <v>4.3499999999999996</v>
      </c>
      <c r="I24" s="51">
        <v>2.39</v>
      </c>
      <c r="J24" s="51">
        <v>0.76</v>
      </c>
      <c r="K24" s="51">
        <v>264.33</v>
      </c>
      <c r="L24" s="51">
        <v>27.52</v>
      </c>
      <c r="M24" s="51">
        <v>86.45</v>
      </c>
      <c r="N24" s="51">
        <v>214</v>
      </c>
      <c r="O24" s="51">
        <v>0</v>
      </c>
      <c r="P24" s="51">
        <v>0.35</v>
      </c>
      <c r="Q24" s="51">
        <v>4.38</v>
      </c>
    </row>
    <row r="25" spans="1:17" customFormat="1">
      <c r="A25" s="50" t="s">
        <v>243</v>
      </c>
      <c r="B25" s="51">
        <v>9.74</v>
      </c>
      <c r="C25" s="51">
        <v>32.21</v>
      </c>
      <c r="D25" s="51">
        <v>23.42</v>
      </c>
      <c r="E25" s="51">
        <v>5.54</v>
      </c>
      <c r="F25" s="51">
        <v>5.83</v>
      </c>
      <c r="G25" s="51">
        <v>6.55</v>
      </c>
      <c r="H25" s="51">
        <v>5.68</v>
      </c>
      <c r="I25" s="51">
        <v>2.39</v>
      </c>
      <c r="J25" s="51">
        <v>0.66</v>
      </c>
      <c r="K25" s="51">
        <v>253.76</v>
      </c>
      <c r="L25" s="51">
        <v>26.83</v>
      </c>
      <c r="M25" s="51">
        <v>86.08</v>
      </c>
      <c r="N25" s="51">
        <v>49</v>
      </c>
      <c r="O25" s="51">
        <v>0</v>
      </c>
      <c r="P25" s="51">
        <v>0.36</v>
      </c>
      <c r="Q25" s="51">
        <v>4.3600000000000003</v>
      </c>
    </row>
    <row r="26" spans="1:17" customFormat="1">
      <c r="A26" s="50" t="s">
        <v>244</v>
      </c>
      <c r="B26" s="51">
        <v>9.89</v>
      </c>
      <c r="C26" s="51">
        <v>32.49</v>
      </c>
      <c r="D26" s="51">
        <v>23.86</v>
      </c>
      <c r="E26" s="51">
        <v>6.02</v>
      </c>
      <c r="F26" s="51">
        <v>7.11</v>
      </c>
      <c r="G26" s="51">
        <v>8.5500000000000007</v>
      </c>
      <c r="H26" s="51">
        <v>4.3899999999999997</v>
      </c>
      <c r="I26" s="51">
        <v>2.41</v>
      </c>
      <c r="J26" s="51">
        <v>0.5</v>
      </c>
      <c r="K26" s="51">
        <v>257.66000000000003</v>
      </c>
      <c r="L26" s="51">
        <v>26.71</v>
      </c>
      <c r="M26" s="51">
        <v>86.53</v>
      </c>
      <c r="N26" s="51">
        <v>28</v>
      </c>
      <c r="O26" s="51">
        <v>0</v>
      </c>
      <c r="P26" s="51">
        <v>0.36</v>
      </c>
      <c r="Q26" s="51">
        <v>4.34</v>
      </c>
    </row>
    <row r="27" spans="1:17" customFormat="1">
      <c r="A27" s="50" t="s">
        <v>245</v>
      </c>
      <c r="B27" s="51">
        <v>10.62</v>
      </c>
      <c r="C27" s="51">
        <v>33.26</v>
      </c>
      <c r="D27" s="51">
        <v>24.79</v>
      </c>
      <c r="E27" s="51">
        <v>4.6399999999999997</v>
      </c>
      <c r="F27" s="51">
        <v>6.57</v>
      </c>
      <c r="G27" s="51">
        <v>8.14</v>
      </c>
      <c r="H27" s="51">
        <v>5.23</v>
      </c>
      <c r="I27" s="51">
        <v>2.4700000000000002</v>
      </c>
      <c r="J27" s="51">
        <v>0.64</v>
      </c>
      <c r="K27" s="51">
        <v>258.33999999999997</v>
      </c>
      <c r="L27" s="51">
        <v>26.75</v>
      </c>
      <c r="M27" s="51">
        <v>85.13</v>
      </c>
      <c r="N27" s="51">
        <v>3.4</v>
      </c>
      <c r="O27" s="51">
        <v>0</v>
      </c>
      <c r="P27" s="51">
        <v>0.38</v>
      </c>
      <c r="Q27" s="51">
        <v>4.4000000000000004</v>
      </c>
    </row>
    <row r="28" spans="1:17" customFormat="1">
      <c r="A28" s="50" t="s">
        <v>246</v>
      </c>
      <c r="B28" s="51">
        <v>10.79</v>
      </c>
      <c r="C28" s="51">
        <v>33.590000000000003</v>
      </c>
      <c r="D28" s="51">
        <v>25.16</v>
      </c>
      <c r="E28" s="51">
        <v>4.71</v>
      </c>
      <c r="F28" s="51">
        <v>8.2100000000000009</v>
      </c>
      <c r="G28" s="51">
        <v>6.09</v>
      </c>
      <c r="H28" s="51">
        <v>4.01</v>
      </c>
      <c r="I28" s="51">
        <v>2.59</v>
      </c>
      <c r="J28" s="51">
        <v>0.38</v>
      </c>
      <c r="K28" s="51">
        <v>254.31</v>
      </c>
      <c r="L28" s="51">
        <v>26.48</v>
      </c>
      <c r="M28" s="51">
        <v>87.82</v>
      </c>
      <c r="N28" s="51">
        <v>0</v>
      </c>
      <c r="O28" s="51">
        <v>0</v>
      </c>
      <c r="P28" s="51">
        <v>0.38</v>
      </c>
      <c r="Q28" s="51">
        <v>4.47</v>
      </c>
    </row>
    <row r="29" spans="1:17" customFormat="1">
      <c r="A29" s="50" t="s">
        <v>247</v>
      </c>
      <c r="B29" s="51">
        <v>11.79</v>
      </c>
      <c r="C29" s="51">
        <v>33.729999999999997</v>
      </c>
      <c r="D29" s="51">
        <v>25.72</v>
      </c>
      <c r="E29" s="51">
        <v>4.4800000000000004</v>
      </c>
      <c r="F29" s="51">
        <v>4.5199999999999996</v>
      </c>
      <c r="G29" s="51">
        <v>4.43</v>
      </c>
      <c r="H29" s="51">
        <v>3.34</v>
      </c>
      <c r="I29" s="51">
        <v>2.54</v>
      </c>
      <c r="J29" s="51">
        <v>0.46</v>
      </c>
      <c r="K29" s="51">
        <v>253.71</v>
      </c>
      <c r="L29" s="51">
        <v>26.27</v>
      </c>
      <c r="M29" s="51">
        <v>87.94</v>
      </c>
      <c r="N29" s="51">
        <v>0</v>
      </c>
      <c r="O29" s="51">
        <v>0</v>
      </c>
      <c r="P29" s="51">
        <v>0.38</v>
      </c>
      <c r="Q29" s="51">
        <v>4.46</v>
      </c>
    </row>
    <row r="30" spans="1:17" customFormat="1">
      <c r="A30" s="50" t="s">
        <v>248</v>
      </c>
      <c r="B30" s="51">
        <v>12.14</v>
      </c>
      <c r="C30" s="51">
        <v>33.14</v>
      </c>
      <c r="D30" s="51">
        <v>26.01</v>
      </c>
      <c r="E30" s="51">
        <v>4.5599999999999996</v>
      </c>
      <c r="F30" s="51">
        <v>5.17</v>
      </c>
      <c r="G30" s="51">
        <v>3.88</v>
      </c>
      <c r="H30" s="51">
        <v>2.95</v>
      </c>
      <c r="I30" s="51">
        <v>2.5299999999999998</v>
      </c>
      <c r="J30" s="51">
        <v>0.39</v>
      </c>
      <c r="K30" s="51">
        <v>248.93</v>
      </c>
      <c r="L30" s="51">
        <v>25.99</v>
      </c>
      <c r="M30" s="51">
        <v>88.78</v>
      </c>
      <c r="N30" s="51">
        <v>0</v>
      </c>
      <c r="O30" s="51">
        <v>0</v>
      </c>
      <c r="P30" s="51">
        <v>0.37</v>
      </c>
      <c r="Q30" s="51">
        <v>4.49</v>
      </c>
    </row>
    <row r="31" spans="1:17" customFormat="1">
      <c r="A31" s="50" t="s">
        <v>249</v>
      </c>
      <c r="B31" s="51">
        <v>12.38</v>
      </c>
      <c r="C31" s="51">
        <v>31.85</v>
      </c>
      <c r="D31" s="51">
        <v>25.53</v>
      </c>
      <c r="E31" s="51">
        <v>5.01</v>
      </c>
      <c r="F31" s="51">
        <v>6.64</v>
      </c>
      <c r="G31" s="51">
        <v>5.0599999999999996</v>
      </c>
      <c r="H31" s="51">
        <v>3.27</v>
      </c>
      <c r="I31" s="51">
        <v>2.5099999999999998</v>
      </c>
      <c r="J31" s="51">
        <v>0.21</v>
      </c>
      <c r="K31" s="51">
        <v>254.6</v>
      </c>
      <c r="L31" s="51">
        <v>25.77</v>
      </c>
      <c r="M31" s="51">
        <v>89.34</v>
      </c>
      <c r="N31" s="51">
        <v>0</v>
      </c>
      <c r="O31" s="51">
        <v>0</v>
      </c>
      <c r="P31" s="51">
        <v>0.36</v>
      </c>
      <c r="Q31" s="51">
        <v>4.54</v>
      </c>
    </row>
    <row r="32" spans="1:17" customFormat="1">
      <c r="A32" s="50" t="s">
        <v>250</v>
      </c>
      <c r="B32" s="51">
        <v>13.11</v>
      </c>
      <c r="C32" s="51">
        <v>32.19</v>
      </c>
      <c r="D32" s="51">
        <v>26.12</v>
      </c>
      <c r="E32" s="51">
        <v>4.96</v>
      </c>
      <c r="F32" s="51">
        <v>5.48</v>
      </c>
      <c r="G32" s="51">
        <v>4.59</v>
      </c>
      <c r="H32" s="51">
        <v>2.4900000000000002</v>
      </c>
      <c r="I32" s="51">
        <v>2.5</v>
      </c>
      <c r="J32" s="51">
        <v>0.31</v>
      </c>
      <c r="K32" s="51">
        <v>247.3</v>
      </c>
      <c r="L32" s="51">
        <v>25.75</v>
      </c>
      <c r="M32" s="51">
        <v>88.64</v>
      </c>
      <c r="N32" s="51">
        <v>0</v>
      </c>
      <c r="O32" s="51">
        <v>0</v>
      </c>
      <c r="P32" s="51">
        <v>0.36</v>
      </c>
      <c r="Q32" s="51">
        <v>4.5599999999999996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9.74</v>
      </c>
      <c r="C34" s="41">
        <f t="shared" si="0"/>
        <v>31.85</v>
      </c>
      <c r="D34" s="41">
        <f t="shared" si="0"/>
        <v>23.42</v>
      </c>
      <c r="E34" s="41">
        <f t="shared" si="0"/>
        <v>4.4800000000000004</v>
      </c>
      <c r="F34" s="41">
        <f t="shared" si="0"/>
        <v>2.48</v>
      </c>
      <c r="G34" s="41">
        <f t="shared" si="0"/>
        <v>2.25</v>
      </c>
      <c r="H34" s="41">
        <f t="shared" si="0"/>
        <v>1.24</v>
      </c>
      <c r="I34" s="41">
        <f t="shared" si="0"/>
        <v>2.39</v>
      </c>
      <c r="J34" s="41">
        <f t="shared" si="0"/>
        <v>0.21</v>
      </c>
      <c r="K34" s="41">
        <f t="shared" si="0"/>
        <v>223.81</v>
      </c>
      <c r="L34" s="41">
        <f t="shared" si="0"/>
        <v>24.28</v>
      </c>
      <c r="M34" s="41">
        <f t="shared" si="0"/>
        <v>85.13</v>
      </c>
      <c r="N34" s="41">
        <f t="shared" si="0"/>
        <v>0</v>
      </c>
      <c r="O34" s="41">
        <f t="shared" si="0"/>
        <v>0</v>
      </c>
      <c r="P34" s="41">
        <f t="shared" si="0"/>
        <v>0.2</v>
      </c>
      <c r="Q34" s="41">
        <f t="shared" si="0"/>
        <v>4.34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14.86</v>
      </c>
      <c r="C35" s="33">
        <f t="shared" si="1"/>
        <v>37.35</v>
      </c>
      <c r="D35" s="33">
        <f t="shared" si="1"/>
        <v>29.7</v>
      </c>
      <c r="E35" s="33">
        <f t="shared" si="1"/>
        <v>6.77</v>
      </c>
      <c r="F35" s="33">
        <f t="shared" si="1"/>
        <v>8.2100000000000009</v>
      </c>
      <c r="G35" s="33">
        <f t="shared" si="1"/>
        <v>8.5500000000000007</v>
      </c>
      <c r="H35" s="33">
        <f t="shared" si="1"/>
        <v>5.68</v>
      </c>
      <c r="I35" s="33">
        <f t="shared" si="1"/>
        <v>2.88</v>
      </c>
      <c r="J35" s="33">
        <f t="shared" si="1"/>
        <v>1.34</v>
      </c>
      <c r="K35" s="33">
        <f t="shared" si="1"/>
        <v>267.68</v>
      </c>
      <c r="L35" s="33">
        <f t="shared" si="1"/>
        <v>27.52</v>
      </c>
      <c r="M35" s="33">
        <f t="shared" si="1"/>
        <v>98.62</v>
      </c>
      <c r="N35" s="33">
        <f t="shared" si="1"/>
        <v>372</v>
      </c>
      <c r="O35" s="33">
        <f t="shared" si="1"/>
        <v>7</v>
      </c>
      <c r="P35" s="33">
        <f t="shared" si="1"/>
        <v>0.38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12.722499999999998</v>
      </c>
      <c r="C36" s="41">
        <f t="shared" si="2"/>
        <v>34.173333333333339</v>
      </c>
      <c r="D36" s="41">
        <f t="shared" si="2"/>
        <v>26.891249999999999</v>
      </c>
      <c r="E36" s="41">
        <f t="shared" si="2"/>
        <v>5.7983333333333329</v>
      </c>
      <c r="F36" s="41">
        <f t="shared" si="2"/>
        <v>4.7112500000000006</v>
      </c>
      <c r="G36" s="41">
        <f t="shared" si="2"/>
        <v>4.5549999999999997</v>
      </c>
      <c r="H36" s="41">
        <f t="shared" si="2"/>
        <v>2.9737499999999994</v>
      </c>
      <c r="I36" s="41">
        <f t="shared" si="2"/>
        <v>2.6091666666666669</v>
      </c>
      <c r="J36" s="41">
        <f t="shared" si="2"/>
        <v>0.65083333333333349</v>
      </c>
      <c r="K36" s="41">
        <f t="shared" si="2"/>
        <v>256.20791666666673</v>
      </c>
      <c r="L36" s="41">
        <f t="shared" si="2"/>
        <v>25.864583333333332</v>
      </c>
      <c r="M36" s="41">
        <f t="shared" si="2"/>
        <v>91.924166666666665</v>
      </c>
      <c r="N36" s="41">
        <f t="shared" si="2"/>
        <v>67.208333333333329</v>
      </c>
      <c r="O36" s="41">
        <f t="shared" si="2"/>
        <v>0.80833333333333324</v>
      </c>
      <c r="P36" s="41">
        <f t="shared" si="2"/>
        <v>0.28625000000000006</v>
      </c>
      <c r="Q36" s="41">
        <f t="shared" si="2"/>
        <v>4.5412500000000007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1.7030184200796192</v>
      </c>
      <c r="C37" s="41">
        <f t="shared" ref="C37:Q37" si="3">STDEV(C9:C32)</f>
        <v>1.5912222993022345</v>
      </c>
      <c r="D37" s="41">
        <f t="shared" si="3"/>
        <v>1.9896762080910471</v>
      </c>
      <c r="E37" s="41">
        <f t="shared" si="3"/>
        <v>0.72455483584399694</v>
      </c>
      <c r="F37" s="41">
        <f t="shared" si="3"/>
        <v>1.4727563997632023</v>
      </c>
      <c r="G37" s="41">
        <f t="shared" si="3"/>
        <v>1.7482338914259832</v>
      </c>
      <c r="H37" s="41">
        <f t="shared" si="3"/>
        <v>1.2044115016128802</v>
      </c>
      <c r="I37" s="41">
        <f t="shared" si="3"/>
        <v>0.14144953522190432</v>
      </c>
      <c r="J37" s="41">
        <f t="shared" si="3"/>
        <v>0.2686506810075065</v>
      </c>
      <c r="K37" s="41">
        <f t="shared" si="3"/>
        <v>9.2533500298718749</v>
      </c>
      <c r="L37" s="41">
        <f t="shared" si="3"/>
        <v>0.90029453715055774</v>
      </c>
      <c r="M37" s="41">
        <f t="shared" si="3"/>
        <v>4.9855747709871263</v>
      </c>
      <c r="N37" s="41">
        <f t="shared" si="3"/>
        <v>101.5963792433683</v>
      </c>
      <c r="O37" s="41">
        <f t="shared" si="3"/>
        <v>1.9847060162690326</v>
      </c>
      <c r="P37" s="41">
        <f t="shared" si="3"/>
        <v>6.9895107746941049E-2</v>
      </c>
      <c r="Q37" s="41">
        <f t="shared" si="3"/>
        <v>0.10727098963551736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08/07/2023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251</v>
      </c>
      <c r="B9" s="51">
        <v>13.5</v>
      </c>
      <c r="C9" s="51">
        <v>34.58</v>
      </c>
      <c r="D9" s="51">
        <v>27.85</v>
      </c>
      <c r="E9" s="51">
        <v>5.43</v>
      </c>
      <c r="F9" s="51">
        <v>4.53</v>
      </c>
      <c r="G9" s="51">
        <v>6.07</v>
      </c>
      <c r="H9" s="51">
        <v>3.44</v>
      </c>
      <c r="I9" s="51">
        <v>2.52</v>
      </c>
      <c r="J9" s="51">
        <v>0.37</v>
      </c>
      <c r="K9" s="51">
        <v>251.42</v>
      </c>
      <c r="L9" s="51">
        <v>25.68</v>
      </c>
      <c r="M9" s="51">
        <v>89.27</v>
      </c>
      <c r="N9" s="51">
        <v>0</v>
      </c>
      <c r="O9" s="51">
        <v>0</v>
      </c>
      <c r="P9" s="51">
        <v>0.37</v>
      </c>
      <c r="Q9" s="51">
        <v>4.57</v>
      </c>
    </row>
    <row r="10" spans="1:21" customFormat="1">
      <c r="A10" s="50" t="s">
        <v>252</v>
      </c>
      <c r="B10" s="51">
        <v>14.03</v>
      </c>
      <c r="C10" s="51">
        <v>33.67</v>
      </c>
      <c r="D10" s="51">
        <v>27.8</v>
      </c>
      <c r="E10" s="51">
        <v>4.7699999999999996</v>
      </c>
      <c r="F10" s="51">
        <v>5.0199999999999996</v>
      </c>
      <c r="G10" s="51">
        <v>6.52</v>
      </c>
      <c r="H10" s="51">
        <v>4.3499999999999996</v>
      </c>
      <c r="I10" s="51">
        <v>2.4300000000000002</v>
      </c>
      <c r="J10" s="51">
        <v>0.23</v>
      </c>
      <c r="K10" s="51">
        <v>243.63</v>
      </c>
      <c r="L10" s="51">
        <v>25.44</v>
      </c>
      <c r="M10" s="51">
        <v>90.77</v>
      </c>
      <c r="N10" s="51">
        <v>0</v>
      </c>
      <c r="O10" s="51">
        <v>0</v>
      </c>
      <c r="P10" s="51">
        <v>0.37</v>
      </c>
      <c r="Q10" s="51">
        <v>4.58</v>
      </c>
    </row>
    <row r="11" spans="1:21" customFormat="1">
      <c r="A11" s="50" t="s">
        <v>253</v>
      </c>
      <c r="B11" s="51">
        <v>14.6</v>
      </c>
      <c r="C11" s="51">
        <v>33.5</v>
      </c>
      <c r="D11" s="51">
        <v>28.08</v>
      </c>
      <c r="E11" s="51">
        <v>5.51</v>
      </c>
      <c r="F11" s="51">
        <v>4.3</v>
      </c>
      <c r="G11" s="51">
        <v>4.66</v>
      </c>
      <c r="H11" s="51">
        <v>3.06</v>
      </c>
      <c r="I11" s="51">
        <v>2.48</v>
      </c>
      <c r="J11" s="51">
        <v>0.79</v>
      </c>
      <c r="K11" s="51">
        <v>257.92</v>
      </c>
      <c r="L11" s="51">
        <v>25.85</v>
      </c>
      <c r="M11" s="51">
        <v>89.56</v>
      </c>
      <c r="N11" s="51">
        <v>0</v>
      </c>
      <c r="O11" s="51">
        <v>0</v>
      </c>
      <c r="P11" s="51">
        <v>0.36</v>
      </c>
      <c r="Q11" s="51">
        <v>4.6399999999999997</v>
      </c>
    </row>
    <row r="12" spans="1:21" customFormat="1">
      <c r="A12" s="50" t="s">
        <v>254</v>
      </c>
      <c r="B12" s="51">
        <v>14.83</v>
      </c>
      <c r="C12" s="51">
        <v>35.61</v>
      </c>
      <c r="D12" s="51">
        <v>29.46</v>
      </c>
      <c r="E12" s="51">
        <v>5.7</v>
      </c>
      <c r="F12" s="51">
        <v>4.38</v>
      </c>
      <c r="G12" s="51">
        <v>4.4000000000000004</v>
      </c>
      <c r="H12" s="51">
        <v>2.4300000000000002</v>
      </c>
      <c r="I12" s="51">
        <v>2.4900000000000002</v>
      </c>
      <c r="J12" s="51">
        <v>0.92</v>
      </c>
      <c r="K12" s="51">
        <v>256.67</v>
      </c>
      <c r="L12" s="51">
        <v>25.72</v>
      </c>
      <c r="M12" s="51">
        <v>87.25</v>
      </c>
      <c r="N12" s="51">
        <v>0</v>
      </c>
      <c r="O12" s="51">
        <v>0</v>
      </c>
      <c r="P12" s="51">
        <v>0.37</v>
      </c>
      <c r="Q12" s="51">
        <v>4.67</v>
      </c>
    </row>
    <row r="13" spans="1:21" customFormat="1">
      <c r="A13" s="50" t="s">
        <v>255</v>
      </c>
      <c r="B13" s="51">
        <v>14.39</v>
      </c>
      <c r="C13" s="51">
        <v>35.97</v>
      </c>
      <c r="D13" s="51">
        <v>29.04</v>
      </c>
      <c r="E13" s="51">
        <v>5.76</v>
      </c>
      <c r="F13" s="51">
        <v>3.63</v>
      </c>
      <c r="G13" s="51">
        <v>5.93</v>
      </c>
      <c r="H13" s="51">
        <v>2.06</v>
      </c>
      <c r="I13" s="51">
        <v>2.4700000000000002</v>
      </c>
      <c r="J13" s="51">
        <v>0.79</v>
      </c>
      <c r="K13" s="51">
        <v>251.33</v>
      </c>
      <c r="L13" s="51">
        <v>25.76</v>
      </c>
      <c r="M13" s="51">
        <v>87.27</v>
      </c>
      <c r="N13" s="51">
        <v>0</v>
      </c>
      <c r="O13" s="51">
        <v>0</v>
      </c>
      <c r="P13" s="51">
        <v>0.37</v>
      </c>
      <c r="Q13" s="51">
        <v>4.6399999999999997</v>
      </c>
    </row>
    <row r="14" spans="1:21" customFormat="1">
      <c r="A14" s="50" t="s">
        <v>256</v>
      </c>
      <c r="B14" s="51">
        <v>13.68</v>
      </c>
      <c r="C14" s="51">
        <v>34.08</v>
      </c>
      <c r="D14" s="51">
        <v>27.73</v>
      </c>
      <c r="E14" s="51">
        <v>5.46</v>
      </c>
      <c r="F14" s="51">
        <v>4.5999999999999996</v>
      </c>
      <c r="G14" s="51">
        <v>5.71</v>
      </c>
      <c r="H14" s="51">
        <v>1.79</v>
      </c>
      <c r="I14" s="51">
        <v>2.44</v>
      </c>
      <c r="J14" s="51">
        <v>0.88</v>
      </c>
      <c r="K14" s="51">
        <v>260.38</v>
      </c>
      <c r="L14" s="51">
        <v>25.41</v>
      </c>
      <c r="M14" s="51">
        <v>88.4</v>
      </c>
      <c r="N14" s="51">
        <v>5.4</v>
      </c>
      <c r="O14" s="51">
        <v>0</v>
      </c>
      <c r="P14" s="51">
        <v>0.35</v>
      </c>
      <c r="Q14" s="51">
        <v>4.62</v>
      </c>
    </row>
    <row r="15" spans="1:21" customFormat="1">
      <c r="A15" s="50" t="s">
        <v>257</v>
      </c>
      <c r="B15" s="51">
        <v>13.88</v>
      </c>
      <c r="C15" s="51">
        <v>34.26</v>
      </c>
      <c r="D15" s="51">
        <v>27.99</v>
      </c>
      <c r="E15" s="51">
        <v>6.08</v>
      </c>
      <c r="F15" s="51">
        <v>3.13</v>
      </c>
      <c r="G15" s="51">
        <v>7.22</v>
      </c>
      <c r="H15" s="51">
        <v>2.08</v>
      </c>
      <c r="I15" s="51">
        <v>2.39</v>
      </c>
      <c r="J15" s="51">
        <v>0.98</v>
      </c>
      <c r="K15" s="51">
        <v>258.10000000000002</v>
      </c>
      <c r="L15" s="51">
        <v>25.38</v>
      </c>
      <c r="M15" s="51">
        <v>89.42</v>
      </c>
      <c r="N15" s="51">
        <v>46.2</v>
      </c>
      <c r="O15" s="51">
        <v>0</v>
      </c>
      <c r="P15" s="51">
        <v>0.35</v>
      </c>
      <c r="Q15" s="51">
        <v>4.57</v>
      </c>
    </row>
    <row r="16" spans="1:21" customFormat="1">
      <c r="A16" s="50" t="s">
        <v>258</v>
      </c>
      <c r="B16" s="51">
        <v>13.6</v>
      </c>
      <c r="C16" s="51">
        <v>34.71</v>
      </c>
      <c r="D16" s="51">
        <v>28</v>
      </c>
      <c r="E16" s="51">
        <v>5.56</v>
      </c>
      <c r="F16" s="51">
        <v>3.28</v>
      </c>
      <c r="G16" s="51">
        <v>6.02</v>
      </c>
      <c r="H16" s="51">
        <v>2.5499999999999998</v>
      </c>
      <c r="I16" s="51">
        <v>2.4</v>
      </c>
      <c r="J16" s="51">
        <v>0.87</v>
      </c>
      <c r="K16" s="51">
        <v>265.64</v>
      </c>
      <c r="L16" s="51">
        <v>25.23</v>
      </c>
      <c r="M16" s="51">
        <v>94.44</v>
      </c>
      <c r="N16" s="51">
        <v>67.7</v>
      </c>
      <c r="O16" s="51">
        <v>0.4</v>
      </c>
      <c r="P16" s="51">
        <v>0.36</v>
      </c>
      <c r="Q16" s="51">
        <v>4.57</v>
      </c>
    </row>
    <row r="17" spans="1:17" customFormat="1">
      <c r="A17" s="50" t="s">
        <v>259</v>
      </c>
      <c r="B17" s="51">
        <v>13.53</v>
      </c>
      <c r="C17" s="51">
        <v>33.659999999999997</v>
      </c>
      <c r="D17" s="51">
        <v>26.78</v>
      </c>
      <c r="E17" s="51">
        <v>5.28</v>
      </c>
      <c r="F17" s="51">
        <v>3.17</v>
      </c>
      <c r="G17" s="51">
        <v>6.15</v>
      </c>
      <c r="H17" s="51">
        <v>2.44</v>
      </c>
      <c r="I17" s="51">
        <v>2.34</v>
      </c>
      <c r="J17" s="51">
        <v>1.46</v>
      </c>
      <c r="K17" s="51">
        <v>264.44</v>
      </c>
      <c r="L17" s="51">
        <v>24.95</v>
      </c>
      <c r="M17" s="51">
        <v>93.89</v>
      </c>
      <c r="N17" s="51">
        <v>175.9</v>
      </c>
      <c r="O17" s="51">
        <v>0.2</v>
      </c>
      <c r="P17" s="51">
        <v>0.34</v>
      </c>
      <c r="Q17" s="51">
        <v>4.51</v>
      </c>
    </row>
    <row r="18" spans="1:17" customFormat="1">
      <c r="A18" s="50" t="s">
        <v>260</v>
      </c>
      <c r="B18" s="51">
        <v>13.03</v>
      </c>
      <c r="C18" s="51">
        <v>34.590000000000003</v>
      </c>
      <c r="D18" s="51">
        <v>27.34</v>
      </c>
      <c r="E18" s="51">
        <v>5.49</v>
      </c>
      <c r="F18" s="51">
        <v>3.9</v>
      </c>
      <c r="G18" s="51">
        <v>7.24</v>
      </c>
      <c r="H18" s="51">
        <v>2.81</v>
      </c>
      <c r="I18" s="51">
        <v>2.31</v>
      </c>
      <c r="J18" s="51">
        <v>0.6</v>
      </c>
      <c r="K18" s="51">
        <v>261.05</v>
      </c>
      <c r="L18" s="51">
        <v>26.33</v>
      </c>
      <c r="M18" s="51">
        <v>94.5</v>
      </c>
      <c r="N18" s="51">
        <v>218.1</v>
      </c>
      <c r="O18" s="51">
        <v>0</v>
      </c>
      <c r="P18" s="51">
        <v>0.36</v>
      </c>
      <c r="Q18" s="51">
        <v>4.49</v>
      </c>
    </row>
    <row r="19" spans="1:17" customFormat="1">
      <c r="A19" s="50" t="s">
        <v>261</v>
      </c>
      <c r="B19" s="51">
        <v>13.13</v>
      </c>
      <c r="C19" s="51">
        <v>32.24</v>
      </c>
      <c r="D19" s="51">
        <v>26.16</v>
      </c>
      <c r="E19" s="51">
        <v>6.77</v>
      </c>
      <c r="F19" s="51">
        <v>3.87</v>
      </c>
      <c r="G19" s="51">
        <v>6.03</v>
      </c>
      <c r="H19" s="51">
        <v>2.08</v>
      </c>
      <c r="I19" s="51">
        <v>2.3199999999999998</v>
      </c>
      <c r="J19" s="51">
        <v>0.42</v>
      </c>
      <c r="K19" s="51">
        <v>257.19</v>
      </c>
      <c r="L19" s="51">
        <v>26.09</v>
      </c>
      <c r="M19" s="51">
        <v>90.72</v>
      </c>
      <c r="N19" s="51">
        <v>104.7</v>
      </c>
      <c r="O19" s="51">
        <v>0</v>
      </c>
      <c r="P19" s="51">
        <v>0.35</v>
      </c>
      <c r="Q19" s="51">
        <v>4.54</v>
      </c>
    </row>
    <row r="20" spans="1:17" customFormat="1">
      <c r="A20" s="50" t="s">
        <v>262</v>
      </c>
      <c r="B20" s="51">
        <v>13.46</v>
      </c>
      <c r="C20" s="51">
        <v>34.590000000000003</v>
      </c>
      <c r="D20" s="51">
        <v>27.74</v>
      </c>
      <c r="E20" s="51">
        <v>7.38</v>
      </c>
      <c r="F20" s="51">
        <v>3.71</v>
      </c>
      <c r="G20" s="51">
        <v>4.68</v>
      </c>
      <c r="H20" s="51">
        <v>1.53</v>
      </c>
      <c r="I20" s="51">
        <v>2.4</v>
      </c>
      <c r="J20" s="51">
        <v>0.45</v>
      </c>
      <c r="K20" s="51">
        <v>258.35000000000002</v>
      </c>
      <c r="L20" s="51">
        <v>25.67</v>
      </c>
      <c r="M20" s="51">
        <v>95.05</v>
      </c>
      <c r="N20" s="51">
        <v>32.799999999999997</v>
      </c>
      <c r="O20" s="51">
        <v>0.8</v>
      </c>
      <c r="P20" s="51">
        <v>0.37</v>
      </c>
      <c r="Q20" s="51">
        <v>4.59</v>
      </c>
    </row>
    <row r="21" spans="1:17" customFormat="1">
      <c r="A21" s="50" t="s">
        <v>263</v>
      </c>
      <c r="B21" s="51">
        <v>14.3</v>
      </c>
      <c r="C21" s="51">
        <v>35.369999999999997</v>
      </c>
      <c r="D21" s="51">
        <v>28.9</v>
      </c>
      <c r="E21" s="51">
        <v>6.96</v>
      </c>
      <c r="F21" s="51">
        <v>4.8600000000000003</v>
      </c>
      <c r="G21" s="51">
        <v>4.9800000000000004</v>
      </c>
      <c r="H21" s="51">
        <v>1.29</v>
      </c>
      <c r="I21" s="51">
        <v>2.42</v>
      </c>
      <c r="J21" s="51">
        <v>0.34</v>
      </c>
      <c r="K21" s="51">
        <v>245.45</v>
      </c>
      <c r="L21" s="51">
        <v>25.73</v>
      </c>
      <c r="M21" s="51">
        <v>95.8</v>
      </c>
      <c r="N21" s="51">
        <v>98.5</v>
      </c>
      <c r="O21" s="51">
        <v>0.2</v>
      </c>
      <c r="P21" s="51">
        <v>0.37</v>
      </c>
      <c r="Q21" s="51">
        <v>4.6100000000000003</v>
      </c>
    </row>
    <row r="22" spans="1:17" customFormat="1">
      <c r="A22" s="50" t="s">
        <v>264</v>
      </c>
      <c r="B22" s="51">
        <v>14.54</v>
      </c>
      <c r="C22" s="51">
        <v>35.24</v>
      </c>
      <c r="D22" s="51">
        <v>28.81</v>
      </c>
      <c r="E22" s="51">
        <v>7.48</v>
      </c>
      <c r="F22" s="51">
        <v>5.18</v>
      </c>
      <c r="G22" s="51">
        <v>3.55</v>
      </c>
      <c r="H22" s="51">
        <v>1.29</v>
      </c>
      <c r="I22" s="51">
        <v>2.46</v>
      </c>
      <c r="J22" s="51">
        <v>0.61</v>
      </c>
      <c r="K22" s="51">
        <v>259.27999999999997</v>
      </c>
      <c r="L22" s="51">
        <v>26.27</v>
      </c>
      <c r="M22" s="51">
        <v>93.66</v>
      </c>
      <c r="N22" s="51">
        <v>194.6</v>
      </c>
      <c r="O22" s="51">
        <v>0.2</v>
      </c>
      <c r="P22" s="51">
        <v>0.37</v>
      </c>
      <c r="Q22" s="51">
        <v>4.62</v>
      </c>
    </row>
    <row r="23" spans="1:17" customFormat="1">
      <c r="A23" s="50" t="s">
        <v>265</v>
      </c>
      <c r="B23" s="51">
        <v>14.34</v>
      </c>
      <c r="C23" s="51">
        <v>34.83</v>
      </c>
      <c r="D23" s="51">
        <v>28.66</v>
      </c>
      <c r="E23" s="51">
        <v>6.9</v>
      </c>
      <c r="F23" s="51">
        <v>4.82</v>
      </c>
      <c r="G23" s="51">
        <v>4.17</v>
      </c>
      <c r="H23" s="51">
        <v>2.15</v>
      </c>
      <c r="I23" s="51">
        <v>2.44</v>
      </c>
      <c r="J23" s="51">
        <v>0.75</v>
      </c>
      <c r="K23" s="51">
        <v>262.07</v>
      </c>
      <c r="L23" s="51">
        <v>27.73</v>
      </c>
      <c r="M23" s="51">
        <v>90.89</v>
      </c>
      <c r="N23" s="51">
        <v>470.7</v>
      </c>
      <c r="O23" s="51">
        <v>0</v>
      </c>
      <c r="P23" s="51">
        <v>0.37</v>
      </c>
      <c r="Q23" s="51">
        <v>4.6399999999999997</v>
      </c>
    </row>
    <row r="24" spans="1:17" customFormat="1">
      <c r="A24" s="50" t="s">
        <v>266</v>
      </c>
      <c r="B24" s="51">
        <v>13.32</v>
      </c>
      <c r="C24" s="51">
        <v>33.08</v>
      </c>
      <c r="D24" s="51">
        <v>26.71</v>
      </c>
      <c r="E24" s="51">
        <v>7.02</v>
      </c>
      <c r="F24" s="51">
        <v>6.18</v>
      </c>
      <c r="G24" s="51">
        <v>5.78</v>
      </c>
      <c r="H24" s="51">
        <v>2.96</v>
      </c>
      <c r="I24" s="51">
        <v>2.36</v>
      </c>
      <c r="J24" s="51">
        <v>0.79</v>
      </c>
      <c r="K24" s="51">
        <v>254.8</v>
      </c>
      <c r="L24" s="51">
        <v>29.08</v>
      </c>
      <c r="M24" s="51">
        <v>81.84</v>
      </c>
      <c r="N24" s="51">
        <v>449.8</v>
      </c>
      <c r="O24" s="51">
        <v>0</v>
      </c>
      <c r="P24" s="51">
        <v>0.35</v>
      </c>
      <c r="Q24" s="51">
        <v>4.58</v>
      </c>
    </row>
    <row r="25" spans="1:17" customFormat="1">
      <c r="A25" s="50" t="s">
        <v>267</v>
      </c>
      <c r="B25" s="51">
        <v>12.11</v>
      </c>
      <c r="C25" s="51">
        <v>33.1</v>
      </c>
      <c r="D25" s="51">
        <v>25.96</v>
      </c>
      <c r="E25" s="51">
        <v>6.71</v>
      </c>
      <c r="F25" s="51">
        <v>7.76</v>
      </c>
      <c r="G25" s="51">
        <v>7.77</v>
      </c>
      <c r="H25" s="51">
        <v>2.77</v>
      </c>
      <c r="I25" s="51">
        <v>2.35</v>
      </c>
      <c r="J25" s="51">
        <v>0.61</v>
      </c>
      <c r="K25" s="51">
        <v>250.03</v>
      </c>
      <c r="L25" s="51">
        <v>28.48</v>
      </c>
      <c r="M25" s="51">
        <v>83.96</v>
      </c>
      <c r="N25" s="51">
        <v>198.4</v>
      </c>
      <c r="O25" s="51">
        <v>0</v>
      </c>
      <c r="P25" s="51">
        <v>0.35</v>
      </c>
      <c r="Q25" s="51">
        <v>4.51</v>
      </c>
    </row>
    <row r="26" spans="1:17" customFormat="1">
      <c r="A26" s="50" t="s">
        <v>268</v>
      </c>
      <c r="B26" s="51">
        <v>11.44</v>
      </c>
      <c r="C26" s="51">
        <v>31.92</v>
      </c>
      <c r="D26" s="51">
        <v>24.81</v>
      </c>
      <c r="E26" s="51">
        <v>7</v>
      </c>
      <c r="F26" s="51">
        <v>8.0299999999999994</v>
      </c>
      <c r="G26" s="51">
        <v>10.32</v>
      </c>
      <c r="H26" s="51">
        <v>3.15</v>
      </c>
      <c r="I26" s="51">
        <v>2.27</v>
      </c>
      <c r="J26" s="51">
        <v>0.4</v>
      </c>
      <c r="K26" s="51">
        <v>245.43</v>
      </c>
      <c r="L26" s="51">
        <v>27.77</v>
      </c>
      <c r="M26" s="51">
        <v>83.99</v>
      </c>
      <c r="N26" s="51">
        <v>98.8</v>
      </c>
      <c r="O26" s="51">
        <v>0</v>
      </c>
      <c r="P26" s="51">
        <v>0.35</v>
      </c>
      <c r="Q26" s="51">
        <v>4.47</v>
      </c>
    </row>
    <row r="27" spans="1:17" customFormat="1">
      <c r="A27" s="50" t="s">
        <v>269</v>
      </c>
      <c r="B27" s="51">
        <v>11.03</v>
      </c>
      <c r="C27" s="51">
        <v>32.18</v>
      </c>
      <c r="D27" s="51">
        <v>24.62</v>
      </c>
      <c r="E27" s="51">
        <v>6.73</v>
      </c>
      <c r="F27" s="51">
        <v>9.91</v>
      </c>
      <c r="G27" s="51">
        <v>7.47</v>
      </c>
      <c r="H27" s="51">
        <v>2.72</v>
      </c>
      <c r="I27" s="51">
        <v>2.2799999999999998</v>
      </c>
      <c r="J27" s="51">
        <v>0.46</v>
      </c>
      <c r="K27" s="51">
        <v>248.59</v>
      </c>
      <c r="L27" s="51">
        <v>27.41</v>
      </c>
      <c r="M27" s="51">
        <v>85.95</v>
      </c>
      <c r="N27" s="51">
        <v>21.6</v>
      </c>
      <c r="O27" s="51">
        <v>0</v>
      </c>
      <c r="P27" s="51">
        <v>0.35</v>
      </c>
      <c r="Q27" s="51">
        <v>4.49</v>
      </c>
    </row>
    <row r="28" spans="1:17" customFormat="1">
      <c r="A28" s="50" t="s">
        <v>270</v>
      </c>
      <c r="B28" s="51">
        <v>11.08</v>
      </c>
      <c r="C28" s="51">
        <v>32.020000000000003</v>
      </c>
      <c r="D28" s="51">
        <v>24.57</v>
      </c>
      <c r="E28" s="51">
        <v>7.28</v>
      </c>
      <c r="F28" s="51">
        <v>9.0299999999999994</v>
      </c>
      <c r="G28" s="51">
        <v>6.82</v>
      </c>
      <c r="H28" s="51">
        <v>2.38</v>
      </c>
      <c r="I28" s="51">
        <v>2.48</v>
      </c>
      <c r="J28" s="51">
        <v>0.11</v>
      </c>
      <c r="K28" s="51">
        <v>240.6</v>
      </c>
      <c r="L28" s="51">
        <v>26.57</v>
      </c>
      <c r="M28" s="51">
        <v>89.04</v>
      </c>
      <c r="N28" s="51">
        <v>0</v>
      </c>
      <c r="O28" s="51">
        <v>0</v>
      </c>
      <c r="P28" s="51">
        <v>0.37</v>
      </c>
      <c r="Q28" s="51">
        <v>4.4400000000000004</v>
      </c>
    </row>
    <row r="29" spans="1:17" customFormat="1">
      <c r="A29" s="50" t="s">
        <v>271</v>
      </c>
      <c r="B29" s="51">
        <v>11.87</v>
      </c>
      <c r="C29" s="51">
        <v>33.67</v>
      </c>
      <c r="D29" s="51">
        <v>25.86</v>
      </c>
      <c r="E29" s="51">
        <v>7.39</v>
      </c>
      <c r="F29" s="51">
        <v>6.45</v>
      </c>
      <c r="G29" s="51">
        <v>7.58</v>
      </c>
      <c r="H29" s="51">
        <v>3.87</v>
      </c>
      <c r="I29" s="51">
        <v>2.69</v>
      </c>
      <c r="J29" s="51">
        <v>0.14000000000000001</v>
      </c>
      <c r="K29" s="51">
        <v>217.39</v>
      </c>
      <c r="L29" s="51">
        <v>26.24</v>
      </c>
      <c r="M29" s="51">
        <v>89.86</v>
      </c>
      <c r="N29" s="51">
        <v>0</v>
      </c>
      <c r="O29" s="51">
        <v>0</v>
      </c>
      <c r="P29" s="51">
        <v>0.4</v>
      </c>
      <c r="Q29" s="51">
        <v>4.5199999999999996</v>
      </c>
    </row>
    <row r="30" spans="1:17" customFormat="1">
      <c r="A30" s="50" t="s">
        <v>272</v>
      </c>
      <c r="B30" s="51">
        <v>12.71</v>
      </c>
      <c r="C30" s="51">
        <v>32.840000000000003</v>
      </c>
      <c r="D30" s="51">
        <v>26.31</v>
      </c>
      <c r="E30" s="51">
        <v>7.07</v>
      </c>
      <c r="F30" s="51">
        <v>5.84</v>
      </c>
      <c r="G30" s="51">
        <v>10.210000000000001</v>
      </c>
      <c r="H30" s="51">
        <v>5.35</v>
      </c>
      <c r="I30" s="51">
        <v>2.79</v>
      </c>
      <c r="J30" s="51">
        <v>0.1</v>
      </c>
      <c r="K30" s="51">
        <v>223.46</v>
      </c>
      <c r="L30" s="51">
        <v>26.26</v>
      </c>
      <c r="M30" s="51">
        <v>90.57</v>
      </c>
      <c r="N30" s="51">
        <v>0</v>
      </c>
      <c r="O30" s="51">
        <v>0</v>
      </c>
      <c r="P30" s="51">
        <v>0.41</v>
      </c>
      <c r="Q30" s="51">
        <v>4.59</v>
      </c>
    </row>
    <row r="31" spans="1:17" customFormat="1">
      <c r="A31" s="50" t="s">
        <v>273</v>
      </c>
      <c r="B31" s="51">
        <v>13.25</v>
      </c>
      <c r="C31" s="51">
        <v>32.06</v>
      </c>
      <c r="D31" s="51">
        <v>26.33</v>
      </c>
      <c r="E31" s="51">
        <v>7.61</v>
      </c>
      <c r="F31" s="51">
        <v>6.15</v>
      </c>
      <c r="G31" s="51">
        <v>11.93</v>
      </c>
      <c r="H31" s="51">
        <v>4.6399999999999997</v>
      </c>
      <c r="I31" s="51">
        <v>2.89</v>
      </c>
      <c r="J31" s="51">
        <v>0.1</v>
      </c>
      <c r="K31" s="51">
        <v>248.5</v>
      </c>
      <c r="L31" s="51">
        <v>26.22</v>
      </c>
      <c r="M31" s="51">
        <v>92.68</v>
      </c>
      <c r="N31" s="51">
        <v>0</v>
      </c>
      <c r="O31" s="51">
        <v>0</v>
      </c>
      <c r="P31" s="51">
        <v>0.41</v>
      </c>
      <c r="Q31" s="51">
        <v>4.6399999999999997</v>
      </c>
    </row>
    <row r="32" spans="1:17" customFormat="1">
      <c r="A32" s="50" t="s">
        <v>274</v>
      </c>
      <c r="B32" s="51">
        <v>14.31</v>
      </c>
      <c r="C32" s="51">
        <v>32.03</v>
      </c>
      <c r="D32" s="51">
        <v>26.76</v>
      </c>
      <c r="E32" s="51">
        <v>7.42</v>
      </c>
      <c r="F32" s="51">
        <v>5.46</v>
      </c>
      <c r="G32" s="51">
        <v>12.86</v>
      </c>
      <c r="H32" s="51">
        <v>5.14</v>
      </c>
      <c r="I32" s="51">
        <v>2.94</v>
      </c>
      <c r="J32" s="51">
        <v>0.08</v>
      </c>
      <c r="K32" s="51">
        <v>222.35</v>
      </c>
      <c r="L32" s="51">
        <v>26.07</v>
      </c>
      <c r="M32" s="51">
        <v>91.34</v>
      </c>
      <c r="N32" s="51">
        <v>0</v>
      </c>
      <c r="O32" s="51">
        <v>0</v>
      </c>
      <c r="P32" s="51">
        <v>0.41</v>
      </c>
      <c r="Q32" s="51">
        <v>4.66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11.03</v>
      </c>
      <c r="C34" s="41">
        <f t="shared" si="0"/>
        <v>31.92</v>
      </c>
      <c r="D34" s="41">
        <f t="shared" si="0"/>
        <v>24.57</v>
      </c>
      <c r="E34" s="41">
        <f t="shared" si="0"/>
        <v>4.7699999999999996</v>
      </c>
      <c r="F34" s="41">
        <f t="shared" si="0"/>
        <v>3.13</v>
      </c>
      <c r="G34" s="41">
        <f t="shared" si="0"/>
        <v>3.55</v>
      </c>
      <c r="H34" s="41">
        <f t="shared" si="0"/>
        <v>1.29</v>
      </c>
      <c r="I34" s="41">
        <f t="shared" si="0"/>
        <v>2.27</v>
      </c>
      <c r="J34" s="41">
        <f t="shared" si="0"/>
        <v>0.08</v>
      </c>
      <c r="K34" s="41">
        <f t="shared" si="0"/>
        <v>217.39</v>
      </c>
      <c r="L34" s="41">
        <f t="shared" si="0"/>
        <v>24.95</v>
      </c>
      <c r="M34" s="41">
        <f t="shared" si="0"/>
        <v>81.84</v>
      </c>
      <c r="N34" s="41">
        <f t="shared" si="0"/>
        <v>0</v>
      </c>
      <c r="O34" s="41">
        <f t="shared" si="0"/>
        <v>0</v>
      </c>
      <c r="P34" s="41">
        <f t="shared" si="0"/>
        <v>0.34</v>
      </c>
      <c r="Q34" s="41">
        <f t="shared" si="0"/>
        <v>4.4400000000000004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14.83</v>
      </c>
      <c r="C35" s="33">
        <f t="shared" si="1"/>
        <v>35.97</v>
      </c>
      <c r="D35" s="33">
        <f t="shared" si="1"/>
        <v>29.46</v>
      </c>
      <c r="E35" s="33">
        <f t="shared" si="1"/>
        <v>7.61</v>
      </c>
      <c r="F35" s="33">
        <f t="shared" si="1"/>
        <v>9.91</v>
      </c>
      <c r="G35" s="33">
        <f t="shared" si="1"/>
        <v>12.86</v>
      </c>
      <c r="H35" s="33">
        <f t="shared" si="1"/>
        <v>5.35</v>
      </c>
      <c r="I35" s="33">
        <f t="shared" si="1"/>
        <v>2.94</v>
      </c>
      <c r="J35" s="33">
        <f t="shared" si="1"/>
        <v>1.46</v>
      </c>
      <c r="K35" s="33">
        <f t="shared" si="1"/>
        <v>265.64</v>
      </c>
      <c r="L35" s="33">
        <f t="shared" si="1"/>
        <v>29.08</v>
      </c>
      <c r="M35" s="33">
        <f t="shared" si="1"/>
        <v>95.8</v>
      </c>
      <c r="N35" s="33">
        <f t="shared" si="1"/>
        <v>470.7</v>
      </c>
      <c r="O35" s="33">
        <f t="shared" si="1"/>
        <v>0.8</v>
      </c>
      <c r="P35" s="33">
        <f t="shared" si="1"/>
        <v>0.41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13.331666666666663</v>
      </c>
      <c r="C36" s="41">
        <f t="shared" si="2"/>
        <v>33.741666666666667</v>
      </c>
      <c r="D36" s="41">
        <f t="shared" si="2"/>
        <v>27.177916666666665</v>
      </c>
      <c r="E36" s="41">
        <f t="shared" si="2"/>
        <v>6.4483333333333333</v>
      </c>
      <c r="F36" s="41">
        <f t="shared" si="2"/>
        <v>5.2995833333333335</v>
      </c>
      <c r="G36" s="41">
        <f t="shared" si="2"/>
        <v>6.8362499999999997</v>
      </c>
      <c r="H36" s="41">
        <f t="shared" si="2"/>
        <v>2.8470833333333334</v>
      </c>
      <c r="I36" s="41">
        <f t="shared" si="2"/>
        <v>2.4733333333333332</v>
      </c>
      <c r="J36" s="41">
        <f t="shared" si="2"/>
        <v>0.55208333333333337</v>
      </c>
      <c r="K36" s="41">
        <f t="shared" si="2"/>
        <v>250.16958333333335</v>
      </c>
      <c r="L36" s="41">
        <f t="shared" si="2"/>
        <v>26.305833333333336</v>
      </c>
      <c r="M36" s="41">
        <f t="shared" si="2"/>
        <v>90.004999999999995</v>
      </c>
      <c r="N36" s="41">
        <f t="shared" si="2"/>
        <v>90.966666666666683</v>
      </c>
      <c r="O36" s="41">
        <f t="shared" si="2"/>
        <v>7.4999999999999997E-2</v>
      </c>
      <c r="P36" s="41">
        <f t="shared" si="2"/>
        <v>0.36791666666666667</v>
      </c>
      <c r="Q36" s="41">
        <f t="shared" si="2"/>
        <v>4.5733333333333333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1.1133797612466587</v>
      </c>
      <c r="C37" s="41">
        <f t="shared" ref="C37:Q37" si="3">STDEV(C9:C32)</f>
        <v>1.2592636449673764</v>
      </c>
      <c r="D37" s="41">
        <f t="shared" si="3"/>
        <v>1.4044586738906439</v>
      </c>
      <c r="E37" s="41">
        <f t="shared" si="3"/>
        <v>0.87208229900158651</v>
      </c>
      <c r="F37" s="41">
        <f t="shared" si="3"/>
        <v>1.8403720776131018</v>
      </c>
      <c r="G37" s="41">
        <f t="shared" si="3"/>
        <v>2.3796452283992848</v>
      </c>
      <c r="H37" s="41">
        <f t="shared" si="3"/>
        <v>1.1266745186674343</v>
      </c>
      <c r="I37" s="41">
        <f t="shared" si="3"/>
        <v>0.17945973671398263</v>
      </c>
      <c r="J37" s="41">
        <f t="shared" si="3"/>
        <v>0.34938429280374211</v>
      </c>
      <c r="K37" s="41">
        <f t="shared" si="3"/>
        <v>13.092018637045655</v>
      </c>
      <c r="L37" s="41">
        <f t="shared" si="3"/>
        <v>1.0505357501383288</v>
      </c>
      <c r="M37" s="41">
        <f t="shared" si="3"/>
        <v>3.6949366059162081</v>
      </c>
      <c r="N37" s="41">
        <f t="shared" si="3"/>
        <v>135.0901974581256</v>
      </c>
      <c r="O37" s="41">
        <f t="shared" si="3"/>
        <v>0.18474424154113359</v>
      </c>
      <c r="P37" s="41">
        <f t="shared" si="3"/>
        <v>2.0425722629261442E-2</v>
      </c>
      <c r="Q37" s="41">
        <f t="shared" si="3"/>
        <v>6.4381111641784172E-2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09/07/2023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60</v>
      </c>
      <c r="B9" s="51">
        <v>15.41</v>
      </c>
      <c r="C9" s="51">
        <v>36.35</v>
      </c>
      <c r="D9" s="51">
        <v>30.22</v>
      </c>
      <c r="E9" s="51">
        <v>7.81</v>
      </c>
      <c r="F9" s="51">
        <v>4.46</v>
      </c>
      <c r="G9" s="51">
        <v>14.03</v>
      </c>
      <c r="H9" s="51">
        <v>4.08</v>
      </c>
      <c r="I9" s="51">
        <v>2.93</v>
      </c>
      <c r="J9" s="51">
        <v>0.08</v>
      </c>
      <c r="K9" s="51">
        <v>269.51</v>
      </c>
      <c r="L9" s="51">
        <v>25.98</v>
      </c>
      <c r="M9" s="51">
        <v>92.31</v>
      </c>
      <c r="N9" s="51">
        <v>0</v>
      </c>
      <c r="O9" s="51">
        <v>0</v>
      </c>
      <c r="P9" s="51">
        <v>0.43</v>
      </c>
      <c r="Q9" s="51">
        <v>4.7</v>
      </c>
    </row>
    <row r="10" spans="1:21" customFormat="1">
      <c r="A10" s="50" t="s">
        <v>61</v>
      </c>
      <c r="B10" s="51">
        <v>16.239999999999998</v>
      </c>
      <c r="C10" s="51">
        <v>33.94</v>
      </c>
      <c r="D10" s="51">
        <v>29.71</v>
      </c>
      <c r="E10" s="51">
        <v>7.5</v>
      </c>
      <c r="F10" s="51">
        <v>5.15</v>
      </c>
      <c r="G10" s="51">
        <v>10.58</v>
      </c>
      <c r="H10" s="51">
        <v>3.15</v>
      </c>
      <c r="I10" s="51">
        <v>2.85</v>
      </c>
      <c r="J10" s="51">
        <v>0.37</v>
      </c>
      <c r="K10" s="51">
        <v>260.83</v>
      </c>
      <c r="L10" s="51">
        <v>26.27</v>
      </c>
      <c r="M10" s="51">
        <v>91.01</v>
      </c>
      <c r="N10" s="51">
        <v>0</v>
      </c>
      <c r="O10" s="51">
        <v>0</v>
      </c>
      <c r="P10" s="51">
        <v>0.41</v>
      </c>
      <c r="Q10" s="51">
        <v>4.7300000000000004</v>
      </c>
    </row>
    <row r="11" spans="1:21" customFormat="1">
      <c r="A11" s="50" t="s">
        <v>62</v>
      </c>
      <c r="B11" s="51">
        <v>16.98</v>
      </c>
      <c r="C11" s="51">
        <v>33.75</v>
      </c>
      <c r="D11" s="51">
        <v>30.21</v>
      </c>
      <c r="E11" s="51">
        <v>6.63</v>
      </c>
      <c r="F11" s="51">
        <v>5.36</v>
      </c>
      <c r="G11" s="51">
        <v>8.94</v>
      </c>
      <c r="H11" s="51">
        <v>2.2799999999999998</v>
      </c>
      <c r="I11" s="51">
        <v>2.95</v>
      </c>
      <c r="J11" s="51">
        <v>1.68</v>
      </c>
      <c r="K11" s="51">
        <v>262.92</v>
      </c>
      <c r="L11" s="51">
        <v>26.2</v>
      </c>
      <c r="M11" s="51">
        <v>90.65</v>
      </c>
      <c r="N11" s="51">
        <v>0</v>
      </c>
      <c r="O11" s="51">
        <v>0</v>
      </c>
      <c r="P11" s="51">
        <v>0.4</v>
      </c>
      <c r="Q11" s="51">
        <v>4.74</v>
      </c>
    </row>
    <row r="12" spans="1:21" customFormat="1">
      <c r="A12" s="50" t="s">
        <v>63</v>
      </c>
      <c r="B12" s="51">
        <v>15.52</v>
      </c>
      <c r="C12" s="51">
        <v>35.82</v>
      </c>
      <c r="D12" s="51">
        <v>29.43</v>
      </c>
      <c r="E12" s="51">
        <v>6.04</v>
      </c>
      <c r="F12" s="51">
        <v>3.14</v>
      </c>
      <c r="G12" s="51">
        <v>9.51</v>
      </c>
      <c r="H12" s="51">
        <v>2.31</v>
      </c>
      <c r="I12" s="51">
        <v>2.87</v>
      </c>
      <c r="J12" s="51">
        <v>1.52</v>
      </c>
      <c r="K12" s="51">
        <v>263.36</v>
      </c>
      <c r="L12" s="51">
        <v>25.16</v>
      </c>
      <c r="M12" s="51">
        <v>88.72</v>
      </c>
      <c r="N12" s="51">
        <v>0</v>
      </c>
      <c r="O12" s="51">
        <v>0</v>
      </c>
      <c r="P12" s="51">
        <v>0.4</v>
      </c>
      <c r="Q12" s="51">
        <v>4.6399999999999997</v>
      </c>
    </row>
    <row r="13" spans="1:21" customFormat="1">
      <c r="A13" s="50" t="s">
        <v>64</v>
      </c>
      <c r="B13" s="51">
        <v>13.66</v>
      </c>
      <c r="C13" s="51">
        <v>36.68</v>
      </c>
      <c r="D13" s="51">
        <v>28.68</v>
      </c>
      <c r="E13" s="51">
        <v>5.92</v>
      </c>
      <c r="F13" s="51">
        <v>2.56</v>
      </c>
      <c r="G13" s="51">
        <v>6.75</v>
      </c>
      <c r="H13" s="51">
        <v>2.95</v>
      </c>
      <c r="I13" s="51">
        <v>2.64</v>
      </c>
      <c r="J13" s="51">
        <v>1.08</v>
      </c>
      <c r="K13" s="51">
        <v>260.02999999999997</v>
      </c>
      <c r="L13" s="51">
        <v>24.65</v>
      </c>
      <c r="M13" s="51">
        <v>94.62</v>
      </c>
      <c r="N13" s="51">
        <v>0</v>
      </c>
      <c r="O13" s="51">
        <v>0.2</v>
      </c>
      <c r="P13" s="51">
        <v>0.4</v>
      </c>
      <c r="Q13" s="51">
        <v>4.55</v>
      </c>
    </row>
    <row r="14" spans="1:21" customFormat="1">
      <c r="A14" s="50" t="s">
        <v>65</v>
      </c>
      <c r="B14" s="51">
        <v>12.87</v>
      </c>
      <c r="C14" s="51">
        <v>35.380000000000003</v>
      </c>
      <c r="D14" s="51">
        <v>27.45</v>
      </c>
      <c r="E14" s="51">
        <v>5.49</v>
      </c>
      <c r="F14" s="51">
        <v>2.97</v>
      </c>
      <c r="G14" s="51">
        <v>5.0199999999999996</v>
      </c>
      <c r="H14" s="51">
        <v>2.4700000000000002</v>
      </c>
      <c r="I14" s="51">
        <v>2.5499999999999998</v>
      </c>
      <c r="J14" s="51">
        <v>1.25</v>
      </c>
      <c r="K14" s="51">
        <v>264.85000000000002</v>
      </c>
      <c r="L14" s="51">
        <v>24</v>
      </c>
      <c r="M14" s="51">
        <v>94.69</v>
      </c>
      <c r="N14" s="51">
        <v>29.2</v>
      </c>
      <c r="O14" s="51">
        <v>0</v>
      </c>
      <c r="P14" s="51">
        <v>0.38</v>
      </c>
      <c r="Q14" s="51">
        <v>4.49</v>
      </c>
    </row>
    <row r="15" spans="1:21" customFormat="1">
      <c r="A15" s="50" t="s">
        <v>66</v>
      </c>
      <c r="B15" s="51">
        <v>12</v>
      </c>
      <c r="C15" s="51">
        <v>36.14</v>
      </c>
      <c r="D15" s="51">
        <v>27.27</v>
      </c>
      <c r="E15" s="51">
        <v>5.98</v>
      </c>
      <c r="F15" s="51">
        <v>2.4900000000000002</v>
      </c>
      <c r="G15" s="51">
        <v>3.99</v>
      </c>
      <c r="H15" s="51">
        <v>1.75</v>
      </c>
      <c r="I15" s="51">
        <v>2.38</v>
      </c>
      <c r="J15" s="51">
        <v>0.88</v>
      </c>
      <c r="K15" s="51">
        <v>260.33</v>
      </c>
      <c r="L15" s="51">
        <v>24.29</v>
      </c>
      <c r="M15" s="51">
        <v>95.87</v>
      </c>
      <c r="N15" s="51">
        <v>79.599999999999994</v>
      </c>
      <c r="O15" s="51">
        <v>0.6</v>
      </c>
      <c r="P15" s="51">
        <v>0.38</v>
      </c>
      <c r="Q15" s="51">
        <v>4.47</v>
      </c>
    </row>
    <row r="16" spans="1:21" customFormat="1">
      <c r="A16" s="50" t="s">
        <v>67</v>
      </c>
      <c r="B16" s="51">
        <v>12.23</v>
      </c>
      <c r="C16" s="51">
        <v>35.54</v>
      </c>
      <c r="D16" s="51">
        <v>27.25</v>
      </c>
      <c r="E16" s="51">
        <v>5.53</v>
      </c>
      <c r="F16" s="51">
        <v>2.73</v>
      </c>
      <c r="G16" s="51">
        <v>3.16</v>
      </c>
      <c r="H16" s="51">
        <v>1.64</v>
      </c>
      <c r="I16" s="51">
        <v>2.38</v>
      </c>
      <c r="J16" s="51">
        <v>0.92</v>
      </c>
      <c r="K16" s="51">
        <v>256.27999999999997</v>
      </c>
      <c r="L16" s="51">
        <v>25.12</v>
      </c>
      <c r="M16" s="51">
        <v>93.8</v>
      </c>
      <c r="N16" s="51">
        <v>143.30000000000001</v>
      </c>
      <c r="O16" s="51">
        <v>0</v>
      </c>
      <c r="P16" s="51">
        <v>0.37</v>
      </c>
      <c r="Q16" s="51">
        <v>4.49</v>
      </c>
    </row>
    <row r="17" spans="1:17" customFormat="1">
      <c r="A17" s="50" t="s">
        <v>68</v>
      </c>
      <c r="B17" s="51">
        <v>12.16</v>
      </c>
      <c r="C17" s="51">
        <v>35.14</v>
      </c>
      <c r="D17" s="51">
        <v>26.98</v>
      </c>
      <c r="E17" s="51">
        <v>5.57</v>
      </c>
      <c r="F17" s="51">
        <v>2.69</v>
      </c>
      <c r="G17" s="51">
        <v>2.89</v>
      </c>
      <c r="H17" s="51">
        <v>1.42</v>
      </c>
      <c r="I17" s="51">
        <v>2.39</v>
      </c>
      <c r="J17" s="51">
        <v>0.87</v>
      </c>
      <c r="K17" s="51">
        <v>270.97000000000003</v>
      </c>
      <c r="L17" s="51">
        <v>26.7</v>
      </c>
      <c r="M17" s="51">
        <v>88.01</v>
      </c>
      <c r="N17" s="51">
        <v>278.5</v>
      </c>
      <c r="O17" s="51">
        <v>0</v>
      </c>
      <c r="P17" s="51">
        <v>0.37</v>
      </c>
      <c r="Q17" s="51">
        <v>4.49</v>
      </c>
    </row>
    <row r="18" spans="1:17" customFormat="1">
      <c r="A18" s="50" t="s">
        <v>69</v>
      </c>
      <c r="B18" s="51">
        <v>11.81</v>
      </c>
      <c r="C18" s="51">
        <v>35.21</v>
      </c>
      <c r="D18" s="51">
        <v>26.79</v>
      </c>
      <c r="E18" s="51">
        <v>5.36</v>
      </c>
      <c r="F18" s="51">
        <v>3.52</v>
      </c>
      <c r="G18" s="51">
        <v>5.12</v>
      </c>
      <c r="H18" s="51">
        <v>1.29</v>
      </c>
      <c r="I18" s="51">
        <v>2.42</v>
      </c>
      <c r="J18" s="51">
        <v>1.41</v>
      </c>
      <c r="K18" s="51">
        <v>289.41000000000003</v>
      </c>
      <c r="L18" s="51">
        <v>28.24</v>
      </c>
      <c r="M18" s="51">
        <v>80.64</v>
      </c>
      <c r="N18" s="51">
        <v>269.10000000000002</v>
      </c>
      <c r="O18" s="51">
        <v>0</v>
      </c>
      <c r="P18" s="51">
        <v>0.39</v>
      </c>
      <c r="Q18" s="51">
        <v>4.4800000000000004</v>
      </c>
    </row>
    <row r="19" spans="1:17" customFormat="1">
      <c r="A19" s="50" t="s">
        <v>70</v>
      </c>
      <c r="B19" s="51">
        <v>11.53</v>
      </c>
      <c r="C19" s="51">
        <v>31.71</v>
      </c>
      <c r="D19" s="51">
        <v>24.11</v>
      </c>
      <c r="E19" s="51">
        <v>7.53</v>
      </c>
      <c r="F19" s="51">
        <v>4.2699999999999996</v>
      </c>
      <c r="G19" s="51">
        <v>9.4700000000000006</v>
      </c>
      <c r="H19" s="51">
        <v>1.46</v>
      </c>
      <c r="I19" s="51">
        <v>2.96</v>
      </c>
      <c r="J19" s="51">
        <v>1.34</v>
      </c>
      <c r="K19" s="51">
        <v>283.89</v>
      </c>
      <c r="L19" s="51">
        <v>28.81</v>
      </c>
      <c r="M19" s="51">
        <v>69.489999999999995</v>
      </c>
      <c r="N19" s="51">
        <v>394</v>
      </c>
      <c r="O19" s="51">
        <v>0</v>
      </c>
      <c r="P19" s="51">
        <v>0.42</v>
      </c>
      <c r="Q19" s="51">
        <v>4.34</v>
      </c>
    </row>
    <row r="20" spans="1:17" customFormat="1">
      <c r="A20" s="50" t="s">
        <v>71</v>
      </c>
      <c r="B20" s="51">
        <v>9.67</v>
      </c>
      <c r="C20" s="51">
        <v>35.549999999999997</v>
      </c>
      <c r="D20" s="51">
        <v>25.28</v>
      </c>
      <c r="E20" s="51">
        <v>7.64</v>
      </c>
      <c r="F20" s="51">
        <v>5.28</v>
      </c>
      <c r="G20" s="51">
        <v>16.399999999999999</v>
      </c>
      <c r="H20" s="51">
        <v>2.08</v>
      </c>
      <c r="I20" s="51">
        <v>3.44</v>
      </c>
      <c r="J20" s="51">
        <v>1.4</v>
      </c>
      <c r="K20" s="51">
        <v>278.05</v>
      </c>
      <c r="L20" s="51">
        <v>29.8</v>
      </c>
      <c r="M20" s="51">
        <v>66.27</v>
      </c>
      <c r="N20" s="51">
        <v>487.6</v>
      </c>
      <c r="O20" s="51">
        <v>0</v>
      </c>
      <c r="P20" s="51">
        <v>0.52</v>
      </c>
      <c r="Q20" s="51">
        <v>4.37</v>
      </c>
    </row>
    <row r="21" spans="1:17" customFormat="1">
      <c r="A21" s="50" t="s">
        <v>72</v>
      </c>
      <c r="B21" s="51">
        <v>8.7100000000000009</v>
      </c>
      <c r="C21" s="51">
        <v>34.58</v>
      </c>
      <c r="D21" s="51">
        <v>23.36</v>
      </c>
      <c r="E21" s="51">
        <v>6.84</v>
      </c>
      <c r="F21" s="51">
        <v>5.17</v>
      </c>
      <c r="G21" s="51">
        <v>23.43</v>
      </c>
      <c r="H21" s="51">
        <v>3.02</v>
      </c>
      <c r="I21" s="51">
        <v>3.63</v>
      </c>
      <c r="J21" s="51">
        <v>1.59</v>
      </c>
      <c r="K21" s="51">
        <v>280.72000000000003</v>
      </c>
      <c r="L21" s="51">
        <v>30.19</v>
      </c>
      <c r="M21" s="51">
        <v>65.48</v>
      </c>
      <c r="N21" s="51">
        <v>803.9</v>
      </c>
      <c r="O21" s="51">
        <v>0</v>
      </c>
      <c r="P21" s="51">
        <v>0.59</v>
      </c>
      <c r="Q21" s="51">
        <v>4.26</v>
      </c>
    </row>
    <row r="22" spans="1:17" customFormat="1">
      <c r="A22" s="50" t="s">
        <v>73</v>
      </c>
      <c r="B22" s="51">
        <v>7.88</v>
      </c>
      <c r="C22" s="51">
        <v>31.89</v>
      </c>
      <c r="D22" s="51">
        <v>21.94</v>
      </c>
      <c r="E22" s="51">
        <v>7.42</v>
      </c>
      <c r="F22" s="51">
        <v>5.64</v>
      </c>
      <c r="G22" s="51">
        <v>24.21</v>
      </c>
      <c r="H22" s="51">
        <v>2.9</v>
      </c>
      <c r="I22" s="51">
        <v>3.85</v>
      </c>
      <c r="J22" s="51">
        <v>1.27</v>
      </c>
      <c r="K22" s="51">
        <v>270.20999999999998</v>
      </c>
      <c r="L22" s="51">
        <v>31.23</v>
      </c>
      <c r="M22" s="51">
        <v>62.9</v>
      </c>
      <c r="N22" s="51">
        <v>887.4</v>
      </c>
      <c r="O22" s="51">
        <v>0</v>
      </c>
      <c r="P22" s="51">
        <v>0.57999999999999996</v>
      </c>
      <c r="Q22" s="51">
        <v>4.25</v>
      </c>
    </row>
    <row r="23" spans="1:17" customFormat="1">
      <c r="A23" s="50" t="s">
        <v>74</v>
      </c>
      <c r="B23" s="51">
        <v>6.66</v>
      </c>
      <c r="C23" s="51">
        <v>31.44</v>
      </c>
      <c r="D23" s="51">
        <v>20.67</v>
      </c>
      <c r="E23" s="51">
        <v>6.52</v>
      </c>
      <c r="F23" s="51">
        <v>5.31</v>
      </c>
      <c r="G23" s="51">
        <v>23.01</v>
      </c>
      <c r="H23" s="51">
        <v>4.71</v>
      </c>
      <c r="I23" s="51">
        <v>3.85</v>
      </c>
      <c r="J23" s="51">
        <v>1.34</v>
      </c>
      <c r="K23" s="51">
        <v>277.76</v>
      </c>
      <c r="L23" s="51">
        <v>31.07</v>
      </c>
      <c r="M23" s="51">
        <v>60.62</v>
      </c>
      <c r="N23" s="51">
        <v>599.6</v>
      </c>
      <c r="O23" s="51">
        <v>0</v>
      </c>
      <c r="P23" s="51">
        <v>0.56999999999999995</v>
      </c>
      <c r="Q23" s="51">
        <v>4.12</v>
      </c>
    </row>
    <row r="24" spans="1:17" customFormat="1">
      <c r="A24" s="50" t="s">
        <v>75</v>
      </c>
      <c r="B24" s="51">
        <v>6.6</v>
      </c>
      <c r="C24" s="51">
        <v>28.36</v>
      </c>
      <c r="D24" s="51">
        <v>19.059999999999999</v>
      </c>
      <c r="E24" s="51">
        <v>5.86</v>
      </c>
      <c r="F24" s="51">
        <v>6.97</v>
      </c>
      <c r="G24" s="51">
        <v>22.19</v>
      </c>
      <c r="H24" s="51">
        <v>5.91</v>
      </c>
      <c r="I24" s="51">
        <v>3.69</v>
      </c>
      <c r="J24" s="51">
        <v>1.04</v>
      </c>
      <c r="K24" s="51">
        <v>265.14</v>
      </c>
      <c r="L24" s="51">
        <v>30.55</v>
      </c>
      <c r="M24" s="51">
        <v>64.569999999999993</v>
      </c>
      <c r="N24" s="51">
        <v>361.7</v>
      </c>
      <c r="O24" s="51">
        <v>0</v>
      </c>
      <c r="P24" s="51">
        <v>0.52</v>
      </c>
      <c r="Q24" s="51">
        <v>4.0599999999999996</v>
      </c>
    </row>
    <row r="25" spans="1:17" customFormat="1">
      <c r="A25" s="50" t="s">
        <v>76</v>
      </c>
      <c r="B25" s="51">
        <v>5.89</v>
      </c>
      <c r="C25" s="51">
        <v>30</v>
      </c>
      <c r="D25" s="51">
        <v>19.190000000000001</v>
      </c>
      <c r="E25" s="51">
        <v>5.8</v>
      </c>
      <c r="F25" s="51">
        <v>7.64</v>
      </c>
      <c r="G25" s="51">
        <v>22.15</v>
      </c>
      <c r="H25" s="51">
        <v>5.43</v>
      </c>
      <c r="I25" s="51">
        <v>3.3</v>
      </c>
      <c r="J25" s="51">
        <v>0.92</v>
      </c>
      <c r="K25" s="51">
        <v>262.74</v>
      </c>
      <c r="L25" s="51">
        <v>30.23</v>
      </c>
      <c r="M25" s="51">
        <v>65.14</v>
      </c>
      <c r="N25" s="51">
        <v>278.5</v>
      </c>
      <c r="O25" s="51">
        <v>0</v>
      </c>
      <c r="P25" s="51">
        <v>0.5</v>
      </c>
      <c r="Q25" s="51">
        <v>4.09</v>
      </c>
    </row>
    <row r="26" spans="1:17" customFormat="1">
      <c r="A26" s="50" t="s">
        <v>77</v>
      </c>
      <c r="B26" s="51">
        <v>5.63</v>
      </c>
      <c r="C26" s="51">
        <v>29.61</v>
      </c>
      <c r="D26" s="51">
        <v>18.940000000000001</v>
      </c>
      <c r="E26" s="51">
        <v>7.03</v>
      </c>
      <c r="F26" s="51">
        <v>10.48</v>
      </c>
      <c r="G26" s="51">
        <v>22.32</v>
      </c>
      <c r="H26" s="51">
        <v>5.66</v>
      </c>
      <c r="I26" s="51">
        <v>3.12</v>
      </c>
      <c r="J26" s="51">
        <v>0.85</v>
      </c>
      <c r="K26" s="51">
        <v>279.73</v>
      </c>
      <c r="L26" s="51">
        <v>29.6</v>
      </c>
      <c r="M26" s="51">
        <v>63.96</v>
      </c>
      <c r="N26" s="51">
        <v>82.6</v>
      </c>
      <c r="O26" s="51">
        <v>0</v>
      </c>
      <c r="P26" s="51">
        <v>0.49</v>
      </c>
      <c r="Q26" s="51">
        <v>4.0999999999999996</v>
      </c>
    </row>
    <row r="27" spans="1:17" customFormat="1">
      <c r="A27" s="50" t="s">
        <v>78</v>
      </c>
      <c r="B27" s="51">
        <v>6.95</v>
      </c>
      <c r="C27" s="51">
        <v>32.04</v>
      </c>
      <c r="D27" s="51">
        <v>21.27</v>
      </c>
      <c r="E27" s="51">
        <v>6.25</v>
      </c>
      <c r="F27" s="51">
        <v>10.53</v>
      </c>
      <c r="G27" s="51">
        <v>23.19</v>
      </c>
      <c r="H27" s="51">
        <v>8.61</v>
      </c>
      <c r="I27" s="51">
        <v>3.06</v>
      </c>
      <c r="J27" s="51">
        <v>0.65</v>
      </c>
      <c r="K27" s="51">
        <v>299.48</v>
      </c>
      <c r="L27" s="51">
        <v>29.29</v>
      </c>
      <c r="M27" s="51">
        <v>67.040000000000006</v>
      </c>
      <c r="N27" s="51">
        <v>35.200000000000003</v>
      </c>
      <c r="O27" s="51">
        <v>0</v>
      </c>
      <c r="P27" s="51">
        <v>0.56999999999999995</v>
      </c>
      <c r="Q27" s="51">
        <v>4.1900000000000004</v>
      </c>
    </row>
    <row r="28" spans="1:17" customFormat="1">
      <c r="A28" s="50" t="s">
        <v>79</v>
      </c>
      <c r="B28" s="51">
        <v>8.43</v>
      </c>
      <c r="C28" s="51">
        <v>32.6</v>
      </c>
      <c r="D28" s="51">
        <v>22.15</v>
      </c>
      <c r="E28" s="51">
        <v>5.46</v>
      </c>
      <c r="F28" s="51">
        <v>5.49</v>
      </c>
      <c r="G28" s="51">
        <v>25.3</v>
      </c>
      <c r="H28" s="51">
        <v>7.79</v>
      </c>
      <c r="I28" s="51">
        <v>3.33</v>
      </c>
      <c r="J28" s="51">
        <v>0.28000000000000003</v>
      </c>
      <c r="K28" s="51">
        <v>264.45</v>
      </c>
      <c r="L28" s="51">
        <v>28.38</v>
      </c>
      <c r="M28" s="51">
        <v>71.790000000000006</v>
      </c>
      <c r="N28" s="51">
        <v>0</v>
      </c>
      <c r="O28" s="51">
        <v>0</v>
      </c>
      <c r="P28" s="51">
        <v>0.59</v>
      </c>
      <c r="Q28" s="51">
        <v>4.24</v>
      </c>
    </row>
    <row r="29" spans="1:17" customFormat="1">
      <c r="A29" s="50" t="s">
        <v>80</v>
      </c>
      <c r="B29" s="51">
        <v>9.0399999999999991</v>
      </c>
      <c r="C29" s="51">
        <v>34.65</v>
      </c>
      <c r="D29" s="51">
        <v>24.16</v>
      </c>
      <c r="E29" s="51">
        <v>5.62</v>
      </c>
      <c r="F29" s="51">
        <v>9.0500000000000007</v>
      </c>
      <c r="G29" s="51">
        <v>29.49</v>
      </c>
      <c r="H29" s="51">
        <v>9.25</v>
      </c>
      <c r="I29" s="51">
        <v>3.52</v>
      </c>
      <c r="J29" s="51">
        <v>0.22</v>
      </c>
      <c r="K29" s="51">
        <v>228.13</v>
      </c>
      <c r="L29" s="51">
        <v>27.8</v>
      </c>
      <c r="M29" s="51">
        <v>75.67</v>
      </c>
      <c r="N29" s="51">
        <v>0</v>
      </c>
      <c r="O29" s="51">
        <v>0</v>
      </c>
      <c r="P29" s="51">
        <v>0.56999999999999995</v>
      </c>
      <c r="Q29" s="51">
        <v>4.42</v>
      </c>
    </row>
    <row r="30" spans="1:17" customFormat="1">
      <c r="A30" s="50" t="s">
        <v>81</v>
      </c>
      <c r="B30" s="51">
        <v>11.38</v>
      </c>
      <c r="C30" s="51">
        <v>36.46</v>
      </c>
      <c r="D30" s="51">
        <v>27.13</v>
      </c>
      <c r="E30" s="51">
        <v>6.19</v>
      </c>
      <c r="F30" s="51">
        <v>3.87</v>
      </c>
      <c r="G30" s="51">
        <v>34.71</v>
      </c>
      <c r="H30" s="51">
        <v>11.11</v>
      </c>
      <c r="I30" s="51">
        <v>4</v>
      </c>
      <c r="J30" s="51">
        <v>0.31</v>
      </c>
      <c r="K30" s="51">
        <v>214.55</v>
      </c>
      <c r="L30" s="51">
        <v>27.14</v>
      </c>
      <c r="M30" s="51">
        <v>86.04</v>
      </c>
      <c r="N30" s="51">
        <v>0</v>
      </c>
      <c r="O30" s="51">
        <v>0</v>
      </c>
      <c r="P30" s="51">
        <v>0.65</v>
      </c>
      <c r="Q30" s="51">
        <v>4.54</v>
      </c>
    </row>
    <row r="31" spans="1:17" customFormat="1">
      <c r="A31" s="50" t="s">
        <v>82</v>
      </c>
      <c r="B31" s="51">
        <v>12.68</v>
      </c>
      <c r="C31" s="51">
        <v>36.53</v>
      </c>
      <c r="D31" s="51">
        <v>28.21</v>
      </c>
      <c r="E31" s="51">
        <v>6.63</v>
      </c>
      <c r="F31" s="51">
        <v>4.2300000000000004</v>
      </c>
      <c r="G31" s="51">
        <v>38</v>
      </c>
      <c r="H31" s="51">
        <v>13.17</v>
      </c>
      <c r="I31" s="51">
        <v>4.22</v>
      </c>
      <c r="J31" s="51">
        <v>0.22</v>
      </c>
      <c r="K31" s="51">
        <v>193.24</v>
      </c>
      <c r="L31" s="51">
        <v>26.27</v>
      </c>
      <c r="M31" s="51">
        <v>88.86</v>
      </c>
      <c r="N31" s="51">
        <v>0</v>
      </c>
      <c r="O31" s="51">
        <v>0</v>
      </c>
      <c r="P31" s="51">
        <v>0.68</v>
      </c>
      <c r="Q31" s="51">
        <v>4.63</v>
      </c>
    </row>
    <row r="32" spans="1:17" customFormat="1">
      <c r="A32" s="50" t="s">
        <v>83</v>
      </c>
      <c r="B32" s="51">
        <v>14.8</v>
      </c>
      <c r="C32" s="51">
        <v>36.85</v>
      </c>
      <c r="D32" s="51">
        <v>29.45</v>
      </c>
      <c r="E32" s="51">
        <v>6.5</v>
      </c>
      <c r="F32" s="51">
        <v>2.77</v>
      </c>
      <c r="G32" s="51">
        <v>37.119999999999997</v>
      </c>
      <c r="H32" s="51">
        <v>9.6199999999999992</v>
      </c>
      <c r="I32" s="51">
        <v>4.57</v>
      </c>
      <c r="J32" s="51">
        <v>0.35</v>
      </c>
      <c r="K32" s="51">
        <v>186.36</v>
      </c>
      <c r="L32" s="51">
        <v>26.1</v>
      </c>
      <c r="M32" s="51">
        <v>91.33</v>
      </c>
      <c r="N32" s="51">
        <v>0</v>
      </c>
      <c r="O32" s="51">
        <v>0</v>
      </c>
      <c r="P32" s="51">
        <v>0.67</v>
      </c>
      <c r="Q32" s="51">
        <v>4.6900000000000004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5.63</v>
      </c>
      <c r="C34" s="41">
        <f t="shared" si="0"/>
        <v>28.36</v>
      </c>
      <c r="D34" s="41">
        <f t="shared" si="0"/>
        <v>18.940000000000001</v>
      </c>
      <c r="E34" s="41">
        <f t="shared" si="0"/>
        <v>5.36</v>
      </c>
      <c r="F34" s="41">
        <f t="shared" si="0"/>
        <v>2.4900000000000002</v>
      </c>
      <c r="G34" s="41">
        <f t="shared" si="0"/>
        <v>2.89</v>
      </c>
      <c r="H34" s="41">
        <f t="shared" si="0"/>
        <v>1.29</v>
      </c>
      <c r="I34" s="41">
        <f t="shared" si="0"/>
        <v>2.38</v>
      </c>
      <c r="J34" s="41">
        <f t="shared" si="0"/>
        <v>0.08</v>
      </c>
      <c r="K34" s="41">
        <f t="shared" si="0"/>
        <v>186.36</v>
      </c>
      <c r="L34" s="41">
        <f t="shared" si="0"/>
        <v>24</v>
      </c>
      <c r="M34" s="41">
        <f t="shared" si="0"/>
        <v>60.62</v>
      </c>
      <c r="N34" s="41">
        <f t="shared" si="0"/>
        <v>0</v>
      </c>
      <c r="O34" s="41">
        <f t="shared" si="0"/>
        <v>0</v>
      </c>
      <c r="P34" s="41">
        <f t="shared" si="0"/>
        <v>0.37</v>
      </c>
      <c r="Q34" s="41">
        <f t="shared" si="0"/>
        <v>4.0599999999999996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16.98</v>
      </c>
      <c r="C35" s="33">
        <f t="shared" si="1"/>
        <v>36.85</v>
      </c>
      <c r="D35" s="33">
        <f t="shared" si="1"/>
        <v>30.22</v>
      </c>
      <c r="E35" s="33">
        <f t="shared" si="1"/>
        <v>7.81</v>
      </c>
      <c r="F35" s="33">
        <f t="shared" si="1"/>
        <v>10.53</v>
      </c>
      <c r="G35" s="33">
        <f t="shared" si="1"/>
        <v>38</v>
      </c>
      <c r="H35" s="33">
        <f t="shared" si="1"/>
        <v>13.17</v>
      </c>
      <c r="I35" s="33">
        <f t="shared" si="1"/>
        <v>4.57</v>
      </c>
      <c r="J35" s="33">
        <f t="shared" si="1"/>
        <v>1.68</v>
      </c>
      <c r="K35" s="33">
        <f t="shared" si="1"/>
        <v>299.48</v>
      </c>
      <c r="L35" s="33">
        <f t="shared" si="1"/>
        <v>31.23</v>
      </c>
      <c r="M35" s="33">
        <f t="shared" si="1"/>
        <v>95.87</v>
      </c>
      <c r="N35" s="33">
        <f t="shared" si="1"/>
        <v>887.4</v>
      </c>
      <c r="O35" s="33">
        <f t="shared" si="1"/>
        <v>0.6</v>
      </c>
      <c r="P35" s="33">
        <f t="shared" si="1"/>
        <v>0.68</v>
      </c>
      <c r="Q35" s="33">
        <f t="shared" si="1"/>
        <v>4.74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11.030416666666666</v>
      </c>
      <c r="C36" s="41">
        <f t="shared" si="2"/>
        <v>34.009166666666665</v>
      </c>
      <c r="D36" s="41">
        <f t="shared" si="2"/>
        <v>25.371250000000003</v>
      </c>
      <c r="E36" s="41">
        <f t="shared" si="2"/>
        <v>6.38</v>
      </c>
      <c r="F36" s="41">
        <f t="shared" si="2"/>
        <v>5.0737500000000004</v>
      </c>
      <c r="G36" s="41">
        <f t="shared" si="2"/>
        <v>17.540833333333335</v>
      </c>
      <c r="H36" s="41">
        <f t="shared" si="2"/>
        <v>4.7525000000000004</v>
      </c>
      <c r="I36" s="41">
        <f t="shared" si="2"/>
        <v>3.2041666666666671</v>
      </c>
      <c r="J36" s="41">
        <f t="shared" si="2"/>
        <v>0.91</v>
      </c>
      <c r="K36" s="41">
        <f t="shared" si="2"/>
        <v>260.12249999999995</v>
      </c>
      <c r="L36" s="41">
        <f t="shared" si="2"/>
        <v>27.627916666666664</v>
      </c>
      <c r="M36" s="41">
        <f t="shared" si="2"/>
        <v>79.561666666666653</v>
      </c>
      <c r="N36" s="41">
        <f t="shared" si="2"/>
        <v>197.0916666666667</v>
      </c>
      <c r="O36" s="41">
        <f t="shared" si="2"/>
        <v>3.3333333333333333E-2</v>
      </c>
      <c r="P36" s="41">
        <f t="shared" si="2"/>
        <v>0.49375000000000008</v>
      </c>
      <c r="Q36" s="41">
        <f t="shared" si="2"/>
        <v>4.42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3.4426360971066146</v>
      </c>
      <c r="C37" s="41">
        <f t="shared" ref="C37:Q37" si="3">STDEV(C9:C32)</f>
        <v>2.4721947943982059</v>
      </c>
      <c r="D37" s="41">
        <f t="shared" si="3"/>
        <v>3.7567265034520219</v>
      </c>
      <c r="E37" s="41">
        <f t="shared" si="3"/>
        <v>0.77645235582717009</v>
      </c>
      <c r="F37" s="41">
        <f t="shared" si="3"/>
        <v>2.3675318509404235</v>
      </c>
      <c r="G37" s="41">
        <f t="shared" si="3"/>
        <v>11.042667808045323</v>
      </c>
      <c r="H37" s="41">
        <f t="shared" si="3"/>
        <v>3.4369757307716085</v>
      </c>
      <c r="I37" s="41">
        <f t="shared" si="3"/>
        <v>0.61889042836259656</v>
      </c>
      <c r="J37" s="41">
        <f t="shared" si="3"/>
        <v>0.49586989878569876</v>
      </c>
      <c r="K37" s="41">
        <f t="shared" si="3"/>
        <v>27.851843159678424</v>
      </c>
      <c r="L37" s="41">
        <f t="shared" si="3"/>
        <v>2.2637137228105515</v>
      </c>
      <c r="M37" s="41">
        <f t="shared" si="3"/>
        <v>12.829079626300963</v>
      </c>
      <c r="N37" s="41">
        <f t="shared" si="3"/>
        <v>267.68837969397998</v>
      </c>
      <c r="O37" s="41">
        <f t="shared" si="3"/>
        <v>0.12740441145412124</v>
      </c>
      <c r="P37" s="41">
        <f t="shared" si="3"/>
        <v>0.10324359123177919</v>
      </c>
      <c r="Q37" s="41">
        <f t="shared" si="3"/>
        <v>0.21609176794574117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10/07/2023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275</v>
      </c>
      <c r="B9" s="51">
        <v>16.57</v>
      </c>
      <c r="C9" s="51">
        <v>39.36</v>
      </c>
      <c r="D9" s="51">
        <v>32.69</v>
      </c>
      <c r="E9" s="51">
        <v>6.25</v>
      </c>
      <c r="F9" s="51">
        <v>2.98</v>
      </c>
      <c r="G9" s="51">
        <v>38</v>
      </c>
      <c r="H9" s="51">
        <v>10.77</v>
      </c>
      <c r="I9" s="51">
        <v>4.7699999999999996</v>
      </c>
      <c r="J9" s="51">
        <v>0.18</v>
      </c>
      <c r="K9" s="51">
        <v>260.75</v>
      </c>
      <c r="L9" s="51">
        <v>25.7</v>
      </c>
      <c r="M9" s="51">
        <v>91.47</v>
      </c>
      <c r="N9" s="51">
        <v>0</v>
      </c>
      <c r="O9" s="51">
        <v>0</v>
      </c>
      <c r="P9" s="51">
        <v>0.69</v>
      </c>
      <c r="Q9" s="51">
        <v>4.75</v>
      </c>
    </row>
    <row r="10" spans="1:21" customFormat="1">
      <c r="A10" s="50" t="s">
        <v>276</v>
      </c>
      <c r="B10" s="51">
        <v>17.329999999999998</v>
      </c>
      <c r="C10" s="51">
        <v>36.200000000000003</v>
      </c>
      <c r="D10" s="51">
        <v>31.77</v>
      </c>
      <c r="E10" s="51">
        <v>6.64</v>
      </c>
      <c r="F10" s="51">
        <v>4.1399999999999997</v>
      </c>
      <c r="G10" s="51">
        <v>29.4</v>
      </c>
      <c r="H10" s="51">
        <v>8.6999999999999993</v>
      </c>
      <c r="I10" s="51">
        <v>4.75</v>
      </c>
      <c r="J10" s="51">
        <v>0.15</v>
      </c>
      <c r="K10" s="51">
        <v>181.66</v>
      </c>
      <c r="L10" s="51">
        <v>25.74</v>
      </c>
      <c r="M10" s="51">
        <v>92.08</v>
      </c>
      <c r="N10" s="51">
        <v>0</v>
      </c>
      <c r="O10" s="51">
        <v>0</v>
      </c>
      <c r="P10" s="51">
        <v>0.67</v>
      </c>
      <c r="Q10" s="51">
        <v>4.8099999999999996</v>
      </c>
    </row>
    <row r="11" spans="1:21" customFormat="1">
      <c r="A11" s="50" t="s">
        <v>277</v>
      </c>
      <c r="B11" s="51">
        <v>17.100000000000001</v>
      </c>
      <c r="C11" s="51">
        <v>34.03</v>
      </c>
      <c r="D11" s="51">
        <v>30.44</v>
      </c>
      <c r="E11" s="51">
        <v>6.71</v>
      </c>
      <c r="F11" s="51">
        <v>5.53</v>
      </c>
      <c r="G11" s="51">
        <v>32.880000000000003</v>
      </c>
      <c r="H11" s="51">
        <v>8.5500000000000007</v>
      </c>
      <c r="I11" s="51">
        <v>4.6100000000000003</v>
      </c>
      <c r="J11" s="51">
        <v>0.17</v>
      </c>
      <c r="K11" s="51">
        <v>186.56</v>
      </c>
      <c r="L11" s="51">
        <v>26.06</v>
      </c>
      <c r="M11" s="51">
        <v>90.97</v>
      </c>
      <c r="N11" s="51">
        <v>0</v>
      </c>
      <c r="O11" s="51">
        <v>0</v>
      </c>
      <c r="P11" s="51">
        <v>0.64</v>
      </c>
      <c r="Q11" s="51">
        <v>4.8099999999999996</v>
      </c>
    </row>
    <row r="12" spans="1:21" customFormat="1">
      <c r="A12" s="52">
        <v>45117.166666666664</v>
      </c>
      <c r="B12" s="51">
        <v>17.739999999999998</v>
      </c>
      <c r="C12" s="51">
        <v>34.51</v>
      </c>
      <c r="D12" s="51">
        <v>31.14</v>
      </c>
      <c r="E12" s="51">
        <v>7.05</v>
      </c>
      <c r="F12" s="51">
        <v>5.52</v>
      </c>
      <c r="G12" s="51">
        <v>27.01</v>
      </c>
      <c r="H12" s="51">
        <v>10</v>
      </c>
      <c r="I12" s="51">
        <v>4.2699999999999996</v>
      </c>
      <c r="J12" s="51">
        <v>0.14000000000000001</v>
      </c>
      <c r="K12" s="51">
        <v>251.62</v>
      </c>
      <c r="L12" s="51">
        <v>25.99</v>
      </c>
      <c r="M12" s="51">
        <v>92.81</v>
      </c>
      <c r="N12" s="51">
        <v>0</v>
      </c>
      <c r="O12" s="51">
        <v>0</v>
      </c>
      <c r="P12" s="51">
        <v>0.63</v>
      </c>
      <c r="Q12" s="51">
        <v>4.8099999999999996</v>
      </c>
    </row>
    <row r="13" spans="1:21" customFormat="1">
      <c r="A13" s="50" t="s">
        <v>278</v>
      </c>
      <c r="B13" s="51">
        <v>17.52</v>
      </c>
      <c r="C13" s="51">
        <v>34.57</v>
      </c>
      <c r="D13" s="51">
        <v>31.02</v>
      </c>
      <c r="E13" s="51">
        <v>6.78</v>
      </c>
      <c r="F13" s="51">
        <v>5.36</v>
      </c>
      <c r="G13" s="51">
        <v>22.15</v>
      </c>
      <c r="H13" s="51">
        <v>8.67</v>
      </c>
      <c r="I13" s="51">
        <v>4.16</v>
      </c>
      <c r="J13" s="51">
        <v>0.13</v>
      </c>
      <c r="K13" s="51">
        <v>177.98</v>
      </c>
      <c r="L13" s="51">
        <v>26.16</v>
      </c>
      <c r="M13" s="51">
        <v>93.39</v>
      </c>
      <c r="N13" s="51">
        <v>0</v>
      </c>
      <c r="O13" s="51">
        <v>0</v>
      </c>
      <c r="P13" s="51">
        <v>0.57999999999999996</v>
      </c>
      <c r="Q13" s="51">
        <v>4.82</v>
      </c>
    </row>
    <row r="14" spans="1:21" customFormat="1">
      <c r="A14" s="50" t="s">
        <v>279</v>
      </c>
      <c r="B14" s="51">
        <v>23.15</v>
      </c>
      <c r="C14" s="51">
        <v>35.979999999999997</v>
      </c>
      <c r="D14" s="51">
        <v>34.22</v>
      </c>
      <c r="E14" s="51">
        <v>7.41</v>
      </c>
      <c r="F14" s="51">
        <v>4.93</v>
      </c>
      <c r="G14" s="51">
        <v>23.68</v>
      </c>
      <c r="H14" s="51">
        <v>8.6199999999999992</v>
      </c>
      <c r="I14" s="51">
        <v>3.85</v>
      </c>
      <c r="J14" s="51">
        <v>0.41</v>
      </c>
      <c r="K14" s="51">
        <v>145.06</v>
      </c>
      <c r="L14" s="51">
        <v>26.35</v>
      </c>
      <c r="M14" s="51">
        <v>93.22</v>
      </c>
      <c r="N14" s="51">
        <v>7.1</v>
      </c>
      <c r="O14" s="51">
        <v>0</v>
      </c>
      <c r="P14" s="51">
        <v>0.56999999999999995</v>
      </c>
      <c r="Q14" s="51">
        <v>4.8899999999999997</v>
      </c>
    </row>
    <row r="15" spans="1:21" customFormat="1">
      <c r="A15" s="50" t="s">
        <v>280</v>
      </c>
      <c r="B15" s="51">
        <v>22.76</v>
      </c>
      <c r="C15" s="51">
        <v>35.99</v>
      </c>
      <c r="D15" s="51">
        <v>36.01</v>
      </c>
      <c r="E15" s="51">
        <v>6.9</v>
      </c>
      <c r="F15" s="51">
        <v>3.82</v>
      </c>
      <c r="G15" s="51">
        <v>25.8</v>
      </c>
      <c r="H15" s="51">
        <v>7.57</v>
      </c>
      <c r="I15" s="51">
        <v>3.83</v>
      </c>
      <c r="J15" s="51">
        <v>0.3</v>
      </c>
      <c r="K15" s="51">
        <v>162.6</v>
      </c>
      <c r="L15" s="51">
        <v>27.2</v>
      </c>
      <c r="M15" s="51">
        <v>91.78</v>
      </c>
      <c r="N15" s="51">
        <v>57</v>
      </c>
      <c r="O15" s="51">
        <v>0</v>
      </c>
      <c r="P15" s="51">
        <v>0.56999999999999995</v>
      </c>
      <c r="Q15" s="51">
        <v>5.04</v>
      </c>
    </row>
    <row r="16" spans="1:21" customFormat="1">
      <c r="A16" s="50" t="s">
        <v>281</v>
      </c>
      <c r="B16" s="51">
        <v>22.23</v>
      </c>
      <c r="C16" s="51">
        <v>35.76</v>
      </c>
      <c r="D16" s="51">
        <v>35.46</v>
      </c>
      <c r="E16" s="51">
        <v>6.96</v>
      </c>
      <c r="F16" s="51">
        <v>5.39</v>
      </c>
      <c r="G16" s="51">
        <v>24.02</v>
      </c>
      <c r="H16" s="51">
        <v>7.92</v>
      </c>
      <c r="I16" s="51">
        <v>3.77</v>
      </c>
      <c r="J16" s="51">
        <v>0.24</v>
      </c>
      <c r="K16" s="51">
        <v>202.71</v>
      </c>
      <c r="L16" s="51">
        <v>27.56</v>
      </c>
      <c r="M16" s="51">
        <v>89.33</v>
      </c>
      <c r="N16" s="51">
        <v>96.8</v>
      </c>
      <c r="O16" s="51">
        <v>0</v>
      </c>
      <c r="P16" s="51">
        <v>0.55000000000000004</v>
      </c>
      <c r="Q16" s="51">
        <v>5.08</v>
      </c>
    </row>
    <row r="17" spans="1:17" customFormat="1">
      <c r="A17" s="50" t="s">
        <v>282</v>
      </c>
      <c r="B17" s="51">
        <v>22.34</v>
      </c>
      <c r="C17" s="51">
        <v>35.67</v>
      </c>
      <c r="D17" s="51">
        <v>35.51</v>
      </c>
      <c r="E17" s="51">
        <v>7.29</v>
      </c>
      <c r="F17" s="51">
        <v>4.67</v>
      </c>
      <c r="G17" s="51">
        <v>25.77</v>
      </c>
      <c r="H17" s="51">
        <v>8.5299999999999994</v>
      </c>
      <c r="I17" s="51">
        <v>3.74</v>
      </c>
      <c r="J17" s="51">
        <v>0.46</v>
      </c>
      <c r="K17" s="51">
        <v>258.83999999999997</v>
      </c>
      <c r="L17" s="51">
        <v>28.45</v>
      </c>
      <c r="M17" s="51">
        <v>87.46</v>
      </c>
      <c r="N17" s="51">
        <v>261.39999999999998</v>
      </c>
      <c r="O17" s="51">
        <v>0</v>
      </c>
      <c r="P17" s="51">
        <v>0.53</v>
      </c>
      <c r="Q17" s="51">
        <v>5.05</v>
      </c>
    </row>
    <row r="18" spans="1:17" customFormat="1">
      <c r="A18" s="50" t="s">
        <v>283</v>
      </c>
      <c r="B18" s="51">
        <v>21.39</v>
      </c>
      <c r="C18" s="51">
        <v>35.6</v>
      </c>
      <c r="D18" s="51">
        <v>34.630000000000003</v>
      </c>
      <c r="E18" s="51">
        <v>6.81</v>
      </c>
      <c r="F18" s="51">
        <v>4.42</v>
      </c>
      <c r="G18" s="51">
        <v>17.88</v>
      </c>
      <c r="H18" s="51">
        <v>6.5</v>
      </c>
      <c r="I18" s="51">
        <v>3.82</v>
      </c>
      <c r="J18" s="51">
        <v>0.8</v>
      </c>
      <c r="K18" s="51">
        <v>317.27999999999997</v>
      </c>
      <c r="L18" s="51">
        <v>28.41</v>
      </c>
      <c r="M18" s="51">
        <v>89.25</v>
      </c>
      <c r="N18" s="51">
        <v>229.8</v>
      </c>
      <c r="O18" s="51">
        <v>0</v>
      </c>
      <c r="P18" s="51">
        <v>0.53</v>
      </c>
      <c r="Q18" s="51">
        <v>4.9800000000000004</v>
      </c>
    </row>
    <row r="19" spans="1:17" customFormat="1">
      <c r="A19" s="50" t="s">
        <v>284</v>
      </c>
      <c r="B19" s="51">
        <v>20.47</v>
      </c>
      <c r="C19" s="51">
        <v>33.56</v>
      </c>
      <c r="D19" s="51">
        <v>32.76</v>
      </c>
      <c r="E19" s="51">
        <v>7.22</v>
      </c>
      <c r="F19" s="51">
        <v>6.96</v>
      </c>
      <c r="G19" s="11" t="s">
        <v>12</v>
      </c>
      <c r="H19" s="11" t="s">
        <v>12</v>
      </c>
      <c r="I19" s="51">
        <v>3.73</v>
      </c>
      <c r="J19" s="51">
        <v>0.33</v>
      </c>
      <c r="K19" s="51">
        <v>61.4</v>
      </c>
      <c r="L19" s="51">
        <v>29.51</v>
      </c>
      <c r="M19" s="51">
        <v>86.34</v>
      </c>
      <c r="N19" s="51">
        <v>409.5</v>
      </c>
      <c r="O19" s="51">
        <v>0</v>
      </c>
      <c r="P19" s="51">
        <v>0.57999999999999996</v>
      </c>
      <c r="Q19" s="51">
        <v>5.01</v>
      </c>
    </row>
    <row r="20" spans="1:17" customFormat="1">
      <c r="A20" s="50" t="s">
        <v>285</v>
      </c>
      <c r="B20" s="51">
        <v>19.64</v>
      </c>
      <c r="C20" s="51">
        <v>29.65</v>
      </c>
      <c r="D20" s="51">
        <v>30.1</v>
      </c>
      <c r="E20" s="51">
        <v>6.9</v>
      </c>
      <c r="F20" s="51">
        <v>15.95</v>
      </c>
      <c r="G20" s="51">
        <v>17.34</v>
      </c>
      <c r="H20" s="51">
        <v>3.32</v>
      </c>
      <c r="I20" s="51">
        <v>3.78</v>
      </c>
      <c r="J20" s="51">
        <v>0.55000000000000004</v>
      </c>
      <c r="K20" s="51">
        <v>285.35000000000002</v>
      </c>
      <c r="L20" s="51">
        <v>31.21</v>
      </c>
      <c r="M20" s="51">
        <v>76.28</v>
      </c>
      <c r="N20" s="51">
        <v>451.9</v>
      </c>
      <c r="O20" s="51">
        <v>0</v>
      </c>
      <c r="P20" s="51">
        <v>0.54</v>
      </c>
      <c r="Q20" s="51">
        <v>4.8600000000000003</v>
      </c>
    </row>
    <row r="21" spans="1:17" customFormat="1">
      <c r="A21" s="50" t="s">
        <v>286</v>
      </c>
      <c r="B21" s="51">
        <v>2.13</v>
      </c>
      <c r="C21" s="51">
        <v>19.690000000000001</v>
      </c>
      <c r="D21" s="51">
        <v>10.52</v>
      </c>
      <c r="E21" s="51">
        <v>4.68</v>
      </c>
      <c r="F21" s="51">
        <v>12.53</v>
      </c>
      <c r="G21" s="51">
        <v>20.86</v>
      </c>
      <c r="H21" s="51">
        <v>5.64</v>
      </c>
      <c r="I21" s="51">
        <v>53.99</v>
      </c>
      <c r="J21" s="51">
        <v>0.67</v>
      </c>
      <c r="K21" s="51">
        <v>279.47000000000003</v>
      </c>
      <c r="L21" s="51">
        <v>32.03</v>
      </c>
      <c r="M21" s="51">
        <v>70.78</v>
      </c>
      <c r="N21" s="51">
        <v>715.5</v>
      </c>
      <c r="O21" s="51">
        <v>0</v>
      </c>
      <c r="P21" s="51">
        <v>0.41</v>
      </c>
      <c r="Q21" s="51">
        <v>3.82</v>
      </c>
    </row>
    <row r="22" spans="1:17" customFormat="1">
      <c r="A22" s="50" t="s">
        <v>287</v>
      </c>
      <c r="B22" s="51">
        <v>6.38</v>
      </c>
      <c r="C22" s="51">
        <v>23.65</v>
      </c>
      <c r="D22" s="51">
        <v>16.38</v>
      </c>
      <c r="E22" s="51">
        <v>7.69</v>
      </c>
      <c r="F22" s="51">
        <v>12.19</v>
      </c>
      <c r="G22" s="51">
        <v>22.68</v>
      </c>
      <c r="H22" s="51">
        <v>5.64</v>
      </c>
      <c r="I22" s="51">
        <v>50.76</v>
      </c>
      <c r="J22" s="51">
        <v>1.28</v>
      </c>
      <c r="K22" s="51">
        <v>318.68</v>
      </c>
      <c r="L22" s="51">
        <v>29.65</v>
      </c>
      <c r="M22" s="51">
        <v>86.16</v>
      </c>
      <c r="N22" s="51">
        <v>301.3</v>
      </c>
      <c r="O22" s="51">
        <v>0.4</v>
      </c>
      <c r="P22" s="51">
        <v>0.67</v>
      </c>
      <c r="Q22" s="51">
        <v>3.85</v>
      </c>
    </row>
    <row r="23" spans="1:17" customFormat="1">
      <c r="A23" s="50" t="s">
        <v>288</v>
      </c>
      <c r="B23" s="51">
        <v>6.2</v>
      </c>
      <c r="C23" s="51">
        <v>29.78</v>
      </c>
      <c r="D23" s="51">
        <v>19.489999999999998</v>
      </c>
      <c r="E23" s="51">
        <v>9.9600000000000009</v>
      </c>
      <c r="F23" s="51">
        <v>14.24</v>
      </c>
      <c r="G23" s="51">
        <v>38.549999999999997</v>
      </c>
      <c r="H23" s="51">
        <v>7.74</v>
      </c>
      <c r="I23" s="51">
        <v>40.31</v>
      </c>
      <c r="J23" s="51">
        <v>0.74</v>
      </c>
      <c r="K23" s="51">
        <v>292.55</v>
      </c>
      <c r="L23" s="51">
        <v>31.86</v>
      </c>
      <c r="M23" s="51">
        <v>74.81</v>
      </c>
      <c r="N23" s="51">
        <v>606.9</v>
      </c>
      <c r="O23" s="51">
        <v>0</v>
      </c>
      <c r="P23" s="51">
        <v>0.59</v>
      </c>
      <c r="Q23" s="51">
        <v>4.0599999999999996</v>
      </c>
    </row>
    <row r="24" spans="1:17" customFormat="1">
      <c r="A24" s="50" t="s">
        <v>289</v>
      </c>
      <c r="B24" s="51">
        <v>6.85</v>
      </c>
      <c r="C24" s="51">
        <v>28.27</v>
      </c>
      <c r="D24" s="51">
        <v>18.66</v>
      </c>
      <c r="E24" s="51">
        <v>8.57</v>
      </c>
      <c r="F24" s="51">
        <v>12.73</v>
      </c>
      <c r="G24" s="51">
        <v>38.549999999999997</v>
      </c>
      <c r="H24" s="51">
        <v>7.92</v>
      </c>
      <c r="I24" s="51">
        <v>35.15</v>
      </c>
      <c r="J24" s="51">
        <v>0.88</v>
      </c>
      <c r="K24" s="51">
        <v>305.95</v>
      </c>
      <c r="L24" s="51">
        <v>32.86</v>
      </c>
      <c r="M24" s="51">
        <v>63.54</v>
      </c>
      <c r="N24" s="51">
        <v>610.79999999999995</v>
      </c>
      <c r="O24" s="51">
        <v>0</v>
      </c>
      <c r="P24" s="51">
        <v>0.56000000000000005</v>
      </c>
      <c r="Q24" s="51">
        <v>4.07</v>
      </c>
    </row>
    <row r="25" spans="1:17" customFormat="1">
      <c r="A25" s="50" t="s">
        <v>290</v>
      </c>
      <c r="B25" s="51">
        <v>7.24</v>
      </c>
      <c r="C25" s="51">
        <v>31.19</v>
      </c>
      <c r="D25" s="51">
        <v>20.78</v>
      </c>
      <c r="E25" s="51">
        <v>8.09</v>
      </c>
      <c r="F25" s="51">
        <v>10.73</v>
      </c>
      <c r="G25" s="51">
        <v>39.67</v>
      </c>
      <c r="H25" s="51">
        <v>7.92</v>
      </c>
      <c r="I25" s="51">
        <v>33.409999999999997</v>
      </c>
      <c r="J25" s="51">
        <v>0.82</v>
      </c>
      <c r="K25" s="51">
        <v>293.26</v>
      </c>
      <c r="L25" s="51">
        <v>32.03</v>
      </c>
      <c r="M25" s="51">
        <v>67.260000000000005</v>
      </c>
      <c r="N25" s="51">
        <v>210.8</v>
      </c>
      <c r="O25" s="51">
        <v>0</v>
      </c>
      <c r="P25" s="51">
        <v>0.56999999999999995</v>
      </c>
      <c r="Q25" s="51">
        <v>4.16</v>
      </c>
    </row>
    <row r="26" spans="1:17" customFormat="1">
      <c r="A26" s="50" t="s">
        <v>291</v>
      </c>
      <c r="B26" s="51">
        <v>15.8</v>
      </c>
      <c r="C26" s="51">
        <v>31.64</v>
      </c>
      <c r="D26" s="51">
        <v>27.67</v>
      </c>
      <c r="E26" s="51">
        <v>8.3699999999999992</v>
      </c>
      <c r="F26" s="51">
        <v>9.6</v>
      </c>
      <c r="G26" s="51">
        <v>39.67</v>
      </c>
      <c r="H26" s="51">
        <v>8.9700000000000006</v>
      </c>
      <c r="I26" s="51">
        <v>29.43</v>
      </c>
      <c r="J26" s="51">
        <v>0.74</v>
      </c>
      <c r="K26" s="51">
        <v>308.24</v>
      </c>
      <c r="L26" s="51">
        <v>30.9</v>
      </c>
      <c r="M26" s="51">
        <v>69.319999999999993</v>
      </c>
      <c r="N26" s="51">
        <v>109.2</v>
      </c>
      <c r="O26" s="51">
        <v>0</v>
      </c>
      <c r="P26" s="51">
        <v>0.62</v>
      </c>
      <c r="Q26" s="51">
        <v>4.24</v>
      </c>
    </row>
    <row r="27" spans="1:17" customFormat="1">
      <c r="A27" s="50" t="s">
        <v>292</v>
      </c>
      <c r="B27" s="51">
        <v>11.31</v>
      </c>
      <c r="C27" s="51">
        <v>32.03</v>
      </c>
      <c r="D27" s="51">
        <v>24.67</v>
      </c>
      <c r="E27" s="51">
        <v>7.56</v>
      </c>
      <c r="F27" s="51">
        <v>10.95</v>
      </c>
      <c r="G27" s="51">
        <v>40.99</v>
      </c>
      <c r="H27" s="51">
        <v>8.9700000000000006</v>
      </c>
      <c r="I27" s="51">
        <v>28.27</v>
      </c>
      <c r="J27" s="51">
        <v>0.74</v>
      </c>
      <c r="K27" s="51">
        <v>260.95</v>
      </c>
      <c r="L27" s="51">
        <v>30.29</v>
      </c>
      <c r="M27" s="51">
        <v>71.28</v>
      </c>
      <c r="N27" s="51">
        <v>20.9</v>
      </c>
      <c r="O27" s="51">
        <v>0</v>
      </c>
      <c r="P27" s="51">
        <v>0.57999999999999996</v>
      </c>
      <c r="Q27" s="51">
        <v>4.42</v>
      </c>
    </row>
    <row r="28" spans="1:17" customFormat="1">
      <c r="A28" s="50" t="s">
        <v>293</v>
      </c>
      <c r="B28" s="51">
        <v>8.81</v>
      </c>
      <c r="C28" s="51">
        <v>27.92</v>
      </c>
      <c r="D28" s="51">
        <v>20.61</v>
      </c>
      <c r="E28" s="51">
        <v>6.11</v>
      </c>
      <c r="F28" s="51">
        <v>12.32</v>
      </c>
      <c r="G28" s="51">
        <v>40.99</v>
      </c>
      <c r="H28" s="51">
        <v>7.63</v>
      </c>
      <c r="I28" s="51">
        <v>25.38</v>
      </c>
      <c r="J28" s="51">
        <v>0.59</v>
      </c>
      <c r="K28" s="51">
        <v>268.43</v>
      </c>
      <c r="L28" s="51">
        <v>29.55</v>
      </c>
      <c r="M28" s="51">
        <v>72.97</v>
      </c>
      <c r="N28" s="51">
        <v>0</v>
      </c>
      <c r="O28" s="51">
        <v>0</v>
      </c>
      <c r="P28" s="51">
        <v>0.52</v>
      </c>
      <c r="Q28" s="51">
        <v>4.3499999999999996</v>
      </c>
    </row>
    <row r="29" spans="1:17" customFormat="1">
      <c r="A29" s="50" t="s">
        <v>294</v>
      </c>
      <c r="B29" s="51">
        <v>8.3000000000000007</v>
      </c>
      <c r="C29" s="51">
        <v>28.15</v>
      </c>
      <c r="D29" s="51">
        <v>20.32</v>
      </c>
      <c r="E29" s="51">
        <v>6.73</v>
      </c>
      <c r="F29" s="51">
        <v>13.32</v>
      </c>
      <c r="G29" s="51">
        <v>30.79</v>
      </c>
      <c r="H29" s="51">
        <v>5.42</v>
      </c>
      <c r="I29" s="51">
        <v>23.77</v>
      </c>
      <c r="J29" s="51">
        <v>0.36</v>
      </c>
      <c r="K29" s="51">
        <v>257.02</v>
      </c>
      <c r="L29" s="51">
        <v>28.81</v>
      </c>
      <c r="M29" s="51">
        <v>78.08</v>
      </c>
      <c r="N29" s="51">
        <v>0</v>
      </c>
      <c r="O29" s="51">
        <v>0</v>
      </c>
      <c r="P29" s="51">
        <v>0.49</v>
      </c>
      <c r="Q29" s="51">
        <v>4.3600000000000003</v>
      </c>
    </row>
    <row r="30" spans="1:17" customFormat="1">
      <c r="A30" s="50" t="s">
        <v>295</v>
      </c>
      <c r="B30" s="51">
        <v>8.9</v>
      </c>
      <c r="C30" s="51">
        <v>29.62</v>
      </c>
      <c r="D30" s="51">
        <v>21.57</v>
      </c>
      <c r="E30" s="51">
        <v>7</v>
      </c>
      <c r="F30" s="51">
        <v>11.08</v>
      </c>
      <c r="G30" s="51">
        <v>20.97</v>
      </c>
      <c r="H30" s="51">
        <v>6.73</v>
      </c>
      <c r="I30" s="51">
        <v>23.16</v>
      </c>
      <c r="J30" s="51">
        <v>0.33</v>
      </c>
      <c r="K30" s="51">
        <v>254.39</v>
      </c>
      <c r="L30" s="51">
        <v>28.33</v>
      </c>
      <c r="M30" s="51">
        <v>81.42</v>
      </c>
      <c r="N30" s="51">
        <v>0</v>
      </c>
      <c r="O30" s="51">
        <v>0</v>
      </c>
      <c r="P30" s="51">
        <v>0.48</v>
      </c>
      <c r="Q30" s="51">
        <v>4.3600000000000003</v>
      </c>
    </row>
    <row r="31" spans="1:17" customFormat="1">
      <c r="A31" s="50" t="s">
        <v>296</v>
      </c>
      <c r="B31" s="51">
        <v>9.3800000000000008</v>
      </c>
      <c r="C31" s="51">
        <v>27.14</v>
      </c>
      <c r="D31" s="51">
        <v>20.66</v>
      </c>
      <c r="E31" s="51">
        <v>6.86</v>
      </c>
      <c r="F31" s="51">
        <v>10.51</v>
      </c>
      <c r="G31" s="51">
        <v>20.72</v>
      </c>
      <c r="H31" s="51">
        <v>6.73</v>
      </c>
      <c r="I31" s="51">
        <v>21.09</v>
      </c>
      <c r="J31" s="51">
        <v>0.19</v>
      </c>
      <c r="K31" s="51">
        <v>245.51</v>
      </c>
      <c r="L31" s="51">
        <v>27.73</v>
      </c>
      <c r="M31" s="51">
        <v>85.25</v>
      </c>
      <c r="N31" s="51">
        <v>0</v>
      </c>
      <c r="O31" s="51">
        <v>0</v>
      </c>
      <c r="P31" s="51">
        <v>0.46</v>
      </c>
      <c r="Q31" s="51">
        <v>4.41</v>
      </c>
    </row>
    <row r="32" spans="1:17" customFormat="1">
      <c r="A32" s="50" t="s">
        <v>297</v>
      </c>
      <c r="B32" s="51">
        <v>10.53</v>
      </c>
      <c r="C32" s="51">
        <v>29.42</v>
      </c>
      <c r="D32" s="51">
        <v>22.77</v>
      </c>
      <c r="E32" s="51">
        <v>7.42</v>
      </c>
      <c r="F32" s="51">
        <v>7.71</v>
      </c>
      <c r="G32" s="51">
        <v>20.059999999999999</v>
      </c>
      <c r="H32" s="51">
        <v>4.96</v>
      </c>
      <c r="I32" s="51">
        <v>19.61</v>
      </c>
      <c r="J32" s="51">
        <v>0.12</v>
      </c>
      <c r="K32" s="51">
        <v>211.04</v>
      </c>
      <c r="L32" s="51">
        <v>27.44</v>
      </c>
      <c r="M32" s="51">
        <v>88</v>
      </c>
      <c r="N32" s="51">
        <v>0</v>
      </c>
      <c r="O32" s="51">
        <v>0</v>
      </c>
      <c r="P32" s="51">
        <v>0.44</v>
      </c>
      <c r="Q32" s="51">
        <v>4.46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2.13</v>
      </c>
      <c r="C34" s="41">
        <f t="shared" si="0"/>
        <v>19.690000000000001</v>
      </c>
      <c r="D34" s="41">
        <f t="shared" si="0"/>
        <v>10.52</v>
      </c>
      <c r="E34" s="41">
        <f t="shared" si="0"/>
        <v>4.68</v>
      </c>
      <c r="F34" s="41">
        <f t="shared" si="0"/>
        <v>2.98</v>
      </c>
      <c r="G34" s="41">
        <f t="shared" si="0"/>
        <v>17.34</v>
      </c>
      <c r="H34" s="41">
        <f t="shared" si="0"/>
        <v>3.32</v>
      </c>
      <c r="I34" s="41">
        <f t="shared" si="0"/>
        <v>3.73</v>
      </c>
      <c r="J34" s="41">
        <f t="shared" si="0"/>
        <v>0.12</v>
      </c>
      <c r="K34" s="41">
        <f t="shared" si="0"/>
        <v>61.4</v>
      </c>
      <c r="L34" s="41">
        <f t="shared" si="0"/>
        <v>25.7</v>
      </c>
      <c r="M34" s="41">
        <f t="shared" si="0"/>
        <v>63.54</v>
      </c>
      <c r="N34" s="41">
        <f t="shared" si="0"/>
        <v>0</v>
      </c>
      <c r="O34" s="41">
        <f t="shared" si="0"/>
        <v>0</v>
      </c>
      <c r="P34" s="41">
        <f t="shared" si="0"/>
        <v>0.41</v>
      </c>
      <c r="Q34" s="41">
        <f t="shared" si="0"/>
        <v>3.82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23.15</v>
      </c>
      <c r="C35" s="33">
        <f t="shared" si="1"/>
        <v>39.36</v>
      </c>
      <c r="D35" s="33">
        <f t="shared" si="1"/>
        <v>36.01</v>
      </c>
      <c r="E35" s="33">
        <f t="shared" si="1"/>
        <v>9.9600000000000009</v>
      </c>
      <c r="F35" s="33">
        <f t="shared" si="1"/>
        <v>15.95</v>
      </c>
      <c r="G35" s="33">
        <f t="shared" si="1"/>
        <v>40.99</v>
      </c>
      <c r="H35" s="33">
        <f t="shared" si="1"/>
        <v>10.77</v>
      </c>
      <c r="I35" s="33">
        <f t="shared" si="1"/>
        <v>53.99</v>
      </c>
      <c r="J35" s="33">
        <f t="shared" si="1"/>
        <v>1.28</v>
      </c>
      <c r="K35" s="33">
        <f t="shared" si="1"/>
        <v>318.68</v>
      </c>
      <c r="L35" s="33">
        <f t="shared" si="1"/>
        <v>32.86</v>
      </c>
      <c r="M35" s="33">
        <f t="shared" si="1"/>
        <v>93.39</v>
      </c>
      <c r="N35" s="33">
        <f t="shared" si="1"/>
        <v>715.5</v>
      </c>
      <c r="O35" s="33">
        <f t="shared" si="1"/>
        <v>0.4</v>
      </c>
      <c r="P35" s="33">
        <f t="shared" si="1"/>
        <v>0.69</v>
      </c>
      <c r="Q35" s="33">
        <f t="shared" si="1"/>
        <v>5.08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14.169583333333334</v>
      </c>
      <c r="C36" s="41">
        <f t="shared" si="2"/>
        <v>31.64083333333333</v>
      </c>
      <c r="D36" s="41">
        <f t="shared" si="2"/>
        <v>26.660416666666674</v>
      </c>
      <c r="E36" s="41">
        <f t="shared" si="2"/>
        <v>7.165</v>
      </c>
      <c r="F36" s="41">
        <f t="shared" si="2"/>
        <v>8.649166666666666</v>
      </c>
      <c r="G36" s="41">
        <f t="shared" si="2"/>
        <v>28.627391304347828</v>
      </c>
      <c r="H36" s="41">
        <f t="shared" si="2"/>
        <v>7.5399999999999983</v>
      </c>
      <c r="I36" s="41">
        <f t="shared" si="2"/>
        <v>18.05875</v>
      </c>
      <c r="J36" s="41">
        <f t="shared" si="2"/>
        <v>0.47166666666666662</v>
      </c>
      <c r="K36" s="41">
        <f t="shared" si="2"/>
        <v>241.13749999999996</v>
      </c>
      <c r="L36" s="41">
        <f t="shared" si="2"/>
        <v>28.742499999999996</v>
      </c>
      <c r="M36" s="41">
        <f t="shared" si="2"/>
        <v>82.635416666666671</v>
      </c>
      <c r="N36" s="41">
        <f t="shared" si="2"/>
        <v>170.37083333333334</v>
      </c>
      <c r="O36" s="41">
        <f t="shared" si="2"/>
        <v>1.6666666666666666E-2</v>
      </c>
      <c r="P36" s="41">
        <f t="shared" si="2"/>
        <v>0.56125000000000003</v>
      </c>
      <c r="Q36" s="41">
        <f t="shared" si="2"/>
        <v>4.5612499999999985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6.4771897282202806</v>
      </c>
      <c r="C37" s="41">
        <f t="shared" ref="C37:Q37" si="3">STDEV(C9:C32)</f>
        <v>4.541204510457292</v>
      </c>
      <c r="D37" s="41">
        <f t="shared" si="3"/>
        <v>7.234351315029893</v>
      </c>
      <c r="E37" s="41">
        <f t="shared" si="3"/>
        <v>0.97927657415851999</v>
      </c>
      <c r="F37" s="41">
        <f t="shared" si="3"/>
        <v>3.9123215799480944</v>
      </c>
      <c r="G37" s="41">
        <f t="shared" si="3"/>
        <v>8.2497422645092353</v>
      </c>
      <c r="H37" s="41">
        <f t="shared" si="3"/>
        <v>1.7244050357363105</v>
      </c>
      <c r="I37" s="41">
        <f t="shared" si="3"/>
        <v>16.264250022806085</v>
      </c>
      <c r="J37" s="41">
        <f t="shared" si="3"/>
        <v>0.30742502326182936</v>
      </c>
      <c r="K37" s="41">
        <f t="shared" si="3"/>
        <v>63.342633506708765</v>
      </c>
      <c r="L37" s="41">
        <f t="shared" si="3"/>
        <v>2.2438132333345324</v>
      </c>
      <c r="M37" s="41">
        <f t="shared" si="3"/>
        <v>9.533183226369724</v>
      </c>
      <c r="N37" s="41">
        <f t="shared" si="3"/>
        <v>229.3664705399876</v>
      </c>
      <c r="O37" s="41">
        <f t="shared" si="3"/>
        <v>8.1649658092772623E-2</v>
      </c>
      <c r="P37" s="41">
        <f t="shared" si="3"/>
        <v>7.2370574130650484E-2</v>
      </c>
      <c r="Q37" s="41">
        <f t="shared" si="3"/>
        <v>0.39509286195175936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11/07/2023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298</v>
      </c>
      <c r="B9" s="51">
        <v>12.42</v>
      </c>
      <c r="C9" s="51">
        <v>32.51</v>
      </c>
      <c r="D9" s="51">
        <v>25.74</v>
      </c>
      <c r="E9" s="51">
        <v>7.41</v>
      </c>
      <c r="F9" s="51">
        <v>6.38</v>
      </c>
      <c r="G9" s="51">
        <v>14.18</v>
      </c>
      <c r="H9" s="51">
        <v>4.6100000000000003</v>
      </c>
      <c r="I9" s="51">
        <v>19.07</v>
      </c>
      <c r="J9" s="51">
        <v>0.17</v>
      </c>
      <c r="K9" s="51">
        <v>223.46</v>
      </c>
      <c r="L9" s="51">
        <v>27.37</v>
      </c>
      <c r="M9" s="51">
        <v>88.54</v>
      </c>
      <c r="N9" s="51">
        <v>0</v>
      </c>
      <c r="O9" s="51">
        <v>0</v>
      </c>
      <c r="P9" s="51">
        <v>0.44</v>
      </c>
      <c r="Q9" s="51">
        <v>4.5</v>
      </c>
    </row>
    <row r="10" spans="1:21" customFormat="1">
      <c r="A10" s="50" t="s">
        <v>299</v>
      </c>
      <c r="B10" s="51">
        <v>12.82</v>
      </c>
      <c r="C10" s="51">
        <v>30.93</v>
      </c>
      <c r="D10" s="51">
        <v>25.39</v>
      </c>
      <c r="E10" s="51">
        <v>7.33</v>
      </c>
      <c r="F10" s="51">
        <v>9.8000000000000007</v>
      </c>
      <c r="G10" s="51">
        <v>14.18</v>
      </c>
      <c r="H10" s="51">
        <v>5.61</v>
      </c>
      <c r="I10" s="51">
        <v>18.89</v>
      </c>
      <c r="J10" s="51">
        <v>0.12</v>
      </c>
      <c r="K10" s="51">
        <v>247.41</v>
      </c>
      <c r="L10" s="51">
        <v>27.22</v>
      </c>
      <c r="M10" s="51">
        <v>93.2</v>
      </c>
      <c r="N10" s="51">
        <v>0</v>
      </c>
      <c r="O10" s="51">
        <v>0</v>
      </c>
      <c r="P10" s="51">
        <v>0.41</v>
      </c>
      <c r="Q10" s="51">
        <v>4.55</v>
      </c>
    </row>
    <row r="11" spans="1:21" customFormat="1">
      <c r="A11" s="50" t="s">
        <v>300</v>
      </c>
      <c r="B11" s="51">
        <v>13.32</v>
      </c>
      <c r="C11" s="51">
        <v>32.119999999999997</v>
      </c>
      <c r="D11" s="51">
        <v>26.42</v>
      </c>
      <c r="E11" s="51">
        <v>6.58</v>
      </c>
      <c r="F11" s="51">
        <v>11.07</v>
      </c>
      <c r="G11" s="51">
        <v>14.97</v>
      </c>
      <c r="H11" s="51">
        <v>5.61</v>
      </c>
      <c r="I11" s="51">
        <v>17.84</v>
      </c>
      <c r="J11" s="51">
        <v>0.14000000000000001</v>
      </c>
      <c r="K11" s="51">
        <v>291.12</v>
      </c>
      <c r="L11" s="51">
        <v>26.74</v>
      </c>
      <c r="M11" s="51">
        <v>92.03</v>
      </c>
      <c r="N11" s="51">
        <v>0</v>
      </c>
      <c r="O11" s="51">
        <v>0.2</v>
      </c>
      <c r="P11" s="51">
        <v>0.4</v>
      </c>
      <c r="Q11" s="51">
        <v>4.57</v>
      </c>
    </row>
    <row r="12" spans="1:21" customFormat="1">
      <c r="A12" s="50" t="s">
        <v>301</v>
      </c>
      <c r="B12" s="51">
        <v>15.51</v>
      </c>
      <c r="C12" s="51">
        <v>33.96</v>
      </c>
      <c r="D12" s="51">
        <v>28.69</v>
      </c>
      <c r="E12" s="51">
        <v>6.66</v>
      </c>
      <c r="F12" s="51">
        <v>5.57</v>
      </c>
      <c r="G12" s="51">
        <v>15.04</v>
      </c>
      <c r="H12" s="51">
        <v>5.82</v>
      </c>
      <c r="I12" s="51">
        <v>16.25</v>
      </c>
      <c r="J12" s="51">
        <v>0.8</v>
      </c>
      <c r="K12" s="51">
        <v>263.37</v>
      </c>
      <c r="L12" s="51">
        <v>26.49</v>
      </c>
      <c r="M12" s="51">
        <v>96.92</v>
      </c>
      <c r="N12" s="51">
        <v>0</v>
      </c>
      <c r="O12" s="51">
        <v>3</v>
      </c>
      <c r="P12" s="51">
        <v>0.4</v>
      </c>
      <c r="Q12" s="51">
        <v>4.63</v>
      </c>
    </row>
    <row r="13" spans="1:21" customFormat="1">
      <c r="A13" s="50" t="s">
        <v>302</v>
      </c>
      <c r="B13" s="51">
        <v>15.85</v>
      </c>
      <c r="C13" s="51">
        <v>33.76</v>
      </c>
      <c r="D13" s="51">
        <v>29.31</v>
      </c>
      <c r="E13" s="51">
        <v>6.15</v>
      </c>
      <c r="F13" s="51">
        <v>4.5999999999999996</v>
      </c>
      <c r="G13" s="51">
        <v>15.04</v>
      </c>
      <c r="H13" s="51">
        <v>5.82</v>
      </c>
      <c r="I13" s="51">
        <v>17.25</v>
      </c>
      <c r="J13" s="51">
        <v>0.34</v>
      </c>
      <c r="K13" s="51">
        <v>252.48</v>
      </c>
      <c r="L13" s="51">
        <v>24.81</v>
      </c>
      <c r="M13" s="51">
        <v>98.4</v>
      </c>
      <c r="N13" s="51">
        <v>0</v>
      </c>
      <c r="O13" s="51">
        <v>3.8</v>
      </c>
      <c r="P13" s="51">
        <v>0.4</v>
      </c>
      <c r="Q13" s="51">
        <v>4.6500000000000004</v>
      </c>
    </row>
    <row r="14" spans="1:21" customFormat="1">
      <c r="A14" s="50" t="s">
        <v>303</v>
      </c>
      <c r="B14" s="51">
        <v>16.18</v>
      </c>
      <c r="C14" s="51">
        <v>34.29</v>
      </c>
      <c r="D14" s="51">
        <v>29.79</v>
      </c>
      <c r="E14" s="51">
        <v>6.7</v>
      </c>
      <c r="F14" s="51">
        <v>3.3</v>
      </c>
      <c r="G14" s="51">
        <v>12.81</v>
      </c>
      <c r="H14" s="51">
        <v>4.09</v>
      </c>
      <c r="I14" s="51">
        <v>16.28</v>
      </c>
      <c r="J14" s="51">
        <v>0.95</v>
      </c>
      <c r="K14" s="51">
        <v>269.16000000000003</v>
      </c>
      <c r="L14" s="51">
        <v>24.54</v>
      </c>
      <c r="M14" s="51">
        <v>98.77</v>
      </c>
      <c r="N14" s="51">
        <v>0</v>
      </c>
      <c r="O14" s="51">
        <v>4.4000000000000004</v>
      </c>
      <c r="P14" s="51">
        <v>0.37</v>
      </c>
      <c r="Q14" s="51">
        <v>4.66</v>
      </c>
    </row>
    <row r="15" spans="1:21" customFormat="1">
      <c r="A15" s="50" t="s">
        <v>304</v>
      </c>
      <c r="B15" s="51">
        <v>16.16</v>
      </c>
      <c r="C15" s="51">
        <v>34.200000000000003</v>
      </c>
      <c r="D15" s="51">
        <v>29.72</v>
      </c>
      <c r="E15" s="51">
        <v>6.25</v>
      </c>
      <c r="F15" s="51">
        <v>3.32</v>
      </c>
      <c r="G15" s="51">
        <v>9.4600000000000009</v>
      </c>
      <c r="H15" s="51">
        <v>3.25</v>
      </c>
      <c r="I15" s="51">
        <v>15.93</v>
      </c>
      <c r="J15" s="51">
        <v>0.72</v>
      </c>
      <c r="K15" s="51">
        <v>263.89999999999998</v>
      </c>
      <c r="L15" s="51">
        <v>24.51</v>
      </c>
      <c r="M15" s="51">
        <v>99</v>
      </c>
      <c r="N15" s="51">
        <v>30.9</v>
      </c>
      <c r="O15" s="51">
        <v>0.8</v>
      </c>
      <c r="P15" s="51">
        <v>0.36</v>
      </c>
      <c r="Q15" s="51">
        <v>4.6500000000000004</v>
      </c>
    </row>
    <row r="16" spans="1:21" customFormat="1">
      <c r="A16" s="50" t="s">
        <v>305</v>
      </c>
      <c r="B16" s="51">
        <v>16.28</v>
      </c>
      <c r="C16" s="51">
        <v>34.22</v>
      </c>
      <c r="D16" s="51">
        <v>29.89</v>
      </c>
      <c r="E16" s="51">
        <v>6.86</v>
      </c>
      <c r="F16" s="51">
        <v>2.64</v>
      </c>
      <c r="G16" s="51">
        <v>6.75</v>
      </c>
      <c r="H16" s="51">
        <v>2.36</v>
      </c>
      <c r="I16" s="51">
        <v>14.85</v>
      </c>
      <c r="J16" s="51">
        <v>0.9</v>
      </c>
      <c r="K16" s="51">
        <v>260.64</v>
      </c>
      <c r="L16" s="51">
        <v>24.75</v>
      </c>
      <c r="M16" s="51">
        <v>99.12</v>
      </c>
      <c r="N16" s="51">
        <v>97.1</v>
      </c>
      <c r="O16" s="51">
        <v>0.4</v>
      </c>
      <c r="P16" s="51">
        <v>0.36</v>
      </c>
      <c r="Q16" s="51">
        <v>4.67</v>
      </c>
    </row>
    <row r="17" spans="1:17" customFormat="1">
      <c r="A17" s="50" t="s">
        <v>306</v>
      </c>
      <c r="B17" s="51">
        <v>16.489999999999998</v>
      </c>
      <c r="C17" s="51">
        <v>34.69</v>
      </c>
      <c r="D17" s="51">
        <v>30.1</v>
      </c>
      <c r="E17" s="51">
        <v>6.23</v>
      </c>
      <c r="F17" s="51">
        <v>2.6</v>
      </c>
      <c r="G17" s="51">
        <v>5.2</v>
      </c>
      <c r="H17" s="51">
        <v>2.15</v>
      </c>
      <c r="I17" s="51">
        <v>14.42</v>
      </c>
      <c r="J17" s="51">
        <v>0.78</v>
      </c>
      <c r="K17" s="51">
        <v>269.13</v>
      </c>
      <c r="L17" s="51">
        <v>25.45</v>
      </c>
      <c r="M17" s="51">
        <v>99.15</v>
      </c>
      <c r="N17" s="51">
        <v>171</v>
      </c>
      <c r="O17" s="51">
        <v>0</v>
      </c>
      <c r="P17" s="51">
        <v>0.38</v>
      </c>
      <c r="Q17" s="51">
        <v>4.6900000000000004</v>
      </c>
    </row>
    <row r="18" spans="1:17" customFormat="1">
      <c r="A18" s="50" t="s">
        <v>307</v>
      </c>
      <c r="B18" s="51">
        <v>16.54</v>
      </c>
      <c r="C18" s="51">
        <v>34.909999999999997</v>
      </c>
      <c r="D18" s="51">
        <v>30.2</v>
      </c>
      <c r="E18" s="51">
        <v>6.33</v>
      </c>
      <c r="F18" s="51">
        <v>3.22</v>
      </c>
      <c r="G18" s="51">
        <v>4.4400000000000004</v>
      </c>
      <c r="H18" s="51">
        <v>2.15</v>
      </c>
      <c r="I18" s="51">
        <v>14.17</v>
      </c>
      <c r="J18" s="51">
        <v>0.93</v>
      </c>
      <c r="K18" s="51">
        <v>264.07</v>
      </c>
      <c r="L18" s="51">
        <v>27.45</v>
      </c>
      <c r="M18" s="51">
        <v>99.1</v>
      </c>
      <c r="N18" s="51">
        <v>446.1</v>
      </c>
      <c r="O18" s="51">
        <v>0</v>
      </c>
      <c r="P18" s="51">
        <v>0.39</v>
      </c>
      <c r="Q18" s="51">
        <v>4.7</v>
      </c>
    </row>
    <row r="19" spans="1:17" customFormat="1">
      <c r="A19" s="50" t="s">
        <v>308</v>
      </c>
      <c r="B19" s="51">
        <v>16.29</v>
      </c>
      <c r="C19" s="51">
        <v>34.32</v>
      </c>
      <c r="D19" s="51">
        <v>28.95</v>
      </c>
      <c r="E19" s="51">
        <v>4.8600000000000003</v>
      </c>
      <c r="F19" s="51">
        <v>3.31</v>
      </c>
      <c r="G19" s="51">
        <v>5.81</v>
      </c>
      <c r="H19" s="51">
        <v>2.17</v>
      </c>
      <c r="I19" s="51">
        <v>13.64</v>
      </c>
      <c r="J19" s="51">
        <v>0.99</v>
      </c>
      <c r="K19" s="51">
        <v>267.41000000000003</v>
      </c>
      <c r="L19" s="51">
        <v>27.36</v>
      </c>
      <c r="M19" s="51">
        <v>89.65</v>
      </c>
      <c r="N19" s="51">
        <v>301.7</v>
      </c>
      <c r="O19" s="51">
        <v>0</v>
      </c>
      <c r="P19" s="51">
        <v>0.41</v>
      </c>
      <c r="Q19" s="51">
        <v>4.5999999999999996</v>
      </c>
    </row>
    <row r="20" spans="1:17" customFormat="1">
      <c r="A20" s="50" t="s">
        <v>309</v>
      </c>
      <c r="B20" s="51">
        <v>15.08</v>
      </c>
      <c r="C20" s="51">
        <v>34.06</v>
      </c>
      <c r="D20" s="51">
        <v>28.4</v>
      </c>
      <c r="E20" s="51">
        <v>5.3</v>
      </c>
      <c r="F20" s="51">
        <v>3.67</v>
      </c>
      <c r="G20" s="51">
        <v>5.81</v>
      </c>
      <c r="H20" s="51">
        <v>5.66</v>
      </c>
      <c r="I20" s="51">
        <v>13.04</v>
      </c>
      <c r="J20" s="51">
        <v>1.03</v>
      </c>
      <c r="K20" s="51">
        <v>263.93</v>
      </c>
      <c r="L20" s="51">
        <v>26.8</v>
      </c>
      <c r="M20" s="51">
        <v>88.53</v>
      </c>
      <c r="N20" s="51">
        <v>156.5</v>
      </c>
      <c r="O20" s="51">
        <v>0</v>
      </c>
      <c r="P20" s="51">
        <v>0.4</v>
      </c>
      <c r="Q20" s="51">
        <v>4.58</v>
      </c>
    </row>
    <row r="21" spans="1:17" customFormat="1">
      <c r="A21" s="50" t="s">
        <v>310</v>
      </c>
      <c r="B21" s="51">
        <v>14.63</v>
      </c>
      <c r="C21" s="51">
        <v>33</v>
      </c>
      <c r="D21" s="51">
        <v>27.14</v>
      </c>
      <c r="E21" s="51">
        <v>4.7300000000000004</v>
      </c>
      <c r="F21" s="51">
        <v>3.54</v>
      </c>
      <c r="G21" s="51">
        <v>5.49</v>
      </c>
      <c r="H21" s="51">
        <v>5.66</v>
      </c>
      <c r="I21" s="51">
        <v>12.41</v>
      </c>
      <c r="J21" s="51">
        <v>1.24</v>
      </c>
      <c r="K21" s="51">
        <v>268.48</v>
      </c>
      <c r="L21" s="51">
        <v>28.61</v>
      </c>
      <c r="M21" s="51">
        <v>86.88</v>
      </c>
      <c r="N21" s="51">
        <v>731</v>
      </c>
      <c r="O21" s="51">
        <v>0</v>
      </c>
      <c r="P21" s="51">
        <v>0.39</v>
      </c>
      <c r="Q21" s="51">
        <v>4.5199999999999996</v>
      </c>
    </row>
    <row r="22" spans="1:17" customFormat="1">
      <c r="A22" s="50" t="s">
        <v>311</v>
      </c>
      <c r="B22" s="51">
        <v>13.2</v>
      </c>
      <c r="C22" s="51">
        <v>31.31</v>
      </c>
      <c r="D22" s="51">
        <v>25.9</v>
      </c>
      <c r="E22" s="51">
        <v>6.38</v>
      </c>
      <c r="F22" s="51">
        <v>5.22</v>
      </c>
      <c r="G22" s="51">
        <v>12.16</v>
      </c>
      <c r="H22" s="51">
        <v>4.6500000000000004</v>
      </c>
      <c r="I22" s="51">
        <v>11.74</v>
      </c>
      <c r="J22" s="51">
        <v>1.0900000000000001</v>
      </c>
      <c r="K22" s="51">
        <v>286.62</v>
      </c>
      <c r="L22" s="51">
        <v>29.35</v>
      </c>
      <c r="M22" s="51">
        <v>78.75</v>
      </c>
      <c r="N22" s="51">
        <v>697.7</v>
      </c>
      <c r="O22" s="51">
        <v>0</v>
      </c>
      <c r="P22" s="51">
        <v>0.38</v>
      </c>
      <c r="Q22" s="51">
        <v>4.46</v>
      </c>
    </row>
    <row r="23" spans="1:17" customFormat="1">
      <c r="A23" s="50" t="s">
        <v>312</v>
      </c>
      <c r="B23" s="51">
        <v>11.57</v>
      </c>
      <c r="C23" s="51">
        <v>31.4</v>
      </c>
      <c r="D23" s="51">
        <v>24.11</v>
      </c>
      <c r="E23" s="51">
        <v>5.3</v>
      </c>
      <c r="F23" s="51">
        <v>4.8</v>
      </c>
      <c r="G23" s="51">
        <v>15.45</v>
      </c>
      <c r="H23" s="51">
        <v>7.44</v>
      </c>
      <c r="I23" s="51">
        <v>10.77</v>
      </c>
      <c r="J23" s="51">
        <v>1.07</v>
      </c>
      <c r="K23" s="51">
        <v>270.76</v>
      </c>
      <c r="L23" s="51">
        <v>28.9</v>
      </c>
      <c r="M23" s="51">
        <v>79.209999999999994</v>
      </c>
      <c r="N23" s="51">
        <v>395.7</v>
      </c>
      <c r="O23" s="51">
        <v>0</v>
      </c>
      <c r="P23" s="51">
        <v>0.45</v>
      </c>
      <c r="Q23" s="51">
        <v>4.3499999999999996</v>
      </c>
    </row>
    <row r="24" spans="1:17" customFormat="1">
      <c r="A24" s="50" t="s">
        <v>313</v>
      </c>
      <c r="B24" s="51">
        <v>10.35</v>
      </c>
      <c r="C24" s="51">
        <v>32.229999999999997</v>
      </c>
      <c r="D24" s="51">
        <v>23.64</v>
      </c>
      <c r="E24" s="51">
        <v>4.74</v>
      </c>
      <c r="F24" s="51">
        <v>6.2</v>
      </c>
      <c r="G24" s="51">
        <v>20.22</v>
      </c>
      <c r="H24" s="51">
        <v>7.44</v>
      </c>
      <c r="I24" s="51">
        <v>10.72</v>
      </c>
      <c r="J24" s="51">
        <v>0.94</v>
      </c>
      <c r="K24" s="51">
        <v>265.27999999999997</v>
      </c>
      <c r="L24" s="51">
        <v>29.15</v>
      </c>
      <c r="M24" s="51">
        <v>78.08</v>
      </c>
      <c r="N24" s="51">
        <v>295</v>
      </c>
      <c r="O24" s="51">
        <v>0</v>
      </c>
      <c r="P24" s="51">
        <v>0.45</v>
      </c>
      <c r="Q24" s="51">
        <v>4.3099999999999996</v>
      </c>
    </row>
    <row r="25" spans="1:17" customFormat="1">
      <c r="A25" s="50" t="s">
        <v>314</v>
      </c>
      <c r="B25" s="51">
        <v>9.81</v>
      </c>
      <c r="C25" s="51">
        <v>30.02</v>
      </c>
      <c r="D25" s="51">
        <v>22.5</v>
      </c>
      <c r="E25" s="51">
        <v>3.75</v>
      </c>
      <c r="F25" s="51">
        <v>7.81</v>
      </c>
      <c r="G25" s="51">
        <v>20.22</v>
      </c>
      <c r="H25" s="51">
        <v>6.12</v>
      </c>
      <c r="I25" s="51">
        <v>10.69</v>
      </c>
      <c r="J25" s="51">
        <v>0.98</v>
      </c>
      <c r="K25" s="51">
        <v>270.20999999999998</v>
      </c>
      <c r="L25" s="51">
        <v>28.75</v>
      </c>
      <c r="M25" s="51">
        <v>79.290000000000006</v>
      </c>
      <c r="N25" s="51">
        <v>230.6</v>
      </c>
      <c r="O25" s="51">
        <v>0</v>
      </c>
      <c r="P25" s="51">
        <v>0.44</v>
      </c>
      <c r="Q25" s="51">
        <v>4.3099999999999996</v>
      </c>
    </row>
    <row r="26" spans="1:17" customFormat="1">
      <c r="A26" s="50" t="s">
        <v>315</v>
      </c>
      <c r="B26" s="51">
        <v>8.92</v>
      </c>
      <c r="C26" s="51">
        <v>31.32</v>
      </c>
      <c r="D26" s="51">
        <v>22.4</v>
      </c>
      <c r="E26" s="51">
        <v>4.09</v>
      </c>
      <c r="F26" s="51">
        <v>9.33</v>
      </c>
      <c r="G26" s="51">
        <v>19.97</v>
      </c>
      <c r="H26" s="51">
        <v>5.0999999999999996</v>
      </c>
      <c r="I26" s="51">
        <v>9.89</v>
      </c>
      <c r="J26" s="51">
        <v>0.68</v>
      </c>
      <c r="K26" s="51">
        <v>267.05</v>
      </c>
      <c r="L26" s="51">
        <v>28.17</v>
      </c>
      <c r="M26" s="51">
        <v>81.31</v>
      </c>
      <c r="N26" s="51">
        <v>64.599999999999994</v>
      </c>
      <c r="O26" s="51">
        <v>0</v>
      </c>
      <c r="P26" s="51">
        <v>0.42</v>
      </c>
      <c r="Q26" s="51">
        <v>4.25</v>
      </c>
    </row>
    <row r="27" spans="1:17" customFormat="1">
      <c r="A27" s="50" t="s">
        <v>316</v>
      </c>
      <c r="B27" s="51">
        <v>8.89</v>
      </c>
      <c r="C27" s="51">
        <v>30.8</v>
      </c>
      <c r="D27" s="51">
        <v>22.17</v>
      </c>
      <c r="E27" s="51">
        <v>5.95</v>
      </c>
      <c r="F27" s="51">
        <v>9.67</v>
      </c>
      <c r="G27" s="51">
        <v>14.36</v>
      </c>
      <c r="H27" s="51">
        <v>3.61</v>
      </c>
      <c r="I27" s="51">
        <v>9.1300000000000008</v>
      </c>
      <c r="J27" s="51">
        <v>0.64</v>
      </c>
      <c r="K27" s="51">
        <v>263.49</v>
      </c>
      <c r="L27" s="51">
        <v>27.82</v>
      </c>
      <c r="M27" s="51">
        <v>82.72</v>
      </c>
      <c r="N27" s="51">
        <v>7.8</v>
      </c>
      <c r="O27" s="51">
        <v>0</v>
      </c>
      <c r="P27" s="51">
        <v>0.4</v>
      </c>
      <c r="Q27" s="51">
        <v>4.25</v>
      </c>
    </row>
    <row r="28" spans="1:17" customFormat="1">
      <c r="A28" s="50" t="s">
        <v>317</v>
      </c>
      <c r="B28" s="51">
        <v>9.34</v>
      </c>
      <c r="C28" s="51">
        <v>30.93</v>
      </c>
      <c r="D28" s="51">
        <v>22.53</v>
      </c>
      <c r="E28" s="51">
        <v>5.96</v>
      </c>
      <c r="F28" s="51">
        <v>6.16</v>
      </c>
      <c r="G28" s="51">
        <v>13.38</v>
      </c>
      <c r="H28" s="51">
        <v>2.78</v>
      </c>
      <c r="I28" s="51">
        <v>9.19</v>
      </c>
      <c r="J28" s="51">
        <v>0.77</v>
      </c>
      <c r="K28" s="51">
        <v>259.10000000000002</v>
      </c>
      <c r="L28" s="51">
        <v>27.15</v>
      </c>
      <c r="M28" s="51">
        <v>84.67</v>
      </c>
      <c r="N28" s="51">
        <v>0</v>
      </c>
      <c r="O28" s="51">
        <v>0</v>
      </c>
      <c r="P28" s="51">
        <v>0.38</v>
      </c>
      <c r="Q28" s="51">
        <v>4.28</v>
      </c>
    </row>
    <row r="29" spans="1:17" customFormat="1">
      <c r="A29" s="50" t="s">
        <v>318</v>
      </c>
      <c r="B29" s="51">
        <v>10.31</v>
      </c>
      <c r="C29" s="51">
        <v>32.21</v>
      </c>
      <c r="D29" s="51">
        <v>24.05</v>
      </c>
      <c r="E29" s="51">
        <v>6.52</v>
      </c>
      <c r="F29" s="51">
        <v>4.74</v>
      </c>
      <c r="G29" s="51">
        <v>10.81</v>
      </c>
      <c r="H29" s="51">
        <v>2.88</v>
      </c>
      <c r="I29" s="51">
        <v>8.9499999999999993</v>
      </c>
      <c r="J29" s="51">
        <v>0.7</v>
      </c>
      <c r="K29" s="51">
        <v>259.99</v>
      </c>
      <c r="L29" s="51">
        <v>26.61</v>
      </c>
      <c r="M29" s="51">
        <v>86.02</v>
      </c>
      <c r="N29" s="51">
        <v>0</v>
      </c>
      <c r="O29" s="51">
        <v>0</v>
      </c>
      <c r="P29" s="51">
        <v>0.38</v>
      </c>
      <c r="Q29" s="51">
        <v>4.33</v>
      </c>
    </row>
    <row r="30" spans="1:17" customFormat="1">
      <c r="A30" s="50" t="s">
        <v>319</v>
      </c>
      <c r="B30" s="51">
        <v>11.07</v>
      </c>
      <c r="C30" s="51">
        <v>32.409999999999997</v>
      </c>
      <c r="D30" s="51">
        <v>24.71</v>
      </c>
      <c r="E30" s="51">
        <v>6.6</v>
      </c>
      <c r="F30" s="51">
        <v>4.5599999999999996</v>
      </c>
      <c r="G30" s="51">
        <v>10.81</v>
      </c>
      <c r="H30" s="51">
        <v>2.88</v>
      </c>
      <c r="I30" s="51">
        <v>8.99</v>
      </c>
      <c r="J30" s="51">
        <v>0.53</v>
      </c>
      <c r="K30" s="51">
        <v>255.94</v>
      </c>
      <c r="L30" s="51">
        <v>26.39</v>
      </c>
      <c r="M30" s="51">
        <v>87.83</v>
      </c>
      <c r="N30" s="51">
        <v>0</v>
      </c>
      <c r="O30" s="51">
        <v>0</v>
      </c>
      <c r="P30" s="51">
        <v>0.38</v>
      </c>
      <c r="Q30" s="51">
        <v>4.3600000000000003</v>
      </c>
    </row>
    <row r="31" spans="1:17" customFormat="1">
      <c r="A31" s="50" t="s">
        <v>320</v>
      </c>
      <c r="B31" s="51">
        <v>11.71</v>
      </c>
      <c r="C31" s="51">
        <v>31.31</v>
      </c>
      <c r="D31" s="51">
        <v>24.54</v>
      </c>
      <c r="E31" s="51">
        <v>6.71</v>
      </c>
      <c r="F31" s="51">
        <v>5.37</v>
      </c>
      <c r="G31" s="51">
        <v>10.18</v>
      </c>
      <c r="H31" s="51">
        <v>4</v>
      </c>
      <c r="I31" s="51">
        <v>8.98</v>
      </c>
      <c r="J31" s="51">
        <v>0.66</v>
      </c>
      <c r="K31" s="51">
        <v>258.75</v>
      </c>
      <c r="L31" s="51">
        <v>26.11</v>
      </c>
      <c r="M31" s="51">
        <v>87.41</v>
      </c>
      <c r="N31" s="51">
        <v>0</v>
      </c>
      <c r="O31" s="51">
        <v>0</v>
      </c>
      <c r="P31" s="51">
        <v>0.36</v>
      </c>
      <c r="Q31" s="51">
        <v>4.4000000000000004</v>
      </c>
    </row>
    <row r="32" spans="1:17" customFormat="1">
      <c r="A32" s="50" t="s">
        <v>321</v>
      </c>
      <c r="B32" s="51">
        <v>12.48</v>
      </c>
      <c r="C32" s="51">
        <v>34.049999999999997</v>
      </c>
      <c r="D32" s="51">
        <v>26.75</v>
      </c>
      <c r="E32" s="51">
        <v>6.86</v>
      </c>
      <c r="F32" s="51">
        <v>3.59</v>
      </c>
      <c r="G32" s="51">
        <v>7.2</v>
      </c>
      <c r="H32" s="51">
        <v>4</v>
      </c>
      <c r="I32" s="51">
        <v>8.6999999999999993</v>
      </c>
      <c r="J32" s="51">
        <v>0.82</v>
      </c>
      <c r="K32" s="51">
        <v>262.14999999999998</v>
      </c>
      <c r="L32" s="51">
        <v>26.04</v>
      </c>
      <c r="M32" s="51">
        <v>87.71</v>
      </c>
      <c r="N32" s="51">
        <v>0</v>
      </c>
      <c r="O32" s="51">
        <v>0</v>
      </c>
      <c r="P32" s="51">
        <v>0.36</v>
      </c>
      <c r="Q32" s="51">
        <v>4.42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8.89</v>
      </c>
      <c r="C34" s="41">
        <f t="shared" si="0"/>
        <v>30.02</v>
      </c>
      <c r="D34" s="41">
        <f t="shared" si="0"/>
        <v>22.17</v>
      </c>
      <c r="E34" s="41">
        <f t="shared" si="0"/>
        <v>3.75</v>
      </c>
      <c r="F34" s="41">
        <f t="shared" si="0"/>
        <v>2.6</v>
      </c>
      <c r="G34" s="41">
        <f t="shared" si="0"/>
        <v>4.4400000000000004</v>
      </c>
      <c r="H34" s="41">
        <f t="shared" si="0"/>
        <v>2.15</v>
      </c>
      <c r="I34" s="41">
        <f t="shared" si="0"/>
        <v>8.6999999999999993</v>
      </c>
      <c r="J34" s="41">
        <f t="shared" si="0"/>
        <v>0.12</v>
      </c>
      <c r="K34" s="41">
        <f t="shared" si="0"/>
        <v>223.46</v>
      </c>
      <c r="L34" s="41">
        <f t="shared" si="0"/>
        <v>24.51</v>
      </c>
      <c r="M34" s="41">
        <f t="shared" si="0"/>
        <v>78.08</v>
      </c>
      <c r="N34" s="41">
        <f t="shared" si="0"/>
        <v>0</v>
      </c>
      <c r="O34" s="41">
        <f t="shared" si="0"/>
        <v>0</v>
      </c>
      <c r="P34" s="41">
        <f t="shared" si="0"/>
        <v>0.36</v>
      </c>
      <c r="Q34" s="41">
        <f t="shared" si="0"/>
        <v>4.25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16.54</v>
      </c>
      <c r="C35" s="33">
        <f t="shared" si="1"/>
        <v>34.909999999999997</v>
      </c>
      <c r="D35" s="33">
        <f t="shared" si="1"/>
        <v>30.2</v>
      </c>
      <c r="E35" s="33">
        <f t="shared" si="1"/>
        <v>7.41</v>
      </c>
      <c r="F35" s="33">
        <f t="shared" si="1"/>
        <v>11.07</v>
      </c>
      <c r="G35" s="33">
        <f t="shared" si="1"/>
        <v>20.22</v>
      </c>
      <c r="H35" s="33">
        <f t="shared" si="1"/>
        <v>7.44</v>
      </c>
      <c r="I35" s="33">
        <f t="shared" si="1"/>
        <v>19.07</v>
      </c>
      <c r="J35" s="33">
        <f t="shared" si="1"/>
        <v>1.24</v>
      </c>
      <c r="K35" s="33">
        <f t="shared" si="1"/>
        <v>291.12</v>
      </c>
      <c r="L35" s="33">
        <f t="shared" si="1"/>
        <v>29.35</v>
      </c>
      <c r="M35" s="33">
        <f t="shared" si="1"/>
        <v>99.15</v>
      </c>
      <c r="N35" s="33">
        <f t="shared" si="1"/>
        <v>731</v>
      </c>
      <c r="O35" s="33">
        <f t="shared" si="1"/>
        <v>4.4000000000000004</v>
      </c>
      <c r="P35" s="33">
        <f t="shared" si="1"/>
        <v>0.45</v>
      </c>
      <c r="Q35" s="33">
        <f t="shared" si="1"/>
        <v>4.7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13.134166666666664</v>
      </c>
      <c r="C36" s="41">
        <f t="shared" si="2"/>
        <v>32.706666666666656</v>
      </c>
      <c r="D36" s="41">
        <f t="shared" si="2"/>
        <v>26.376666666666662</v>
      </c>
      <c r="E36" s="41">
        <f t="shared" si="2"/>
        <v>6.010416666666667</v>
      </c>
      <c r="F36" s="41">
        <f t="shared" si="2"/>
        <v>5.4362500000000002</v>
      </c>
      <c r="G36" s="41">
        <f t="shared" si="2"/>
        <v>11.830833333333333</v>
      </c>
      <c r="H36" s="41">
        <f t="shared" si="2"/>
        <v>4.4108333333333327</v>
      </c>
      <c r="I36" s="41">
        <f t="shared" si="2"/>
        <v>12.991249999999999</v>
      </c>
      <c r="J36" s="41">
        <f t="shared" si="2"/>
        <v>0.74958333333333338</v>
      </c>
      <c r="K36" s="41">
        <f t="shared" si="2"/>
        <v>263.49583333333328</v>
      </c>
      <c r="L36" s="41">
        <f t="shared" si="2"/>
        <v>26.939166666666665</v>
      </c>
      <c r="M36" s="41">
        <f t="shared" si="2"/>
        <v>89.262083333333337</v>
      </c>
      <c r="N36" s="41">
        <f t="shared" si="2"/>
        <v>151.07083333333333</v>
      </c>
      <c r="O36" s="41">
        <f t="shared" si="2"/>
        <v>0.52500000000000002</v>
      </c>
      <c r="P36" s="41">
        <f t="shared" si="2"/>
        <v>0.39625000000000005</v>
      </c>
      <c r="Q36" s="41">
        <f t="shared" si="2"/>
        <v>4.4870833333333335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2.6941997548141599</v>
      </c>
      <c r="C37" s="41">
        <f t="shared" ref="C37:Q37" si="3">STDEV(C9:C32)</f>
        <v>1.4812411560308132</v>
      </c>
      <c r="D37" s="41">
        <f t="shared" si="3"/>
        <v>2.7833521651711144</v>
      </c>
      <c r="E37" s="41">
        <f t="shared" si="3"/>
        <v>0.98281087201197037</v>
      </c>
      <c r="F37" s="41">
        <f t="shared" si="3"/>
        <v>2.4529287064915759</v>
      </c>
      <c r="G37" s="41">
        <f t="shared" si="3"/>
        <v>4.8474223689697649</v>
      </c>
      <c r="H37" s="41">
        <f t="shared" si="3"/>
        <v>1.6290699311508143</v>
      </c>
      <c r="I37" s="41">
        <f t="shared" si="3"/>
        <v>3.4508301616202295</v>
      </c>
      <c r="J37" s="41">
        <f t="shared" si="3"/>
        <v>0.30482324410209838</v>
      </c>
      <c r="K37" s="41">
        <f t="shared" si="3"/>
        <v>12.546153374352622</v>
      </c>
      <c r="L37" s="41">
        <f t="shared" si="3"/>
        <v>1.4599044538917192</v>
      </c>
      <c r="M37" s="41">
        <f t="shared" si="3"/>
        <v>7.3149935238264083</v>
      </c>
      <c r="N37" s="41">
        <f t="shared" si="3"/>
        <v>221.51329232697583</v>
      </c>
      <c r="O37" s="41">
        <f t="shared" si="3"/>
        <v>1.2687720869784502</v>
      </c>
      <c r="P37" s="41">
        <f t="shared" si="3"/>
        <v>2.7945988278633854E-2</v>
      </c>
      <c r="Q37" s="41">
        <f t="shared" si="3"/>
        <v>0.15425780698069552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12/07/2023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322</v>
      </c>
      <c r="B9" s="51">
        <v>11.95</v>
      </c>
      <c r="C9" s="51">
        <v>34.01</v>
      </c>
      <c r="D9" s="51">
        <v>26.16</v>
      </c>
      <c r="E9" s="51">
        <v>6.68</v>
      </c>
      <c r="F9" s="51">
        <v>4.22</v>
      </c>
      <c r="G9" s="51">
        <v>5.5</v>
      </c>
      <c r="H9" s="51">
        <v>2.99</v>
      </c>
      <c r="I9" s="51">
        <v>8.85</v>
      </c>
      <c r="J9" s="51">
        <v>0.53</v>
      </c>
      <c r="K9" s="51">
        <v>258.54000000000002</v>
      </c>
      <c r="L9" s="51">
        <v>25.83</v>
      </c>
      <c r="M9" s="51">
        <v>90.76</v>
      </c>
      <c r="N9" s="51">
        <v>0</v>
      </c>
      <c r="O9" s="51">
        <v>0</v>
      </c>
      <c r="P9" s="51">
        <v>0.36</v>
      </c>
      <c r="Q9" s="51">
        <v>4.49</v>
      </c>
    </row>
    <row r="10" spans="1:21" customFormat="1">
      <c r="A10" s="50" t="s">
        <v>323</v>
      </c>
      <c r="B10" s="51">
        <v>12.96</v>
      </c>
      <c r="C10" s="51">
        <v>34.43</v>
      </c>
      <c r="D10" s="51">
        <v>26.91</v>
      </c>
      <c r="E10" s="51">
        <v>6.62</v>
      </c>
      <c r="F10" s="51">
        <v>4.29</v>
      </c>
      <c r="G10" s="51">
        <v>4.83</v>
      </c>
      <c r="H10" s="51">
        <v>2.44</v>
      </c>
      <c r="I10" s="51">
        <v>8.39</v>
      </c>
      <c r="J10" s="51">
        <v>0.26</v>
      </c>
      <c r="K10" s="51">
        <v>244.84</v>
      </c>
      <c r="L10" s="51">
        <v>25.18</v>
      </c>
      <c r="M10" s="51">
        <v>92.79</v>
      </c>
      <c r="N10" s="51">
        <v>0</v>
      </c>
      <c r="O10" s="51">
        <v>0</v>
      </c>
      <c r="P10" s="51">
        <v>0.34</v>
      </c>
      <c r="Q10" s="51">
        <v>4.53</v>
      </c>
    </row>
    <row r="11" spans="1:21" customFormat="1">
      <c r="A11" s="50" t="s">
        <v>324</v>
      </c>
      <c r="B11" s="51">
        <v>13.02</v>
      </c>
      <c r="C11" s="51">
        <v>32.909999999999997</v>
      </c>
      <c r="D11" s="51">
        <v>26.55</v>
      </c>
      <c r="E11" s="51">
        <v>7.2</v>
      </c>
      <c r="F11" s="51">
        <v>4.2300000000000004</v>
      </c>
      <c r="G11" s="51">
        <v>4.99</v>
      </c>
      <c r="H11" s="51">
        <v>1.92</v>
      </c>
      <c r="I11" s="51">
        <v>9.26</v>
      </c>
      <c r="J11" s="51">
        <v>0.43</v>
      </c>
      <c r="K11" s="51">
        <v>253.88</v>
      </c>
      <c r="L11" s="51">
        <v>25.47</v>
      </c>
      <c r="M11" s="51">
        <v>91.51</v>
      </c>
      <c r="N11" s="51">
        <v>0</v>
      </c>
      <c r="O11" s="51">
        <v>0</v>
      </c>
      <c r="P11" s="51">
        <v>0.33</v>
      </c>
      <c r="Q11" s="51">
        <v>4.57</v>
      </c>
    </row>
    <row r="12" spans="1:21" customFormat="1">
      <c r="A12" s="50" t="s">
        <v>325</v>
      </c>
      <c r="B12" s="51">
        <v>13.62</v>
      </c>
      <c r="C12" s="51">
        <v>32.11</v>
      </c>
      <c r="D12" s="51">
        <v>26.57</v>
      </c>
      <c r="E12" s="51">
        <v>6.49</v>
      </c>
      <c r="F12" s="51">
        <v>4.72</v>
      </c>
      <c r="G12" s="51">
        <v>5.32</v>
      </c>
      <c r="H12" s="51">
        <v>2.79</v>
      </c>
      <c r="I12" s="51">
        <v>8.35</v>
      </c>
      <c r="J12" s="51">
        <v>0.36</v>
      </c>
      <c r="K12" s="51">
        <v>252.82</v>
      </c>
      <c r="L12" s="51">
        <v>25.51</v>
      </c>
      <c r="M12" s="51">
        <v>91.61</v>
      </c>
      <c r="N12" s="51">
        <v>0</v>
      </c>
      <c r="O12" s="51">
        <v>0</v>
      </c>
      <c r="P12" s="51">
        <v>0.34</v>
      </c>
      <c r="Q12" s="51">
        <v>4.6100000000000003</v>
      </c>
    </row>
    <row r="13" spans="1:21" customFormat="1">
      <c r="A13" s="50" t="s">
        <v>326</v>
      </c>
      <c r="B13" s="51">
        <v>14.27</v>
      </c>
      <c r="C13" s="51">
        <v>34.119999999999997</v>
      </c>
      <c r="D13" s="51">
        <v>28.22</v>
      </c>
      <c r="E13" s="51">
        <v>6.83</v>
      </c>
      <c r="F13" s="51">
        <v>4.24</v>
      </c>
      <c r="G13" s="51">
        <v>7.63</v>
      </c>
      <c r="H13" s="51">
        <v>2.79</v>
      </c>
      <c r="I13" s="51">
        <v>9.1</v>
      </c>
      <c r="J13" s="51">
        <v>0.35</v>
      </c>
      <c r="K13" s="51">
        <v>250.3</v>
      </c>
      <c r="L13" s="51">
        <v>25.45</v>
      </c>
      <c r="M13" s="51">
        <v>92.1</v>
      </c>
      <c r="N13" s="51">
        <v>0</v>
      </c>
      <c r="O13" s="51">
        <v>0</v>
      </c>
      <c r="P13" s="51">
        <v>0.34</v>
      </c>
      <c r="Q13" s="51">
        <v>4.62</v>
      </c>
    </row>
    <row r="14" spans="1:21" customFormat="1">
      <c r="A14" s="50" t="s">
        <v>327</v>
      </c>
      <c r="B14" s="51">
        <v>14.85</v>
      </c>
      <c r="C14" s="51">
        <v>33.840000000000003</v>
      </c>
      <c r="D14" s="51">
        <v>28.55</v>
      </c>
      <c r="E14" s="51">
        <v>6.46</v>
      </c>
      <c r="F14" s="51">
        <v>4.4800000000000004</v>
      </c>
      <c r="G14" s="51">
        <v>7.63</v>
      </c>
      <c r="H14" s="51">
        <v>2.25</v>
      </c>
      <c r="I14" s="51">
        <v>8.58</v>
      </c>
      <c r="J14" s="51">
        <v>0.34</v>
      </c>
      <c r="K14" s="51">
        <v>256.52</v>
      </c>
      <c r="L14" s="51">
        <v>25.32</v>
      </c>
      <c r="M14" s="51">
        <v>92.29</v>
      </c>
      <c r="N14" s="51">
        <v>8.5</v>
      </c>
      <c r="O14" s="51">
        <v>0</v>
      </c>
      <c r="P14" s="51">
        <v>0.32</v>
      </c>
      <c r="Q14" s="51">
        <v>4.67</v>
      </c>
    </row>
    <row r="15" spans="1:21" customFormat="1">
      <c r="A15" s="50" t="s">
        <v>328</v>
      </c>
      <c r="B15" s="51">
        <v>15.26</v>
      </c>
      <c r="C15" s="51">
        <v>33.42</v>
      </c>
      <c r="D15" s="51">
        <v>28.44</v>
      </c>
      <c r="E15" s="51">
        <v>6.56</v>
      </c>
      <c r="F15" s="51">
        <v>3.81</v>
      </c>
      <c r="G15" s="51">
        <v>9.9600000000000009</v>
      </c>
      <c r="H15" s="51">
        <v>1.77</v>
      </c>
      <c r="I15" s="51">
        <v>8.92</v>
      </c>
      <c r="J15" s="51">
        <v>0.62</v>
      </c>
      <c r="K15" s="51">
        <v>253.87</v>
      </c>
      <c r="L15" s="51">
        <v>26.5</v>
      </c>
      <c r="M15" s="51">
        <v>91.68</v>
      </c>
      <c r="N15" s="51">
        <v>116.6</v>
      </c>
      <c r="O15" s="51">
        <v>0</v>
      </c>
      <c r="P15" s="51">
        <v>0.33</v>
      </c>
      <c r="Q15" s="51">
        <v>4.66</v>
      </c>
    </row>
    <row r="16" spans="1:21" customFormat="1">
      <c r="A16" s="50" t="s">
        <v>329</v>
      </c>
      <c r="B16" s="51">
        <v>15.44</v>
      </c>
      <c r="C16" s="51">
        <v>34.64</v>
      </c>
      <c r="D16" s="51">
        <v>29.43</v>
      </c>
      <c r="E16" s="51">
        <v>6.5</v>
      </c>
      <c r="F16" s="51">
        <v>3.92</v>
      </c>
      <c r="G16" s="51">
        <v>9.9600000000000009</v>
      </c>
      <c r="H16" s="51">
        <v>1.61</v>
      </c>
      <c r="I16" s="51">
        <v>8.6999999999999993</v>
      </c>
      <c r="J16" s="51">
        <v>0.68</v>
      </c>
      <c r="K16" s="51">
        <v>261.35000000000002</v>
      </c>
      <c r="L16" s="51">
        <v>26.6</v>
      </c>
      <c r="M16" s="51">
        <v>87.49</v>
      </c>
      <c r="N16" s="51">
        <v>125.2</v>
      </c>
      <c r="O16" s="51">
        <v>0</v>
      </c>
      <c r="P16" s="51">
        <v>0.33</v>
      </c>
      <c r="Q16" s="51">
        <v>4.6900000000000004</v>
      </c>
    </row>
    <row r="17" spans="1:17" customFormat="1">
      <c r="A17" s="50" t="s">
        <v>330</v>
      </c>
      <c r="B17" s="51">
        <v>15.13</v>
      </c>
      <c r="C17" s="51">
        <v>33.770000000000003</v>
      </c>
      <c r="D17" s="51">
        <v>28.73</v>
      </c>
      <c r="E17" s="51">
        <v>7.07</v>
      </c>
      <c r="F17" s="51">
        <v>3.32</v>
      </c>
      <c r="G17" s="51">
        <v>8.56</v>
      </c>
      <c r="H17" s="51">
        <v>1.8</v>
      </c>
      <c r="I17" s="51">
        <v>8.33</v>
      </c>
      <c r="J17" s="51">
        <v>0.52</v>
      </c>
      <c r="K17" s="51">
        <v>259.3</v>
      </c>
      <c r="L17" s="51">
        <v>27.2</v>
      </c>
      <c r="M17" s="51">
        <v>86.42</v>
      </c>
      <c r="N17" s="51">
        <v>210.6</v>
      </c>
      <c r="O17" s="51">
        <v>0</v>
      </c>
      <c r="P17" s="51">
        <v>0.32</v>
      </c>
      <c r="Q17" s="51">
        <v>4.66</v>
      </c>
    </row>
    <row r="18" spans="1:17" customFormat="1">
      <c r="A18" s="50" t="s">
        <v>331</v>
      </c>
      <c r="B18" s="51">
        <v>15.12</v>
      </c>
      <c r="C18" s="51">
        <v>33.909999999999997</v>
      </c>
      <c r="D18" s="51">
        <v>28.8</v>
      </c>
      <c r="E18" s="51">
        <v>6.51</v>
      </c>
      <c r="F18" s="51">
        <v>3.26</v>
      </c>
      <c r="G18" s="51">
        <v>8.56</v>
      </c>
      <c r="H18" s="51">
        <v>3.33</v>
      </c>
      <c r="I18" s="51">
        <v>8.2899999999999991</v>
      </c>
      <c r="J18" s="51">
        <v>0.89</v>
      </c>
      <c r="K18" s="51">
        <v>260.74</v>
      </c>
      <c r="L18" s="51">
        <v>28.32</v>
      </c>
      <c r="M18" s="51">
        <v>85.42</v>
      </c>
      <c r="N18" s="51">
        <v>286.8</v>
      </c>
      <c r="O18" s="51">
        <v>0</v>
      </c>
      <c r="P18" s="51">
        <v>0.33</v>
      </c>
      <c r="Q18" s="51">
        <v>4.6500000000000004</v>
      </c>
    </row>
    <row r="19" spans="1:17" customFormat="1">
      <c r="A19" s="50" t="s">
        <v>332</v>
      </c>
      <c r="B19" s="51">
        <v>14.64</v>
      </c>
      <c r="C19" s="51">
        <v>33.270000000000003</v>
      </c>
      <c r="D19" s="51">
        <v>27.17</v>
      </c>
      <c r="E19" s="51">
        <v>7.1</v>
      </c>
      <c r="F19" s="51">
        <v>4.57</v>
      </c>
      <c r="G19" s="51">
        <v>8.9499999999999993</v>
      </c>
      <c r="H19" s="51">
        <v>4.97</v>
      </c>
      <c r="I19" s="51">
        <v>8.0299999999999994</v>
      </c>
      <c r="J19" s="51">
        <v>0.84</v>
      </c>
      <c r="K19" s="51">
        <v>258.83999999999997</v>
      </c>
      <c r="L19" s="51">
        <v>28.77</v>
      </c>
      <c r="M19" s="51">
        <v>80.849999999999994</v>
      </c>
      <c r="N19" s="51">
        <v>336.5</v>
      </c>
      <c r="O19" s="51">
        <v>0</v>
      </c>
      <c r="P19" s="51">
        <v>0.32</v>
      </c>
      <c r="Q19" s="51">
        <v>4.59</v>
      </c>
    </row>
    <row r="20" spans="1:17" customFormat="1">
      <c r="A20" s="50" t="s">
        <v>333</v>
      </c>
      <c r="B20" s="51">
        <v>13.3</v>
      </c>
      <c r="C20" s="51">
        <v>32.39</v>
      </c>
      <c r="D20" s="51">
        <v>26.55</v>
      </c>
      <c r="E20" s="51">
        <v>7.14</v>
      </c>
      <c r="F20" s="51">
        <v>4.53</v>
      </c>
      <c r="G20" s="51">
        <v>8.9499999999999993</v>
      </c>
      <c r="H20" s="51">
        <v>4.97</v>
      </c>
      <c r="I20" s="51">
        <v>7.92</v>
      </c>
      <c r="J20" s="51">
        <v>0.93</v>
      </c>
      <c r="K20" s="51">
        <v>269.63</v>
      </c>
      <c r="L20" s="51">
        <v>29.68</v>
      </c>
      <c r="M20" s="51">
        <v>80.099999999999994</v>
      </c>
      <c r="N20" s="51">
        <v>393.6</v>
      </c>
      <c r="O20" s="51">
        <v>0</v>
      </c>
      <c r="P20" s="51">
        <v>0.32</v>
      </c>
      <c r="Q20" s="51">
        <v>4.54</v>
      </c>
    </row>
    <row r="21" spans="1:17" customFormat="1">
      <c r="A21" s="50" t="s">
        <v>334</v>
      </c>
      <c r="B21" s="51">
        <v>11.01</v>
      </c>
      <c r="C21" s="51">
        <v>32.25</v>
      </c>
      <c r="D21" s="51">
        <v>24.28</v>
      </c>
      <c r="E21" s="51">
        <v>7.35</v>
      </c>
      <c r="F21" s="51">
        <v>4.67</v>
      </c>
      <c r="G21" s="51">
        <v>6.46</v>
      </c>
      <c r="H21" s="51">
        <v>3.93</v>
      </c>
      <c r="I21" s="51">
        <v>7.12</v>
      </c>
      <c r="J21" s="51">
        <v>0.86</v>
      </c>
      <c r="K21" s="51">
        <v>276.29000000000002</v>
      </c>
      <c r="L21" s="51">
        <v>30.41</v>
      </c>
      <c r="M21" s="51">
        <v>77.77</v>
      </c>
      <c r="N21" s="51">
        <v>927</v>
      </c>
      <c r="O21" s="51">
        <v>0</v>
      </c>
      <c r="P21" s="51">
        <v>0.32</v>
      </c>
      <c r="Q21" s="51">
        <v>4.4000000000000004</v>
      </c>
    </row>
    <row r="22" spans="1:17" customFormat="1">
      <c r="A22" s="50" t="s">
        <v>335</v>
      </c>
      <c r="B22" s="51">
        <v>10.14</v>
      </c>
      <c r="C22" s="51">
        <v>27.58</v>
      </c>
      <c r="D22" s="51">
        <v>21.48</v>
      </c>
      <c r="E22" s="51">
        <v>6.84</v>
      </c>
      <c r="F22" s="51">
        <v>6.38</v>
      </c>
      <c r="G22" s="51">
        <v>5.55</v>
      </c>
      <c r="H22" s="51">
        <v>3.42</v>
      </c>
      <c r="I22" s="51">
        <v>7.4</v>
      </c>
      <c r="J22" s="51">
        <v>0.68</v>
      </c>
      <c r="K22" s="51">
        <v>258.02</v>
      </c>
      <c r="L22" s="51">
        <v>31.17</v>
      </c>
      <c r="M22" s="51">
        <v>72.48</v>
      </c>
      <c r="N22" s="51">
        <v>728.3</v>
      </c>
      <c r="O22" s="51">
        <v>0</v>
      </c>
      <c r="P22" s="51">
        <v>0.3</v>
      </c>
      <c r="Q22" s="51">
        <v>4.33</v>
      </c>
    </row>
    <row r="23" spans="1:17" customFormat="1">
      <c r="A23" s="50" t="s">
        <v>336</v>
      </c>
      <c r="B23" s="51">
        <v>8.2100000000000009</v>
      </c>
      <c r="C23" s="51">
        <v>28.75</v>
      </c>
      <c r="D23" s="51">
        <v>20.23</v>
      </c>
      <c r="E23" s="51">
        <v>6.47</v>
      </c>
      <c r="F23" s="51">
        <v>7.22</v>
      </c>
      <c r="G23" s="51">
        <v>5.37</v>
      </c>
      <c r="H23" s="51">
        <v>4.03</v>
      </c>
      <c r="I23" s="51">
        <v>6.7</v>
      </c>
      <c r="J23" s="51">
        <v>0.56000000000000005</v>
      </c>
      <c r="K23" s="51">
        <v>265.72000000000003</v>
      </c>
      <c r="L23" s="51">
        <v>32.1</v>
      </c>
      <c r="M23" s="51">
        <v>70.89</v>
      </c>
      <c r="N23" s="51">
        <v>728.8</v>
      </c>
      <c r="O23" s="51">
        <v>0</v>
      </c>
      <c r="P23" s="51">
        <v>0.35</v>
      </c>
      <c r="Q23" s="51">
        <v>4.18</v>
      </c>
    </row>
    <row r="24" spans="1:17" customFormat="1">
      <c r="A24" s="50" t="s">
        <v>337</v>
      </c>
      <c r="B24" s="51">
        <v>7.63</v>
      </c>
      <c r="C24" s="51">
        <v>27.04</v>
      </c>
      <c r="D24" s="51">
        <v>19.09</v>
      </c>
      <c r="E24" s="51">
        <v>6.04</v>
      </c>
      <c r="F24" s="51">
        <v>7.64</v>
      </c>
      <c r="G24" s="51">
        <v>9.23</v>
      </c>
      <c r="H24" s="51">
        <v>4.03</v>
      </c>
      <c r="I24" s="51">
        <v>6.34</v>
      </c>
      <c r="J24" s="51">
        <v>0.64</v>
      </c>
      <c r="K24" s="51">
        <v>258.05</v>
      </c>
      <c r="L24" s="51">
        <v>32.25</v>
      </c>
      <c r="M24" s="51">
        <v>66.16</v>
      </c>
      <c r="N24" s="51">
        <v>697.3</v>
      </c>
      <c r="O24" s="51">
        <v>0</v>
      </c>
      <c r="P24" s="51">
        <v>0.33</v>
      </c>
      <c r="Q24" s="51">
        <v>4.12</v>
      </c>
    </row>
    <row r="25" spans="1:17" customFormat="1">
      <c r="A25" s="50" t="s">
        <v>338</v>
      </c>
      <c r="B25" s="51">
        <v>6.82</v>
      </c>
      <c r="C25" s="51">
        <v>28.36</v>
      </c>
      <c r="D25" s="51">
        <v>19.239999999999998</v>
      </c>
      <c r="E25" s="51">
        <v>6.22</v>
      </c>
      <c r="F25" s="51">
        <v>5.58</v>
      </c>
      <c r="G25" s="51">
        <v>9.23</v>
      </c>
      <c r="H25" s="51">
        <v>3.95</v>
      </c>
      <c r="I25" s="51">
        <v>6.26</v>
      </c>
      <c r="J25" s="51">
        <v>0.68</v>
      </c>
      <c r="K25" s="51">
        <v>258.37</v>
      </c>
      <c r="L25" s="51">
        <v>31.77</v>
      </c>
      <c r="M25" s="51">
        <v>71.37</v>
      </c>
      <c r="N25" s="51">
        <v>352.6</v>
      </c>
      <c r="O25" s="51">
        <v>0</v>
      </c>
      <c r="P25" s="51">
        <v>0.34</v>
      </c>
      <c r="Q25" s="51">
        <v>4.1399999999999997</v>
      </c>
    </row>
    <row r="26" spans="1:17" customFormat="1">
      <c r="A26" s="50" t="s">
        <v>339</v>
      </c>
      <c r="B26" s="51">
        <v>6.37</v>
      </c>
      <c r="C26" s="51">
        <v>24.19</v>
      </c>
      <c r="D26" s="51">
        <v>16.71</v>
      </c>
      <c r="E26" s="51">
        <v>6.38</v>
      </c>
      <c r="F26" s="51">
        <v>14.83</v>
      </c>
      <c r="G26" s="51">
        <v>8.52</v>
      </c>
      <c r="H26" s="51">
        <v>3.95</v>
      </c>
      <c r="I26" s="51">
        <v>5.86</v>
      </c>
      <c r="J26" s="51">
        <v>0.78</v>
      </c>
      <c r="K26" s="51">
        <v>256.54000000000002</v>
      </c>
      <c r="L26" s="51">
        <v>29.89</v>
      </c>
      <c r="M26" s="51">
        <v>74.78</v>
      </c>
      <c r="N26" s="51">
        <v>84.2</v>
      </c>
      <c r="O26" s="51">
        <v>0</v>
      </c>
      <c r="P26" s="51">
        <v>0.34</v>
      </c>
      <c r="Q26" s="51">
        <v>4.09</v>
      </c>
    </row>
    <row r="27" spans="1:17" customFormat="1">
      <c r="A27" s="50" t="s">
        <v>340</v>
      </c>
      <c r="B27" s="51">
        <v>2.92</v>
      </c>
      <c r="C27" s="51">
        <v>24.27</v>
      </c>
      <c r="D27" s="51">
        <v>13.62</v>
      </c>
      <c r="E27" s="51">
        <v>7.09</v>
      </c>
      <c r="F27" s="51">
        <v>11.71</v>
      </c>
      <c r="G27" s="51">
        <v>6.11</v>
      </c>
      <c r="H27" s="51">
        <v>3.16</v>
      </c>
      <c r="I27" s="51">
        <v>4.3899999999999997</v>
      </c>
      <c r="J27" s="51">
        <v>0.41</v>
      </c>
      <c r="K27" s="51">
        <v>262.24</v>
      </c>
      <c r="L27" s="51">
        <v>28.97</v>
      </c>
      <c r="M27" s="51">
        <v>78.790000000000006</v>
      </c>
      <c r="N27" s="51">
        <v>30</v>
      </c>
      <c r="O27" s="51">
        <v>0</v>
      </c>
      <c r="P27" s="51">
        <v>0.37</v>
      </c>
      <c r="Q27" s="51">
        <v>3.81</v>
      </c>
    </row>
    <row r="28" spans="1:17" customFormat="1">
      <c r="A28" s="50" t="s">
        <v>341</v>
      </c>
      <c r="B28" s="51">
        <v>4.45</v>
      </c>
      <c r="C28" s="51">
        <v>26.8</v>
      </c>
      <c r="D28" s="51">
        <v>16.29</v>
      </c>
      <c r="E28" s="51">
        <v>7.55</v>
      </c>
      <c r="F28" s="51">
        <v>10.54</v>
      </c>
      <c r="G28" s="51">
        <v>7.22</v>
      </c>
      <c r="H28" s="51">
        <v>3.16</v>
      </c>
      <c r="I28" s="51">
        <v>4.83</v>
      </c>
      <c r="J28" s="51">
        <v>0.2</v>
      </c>
      <c r="K28" s="51">
        <v>226.53</v>
      </c>
      <c r="L28" s="51">
        <v>27.94</v>
      </c>
      <c r="M28" s="51">
        <v>85.17</v>
      </c>
      <c r="N28" s="51">
        <v>0</v>
      </c>
      <c r="O28" s="51">
        <v>0</v>
      </c>
      <c r="P28" s="51">
        <v>0.38</v>
      </c>
      <c r="Q28" s="51">
        <v>3.95</v>
      </c>
    </row>
    <row r="29" spans="1:17" customFormat="1">
      <c r="A29" s="50" t="s">
        <v>342</v>
      </c>
      <c r="B29" s="51">
        <v>5.72</v>
      </c>
      <c r="C29" s="51">
        <v>25.21</v>
      </c>
      <c r="D29" s="51">
        <v>16.53</v>
      </c>
      <c r="E29" s="51">
        <v>8.1300000000000008</v>
      </c>
      <c r="F29" s="51">
        <v>10.51</v>
      </c>
      <c r="G29" s="51">
        <v>8.19</v>
      </c>
      <c r="H29" s="51">
        <v>3.02</v>
      </c>
      <c r="I29" s="51">
        <v>4.78</v>
      </c>
      <c r="J29" s="51">
        <v>0.23</v>
      </c>
      <c r="K29" s="51">
        <v>237.49</v>
      </c>
      <c r="L29" s="51">
        <v>27.33</v>
      </c>
      <c r="M29" s="51">
        <v>84.57</v>
      </c>
      <c r="N29" s="51">
        <v>0</v>
      </c>
      <c r="O29" s="51">
        <v>0</v>
      </c>
      <c r="P29" s="51">
        <v>0.38</v>
      </c>
      <c r="Q29" s="51">
        <v>3.94</v>
      </c>
    </row>
    <row r="30" spans="1:17" customFormat="1">
      <c r="A30" s="50" t="s">
        <v>343</v>
      </c>
      <c r="B30" s="51">
        <v>7.5</v>
      </c>
      <c r="C30" s="51">
        <v>26.76</v>
      </c>
      <c r="D30" s="51">
        <v>18.95</v>
      </c>
      <c r="E30" s="51">
        <v>8.7899999999999991</v>
      </c>
      <c r="F30" s="51">
        <v>6.89</v>
      </c>
      <c r="G30" s="51">
        <v>11.09</v>
      </c>
      <c r="H30" s="51">
        <v>2.41</v>
      </c>
      <c r="I30" s="51">
        <v>6.02</v>
      </c>
      <c r="J30" s="51">
        <v>0.31</v>
      </c>
      <c r="K30" s="51">
        <v>258.91000000000003</v>
      </c>
      <c r="L30" s="51">
        <v>26.96</v>
      </c>
      <c r="M30" s="51">
        <v>86.4</v>
      </c>
      <c r="N30" s="51">
        <v>0</v>
      </c>
      <c r="O30" s="51">
        <v>0</v>
      </c>
      <c r="P30" s="51">
        <v>0.39</v>
      </c>
      <c r="Q30" s="51">
        <v>4.09</v>
      </c>
    </row>
    <row r="31" spans="1:17" customFormat="1">
      <c r="A31" s="50" t="s">
        <v>344</v>
      </c>
      <c r="B31" s="51">
        <v>8.69</v>
      </c>
      <c r="C31" s="51">
        <v>26.66</v>
      </c>
      <c r="D31" s="51">
        <v>19.579999999999998</v>
      </c>
      <c r="E31" s="51">
        <v>8.81</v>
      </c>
      <c r="F31" s="51">
        <v>7.21</v>
      </c>
      <c r="G31" s="51">
        <v>11.09</v>
      </c>
      <c r="H31" s="51">
        <v>3.62</v>
      </c>
      <c r="I31" s="51">
        <v>6.2</v>
      </c>
      <c r="J31" s="51">
        <v>0.54</v>
      </c>
      <c r="K31" s="51">
        <v>266.18</v>
      </c>
      <c r="L31" s="51">
        <v>26.87</v>
      </c>
      <c r="M31" s="51">
        <v>85.78</v>
      </c>
      <c r="N31" s="51">
        <v>0</v>
      </c>
      <c r="O31" s="51">
        <v>0</v>
      </c>
      <c r="P31" s="51">
        <v>0.39</v>
      </c>
      <c r="Q31" s="51">
        <v>4.1500000000000004</v>
      </c>
    </row>
    <row r="32" spans="1:17" customFormat="1">
      <c r="A32" s="50" t="s">
        <v>345</v>
      </c>
      <c r="B32" s="51">
        <v>9.6999999999999993</v>
      </c>
      <c r="C32" s="51">
        <v>27.76</v>
      </c>
      <c r="D32" s="51">
        <v>20.93</v>
      </c>
      <c r="E32" s="51">
        <v>8.6199999999999992</v>
      </c>
      <c r="F32" s="51">
        <v>6.14</v>
      </c>
      <c r="G32" s="51">
        <v>10.96</v>
      </c>
      <c r="H32" s="51">
        <v>3.62</v>
      </c>
      <c r="I32" s="51">
        <v>6.3</v>
      </c>
      <c r="J32" s="51">
        <v>0.63</v>
      </c>
      <c r="K32" s="51">
        <v>261.45</v>
      </c>
      <c r="L32" s="51">
        <v>26.5</v>
      </c>
      <c r="M32" s="51">
        <v>88.09</v>
      </c>
      <c r="N32" s="51">
        <v>0</v>
      </c>
      <c r="O32" s="51">
        <v>0</v>
      </c>
      <c r="P32" s="51">
        <v>0.39</v>
      </c>
      <c r="Q32" s="51">
        <v>4.1399999999999997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2.92</v>
      </c>
      <c r="C34" s="41">
        <f t="shared" si="0"/>
        <v>24.19</v>
      </c>
      <c r="D34" s="41">
        <f t="shared" si="0"/>
        <v>13.62</v>
      </c>
      <c r="E34" s="41">
        <f t="shared" si="0"/>
        <v>6.04</v>
      </c>
      <c r="F34" s="41">
        <f t="shared" si="0"/>
        <v>3.26</v>
      </c>
      <c r="G34" s="41">
        <f t="shared" si="0"/>
        <v>4.83</v>
      </c>
      <c r="H34" s="41">
        <f t="shared" si="0"/>
        <v>1.61</v>
      </c>
      <c r="I34" s="41">
        <f t="shared" si="0"/>
        <v>4.3899999999999997</v>
      </c>
      <c r="J34" s="41">
        <f t="shared" si="0"/>
        <v>0.2</v>
      </c>
      <c r="K34" s="41">
        <f t="shared" si="0"/>
        <v>226.53</v>
      </c>
      <c r="L34" s="41">
        <f t="shared" si="0"/>
        <v>25.18</v>
      </c>
      <c r="M34" s="41">
        <f t="shared" si="0"/>
        <v>66.16</v>
      </c>
      <c r="N34" s="41">
        <f t="shared" si="0"/>
        <v>0</v>
      </c>
      <c r="O34" s="41">
        <f t="shared" si="0"/>
        <v>0</v>
      </c>
      <c r="P34" s="41">
        <f t="shared" si="0"/>
        <v>0.3</v>
      </c>
      <c r="Q34" s="41">
        <f t="shared" si="0"/>
        <v>3.81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15.44</v>
      </c>
      <c r="C35" s="33">
        <f t="shared" si="1"/>
        <v>34.64</v>
      </c>
      <c r="D35" s="33">
        <f t="shared" si="1"/>
        <v>29.43</v>
      </c>
      <c r="E35" s="33">
        <f t="shared" si="1"/>
        <v>8.81</v>
      </c>
      <c r="F35" s="33">
        <f t="shared" si="1"/>
        <v>14.83</v>
      </c>
      <c r="G35" s="33">
        <f t="shared" si="1"/>
        <v>11.09</v>
      </c>
      <c r="H35" s="33">
        <f t="shared" si="1"/>
        <v>4.97</v>
      </c>
      <c r="I35" s="33">
        <f t="shared" si="1"/>
        <v>9.26</v>
      </c>
      <c r="J35" s="33">
        <f t="shared" si="1"/>
        <v>0.93</v>
      </c>
      <c r="K35" s="33">
        <f t="shared" si="1"/>
        <v>276.29000000000002</v>
      </c>
      <c r="L35" s="33">
        <f t="shared" si="1"/>
        <v>32.25</v>
      </c>
      <c r="M35" s="33">
        <f t="shared" si="1"/>
        <v>92.79</v>
      </c>
      <c r="N35" s="33">
        <f t="shared" si="1"/>
        <v>927</v>
      </c>
      <c r="O35" s="33">
        <f t="shared" si="1"/>
        <v>0</v>
      </c>
      <c r="P35" s="33">
        <f t="shared" si="1"/>
        <v>0.39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10.78</v>
      </c>
      <c r="C36" s="41">
        <f t="shared" si="2"/>
        <v>30.352083333333329</v>
      </c>
      <c r="D36" s="41">
        <f t="shared" si="2"/>
        <v>23.292083333333338</v>
      </c>
      <c r="E36" s="41">
        <f t="shared" si="2"/>
        <v>7.0604166666666659</v>
      </c>
      <c r="F36" s="41">
        <f t="shared" si="2"/>
        <v>6.204583333333332</v>
      </c>
      <c r="G36" s="41">
        <f t="shared" si="2"/>
        <v>7.9108333333333354</v>
      </c>
      <c r="H36" s="41">
        <f t="shared" si="2"/>
        <v>3.1637500000000003</v>
      </c>
      <c r="I36" s="41">
        <f t="shared" si="2"/>
        <v>7.2883333333333349</v>
      </c>
      <c r="J36" s="41">
        <f t="shared" si="2"/>
        <v>0.55291666666666672</v>
      </c>
      <c r="K36" s="41">
        <f t="shared" si="2"/>
        <v>256.93416666666661</v>
      </c>
      <c r="L36" s="41">
        <f t="shared" si="2"/>
        <v>27.999583333333337</v>
      </c>
      <c r="M36" s="41">
        <f t="shared" si="2"/>
        <v>83.552916666666661</v>
      </c>
      <c r="N36" s="41">
        <f t="shared" si="2"/>
        <v>209.41666666666671</v>
      </c>
      <c r="O36" s="41">
        <f t="shared" si="2"/>
        <v>0</v>
      </c>
      <c r="P36" s="41">
        <f t="shared" si="2"/>
        <v>0.34416666666666657</v>
      </c>
      <c r="Q36" s="41">
        <f t="shared" si="2"/>
        <v>4.3591666666666677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3.8707835404981394</v>
      </c>
      <c r="C37" s="41">
        <f t="shared" ref="C37:Q37" si="3">STDEV(C9:C32)</f>
        <v>3.6527452203688928</v>
      </c>
      <c r="D37" s="41">
        <f t="shared" si="3"/>
        <v>4.9426801206796798</v>
      </c>
      <c r="E37" s="41">
        <f t="shared" si="3"/>
        <v>0.79491579628813758</v>
      </c>
      <c r="F37" s="41">
        <f t="shared" si="3"/>
        <v>2.9734608428660994</v>
      </c>
      <c r="G37" s="41">
        <f t="shared" si="3"/>
        <v>2.0151748584539502</v>
      </c>
      <c r="H37" s="41">
        <f t="shared" si="3"/>
        <v>0.94131181591575086</v>
      </c>
      <c r="I37" s="41">
        <f t="shared" si="3"/>
        <v>1.4773585907954356</v>
      </c>
      <c r="J37" s="41">
        <f t="shared" si="3"/>
        <v>0.2172251720273661</v>
      </c>
      <c r="K37" s="41">
        <f t="shared" si="3"/>
        <v>10.064952932639818</v>
      </c>
      <c r="L37" s="41">
        <f t="shared" si="3"/>
        <v>2.3015240303586957</v>
      </c>
      <c r="M37" s="41">
        <f t="shared" si="3"/>
        <v>7.8896169958103251</v>
      </c>
      <c r="N37" s="41">
        <f t="shared" si="3"/>
        <v>288.24940237754959</v>
      </c>
      <c r="O37" s="41">
        <f t="shared" si="3"/>
        <v>0</v>
      </c>
      <c r="P37" s="41">
        <f t="shared" si="3"/>
        <v>2.6196028020637512E-2</v>
      </c>
      <c r="Q37" s="41">
        <f t="shared" si="3"/>
        <v>0.2797967688949406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13/07/2023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346</v>
      </c>
      <c r="B9" s="51">
        <v>11.4</v>
      </c>
      <c r="C9" s="51">
        <v>30.68</v>
      </c>
      <c r="D9" s="51">
        <v>23.73</v>
      </c>
      <c r="E9" s="51">
        <v>8.74</v>
      </c>
      <c r="F9" s="51">
        <v>5.53</v>
      </c>
      <c r="G9" s="51">
        <v>12.21</v>
      </c>
      <c r="H9" s="51">
        <v>2.68</v>
      </c>
      <c r="I9" s="51">
        <v>6.51</v>
      </c>
      <c r="J9" s="51">
        <v>0.32</v>
      </c>
      <c r="K9" s="51">
        <v>260.94</v>
      </c>
      <c r="L9" s="51">
        <v>26.16</v>
      </c>
      <c r="M9" s="51">
        <v>90.8</v>
      </c>
      <c r="N9" s="51">
        <v>0</v>
      </c>
      <c r="O9" s="51">
        <v>0</v>
      </c>
      <c r="P9" s="51">
        <v>0.41</v>
      </c>
      <c r="Q9" s="51">
        <v>4.26</v>
      </c>
    </row>
    <row r="10" spans="1:21" customFormat="1">
      <c r="A10" s="50" t="s">
        <v>347</v>
      </c>
      <c r="B10" s="51">
        <v>12.52</v>
      </c>
      <c r="C10" s="51">
        <v>29.08</v>
      </c>
      <c r="D10" s="51">
        <v>24.19</v>
      </c>
      <c r="E10" s="51">
        <v>9.31</v>
      </c>
      <c r="F10" s="51">
        <v>4.54</v>
      </c>
      <c r="G10" s="51">
        <v>13.34</v>
      </c>
      <c r="H10" s="51">
        <v>4.91</v>
      </c>
      <c r="I10" s="51">
        <v>6.29</v>
      </c>
      <c r="J10" s="51">
        <v>0.36</v>
      </c>
      <c r="K10" s="51">
        <v>258.22000000000003</v>
      </c>
      <c r="L10" s="51">
        <v>25.68</v>
      </c>
      <c r="M10" s="51">
        <v>91.34</v>
      </c>
      <c r="N10" s="51">
        <v>0</v>
      </c>
      <c r="O10" s="51">
        <v>0</v>
      </c>
      <c r="P10" s="51">
        <v>0.4</v>
      </c>
      <c r="Q10" s="51">
        <v>4.3</v>
      </c>
    </row>
    <row r="11" spans="1:21" customFormat="1">
      <c r="A11" s="50" t="s">
        <v>348</v>
      </c>
      <c r="B11" s="51">
        <v>13.47</v>
      </c>
      <c r="C11" s="51">
        <v>27.38</v>
      </c>
      <c r="D11" s="51">
        <v>23.72</v>
      </c>
      <c r="E11" s="51">
        <v>6.55</v>
      </c>
      <c r="F11" s="51">
        <v>3.52</v>
      </c>
      <c r="G11" s="51">
        <v>13.34</v>
      </c>
      <c r="H11" s="51">
        <v>4.91</v>
      </c>
      <c r="I11" s="51">
        <v>6.35</v>
      </c>
      <c r="J11" s="51">
        <v>0.26</v>
      </c>
      <c r="K11" s="51">
        <v>252.26</v>
      </c>
      <c r="L11" s="51">
        <v>25.42</v>
      </c>
      <c r="M11" s="51">
        <v>92.45</v>
      </c>
      <c r="N11" s="51">
        <v>0</v>
      </c>
      <c r="O11" s="51">
        <v>0</v>
      </c>
      <c r="P11" s="51">
        <v>0.38</v>
      </c>
      <c r="Q11" s="51">
        <v>4.33</v>
      </c>
    </row>
    <row r="12" spans="1:21" customFormat="1">
      <c r="A12" s="50" t="s">
        <v>349</v>
      </c>
      <c r="B12" s="51">
        <v>14.81</v>
      </c>
      <c r="C12" s="51">
        <v>29.38</v>
      </c>
      <c r="D12" s="51">
        <v>26.18</v>
      </c>
      <c r="E12" s="51">
        <v>6.47</v>
      </c>
      <c r="F12" s="51">
        <v>3.7</v>
      </c>
      <c r="G12" s="51">
        <v>11.28</v>
      </c>
      <c r="H12" s="51">
        <v>4.7300000000000004</v>
      </c>
      <c r="I12" s="51">
        <v>6.47</v>
      </c>
      <c r="J12" s="51">
        <v>0.17</v>
      </c>
      <c r="K12" s="51">
        <v>224.32</v>
      </c>
      <c r="L12" s="51">
        <v>25.27</v>
      </c>
      <c r="M12" s="51">
        <v>93.78</v>
      </c>
      <c r="N12" s="51">
        <v>0</v>
      </c>
      <c r="O12" s="51">
        <v>0</v>
      </c>
      <c r="P12" s="51">
        <v>0.41</v>
      </c>
      <c r="Q12" s="51">
        <v>4.42</v>
      </c>
    </row>
    <row r="13" spans="1:21" customFormat="1">
      <c r="A13" s="50" t="s">
        <v>350</v>
      </c>
      <c r="B13" s="51">
        <v>15.65</v>
      </c>
      <c r="C13" s="51">
        <v>28.11</v>
      </c>
      <c r="D13" s="51">
        <v>26.19</v>
      </c>
      <c r="E13" s="51">
        <v>6.71</v>
      </c>
      <c r="F13" s="51">
        <v>3.08</v>
      </c>
      <c r="G13" s="51">
        <v>11.28</v>
      </c>
      <c r="H13" s="51">
        <v>5.76</v>
      </c>
      <c r="I13" s="51">
        <v>6.45</v>
      </c>
      <c r="J13" s="51">
        <v>0.1</v>
      </c>
      <c r="K13" s="51">
        <v>250.8</v>
      </c>
      <c r="L13" s="51">
        <v>25.28</v>
      </c>
      <c r="M13" s="51">
        <v>93.8</v>
      </c>
      <c r="N13" s="51">
        <v>0</v>
      </c>
      <c r="O13" s="51">
        <v>0</v>
      </c>
      <c r="P13" s="51">
        <v>0.39</v>
      </c>
      <c r="Q13" s="51">
        <v>4.46</v>
      </c>
    </row>
    <row r="14" spans="1:21" customFormat="1">
      <c r="A14" s="50" t="s">
        <v>351</v>
      </c>
      <c r="B14" s="51">
        <v>16.89</v>
      </c>
      <c r="C14" s="51">
        <v>29.6</v>
      </c>
      <c r="D14" s="51">
        <v>27.97</v>
      </c>
      <c r="E14" s="51">
        <v>6.18</v>
      </c>
      <c r="F14" s="51">
        <v>2.81</v>
      </c>
      <c r="G14" s="51">
        <v>10.81</v>
      </c>
      <c r="H14" s="51">
        <v>6.17</v>
      </c>
      <c r="I14" s="51">
        <v>6.46</v>
      </c>
      <c r="J14" s="51">
        <v>0.15</v>
      </c>
      <c r="K14" s="51">
        <v>276.01</v>
      </c>
      <c r="L14" s="51">
        <v>24.92</v>
      </c>
      <c r="M14" s="51">
        <v>95.09</v>
      </c>
      <c r="N14" s="51">
        <v>19.3</v>
      </c>
      <c r="O14" s="51">
        <v>0</v>
      </c>
      <c r="P14" s="51">
        <v>0.41</v>
      </c>
      <c r="Q14" s="51">
        <v>4.5199999999999996</v>
      </c>
    </row>
    <row r="15" spans="1:21" customFormat="1">
      <c r="A15" s="50" t="s">
        <v>352</v>
      </c>
      <c r="B15" s="51">
        <v>17.350000000000001</v>
      </c>
      <c r="C15" s="51">
        <v>28.2</v>
      </c>
      <c r="D15" s="51">
        <v>27.56</v>
      </c>
      <c r="E15" s="51">
        <v>6.65</v>
      </c>
      <c r="F15" s="51">
        <v>2.67</v>
      </c>
      <c r="G15" s="51">
        <v>7.97</v>
      </c>
      <c r="H15" s="51">
        <v>6.17</v>
      </c>
      <c r="I15" s="51">
        <v>6.36</v>
      </c>
      <c r="J15" s="51">
        <v>0.37</v>
      </c>
      <c r="K15" s="51">
        <v>276.10000000000002</v>
      </c>
      <c r="L15" s="51">
        <v>26.41</v>
      </c>
      <c r="M15" s="51">
        <v>93.58</v>
      </c>
      <c r="N15" s="51">
        <v>71.900000000000006</v>
      </c>
      <c r="O15" s="51">
        <v>0</v>
      </c>
      <c r="P15" s="51">
        <v>0.39</v>
      </c>
      <c r="Q15" s="51">
        <v>4.57</v>
      </c>
    </row>
    <row r="16" spans="1:21" customFormat="1">
      <c r="A16" s="50" t="s">
        <v>353</v>
      </c>
      <c r="B16" s="51">
        <v>17.72</v>
      </c>
      <c r="C16" s="51">
        <v>28.85</v>
      </c>
      <c r="D16" s="51">
        <v>28.17</v>
      </c>
      <c r="E16" s="51">
        <v>6.84</v>
      </c>
      <c r="F16" s="51">
        <v>3.99</v>
      </c>
      <c r="G16" s="51">
        <v>9.61</v>
      </c>
      <c r="H16" s="51">
        <v>5.63</v>
      </c>
      <c r="I16" s="51">
        <v>6.26</v>
      </c>
      <c r="J16" s="51">
        <v>0.43</v>
      </c>
      <c r="K16" s="51">
        <v>259.42</v>
      </c>
      <c r="L16" s="51">
        <v>27.58</v>
      </c>
      <c r="M16" s="51">
        <v>85.23</v>
      </c>
      <c r="N16" s="51">
        <v>157.9</v>
      </c>
      <c r="O16" s="51">
        <v>0</v>
      </c>
      <c r="P16" s="51">
        <v>0.4</v>
      </c>
      <c r="Q16" s="51">
        <v>4.57</v>
      </c>
    </row>
    <row r="17" spans="1:17" customFormat="1">
      <c r="A17" s="50" t="s">
        <v>354</v>
      </c>
      <c r="B17" s="51">
        <v>17.16</v>
      </c>
      <c r="C17" s="51">
        <v>27.52</v>
      </c>
      <c r="D17" s="51">
        <v>26.74</v>
      </c>
      <c r="E17" s="51">
        <v>6.76</v>
      </c>
      <c r="F17" s="51">
        <v>4.18</v>
      </c>
      <c r="G17" s="51">
        <v>12.81</v>
      </c>
      <c r="H17" s="51">
        <v>4.92</v>
      </c>
      <c r="I17" s="51">
        <v>6.25</v>
      </c>
      <c r="J17" s="51">
        <v>0.56000000000000005</v>
      </c>
      <c r="K17" s="51">
        <v>261.32</v>
      </c>
      <c r="L17" s="51">
        <v>28.99</v>
      </c>
      <c r="M17" s="51">
        <v>80.55</v>
      </c>
      <c r="N17" s="51">
        <v>274.7</v>
      </c>
      <c r="O17" s="51">
        <v>0</v>
      </c>
      <c r="P17" s="51">
        <v>0.4</v>
      </c>
      <c r="Q17" s="51">
        <v>4.5199999999999996</v>
      </c>
    </row>
    <row r="18" spans="1:17" customFormat="1">
      <c r="A18" s="50" t="s">
        <v>355</v>
      </c>
      <c r="B18" s="51">
        <v>15.93</v>
      </c>
      <c r="C18" s="51">
        <v>27.85</v>
      </c>
      <c r="D18" s="51">
        <v>25.46</v>
      </c>
      <c r="E18" s="51">
        <v>6.44</v>
      </c>
      <c r="F18" s="51">
        <v>4.37</v>
      </c>
      <c r="G18" s="51">
        <v>15.5</v>
      </c>
      <c r="H18" s="51">
        <v>7.59</v>
      </c>
      <c r="I18" s="51">
        <v>6.1</v>
      </c>
      <c r="J18" s="51">
        <v>0.5</v>
      </c>
      <c r="K18" s="51">
        <v>259.64</v>
      </c>
      <c r="L18" s="51">
        <v>29.03</v>
      </c>
      <c r="M18" s="51">
        <v>79.59</v>
      </c>
      <c r="N18" s="51">
        <v>290.10000000000002</v>
      </c>
      <c r="O18" s="51">
        <v>0</v>
      </c>
      <c r="P18" s="51">
        <v>0.4</v>
      </c>
      <c r="Q18" s="51">
        <v>4.41</v>
      </c>
    </row>
    <row r="19" spans="1:17" customFormat="1">
      <c r="A19" s="50" t="s">
        <v>356</v>
      </c>
      <c r="B19" s="51">
        <v>14.92</v>
      </c>
      <c r="C19" s="51">
        <v>25.45</v>
      </c>
      <c r="D19" s="51">
        <v>24.21</v>
      </c>
      <c r="E19" s="51">
        <v>6.55</v>
      </c>
      <c r="F19" s="51">
        <v>5.31</v>
      </c>
      <c r="G19" s="51">
        <v>16.86</v>
      </c>
      <c r="H19" s="51">
        <v>9.08</v>
      </c>
      <c r="I19" s="51">
        <v>5.91</v>
      </c>
      <c r="J19" s="51">
        <v>0.75</v>
      </c>
      <c r="K19" s="51">
        <v>259.44</v>
      </c>
      <c r="L19" s="51">
        <v>29.89</v>
      </c>
      <c r="M19" s="51">
        <v>76.84</v>
      </c>
      <c r="N19" s="51">
        <v>449.2</v>
      </c>
      <c r="O19" s="51">
        <v>0</v>
      </c>
      <c r="P19" s="51">
        <v>0.39</v>
      </c>
      <c r="Q19" s="51">
        <v>4.4000000000000004</v>
      </c>
    </row>
    <row r="20" spans="1:17" customFormat="1">
      <c r="A20" s="50" t="s">
        <v>357</v>
      </c>
      <c r="B20" s="51">
        <v>13.18</v>
      </c>
      <c r="C20" s="51">
        <v>26.69</v>
      </c>
      <c r="D20" s="51">
        <v>23.47</v>
      </c>
      <c r="E20" s="51">
        <v>6.37</v>
      </c>
      <c r="F20" s="51">
        <v>4.5599999999999996</v>
      </c>
      <c r="G20" s="51">
        <v>16.86</v>
      </c>
      <c r="H20" s="51">
        <v>9.4499999999999993</v>
      </c>
      <c r="I20" s="51">
        <v>5.8</v>
      </c>
      <c r="J20" s="51">
        <v>1.1399999999999999</v>
      </c>
      <c r="K20" s="51">
        <v>265.73</v>
      </c>
      <c r="L20" s="51">
        <v>30.34</v>
      </c>
      <c r="M20" s="51">
        <v>73.67</v>
      </c>
      <c r="N20" s="51">
        <v>525.1</v>
      </c>
      <c r="O20" s="51">
        <v>0</v>
      </c>
      <c r="P20" s="51">
        <v>0.39</v>
      </c>
      <c r="Q20" s="51">
        <v>4.3099999999999996</v>
      </c>
    </row>
    <row r="21" spans="1:17" customFormat="1">
      <c r="A21" s="50" t="s">
        <v>358</v>
      </c>
      <c r="B21" s="51">
        <v>11.43</v>
      </c>
      <c r="C21" s="51">
        <v>25.32</v>
      </c>
      <c r="D21" s="51">
        <v>20.420000000000002</v>
      </c>
      <c r="E21" s="51">
        <v>6.16</v>
      </c>
      <c r="F21" s="51">
        <v>4.91</v>
      </c>
      <c r="G21" s="51">
        <v>14.62</v>
      </c>
      <c r="H21" s="51">
        <v>9.4499999999999993</v>
      </c>
      <c r="I21" s="51">
        <v>5.37</v>
      </c>
      <c r="J21" s="51">
        <v>0.84</v>
      </c>
      <c r="K21" s="51">
        <v>268.77</v>
      </c>
      <c r="L21" s="51">
        <v>30.58</v>
      </c>
      <c r="M21" s="51">
        <v>72.540000000000006</v>
      </c>
      <c r="N21" s="51">
        <v>483.8</v>
      </c>
      <c r="O21" s="51">
        <v>0</v>
      </c>
      <c r="P21" s="51">
        <v>0.38</v>
      </c>
      <c r="Q21" s="51">
        <v>4.13</v>
      </c>
    </row>
    <row r="22" spans="1:17" customFormat="1">
      <c r="A22" s="50" t="s">
        <v>359</v>
      </c>
      <c r="B22" s="51">
        <v>10.029999999999999</v>
      </c>
      <c r="C22" s="51">
        <v>23.78</v>
      </c>
      <c r="D22" s="51">
        <v>19.420000000000002</v>
      </c>
      <c r="E22" s="51">
        <v>6.19</v>
      </c>
      <c r="F22" s="51">
        <v>6.94</v>
      </c>
      <c r="G22" s="51">
        <v>12.55</v>
      </c>
      <c r="H22" s="51">
        <v>6.92</v>
      </c>
      <c r="I22" s="51">
        <v>5.49</v>
      </c>
      <c r="J22" s="51">
        <v>0.67</v>
      </c>
      <c r="K22" s="51">
        <v>256.56</v>
      </c>
      <c r="L22" s="51">
        <v>31.82</v>
      </c>
      <c r="M22" s="51">
        <v>72.319999999999993</v>
      </c>
      <c r="N22" s="51">
        <v>832.6</v>
      </c>
      <c r="O22" s="51">
        <v>0</v>
      </c>
      <c r="P22" s="51">
        <v>0.38</v>
      </c>
      <c r="Q22" s="51">
        <v>4.08</v>
      </c>
    </row>
    <row r="23" spans="1:17" customFormat="1">
      <c r="A23" s="50" t="s">
        <v>360</v>
      </c>
      <c r="B23" s="51">
        <v>8.5</v>
      </c>
      <c r="C23" s="51">
        <v>22.12</v>
      </c>
      <c r="D23" s="51">
        <v>17</v>
      </c>
      <c r="E23" s="51">
        <v>6.08</v>
      </c>
      <c r="F23" s="51">
        <v>7.79</v>
      </c>
      <c r="G23" s="51">
        <v>11.81</v>
      </c>
      <c r="H23" s="51">
        <v>4.92</v>
      </c>
      <c r="I23" s="51">
        <v>4.9400000000000004</v>
      </c>
      <c r="J23" s="51">
        <v>0.89</v>
      </c>
      <c r="K23" s="51">
        <v>267.57</v>
      </c>
      <c r="L23" s="51">
        <v>31.95</v>
      </c>
      <c r="M23" s="51">
        <v>70.010000000000005</v>
      </c>
      <c r="N23" s="51">
        <v>729.3</v>
      </c>
      <c r="O23" s="51">
        <v>0</v>
      </c>
      <c r="P23" s="51">
        <v>0.33</v>
      </c>
      <c r="Q23" s="51">
        <v>3.93</v>
      </c>
    </row>
    <row r="24" spans="1:17" customFormat="1">
      <c r="A24" s="50" t="s">
        <v>361</v>
      </c>
      <c r="B24" s="51">
        <v>7.57</v>
      </c>
      <c r="C24" s="51">
        <v>22.21</v>
      </c>
      <c r="D24" s="51">
        <v>16.63</v>
      </c>
      <c r="E24" s="51">
        <v>5.51</v>
      </c>
      <c r="F24" s="51">
        <v>7.58</v>
      </c>
      <c r="G24" s="51">
        <v>11.04</v>
      </c>
      <c r="H24" s="51">
        <v>4.78</v>
      </c>
      <c r="I24" s="51">
        <v>5</v>
      </c>
      <c r="J24" s="51">
        <v>0.77</v>
      </c>
      <c r="K24" s="51">
        <v>253.29</v>
      </c>
      <c r="L24" s="51">
        <v>32.64</v>
      </c>
      <c r="M24" s="51">
        <v>67.36</v>
      </c>
      <c r="N24" s="51">
        <v>534.6</v>
      </c>
      <c r="O24" s="51">
        <v>0</v>
      </c>
      <c r="P24" s="51">
        <v>0.32</v>
      </c>
      <c r="Q24" s="51">
        <v>3.9</v>
      </c>
    </row>
    <row r="25" spans="1:17" customFormat="1">
      <c r="A25" s="50" t="s">
        <v>362</v>
      </c>
      <c r="B25" s="51">
        <v>6.9</v>
      </c>
      <c r="C25" s="51">
        <v>23.14</v>
      </c>
      <c r="D25" s="51">
        <v>16.57</v>
      </c>
      <c r="E25" s="51">
        <v>5.46</v>
      </c>
      <c r="F25" s="51">
        <v>7.68</v>
      </c>
      <c r="G25" s="51">
        <v>11.04</v>
      </c>
      <c r="H25" s="51">
        <v>4.34</v>
      </c>
      <c r="I25" s="51">
        <v>4.7699999999999996</v>
      </c>
      <c r="J25" s="51">
        <v>0.81</v>
      </c>
      <c r="K25" s="51">
        <v>264.89999999999998</v>
      </c>
      <c r="L25" s="51">
        <v>31.03</v>
      </c>
      <c r="M25" s="51">
        <v>72.040000000000006</v>
      </c>
      <c r="N25" s="51">
        <v>218.3</v>
      </c>
      <c r="O25" s="51">
        <v>0</v>
      </c>
      <c r="P25" s="51">
        <v>0.34</v>
      </c>
      <c r="Q25" s="51">
        <v>3.88</v>
      </c>
    </row>
    <row r="26" spans="1:17" customFormat="1">
      <c r="A26" s="50" t="s">
        <v>363</v>
      </c>
      <c r="B26" s="51">
        <v>6.81</v>
      </c>
      <c r="C26" s="51">
        <v>21.25</v>
      </c>
      <c r="D26" s="51">
        <v>15.52</v>
      </c>
      <c r="E26" s="51">
        <v>5.95</v>
      </c>
      <c r="F26" s="51">
        <v>15.39</v>
      </c>
      <c r="G26" s="51">
        <v>9.64</v>
      </c>
      <c r="H26" s="51">
        <v>3.97</v>
      </c>
      <c r="I26" s="51">
        <v>4.93</v>
      </c>
      <c r="J26" s="51">
        <v>0.67</v>
      </c>
      <c r="K26" s="51">
        <v>274.77999999999997</v>
      </c>
      <c r="L26" s="51">
        <v>30.79</v>
      </c>
      <c r="M26" s="51">
        <v>70.900000000000006</v>
      </c>
      <c r="N26" s="51">
        <v>88.1</v>
      </c>
      <c r="O26" s="51">
        <v>0</v>
      </c>
      <c r="P26" s="51">
        <v>0.34</v>
      </c>
      <c r="Q26" s="51">
        <v>3.86</v>
      </c>
    </row>
    <row r="27" spans="1:17" customFormat="1">
      <c r="A27" s="50" t="s">
        <v>364</v>
      </c>
      <c r="B27" s="51">
        <v>6.16</v>
      </c>
      <c r="C27" s="51">
        <v>20.420000000000002</v>
      </c>
      <c r="D27" s="51">
        <v>14.56</v>
      </c>
      <c r="E27" s="51">
        <v>5.69</v>
      </c>
      <c r="F27" s="51">
        <v>16.010000000000002</v>
      </c>
      <c r="G27" s="51">
        <v>9.64</v>
      </c>
      <c r="H27" s="51">
        <v>2.96</v>
      </c>
      <c r="I27" s="51">
        <v>4.2</v>
      </c>
      <c r="J27" s="51">
        <v>0.31</v>
      </c>
      <c r="K27" s="51">
        <v>246.43</v>
      </c>
      <c r="L27" s="51">
        <v>29.78</v>
      </c>
      <c r="M27" s="51">
        <v>76.12</v>
      </c>
      <c r="N27" s="51">
        <v>28.7</v>
      </c>
      <c r="O27" s="51">
        <v>0</v>
      </c>
      <c r="P27" s="51">
        <v>0.34</v>
      </c>
      <c r="Q27" s="51">
        <v>3.9</v>
      </c>
    </row>
    <row r="28" spans="1:17" customFormat="1">
      <c r="A28" s="50" t="s">
        <v>365</v>
      </c>
      <c r="B28" s="51">
        <v>6.93</v>
      </c>
      <c r="C28" s="51">
        <v>23.64</v>
      </c>
      <c r="D28" s="51">
        <v>16.86</v>
      </c>
      <c r="E28" s="51">
        <v>6.26</v>
      </c>
      <c r="F28" s="51">
        <v>13.86</v>
      </c>
      <c r="G28" s="51">
        <v>9.94</v>
      </c>
      <c r="H28" s="51">
        <v>4.07</v>
      </c>
      <c r="I28" s="51">
        <v>4.6900000000000004</v>
      </c>
      <c r="J28" s="51">
        <v>0.22</v>
      </c>
      <c r="K28" s="51">
        <v>197.56</v>
      </c>
      <c r="L28" s="51">
        <v>28.79</v>
      </c>
      <c r="M28" s="51">
        <v>80.63</v>
      </c>
      <c r="N28" s="51">
        <v>0</v>
      </c>
      <c r="O28" s="51">
        <v>0</v>
      </c>
      <c r="P28" s="51">
        <v>0.38</v>
      </c>
      <c r="Q28" s="51">
        <v>4</v>
      </c>
    </row>
    <row r="29" spans="1:17" customFormat="1">
      <c r="A29" s="50" t="s">
        <v>366</v>
      </c>
      <c r="B29" s="51">
        <v>7.66</v>
      </c>
      <c r="C29" s="51">
        <v>23.42</v>
      </c>
      <c r="D29" s="51">
        <v>17.329999999999998</v>
      </c>
      <c r="E29" s="51">
        <v>6.33</v>
      </c>
      <c r="F29" s="51">
        <v>13.36</v>
      </c>
      <c r="G29" s="51">
        <v>13.36</v>
      </c>
      <c r="H29" s="51">
        <v>4.42</v>
      </c>
      <c r="I29" s="51">
        <v>4.53</v>
      </c>
      <c r="J29" s="51">
        <v>0.54</v>
      </c>
      <c r="K29" s="51">
        <v>264.75</v>
      </c>
      <c r="L29" s="51">
        <v>28.49</v>
      </c>
      <c r="M29" s="51">
        <v>83.08</v>
      </c>
      <c r="N29" s="51">
        <v>0</v>
      </c>
      <c r="O29" s="51">
        <v>0</v>
      </c>
      <c r="P29" s="51">
        <v>0.38</v>
      </c>
      <c r="Q29" s="51">
        <v>4</v>
      </c>
    </row>
    <row r="30" spans="1:17" customFormat="1">
      <c r="A30" s="50" t="s">
        <v>367</v>
      </c>
      <c r="B30" s="51">
        <v>8.15</v>
      </c>
      <c r="C30" s="51">
        <v>23.49</v>
      </c>
      <c r="D30" s="51">
        <v>17.760000000000002</v>
      </c>
      <c r="E30" s="51">
        <v>6.29</v>
      </c>
      <c r="F30" s="51">
        <v>12.99</v>
      </c>
      <c r="G30" s="51">
        <v>14.7</v>
      </c>
      <c r="H30" s="51">
        <v>4.47</v>
      </c>
      <c r="I30" s="51">
        <v>4.8099999999999996</v>
      </c>
      <c r="J30" s="51">
        <v>0.35</v>
      </c>
      <c r="K30" s="51">
        <v>260.82</v>
      </c>
      <c r="L30" s="51">
        <v>28.35</v>
      </c>
      <c r="M30" s="51">
        <v>79.44</v>
      </c>
      <c r="N30" s="51">
        <v>0</v>
      </c>
      <c r="O30" s="51">
        <v>0</v>
      </c>
      <c r="P30" s="51">
        <v>0.39</v>
      </c>
      <c r="Q30" s="51">
        <v>4.08</v>
      </c>
    </row>
    <row r="31" spans="1:17" customFormat="1">
      <c r="A31" s="50" t="s">
        <v>368</v>
      </c>
      <c r="B31" s="51">
        <v>8.6300000000000008</v>
      </c>
      <c r="C31" s="51">
        <v>24.61</v>
      </c>
      <c r="D31" s="51">
        <v>18.739999999999998</v>
      </c>
      <c r="E31" s="51">
        <v>7.24</v>
      </c>
      <c r="F31" s="51">
        <v>11.47</v>
      </c>
      <c r="G31" s="51">
        <v>14.7</v>
      </c>
      <c r="H31" s="51">
        <v>4.47</v>
      </c>
      <c r="I31" s="51">
        <v>4.79</v>
      </c>
      <c r="J31" s="51">
        <v>0.36</v>
      </c>
      <c r="K31" s="51">
        <v>251.68</v>
      </c>
      <c r="L31" s="51">
        <v>28.02</v>
      </c>
      <c r="M31" s="51">
        <v>83.01</v>
      </c>
      <c r="N31" s="51">
        <v>0</v>
      </c>
      <c r="O31" s="51">
        <v>0</v>
      </c>
      <c r="P31" s="51">
        <v>0.39</v>
      </c>
      <c r="Q31" s="51">
        <v>4.0599999999999996</v>
      </c>
    </row>
    <row r="32" spans="1:17" customFormat="1">
      <c r="A32" s="50" t="s">
        <v>369</v>
      </c>
      <c r="B32" s="51">
        <v>10.039999999999999</v>
      </c>
      <c r="C32" s="51">
        <v>25.04</v>
      </c>
      <c r="D32" s="51">
        <v>19.940000000000001</v>
      </c>
      <c r="E32" s="51">
        <v>7.49</v>
      </c>
      <c r="F32" s="51">
        <v>9.25</v>
      </c>
      <c r="G32" s="51">
        <v>11.97</v>
      </c>
      <c r="H32" s="51">
        <v>3.49</v>
      </c>
      <c r="I32" s="51">
        <v>4.93</v>
      </c>
      <c r="J32" s="51">
        <v>0.25</v>
      </c>
      <c r="K32" s="51">
        <v>246.69</v>
      </c>
      <c r="L32" s="51">
        <v>27.7</v>
      </c>
      <c r="M32" s="51">
        <v>86.49</v>
      </c>
      <c r="N32" s="51">
        <v>0</v>
      </c>
      <c r="O32" s="51">
        <v>0</v>
      </c>
      <c r="P32" s="51">
        <v>0.39</v>
      </c>
      <c r="Q32" s="51">
        <v>4.12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6.16</v>
      </c>
      <c r="C34" s="41">
        <f t="shared" si="0"/>
        <v>20.420000000000002</v>
      </c>
      <c r="D34" s="41">
        <f t="shared" si="0"/>
        <v>14.56</v>
      </c>
      <c r="E34" s="41">
        <f t="shared" si="0"/>
        <v>5.46</v>
      </c>
      <c r="F34" s="41">
        <f t="shared" si="0"/>
        <v>2.67</v>
      </c>
      <c r="G34" s="41">
        <f t="shared" si="0"/>
        <v>7.97</v>
      </c>
      <c r="H34" s="41">
        <f t="shared" si="0"/>
        <v>2.68</v>
      </c>
      <c r="I34" s="41">
        <f t="shared" si="0"/>
        <v>4.2</v>
      </c>
      <c r="J34" s="41">
        <f t="shared" si="0"/>
        <v>0.1</v>
      </c>
      <c r="K34" s="41">
        <f t="shared" si="0"/>
        <v>197.56</v>
      </c>
      <c r="L34" s="41">
        <f t="shared" si="0"/>
        <v>24.92</v>
      </c>
      <c r="M34" s="41">
        <f t="shared" si="0"/>
        <v>67.36</v>
      </c>
      <c r="N34" s="41">
        <f t="shared" si="0"/>
        <v>0</v>
      </c>
      <c r="O34" s="41">
        <f t="shared" si="0"/>
        <v>0</v>
      </c>
      <c r="P34" s="41">
        <f t="shared" si="0"/>
        <v>0.32</v>
      </c>
      <c r="Q34" s="41">
        <f t="shared" si="0"/>
        <v>3.86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17.72</v>
      </c>
      <c r="C35" s="33">
        <f t="shared" si="1"/>
        <v>30.68</v>
      </c>
      <c r="D35" s="33">
        <f t="shared" si="1"/>
        <v>28.17</v>
      </c>
      <c r="E35" s="33">
        <f t="shared" si="1"/>
        <v>9.31</v>
      </c>
      <c r="F35" s="33">
        <f t="shared" si="1"/>
        <v>16.010000000000002</v>
      </c>
      <c r="G35" s="33">
        <f t="shared" si="1"/>
        <v>16.86</v>
      </c>
      <c r="H35" s="33">
        <f t="shared" si="1"/>
        <v>9.4499999999999993</v>
      </c>
      <c r="I35" s="33">
        <f t="shared" si="1"/>
        <v>6.51</v>
      </c>
      <c r="J35" s="33">
        <f t="shared" si="1"/>
        <v>1.1399999999999999</v>
      </c>
      <c r="K35" s="33">
        <f t="shared" si="1"/>
        <v>276.10000000000002</v>
      </c>
      <c r="L35" s="33">
        <f t="shared" si="1"/>
        <v>32.64</v>
      </c>
      <c r="M35" s="33">
        <f t="shared" si="1"/>
        <v>95.09</v>
      </c>
      <c r="N35" s="33">
        <f t="shared" si="1"/>
        <v>832.6</v>
      </c>
      <c r="O35" s="33">
        <f t="shared" si="1"/>
        <v>0</v>
      </c>
      <c r="P35" s="33">
        <f t="shared" si="1"/>
        <v>0.41</v>
      </c>
      <c r="Q35" s="33">
        <f t="shared" si="1"/>
        <v>4.57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11.65875</v>
      </c>
      <c r="C36" s="41">
        <f t="shared" si="2"/>
        <v>25.717916666666664</v>
      </c>
      <c r="D36" s="41">
        <f t="shared" si="2"/>
        <v>21.597499999999997</v>
      </c>
      <c r="E36" s="41">
        <f t="shared" si="2"/>
        <v>6.5925000000000011</v>
      </c>
      <c r="F36" s="41">
        <f t="shared" si="2"/>
        <v>7.3120833333333346</v>
      </c>
      <c r="G36" s="41">
        <f t="shared" si="2"/>
        <v>12.37</v>
      </c>
      <c r="H36" s="41">
        <f t="shared" si="2"/>
        <v>5.4275000000000011</v>
      </c>
      <c r="I36" s="41">
        <f t="shared" si="2"/>
        <v>5.5691666666666668</v>
      </c>
      <c r="J36" s="41">
        <f t="shared" si="2"/>
        <v>0.49125000000000002</v>
      </c>
      <c r="K36" s="41">
        <f t="shared" si="2"/>
        <v>256.58333333333331</v>
      </c>
      <c r="L36" s="41">
        <f t="shared" si="2"/>
        <v>28.537916666666661</v>
      </c>
      <c r="M36" s="41">
        <f t="shared" si="2"/>
        <v>81.694166666666661</v>
      </c>
      <c r="N36" s="41">
        <f t="shared" si="2"/>
        <v>195.98333333333335</v>
      </c>
      <c r="O36" s="41">
        <f t="shared" si="2"/>
        <v>0</v>
      </c>
      <c r="P36" s="41">
        <f t="shared" si="2"/>
        <v>0.38041666666666668</v>
      </c>
      <c r="Q36" s="41">
        <f t="shared" si="2"/>
        <v>4.2087500000000011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3.9350778264222428</v>
      </c>
      <c r="C37" s="41">
        <f t="shared" ref="C37:Q37" si="3">STDEV(C9:C32)</f>
        <v>2.9322909565088109</v>
      </c>
      <c r="D37" s="41">
        <f t="shared" si="3"/>
        <v>4.4667430503960013</v>
      </c>
      <c r="E37" s="41">
        <f t="shared" si="3"/>
        <v>0.88841945635762687</v>
      </c>
      <c r="F37" s="41">
        <f t="shared" si="3"/>
        <v>4.2686185314064584</v>
      </c>
      <c r="G37" s="41">
        <f t="shared" si="3"/>
        <v>2.3383420362001992</v>
      </c>
      <c r="H37" s="41">
        <f t="shared" si="3"/>
        <v>1.8790151213034307</v>
      </c>
      <c r="I37" s="41">
        <f t="shared" si="3"/>
        <v>0.76741189363518891</v>
      </c>
      <c r="J37" s="41">
        <f t="shared" si="3"/>
        <v>0.2728164297615267</v>
      </c>
      <c r="K37" s="41">
        <f t="shared" si="3"/>
        <v>16.783048038102951</v>
      </c>
      <c r="L37" s="41">
        <f t="shared" si="3"/>
        <v>2.3424457288812528</v>
      </c>
      <c r="M37" s="41">
        <f t="shared" si="3"/>
        <v>8.8428083856278139</v>
      </c>
      <c r="N37" s="41">
        <f t="shared" si="3"/>
        <v>259.34508598234208</v>
      </c>
      <c r="O37" s="41">
        <f t="shared" si="3"/>
        <v>0</v>
      </c>
      <c r="P37" s="41">
        <f t="shared" si="3"/>
        <v>2.6289221905674981E-2</v>
      </c>
      <c r="Q37" s="41">
        <f t="shared" si="3"/>
        <v>0.24047620328801461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14/07/2023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370</v>
      </c>
      <c r="B9" s="51">
        <v>10.039999999999999</v>
      </c>
      <c r="C9" s="51">
        <v>23.71</v>
      </c>
      <c r="D9" s="51">
        <v>19.39</v>
      </c>
      <c r="E9" s="51">
        <v>7.14</v>
      </c>
      <c r="F9" s="51">
        <v>10.6</v>
      </c>
      <c r="G9" s="51">
        <v>10.97</v>
      </c>
      <c r="H9" s="51">
        <v>2.54</v>
      </c>
      <c r="I9" s="51">
        <v>4.91</v>
      </c>
      <c r="J9" s="51">
        <v>0.16</v>
      </c>
      <c r="K9" s="51">
        <v>220.16</v>
      </c>
      <c r="L9" s="51">
        <v>27.29</v>
      </c>
      <c r="M9" s="51">
        <v>87.37</v>
      </c>
      <c r="N9" s="51">
        <v>0</v>
      </c>
      <c r="O9" s="51">
        <v>0</v>
      </c>
      <c r="P9" s="51">
        <v>0.39</v>
      </c>
      <c r="Q9" s="51">
        <v>4.1399999999999997</v>
      </c>
    </row>
    <row r="10" spans="1:21" customFormat="1">
      <c r="A10" s="50" t="s">
        <v>371</v>
      </c>
      <c r="B10" s="51">
        <v>10.67</v>
      </c>
      <c r="C10" s="51">
        <v>23.88</v>
      </c>
      <c r="D10" s="51">
        <v>19.98</v>
      </c>
      <c r="E10" s="51">
        <v>7.14</v>
      </c>
      <c r="F10" s="51">
        <v>9.66</v>
      </c>
      <c r="G10" s="51">
        <v>12.34</v>
      </c>
      <c r="H10" s="51">
        <v>5.05</v>
      </c>
      <c r="I10" s="51">
        <v>4.8</v>
      </c>
      <c r="J10" s="51">
        <v>0.2</v>
      </c>
      <c r="K10" s="51">
        <v>200.35</v>
      </c>
      <c r="L10" s="51">
        <v>27.23</v>
      </c>
      <c r="M10" s="51">
        <v>87.49</v>
      </c>
      <c r="N10" s="51">
        <v>0</v>
      </c>
      <c r="O10" s="51">
        <v>0</v>
      </c>
      <c r="P10" s="51">
        <v>0.37</v>
      </c>
      <c r="Q10" s="51">
        <v>4.1900000000000004</v>
      </c>
    </row>
    <row r="11" spans="1:21" customFormat="1">
      <c r="A11" s="50" t="s">
        <v>372</v>
      </c>
      <c r="B11" s="51">
        <v>11.3</v>
      </c>
      <c r="C11" s="51">
        <v>25.22</v>
      </c>
      <c r="D11" s="51">
        <v>21.19</v>
      </c>
      <c r="E11" s="51">
        <v>5.65</v>
      </c>
      <c r="F11" s="51">
        <v>8.01</v>
      </c>
      <c r="G11" s="51">
        <v>12.34</v>
      </c>
      <c r="H11" s="51">
        <v>5.05</v>
      </c>
      <c r="I11" s="51">
        <v>4.78</v>
      </c>
      <c r="J11" s="51">
        <v>0.15</v>
      </c>
      <c r="K11" s="51">
        <v>204.01</v>
      </c>
      <c r="L11" s="51">
        <v>26.55</v>
      </c>
      <c r="M11" s="51">
        <v>88.6</v>
      </c>
      <c r="N11" s="51">
        <v>0</v>
      </c>
      <c r="O11" s="51">
        <v>0</v>
      </c>
      <c r="P11" s="51">
        <v>0.38</v>
      </c>
      <c r="Q11" s="51">
        <v>4.24</v>
      </c>
    </row>
    <row r="12" spans="1:21" customFormat="1">
      <c r="A12" s="50" t="s">
        <v>373</v>
      </c>
      <c r="B12" s="51">
        <v>11.8</v>
      </c>
      <c r="C12" s="51">
        <v>24.37</v>
      </c>
      <c r="D12" s="51">
        <v>21.15</v>
      </c>
      <c r="E12" s="51">
        <v>5.65</v>
      </c>
      <c r="F12" s="51">
        <v>6.93</v>
      </c>
      <c r="G12" s="51">
        <v>11.69</v>
      </c>
      <c r="H12" s="51">
        <v>4.71</v>
      </c>
      <c r="I12" s="51">
        <v>4.78</v>
      </c>
      <c r="J12" s="51">
        <v>0.35</v>
      </c>
      <c r="K12" s="51">
        <v>257.93</v>
      </c>
      <c r="L12" s="51">
        <v>26.58</v>
      </c>
      <c r="M12" s="51">
        <v>90.04</v>
      </c>
      <c r="N12" s="51">
        <v>0</v>
      </c>
      <c r="O12" s="51">
        <v>0</v>
      </c>
      <c r="P12" s="51">
        <v>0.37</v>
      </c>
      <c r="Q12" s="51">
        <v>4.28</v>
      </c>
    </row>
    <row r="13" spans="1:21" customFormat="1">
      <c r="A13" s="50" t="s">
        <v>374</v>
      </c>
      <c r="B13" s="51">
        <v>13.14</v>
      </c>
      <c r="C13" s="51">
        <v>26.84</v>
      </c>
      <c r="D13" s="51">
        <v>23.52</v>
      </c>
      <c r="E13" s="51">
        <v>5.85</v>
      </c>
      <c r="F13" s="51">
        <v>5.58</v>
      </c>
      <c r="G13" s="51">
        <v>11.35</v>
      </c>
      <c r="H13" s="51">
        <v>5.25</v>
      </c>
      <c r="I13" s="51">
        <v>4.93</v>
      </c>
      <c r="J13" s="51">
        <v>0.56000000000000005</v>
      </c>
      <c r="K13" s="51">
        <v>262.89999999999998</v>
      </c>
      <c r="L13" s="51">
        <v>26.59</v>
      </c>
      <c r="M13" s="51">
        <v>88.3</v>
      </c>
      <c r="N13" s="51">
        <v>0</v>
      </c>
      <c r="O13" s="51">
        <v>0</v>
      </c>
      <c r="P13" s="51">
        <v>0.39</v>
      </c>
      <c r="Q13" s="51">
        <v>4.32</v>
      </c>
    </row>
    <row r="14" spans="1:21" customFormat="1">
      <c r="A14" s="50" t="s">
        <v>375</v>
      </c>
      <c r="B14" s="51">
        <v>13.67</v>
      </c>
      <c r="C14" s="51">
        <v>27.31</v>
      </c>
      <c r="D14" s="51">
        <v>24.09</v>
      </c>
      <c r="E14" s="51">
        <v>6.29</v>
      </c>
      <c r="F14" s="51">
        <v>5.98</v>
      </c>
      <c r="G14" s="51">
        <v>10.96</v>
      </c>
      <c r="H14" s="51">
        <v>5.25</v>
      </c>
      <c r="I14" s="51">
        <v>5.16</v>
      </c>
      <c r="J14" s="51">
        <v>0.16</v>
      </c>
      <c r="K14" s="51">
        <v>227.63</v>
      </c>
      <c r="L14" s="51">
        <v>26.39</v>
      </c>
      <c r="M14" s="51">
        <v>90.85</v>
      </c>
      <c r="N14" s="51">
        <v>12</v>
      </c>
      <c r="O14" s="51">
        <v>0</v>
      </c>
      <c r="P14" s="51">
        <v>0.39</v>
      </c>
      <c r="Q14" s="51">
        <v>4.34</v>
      </c>
    </row>
    <row r="15" spans="1:21" customFormat="1">
      <c r="A15" s="50" t="s">
        <v>376</v>
      </c>
      <c r="B15" s="51">
        <v>14.14</v>
      </c>
      <c r="C15" s="51">
        <v>26.33</v>
      </c>
      <c r="D15" s="51">
        <v>23.95</v>
      </c>
      <c r="E15" s="51">
        <v>5.96</v>
      </c>
      <c r="F15" s="51">
        <v>5.43</v>
      </c>
      <c r="G15" s="51">
        <v>8.07</v>
      </c>
      <c r="H15" s="51">
        <v>5.22</v>
      </c>
      <c r="I15" s="51">
        <v>4.92</v>
      </c>
      <c r="J15" s="51">
        <v>0.54</v>
      </c>
      <c r="K15" s="51">
        <v>253.07</v>
      </c>
      <c r="L15" s="51">
        <v>27.48</v>
      </c>
      <c r="M15" s="51">
        <v>89.93</v>
      </c>
      <c r="N15" s="51">
        <v>119.3</v>
      </c>
      <c r="O15" s="51">
        <v>0</v>
      </c>
      <c r="P15" s="51">
        <v>0.38</v>
      </c>
      <c r="Q15" s="51">
        <v>4.38</v>
      </c>
    </row>
    <row r="16" spans="1:21" customFormat="1">
      <c r="A16" s="50" t="s">
        <v>377</v>
      </c>
      <c r="B16" s="51">
        <v>14.09</v>
      </c>
      <c r="C16" s="51">
        <v>26.19</v>
      </c>
      <c r="D16" s="51">
        <v>23.84</v>
      </c>
      <c r="E16" s="51">
        <v>6.14</v>
      </c>
      <c r="F16" s="51">
        <v>4.54</v>
      </c>
      <c r="G16" s="51">
        <v>10.89</v>
      </c>
      <c r="H16" s="51">
        <v>6.32</v>
      </c>
      <c r="I16" s="51">
        <v>4.97</v>
      </c>
      <c r="J16" s="51">
        <v>0.79</v>
      </c>
      <c r="K16" s="51">
        <v>260.60000000000002</v>
      </c>
      <c r="L16" s="51">
        <v>27.65</v>
      </c>
      <c r="M16" s="51">
        <v>84.76</v>
      </c>
      <c r="N16" s="51">
        <v>128.1</v>
      </c>
      <c r="O16" s="51">
        <v>0</v>
      </c>
      <c r="P16" s="51">
        <v>0.38</v>
      </c>
      <c r="Q16" s="51">
        <v>4.3899999999999997</v>
      </c>
    </row>
    <row r="17" spans="1:17" customFormat="1">
      <c r="A17" s="50" t="s">
        <v>378</v>
      </c>
      <c r="B17" s="51">
        <v>13.57</v>
      </c>
      <c r="C17" s="51">
        <v>25.99</v>
      </c>
      <c r="D17" s="51">
        <v>23.36</v>
      </c>
      <c r="E17" s="51">
        <v>5.67</v>
      </c>
      <c r="F17" s="51">
        <v>5.18</v>
      </c>
      <c r="G17" s="51">
        <v>13.88</v>
      </c>
      <c r="H17" s="51">
        <v>6.77</v>
      </c>
      <c r="I17" s="51">
        <v>4.84</v>
      </c>
      <c r="J17" s="51">
        <v>0.95</v>
      </c>
      <c r="K17" s="51">
        <v>260.73</v>
      </c>
      <c r="L17" s="51">
        <v>29.55</v>
      </c>
      <c r="M17" s="51">
        <v>80.099999999999994</v>
      </c>
      <c r="N17" s="51">
        <v>213.1</v>
      </c>
      <c r="O17" s="51">
        <v>0</v>
      </c>
      <c r="P17" s="51">
        <v>0.37</v>
      </c>
      <c r="Q17" s="51">
        <v>4.32</v>
      </c>
    </row>
    <row r="18" spans="1:17" customFormat="1">
      <c r="A18" s="50" t="s">
        <v>379</v>
      </c>
      <c r="B18" s="51">
        <v>11.99</v>
      </c>
      <c r="C18" s="51">
        <v>26.72</v>
      </c>
      <c r="D18" s="51">
        <v>22.51</v>
      </c>
      <c r="E18" s="51">
        <v>5.74</v>
      </c>
      <c r="F18" s="51">
        <v>3.99</v>
      </c>
      <c r="G18" s="51">
        <v>19.399999999999999</v>
      </c>
      <c r="H18" s="51">
        <v>8.2799999999999994</v>
      </c>
      <c r="I18" s="51">
        <v>4.8099999999999996</v>
      </c>
      <c r="J18" s="51">
        <v>0.99</v>
      </c>
      <c r="K18" s="51">
        <v>263.02</v>
      </c>
      <c r="L18" s="51">
        <v>30.56</v>
      </c>
      <c r="M18" s="51">
        <v>74.17</v>
      </c>
      <c r="N18" s="51">
        <v>279.7</v>
      </c>
      <c r="O18" s="51">
        <v>0</v>
      </c>
      <c r="P18" s="51">
        <v>0.38</v>
      </c>
      <c r="Q18" s="51">
        <v>4.25</v>
      </c>
    </row>
    <row r="19" spans="1:17" customFormat="1">
      <c r="A19" s="50" t="s">
        <v>380</v>
      </c>
      <c r="B19" s="51">
        <v>10.65</v>
      </c>
      <c r="C19" s="51">
        <v>24.77</v>
      </c>
      <c r="D19" s="51">
        <v>20.440000000000001</v>
      </c>
      <c r="E19" s="51">
        <v>6.15</v>
      </c>
      <c r="F19" s="51">
        <v>6.94</v>
      </c>
      <c r="G19" s="51">
        <v>19.399999999999999</v>
      </c>
      <c r="H19" s="51">
        <v>11.4</v>
      </c>
      <c r="I19" s="51">
        <v>4.68</v>
      </c>
      <c r="J19" s="51">
        <v>0.87</v>
      </c>
      <c r="K19" s="51">
        <v>264.45999999999998</v>
      </c>
      <c r="L19" s="51">
        <v>31.64</v>
      </c>
      <c r="M19" s="51">
        <v>72.36</v>
      </c>
      <c r="N19" s="51">
        <v>377</v>
      </c>
      <c r="O19" s="51">
        <v>0</v>
      </c>
      <c r="P19" s="51">
        <v>0.37</v>
      </c>
      <c r="Q19" s="51">
        <v>4.1399999999999997</v>
      </c>
    </row>
    <row r="20" spans="1:17" customFormat="1">
      <c r="A20" s="50" t="s">
        <v>381</v>
      </c>
      <c r="B20" s="51">
        <v>8.7200000000000006</v>
      </c>
      <c r="C20" s="51">
        <v>22.14</v>
      </c>
      <c r="D20" s="51">
        <v>17.440000000000001</v>
      </c>
      <c r="E20" s="51">
        <v>5.61</v>
      </c>
      <c r="F20" s="51">
        <v>6.13</v>
      </c>
      <c r="G20" s="51">
        <v>19.39</v>
      </c>
      <c r="H20" s="51">
        <v>11.94</v>
      </c>
      <c r="I20" s="51">
        <v>4.42</v>
      </c>
      <c r="J20" s="51">
        <v>0.82</v>
      </c>
      <c r="K20" s="51">
        <v>259.68</v>
      </c>
      <c r="L20" s="51">
        <v>32.17</v>
      </c>
      <c r="M20" s="51">
        <v>70.459999999999994</v>
      </c>
      <c r="N20" s="51">
        <v>424.7</v>
      </c>
      <c r="O20" s="51">
        <v>0</v>
      </c>
      <c r="P20" s="51">
        <v>0.33</v>
      </c>
      <c r="Q20" s="51">
        <v>3.96</v>
      </c>
    </row>
    <row r="21" spans="1:17" customFormat="1">
      <c r="A21" s="50" t="s">
        <v>382</v>
      </c>
      <c r="B21" s="51">
        <v>7.52</v>
      </c>
      <c r="C21" s="51">
        <v>23.49</v>
      </c>
      <c r="D21" s="51">
        <v>17.25</v>
      </c>
      <c r="E21" s="51">
        <v>5.69</v>
      </c>
      <c r="F21" s="51">
        <v>10.34</v>
      </c>
      <c r="G21" s="51">
        <v>17.71</v>
      </c>
      <c r="H21" s="51">
        <v>11.94</v>
      </c>
      <c r="I21" s="51">
        <v>4.51</v>
      </c>
      <c r="J21" s="51">
        <v>0.78</v>
      </c>
      <c r="K21" s="51">
        <v>263.68</v>
      </c>
      <c r="L21" s="51">
        <v>31.71</v>
      </c>
      <c r="M21" s="51">
        <v>81.17</v>
      </c>
      <c r="N21" s="51">
        <v>597.1</v>
      </c>
      <c r="O21" s="51">
        <v>0.2</v>
      </c>
      <c r="P21" s="51">
        <v>0.35</v>
      </c>
      <c r="Q21" s="51">
        <v>3.94</v>
      </c>
    </row>
    <row r="22" spans="1:17" customFormat="1">
      <c r="A22" s="50" t="s">
        <v>383</v>
      </c>
      <c r="B22" s="51">
        <v>6.71</v>
      </c>
      <c r="C22" s="51">
        <v>21.73</v>
      </c>
      <c r="D22" s="51">
        <v>15.56</v>
      </c>
      <c r="E22" s="51">
        <v>5.89</v>
      </c>
      <c r="F22" s="51">
        <v>7.31</v>
      </c>
      <c r="G22" s="51">
        <v>19.75</v>
      </c>
      <c r="H22" s="51">
        <v>9.99</v>
      </c>
      <c r="I22" s="51">
        <v>4.1100000000000003</v>
      </c>
      <c r="J22" s="51">
        <v>0.78</v>
      </c>
      <c r="K22" s="51">
        <v>267.95</v>
      </c>
      <c r="L22" s="51">
        <v>31.2</v>
      </c>
      <c r="M22" s="51">
        <v>74.44</v>
      </c>
      <c r="N22" s="51">
        <v>343.3</v>
      </c>
      <c r="O22" s="51">
        <v>0</v>
      </c>
      <c r="P22" s="51">
        <v>0.35</v>
      </c>
      <c r="Q22" s="51">
        <v>3.92</v>
      </c>
    </row>
    <row r="23" spans="1:17" customFormat="1">
      <c r="A23" s="50" t="s">
        <v>384</v>
      </c>
      <c r="B23" s="51">
        <v>6.67</v>
      </c>
      <c r="C23" s="51">
        <v>21.77</v>
      </c>
      <c r="D23" s="51">
        <v>15.6</v>
      </c>
      <c r="E23" s="51">
        <v>5.57</v>
      </c>
      <c r="F23" s="51">
        <v>7</v>
      </c>
      <c r="G23" s="51">
        <v>19.75</v>
      </c>
      <c r="H23" s="51">
        <v>9.16</v>
      </c>
      <c r="I23" s="51">
        <v>4.1900000000000004</v>
      </c>
      <c r="J23" s="51">
        <v>0.87</v>
      </c>
      <c r="K23" s="51">
        <v>256.56</v>
      </c>
      <c r="L23" s="51">
        <v>32.81</v>
      </c>
      <c r="M23" s="51">
        <v>69.64</v>
      </c>
      <c r="N23" s="51">
        <v>567.6</v>
      </c>
      <c r="O23" s="51">
        <v>0</v>
      </c>
      <c r="P23" s="51">
        <v>0.35</v>
      </c>
      <c r="Q23" s="51">
        <v>3.86</v>
      </c>
    </row>
    <row r="24" spans="1:17" customFormat="1">
      <c r="A24" s="50" t="s">
        <v>385</v>
      </c>
      <c r="B24" s="51">
        <v>6.59</v>
      </c>
      <c r="C24" s="51">
        <v>21.14</v>
      </c>
      <c r="D24" s="51">
        <v>15.29</v>
      </c>
      <c r="E24" s="51">
        <v>5.13</v>
      </c>
      <c r="F24" s="51">
        <v>8.76</v>
      </c>
      <c r="G24" s="51">
        <v>18.420000000000002</v>
      </c>
      <c r="H24" s="51">
        <v>8.9600000000000009</v>
      </c>
      <c r="I24" s="51">
        <v>4.18</v>
      </c>
      <c r="J24" s="51">
        <v>0.86</v>
      </c>
      <c r="K24" s="51">
        <v>259.88</v>
      </c>
      <c r="L24" s="51">
        <v>32.409999999999997</v>
      </c>
      <c r="M24" s="51">
        <v>66.31</v>
      </c>
      <c r="N24" s="51">
        <v>419.2</v>
      </c>
      <c r="O24" s="51">
        <v>0</v>
      </c>
      <c r="P24" s="51">
        <v>0.33</v>
      </c>
      <c r="Q24" s="51">
        <v>3.84</v>
      </c>
    </row>
    <row r="25" spans="1:17" customFormat="1">
      <c r="A25" s="50" t="s">
        <v>386</v>
      </c>
      <c r="B25" s="51">
        <v>5.77</v>
      </c>
      <c r="C25" s="51">
        <v>21.15</v>
      </c>
      <c r="D25" s="51">
        <v>14.6</v>
      </c>
      <c r="E25" s="51">
        <v>5.5</v>
      </c>
      <c r="F25" s="51">
        <v>10.69</v>
      </c>
      <c r="G25" s="51">
        <v>17.170000000000002</v>
      </c>
      <c r="H25" s="51">
        <v>8.81</v>
      </c>
      <c r="I25" s="51">
        <v>3.89</v>
      </c>
      <c r="J25" s="51">
        <v>0.75</v>
      </c>
      <c r="K25" s="51">
        <v>262.82</v>
      </c>
      <c r="L25" s="51">
        <v>31.97</v>
      </c>
      <c r="M25" s="51">
        <v>67.19</v>
      </c>
      <c r="N25" s="51">
        <v>215.8</v>
      </c>
      <c r="O25" s="51">
        <v>0</v>
      </c>
      <c r="P25" s="51">
        <v>0.35</v>
      </c>
      <c r="Q25" s="51">
        <v>3.85</v>
      </c>
    </row>
    <row r="26" spans="1:17" customFormat="1">
      <c r="A26" s="50" t="s">
        <v>387</v>
      </c>
      <c r="B26" s="51">
        <v>5.86</v>
      </c>
      <c r="C26" s="51">
        <v>19.63</v>
      </c>
      <c r="D26" s="51">
        <v>13.91</v>
      </c>
      <c r="E26" s="51">
        <v>6.08</v>
      </c>
      <c r="F26" s="51">
        <v>16.34</v>
      </c>
      <c r="G26" s="51">
        <v>17.170000000000002</v>
      </c>
      <c r="H26" s="51">
        <v>6.4</v>
      </c>
      <c r="I26" s="51">
        <v>3.92</v>
      </c>
      <c r="J26" s="51">
        <v>0.76</v>
      </c>
      <c r="K26" s="51">
        <v>264.54000000000002</v>
      </c>
      <c r="L26" s="51">
        <v>31.29</v>
      </c>
      <c r="M26" s="51">
        <v>67.42</v>
      </c>
      <c r="N26" s="51">
        <v>79.3</v>
      </c>
      <c r="O26" s="51">
        <v>0</v>
      </c>
      <c r="P26" s="51">
        <v>0.34</v>
      </c>
      <c r="Q26" s="51">
        <v>3.85</v>
      </c>
    </row>
    <row r="27" spans="1:17" customFormat="1">
      <c r="A27" s="50" t="s">
        <v>388</v>
      </c>
      <c r="B27" s="51">
        <v>5.55</v>
      </c>
      <c r="C27" s="51">
        <v>20.59</v>
      </c>
      <c r="D27" s="51">
        <v>14.17</v>
      </c>
      <c r="E27" s="51">
        <v>4.84</v>
      </c>
      <c r="F27" s="51">
        <v>14.42</v>
      </c>
      <c r="G27" s="51">
        <v>17.04</v>
      </c>
      <c r="H27" s="51">
        <v>4.8099999999999996</v>
      </c>
      <c r="I27" s="51">
        <v>3.53</v>
      </c>
      <c r="J27" s="51">
        <v>0.74</v>
      </c>
      <c r="K27" s="51">
        <v>263.48</v>
      </c>
      <c r="L27" s="51">
        <v>30.79</v>
      </c>
      <c r="M27" s="51">
        <v>68.58</v>
      </c>
      <c r="N27" s="51">
        <v>9.5</v>
      </c>
      <c r="O27" s="51">
        <v>0</v>
      </c>
      <c r="P27" s="51">
        <v>0.36</v>
      </c>
      <c r="Q27" s="51">
        <v>3.84</v>
      </c>
    </row>
    <row r="28" spans="1:17" customFormat="1">
      <c r="A28" s="50" t="s">
        <v>389</v>
      </c>
      <c r="B28" s="51">
        <v>5.22</v>
      </c>
      <c r="C28" s="51">
        <v>17.91</v>
      </c>
      <c r="D28" s="51">
        <v>12.5</v>
      </c>
      <c r="E28" s="51">
        <v>4.8099999999999996</v>
      </c>
      <c r="F28" s="51">
        <v>15.7</v>
      </c>
      <c r="G28" s="51">
        <v>16.79</v>
      </c>
      <c r="H28" s="51">
        <v>3.98</v>
      </c>
      <c r="I28" s="51">
        <v>3.73</v>
      </c>
      <c r="J28" s="51">
        <v>0.27</v>
      </c>
      <c r="K28" s="51">
        <v>249.33</v>
      </c>
      <c r="L28" s="51">
        <v>30.43</v>
      </c>
      <c r="M28" s="51">
        <v>72.849999999999994</v>
      </c>
      <c r="N28" s="51">
        <v>0</v>
      </c>
      <c r="O28" s="51">
        <v>0</v>
      </c>
      <c r="P28" s="51">
        <v>0.38</v>
      </c>
      <c r="Q28" s="51">
        <v>3.87</v>
      </c>
    </row>
    <row r="29" spans="1:17" customFormat="1">
      <c r="A29" s="50" t="s">
        <v>390</v>
      </c>
      <c r="B29" s="51">
        <v>6.14</v>
      </c>
      <c r="C29" s="51">
        <v>21.31</v>
      </c>
      <c r="D29" s="51">
        <v>15.02</v>
      </c>
      <c r="E29" s="51">
        <v>5.61</v>
      </c>
      <c r="F29" s="51">
        <v>15.3</v>
      </c>
      <c r="G29" s="51">
        <v>16.79</v>
      </c>
      <c r="H29" s="51">
        <v>6.99</v>
      </c>
      <c r="I29" s="51">
        <v>3.72</v>
      </c>
      <c r="J29" s="51">
        <v>0.35</v>
      </c>
      <c r="K29" s="51">
        <v>260.02</v>
      </c>
      <c r="L29" s="51">
        <v>29.94</v>
      </c>
      <c r="M29" s="51">
        <v>76.319999999999993</v>
      </c>
      <c r="N29" s="51">
        <v>0</v>
      </c>
      <c r="O29" s="51">
        <v>0</v>
      </c>
      <c r="P29" s="51">
        <v>0.39</v>
      </c>
      <c r="Q29" s="51">
        <v>3.93</v>
      </c>
    </row>
    <row r="30" spans="1:17" customFormat="1">
      <c r="A30" s="50" t="s">
        <v>391</v>
      </c>
      <c r="B30" s="51">
        <v>6.75</v>
      </c>
      <c r="C30" s="51">
        <v>21.56</v>
      </c>
      <c r="D30" s="51">
        <v>15.63</v>
      </c>
      <c r="E30" s="51">
        <v>5.96</v>
      </c>
      <c r="F30" s="51">
        <v>13.99</v>
      </c>
      <c r="G30" s="51">
        <v>19.97</v>
      </c>
      <c r="H30" s="51">
        <v>6.99</v>
      </c>
      <c r="I30" s="51">
        <v>4.0999999999999996</v>
      </c>
      <c r="J30" s="51">
        <v>0.5</v>
      </c>
      <c r="K30" s="51">
        <v>266.58</v>
      </c>
      <c r="L30" s="51">
        <v>29.54</v>
      </c>
      <c r="M30" s="51">
        <v>77.8</v>
      </c>
      <c r="N30" s="51">
        <v>0</v>
      </c>
      <c r="O30" s="51">
        <v>0</v>
      </c>
      <c r="P30" s="51">
        <v>0.41</v>
      </c>
      <c r="Q30" s="51">
        <v>3.97</v>
      </c>
    </row>
    <row r="31" spans="1:17" customFormat="1">
      <c r="A31" s="50" t="s">
        <v>392</v>
      </c>
      <c r="B31" s="51">
        <v>7.76</v>
      </c>
      <c r="C31" s="51">
        <v>23.03</v>
      </c>
      <c r="D31" s="51">
        <v>17.21</v>
      </c>
      <c r="E31" s="51">
        <v>5.9</v>
      </c>
      <c r="F31" s="51">
        <v>14.3</v>
      </c>
      <c r="G31" s="51">
        <v>20.51</v>
      </c>
      <c r="H31" s="51">
        <v>9.8000000000000007</v>
      </c>
      <c r="I31" s="51">
        <v>4.16</v>
      </c>
      <c r="J31" s="51">
        <v>0.62</v>
      </c>
      <c r="K31" s="51">
        <v>259.25</v>
      </c>
      <c r="L31" s="51">
        <v>28.94</v>
      </c>
      <c r="M31" s="51">
        <v>81.96</v>
      </c>
      <c r="N31" s="51">
        <v>0</v>
      </c>
      <c r="O31" s="51">
        <v>0</v>
      </c>
      <c r="P31" s="51">
        <v>0.4</v>
      </c>
      <c r="Q31" s="51">
        <v>4.0199999999999996</v>
      </c>
    </row>
    <row r="32" spans="1:17" customFormat="1">
      <c r="A32" s="50" t="s">
        <v>393</v>
      </c>
      <c r="B32" s="51">
        <v>8.36</v>
      </c>
      <c r="C32" s="51">
        <v>24.83</v>
      </c>
      <c r="D32" s="51">
        <v>18.63</v>
      </c>
      <c r="E32" s="51">
        <v>6.29</v>
      </c>
      <c r="F32" s="51">
        <v>10.69</v>
      </c>
      <c r="G32" s="51">
        <v>20.51</v>
      </c>
      <c r="H32" s="51">
        <v>9.8000000000000007</v>
      </c>
      <c r="I32" s="51">
        <v>4.3600000000000003</v>
      </c>
      <c r="J32" s="51">
        <v>0.92</v>
      </c>
      <c r="K32" s="51">
        <v>262.70999999999998</v>
      </c>
      <c r="L32" s="51">
        <v>28.27</v>
      </c>
      <c r="M32" s="51">
        <v>79.73</v>
      </c>
      <c r="N32" s="51">
        <v>0</v>
      </c>
      <c r="O32" s="51">
        <v>0</v>
      </c>
      <c r="P32" s="51">
        <v>0.39</v>
      </c>
      <c r="Q32" s="51">
        <v>4.04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5.22</v>
      </c>
      <c r="C34" s="41">
        <f t="shared" si="0"/>
        <v>17.91</v>
      </c>
      <c r="D34" s="41">
        <f t="shared" si="0"/>
        <v>12.5</v>
      </c>
      <c r="E34" s="41">
        <f t="shared" si="0"/>
        <v>4.8099999999999996</v>
      </c>
      <c r="F34" s="41">
        <f t="shared" si="0"/>
        <v>3.99</v>
      </c>
      <c r="G34" s="41">
        <f t="shared" si="0"/>
        <v>8.07</v>
      </c>
      <c r="H34" s="41">
        <f t="shared" si="0"/>
        <v>2.54</v>
      </c>
      <c r="I34" s="41">
        <f t="shared" si="0"/>
        <v>3.53</v>
      </c>
      <c r="J34" s="41">
        <f t="shared" si="0"/>
        <v>0.15</v>
      </c>
      <c r="K34" s="41">
        <f t="shared" si="0"/>
        <v>200.35</v>
      </c>
      <c r="L34" s="41">
        <f t="shared" si="0"/>
        <v>26.39</v>
      </c>
      <c r="M34" s="41">
        <f t="shared" si="0"/>
        <v>66.31</v>
      </c>
      <c r="N34" s="41">
        <f t="shared" si="0"/>
        <v>0</v>
      </c>
      <c r="O34" s="41">
        <f t="shared" si="0"/>
        <v>0</v>
      </c>
      <c r="P34" s="41">
        <f t="shared" si="0"/>
        <v>0.33</v>
      </c>
      <c r="Q34" s="41">
        <f t="shared" si="0"/>
        <v>3.84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14.14</v>
      </c>
      <c r="C35" s="33">
        <f t="shared" si="1"/>
        <v>27.31</v>
      </c>
      <c r="D35" s="33">
        <f t="shared" si="1"/>
        <v>24.09</v>
      </c>
      <c r="E35" s="33">
        <f t="shared" si="1"/>
        <v>7.14</v>
      </c>
      <c r="F35" s="33">
        <f t="shared" si="1"/>
        <v>16.34</v>
      </c>
      <c r="G35" s="33">
        <f t="shared" si="1"/>
        <v>20.51</v>
      </c>
      <c r="H35" s="33">
        <f t="shared" si="1"/>
        <v>11.94</v>
      </c>
      <c r="I35" s="33">
        <f t="shared" si="1"/>
        <v>5.16</v>
      </c>
      <c r="J35" s="33">
        <f t="shared" si="1"/>
        <v>0.99</v>
      </c>
      <c r="K35" s="33">
        <f t="shared" si="1"/>
        <v>267.95</v>
      </c>
      <c r="L35" s="33">
        <f t="shared" si="1"/>
        <v>32.81</v>
      </c>
      <c r="M35" s="33">
        <f t="shared" si="1"/>
        <v>90.85</v>
      </c>
      <c r="N35" s="33">
        <f t="shared" si="1"/>
        <v>597.1</v>
      </c>
      <c r="O35" s="33">
        <f t="shared" si="1"/>
        <v>0.2</v>
      </c>
      <c r="P35" s="33">
        <f t="shared" si="1"/>
        <v>0.41</v>
      </c>
      <c r="Q35" s="33">
        <f t="shared" si="1"/>
        <v>4.3899999999999997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9.2783333333333342</v>
      </c>
      <c r="C36" s="41">
        <f t="shared" si="2"/>
        <v>23.400416666666668</v>
      </c>
      <c r="D36" s="41">
        <f t="shared" si="2"/>
        <v>18.592916666666667</v>
      </c>
      <c r="E36" s="41">
        <f t="shared" si="2"/>
        <v>5.8441666666666672</v>
      </c>
      <c r="F36" s="41">
        <f t="shared" si="2"/>
        <v>9.3254166666666674</v>
      </c>
      <c r="G36" s="41">
        <f t="shared" si="2"/>
        <v>15.927500000000004</v>
      </c>
      <c r="H36" s="41">
        <f t="shared" si="2"/>
        <v>7.3087500000000007</v>
      </c>
      <c r="I36" s="41">
        <f t="shared" si="2"/>
        <v>4.4333333333333336</v>
      </c>
      <c r="J36" s="41">
        <f t="shared" si="2"/>
        <v>0.61416666666666664</v>
      </c>
      <c r="K36" s="41">
        <f t="shared" si="2"/>
        <v>252.97249999999997</v>
      </c>
      <c r="L36" s="41">
        <f t="shared" si="2"/>
        <v>29.540833333333328</v>
      </c>
      <c r="M36" s="41">
        <f t="shared" si="2"/>
        <v>78.660000000000011</v>
      </c>
      <c r="N36" s="41">
        <f t="shared" si="2"/>
        <v>157.73750000000001</v>
      </c>
      <c r="O36" s="41">
        <f t="shared" si="2"/>
        <v>8.3333333333333332E-3</v>
      </c>
      <c r="P36" s="41">
        <f t="shared" si="2"/>
        <v>0.37083333333333329</v>
      </c>
      <c r="Q36" s="41">
        <f t="shared" si="2"/>
        <v>4.078333333333334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3.088460523593771</v>
      </c>
      <c r="C37" s="41">
        <f t="shared" ref="C37:Q37" si="3">STDEV(C9:C32)</f>
        <v>2.5287399838253499</v>
      </c>
      <c r="D37" s="41">
        <f t="shared" si="3"/>
        <v>3.7198813435571911</v>
      </c>
      <c r="E37" s="41">
        <f t="shared" si="3"/>
        <v>0.55388679322595913</v>
      </c>
      <c r="F37" s="41">
        <f t="shared" si="3"/>
        <v>3.8818921643139848</v>
      </c>
      <c r="G37" s="41">
        <f t="shared" si="3"/>
        <v>3.8678375600979145</v>
      </c>
      <c r="H37" s="41">
        <f t="shared" si="3"/>
        <v>2.6436738477057773</v>
      </c>
      <c r="I37" s="41">
        <f t="shared" si="3"/>
        <v>0.46964988501302801</v>
      </c>
      <c r="J37" s="41">
        <f t="shared" si="3"/>
        <v>0.27988998874040061</v>
      </c>
      <c r="K37" s="41">
        <f t="shared" si="3"/>
        <v>19.255528455146681</v>
      </c>
      <c r="L37" s="41">
        <f t="shared" si="3"/>
        <v>2.1544451856502262</v>
      </c>
      <c r="M37" s="41">
        <f t="shared" si="3"/>
        <v>8.305461272952833</v>
      </c>
      <c r="N37" s="41">
        <f t="shared" si="3"/>
        <v>198.36419253593823</v>
      </c>
      <c r="O37" s="41">
        <f t="shared" si="3"/>
        <v>4.0824829046386311E-2</v>
      </c>
      <c r="P37" s="41">
        <f t="shared" si="3"/>
        <v>2.165272684236846E-2</v>
      </c>
      <c r="Q37" s="41">
        <f t="shared" si="3"/>
        <v>0.19732265932744641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15/07/2023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394</v>
      </c>
      <c r="B9" s="51">
        <v>8.5299999999999994</v>
      </c>
      <c r="C9" s="51">
        <v>24.09</v>
      </c>
      <c r="D9" s="51">
        <v>18.329999999999998</v>
      </c>
      <c r="E9" s="51">
        <v>5.92</v>
      </c>
      <c r="F9" s="51">
        <v>6.35</v>
      </c>
      <c r="G9" s="51">
        <v>17.440000000000001</v>
      </c>
      <c r="H9" s="51">
        <v>7.06</v>
      </c>
      <c r="I9" s="51">
        <v>4.32</v>
      </c>
      <c r="J9" s="51">
        <v>0.7</v>
      </c>
      <c r="K9" s="51">
        <v>264.05</v>
      </c>
      <c r="L9" s="51">
        <v>27.36</v>
      </c>
      <c r="M9" s="51">
        <v>83.44</v>
      </c>
      <c r="N9" s="51">
        <v>0</v>
      </c>
      <c r="O9" s="51">
        <v>0</v>
      </c>
      <c r="P9" s="51">
        <v>0.39</v>
      </c>
      <c r="Q9" s="51">
        <v>4.01</v>
      </c>
    </row>
    <row r="10" spans="1:21" customFormat="1">
      <c r="A10" s="50" t="s">
        <v>395</v>
      </c>
      <c r="B10" s="51">
        <v>8.93</v>
      </c>
      <c r="C10" s="51">
        <v>25.6</v>
      </c>
      <c r="D10" s="51">
        <v>19.489999999999998</v>
      </c>
      <c r="E10" s="51">
        <v>6.01</v>
      </c>
      <c r="F10" s="51">
        <v>6.07</v>
      </c>
      <c r="G10" s="51">
        <v>14.42</v>
      </c>
      <c r="H10" s="51">
        <v>5.01</v>
      </c>
      <c r="I10" s="51">
        <v>4.32</v>
      </c>
      <c r="J10" s="51">
        <v>0.67</v>
      </c>
      <c r="K10" s="51">
        <v>268.33999999999997</v>
      </c>
      <c r="L10" s="51">
        <v>26.91</v>
      </c>
      <c r="M10" s="51">
        <v>85.16</v>
      </c>
      <c r="N10" s="51">
        <v>0</v>
      </c>
      <c r="O10" s="51">
        <v>0</v>
      </c>
      <c r="P10" s="51">
        <v>0.38</v>
      </c>
      <c r="Q10" s="51">
        <v>4.04</v>
      </c>
    </row>
    <row r="11" spans="1:21" customFormat="1">
      <c r="A11" s="50" t="s">
        <v>396</v>
      </c>
      <c r="B11" s="51">
        <v>9.31</v>
      </c>
      <c r="C11" s="51">
        <v>25.46</v>
      </c>
      <c r="D11" s="51">
        <v>19.62</v>
      </c>
      <c r="E11" s="51">
        <v>5.74</v>
      </c>
      <c r="F11" s="51">
        <v>5.34</v>
      </c>
      <c r="G11" s="51">
        <v>12.32</v>
      </c>
      <c r="H11" s="51">
        <v>5.36</v>
      </c>
      <c r="I11" s="51">
        <v>4.2300000000000004</v>
      </c>
      <c r="J11" s="51">
        <v>0.54</v>
      </c>
      <c r="K11" s="51">
        <v>261.85000000000002</v>
      </c>
      <c r="L11" s="51">
        <v>26.72</v>
      </c>
      <c r="M11" s="51">
        <v>85.3</v>
      </c>
      <c r="N11" s="51">
        <v>0</v>
      </c>
      <c r="O11" s="51">
        <v>0</v>
      </c>
      <c r="P11" s="51">
        <v>0.37</v>
      </c>
      <c r="Q11" s="51">
        <v>4.0599999999999996</v>
      </c>
    </row>
    <row r="12" spans="1:21" customFormat="1">
      <c r="A12" s="50" t="s">
        <v>397</v>
      </c>
      <c r="B12" s="51">
        <v>9.4600000000000009</v>
      </c>
      <c r="C12" s="51">
        <v>25.3</v>
      </c>
      <c r="D12" s="51">
        <v>19.760000000000002</v>
      </c>
      <c r="E12" s="51">
        <v>6.21</v>
      </c>
      <c r="F12" s="51">
        <v>5.78</v>
      </c>
      <c r="G12" s="51">
        <v>12.84</v>
      </c>
      <c r="H12" s="51">
        <v>5.36</v>
      </c>
      <c r="I12" s="51">
        <v>4.2</v>
      </c>
      <c r="J12" s="51">
        <v>0.72</v>
      </c>
      <c r="K12" s="51">
        <v>266.20999999999998</v>
      </c>
      <c r="L12" s="51">
        <v>26.65</v>
      </c>
      <c r="M12" s="51">
        <v>85.67</v>
      </c>
      <c r="N12" s="51">
        <v>0</v>
      </c>
      <c r="O12" s="51">
        <v>0</v>
      </c>
      <c r="P12" s="51">
        <v>0.36</v>
      </c>
      <c r="Q12" s="51">
        <v>4.09</v>
      </c>
    </row>
    <row r="13" spans="1:21" customFormat="1">
      <c r="A13" s="50" t="s">
        <v>398</v>
      </c>
      <c r="B13" s="51">
        <v>10.55</v>
      </c>
      <c r="C13" s="51">
        <v>26.52</v>
      </c>
      <c r="D13" s="51">
        <v>21.27</v>
      </c>
      <c r="E13" s="51">
        <v>5.94</v>
      </c>
      <c r="F13" s="51">
        <v>4.7300000000000004</v>
      </c>
      <c r="G13" s="51">
        <v>15.51</v>
      </c>
      <c r="H13" s="51">
        <v>4.4800000000000004</v>
      </c>
      <c r="I13" s="51">
        <v>4.32</v>
      </c>
      <c r="J13" s="51">
        <v>0.55000000000000004</v>
      </c>
      <c r="K13" s="51">
        <v>259.81</v>
      </c>
      <c r="L13" s="51">
        <v>26.66</v>
      </c>
      <c r="M13" s="51">
        <v>85.83</v>
      </c>
      <c r="N13" s="51">
        <v>0</v>
      </c>
      <c r="O13" s="51">
        <v>0</v>
      </c>
      <c r="P13" s="51">
        <v>0.41</v>
      </c>
      <c r="Q13" s="51">
        <v>4.16</v>
      </c>
    </row>
    <row r="14" spans="1:21" customFormat="1">
      <c r="A14" s="50" t="s">
        <v>399</v>
      </c>
      <c r="B14" s="51">
        <v>11.1</v>
      </c>
      <c r="C14" s="51">
        <v>26.42</v>
      </c>
      <c r="D14" s="51">
        <v>21.44</v>
      </c>
      <c r="E14" s="51">
        <v>5.82</v>
      </c>
      <c r="F14" s="51">
        <v>4.6900000000000004</v>
      </c>
      <c r="G14" s="51">
        <v>15.51</v>
      </c>
      <c r="H14" s="51">
        <v>4.16</v>
      </c>
      <c r="I14" s="51">
        <v>4.53</v>
      </c>
      <c r="J14" s="51">
        <v>0.51</v>
      </c>
      <c r="K14" s="51">
        <v>259.85000000000002</v>
      </c>
      <c r="L14" s="51">
        <v>26.5</v>
      </c>
      <c r="M14" s="51">
        <v>86.51</v>
      </c>
      <c r="N14" s="51">
        <v>30.3</v>
      </c>
      <c r="O14" s="51">
        <v>0</v>
      </c>
      <c r="P14" s="51">
        <v>0.41</v>
      </c>
      <c r="Q14" s="51">
        <v>4.1900000000000004</v>
      </c>
    </row>
    <row r="15" spans="1:21" customFormat="1">
      <c r="A15" s="50" t="s">
        <v>400</v>
      </c>
      <c r="B15" s="51">
        <v>11.42</v>
      </c>
      <c r="C15" s="51">
        <v>26.01</v>
      </c>
      <c r="D15" s="51">
        <v>21.62</v>
      </c>
      <c r="E15" s="51">
        <v>6.09</v>
      </c>
      <c r="F15" s="51">
        <v>4.24</v>
      </c>
      <c r="G15" s="51">
        <v>14.9</v>
      </c>
      <c r="H15" s="51">
        <v>3.7</v>
      </c>
      <c r="I15" s="51">
        <v>4.42</v>
      </c>
      <c r="J15" s="51">
        <v>0.67</v>
      </c>
      <c r="K15" s="51">
        <v>265.60000000000002</v>
      </c>
      <c r="L15" s="51">
        <v>26.91</v>
      </c>
      <c r="M15" s="51">
        <v>85.32</v>
      </c>
      <c r="N15" s="51">
        <v>66.5</v>
      </c>
      <c r="O15" s="51">
        <v>0</v>
      </c>
      <c r="P15" s="51">
        <v>0.4</v>
      </c>
      <c r="Q15" s="51">
        <v>4.1900000000000004</v>
      </c>
    </row>
    <row r="16" spans="1:21" customFormat="1">
      <c r="A16" s="50" t="s">
        <v>401</v>
      </c>
      <c r="B16" s="51">
        <v>11.54</v>
      </c>
      <c r="C16" s="51">
        <v>25.49</v>
      </c>
      <c r="D16" s="51">
        <v>21.41</v>
      </c>
      <c r="E16" s="51">
        <v>5.89</v>
      </c>
      <c r="F16" s="51">
        <v>4.66</v>
      </c>
      <c r="G16" s="51">
        <v>12.93</v>
      </c>
      <c r="H16" s="51">
        <v>2.87</v>
      </c>
      <c r="I16" s="51">
        <v>4.3899999999999997</v>
      </c>
      <c r="J16" s="51">
        <v>0.81</v>
      </c>
      <c r="K16" s="51">
        <v>267.14</v>
      </c>
      <c r="L16" s="51">
        <v>27.15</v>
      </c>
      <c r="M16" s="51">
        <v>84.75</v>
      </c>
      <c r="N16" s="51">
        <v>77.900000000000006</v>
      </c>
      <c r="O16" s="51">
        <v>0</v>
      </c>
      <c r="P16" s="51">
        <v>0.39</v>
      </c>
      <c r="Q16" s="51">
        <v>4.21</v>
      </c>
    </row>
    <row r="17" spans="1:17" customFormat="1">
      <c r="A17" s="50" t="s">
        <v>402</v>
      </c>
      <c r="B17" s="51">
        <v>11.44</v>
      </c>
      <c r="C17" s="51">
        <v>24.62</v>
      </c>
      <c r="D17" s="51">
        <v>20.99</v>
      </c>
      <c r="E17" s="51">
        <v>5.76</v>
      </c>
      <c r="F17" s="51">
        <v>4.83</v>
      </c>
      <c r="G17" s="51">
        <v>12.93</v>
      </c>
      <c r="H17" s="51">
        <v>5.26</v>
      </c>
      <c r="I17" s="51">
        <v>4.22</v>
      </c>
      <c r="J17" s="51">
        <v>0.85</v>
      </c>
      <c r="K17" s="51">
        <v>266.94</v>
      </c>
      <c r="L17" s="51">
        <v>28.37</v>
      </c>
      <c r="M17" s="51">
        <v>84.52</v>
      </c>
      <c r="N17" s="51">
        <v>257.8</v>
      </c>
      <c r="O17" s="51">
        <v>0</v>
      </c>
      <c r="P17" s="51">
        <v>0.38</v>
      </c>
      <c r="Q17" s="51">
        <v>4.2</v>
      </c>
    </row>
    <row r="18" spans="1:17" customFormat="1">
      <c r="A18" s="50" t="s">
        <v>403</v>
      </c>
      <c r="B18" s="51">
        <v>10.99</v>
      </c>
      <c r="C18" s="51">
        <v>25.63</v>
      </c>
      <c r="D18" s="51">
        <v>20.93</v>
      </c>
      <c r="E18" s="51">
        <v>6.11</v>
      </c>
      <c r="F18" s="51">
        <v>4.05</v>
      </c>
      <c r="G18" s="51">
        <v>15.93</v>
      </c>
      <c r="H18" s="51">
        <v>7.69</v>
      </c>
      <c r="I18" s="51">
        <v>4.2300000000000004</v>
      </c>
      <c r="J18" s="51">
        <v>0.92</v>
      </c>
      <c r="K18" s="51">
        <v>259.49</v>
      </c>
      <c r="L18" s="51">
        <v>28.37</v>
      </c>
      <c r="M18" s="51">
        <v>83.08</v>
      </c>
      <c r="N18" s="51">
        <v>162.80000000000001</v>
      </c>
      <c r="O18" s="51">
        <v>0</v>
      </c>
      <c r="P18" s="51">
        <v>0.4</v>
      </c>
      <c r="Q18" s="51">
        <v>4.18</v>
      </c>
    </row>
    <row r="19" spans="1:17" customFormat="1">
      <c r="A19" s="50" t="s">
        <v>404</v>
      </c>
      <c r="B19" s="51">
        <v>10.69</v>
      </c>
      <c r="C19" s="51">
        <v>24</v>
      </c>
      <c r="D19" s="51">
        <v>20.07</v>
      </c>
      <c r="E19" s="51">
        <v>6.81</v>
      </c>
      <c r="F19" s="51">
        <v>5.32</v>
      </c>
      <c r="G19" s="51">
        <v>19.600000000000001</v>
      </c>
      <c r="H19" s="51">
        <v>9.23</v>
      </c>
      <c r="I19" s="51">
        <v>4.3499999999999996</v>
      </c>
      <c r="J19" s="51">
        <v>0.91</v>
      </c>
      <c r="K19" s="51">
        <v>263.07</v>
      </c>
      <c r="L19" s="51">
        <v>29.64</v>
      </c>
      <c r="M19" s="51">
        <v>80.98</v>
      </c>
      <c r="N19" s="51">
        <v>409.8</v>
      </c>
      <c r="O19" s="51">
        <v>0</v>
      </c>
      <c r="P19" s="51">
        <v>0.4</v>
      </c>
      <c r="Q19" s="51">
        <v>4.12</v>
      </c>
    </row>
    <row r="20" spans="1:17" customFormat="1">
      <c r="A20" s="50" t="s">
        <v>405</v>
      </c>
      <c r="B20" s="51">
        <v>9.61</v>
      </c>
      <c r="C20" s="51">
        <v>24.12</v>
      </c>
      <c r="D20" s="51">
        <v>19.2</v>
      </c>
      <c r="E20" s="51">
        <v>8.2100000000000009</v>
      </c>
      <c r="F20" s="51">
        <v>7.84</v>
      </c>
      <c r="G20" s="51">
        <v>19.600000000000001</v>
      </c>
      <c r="H20" s="51">
        <v>9.23</v>
      </c>
      <c r="I20" s="51">
        <v>4.3099999999999996</v>
      </c>
      <c r="J20" s="51">
        <v>0.83</v>
      </c>
      <c r="K20" s="51">
        <v>260.85000000000002</v>
      </c>
      <c r="L20" s="51">
        <v>30.73</v>
      </c>
      <c r="M20" s="51">
        <v>76.17</v>
      </c>
      <c r="N20" s="51">
        <v>438.2</v>
      </c>
      <c r="O20" s="51">
        <v>0</v>
      </c>
      <c r="P20" s="51">
        <v>0.43</v>
      </c>
      <c r="Q20" s="51">
        <v>4.09</v>
      </c>
    </row>
    <row r="21" spans="1:17" customFormat="1">
      <c r="A21" s="50" t="s">
        <v>406</v>
      </c>
      <c r="B21" s="51">
        <v>6.61</v>
      </c>
      <c r="C21" s="51">
        <v>21.88</v>
      </c>
      <c r="D21" s="51">
        <v>15.63</v>
      </c>
      <c r="E21" s="51">
        <v>7.9</v>
      </c>
      <c r="F21" s="51">
        <v>5.67</v>
      </c>
      <c r="G21" s="51">
        <v>21.04</v>
      </c>
      <c r="H21" s="51">
        <v>9.65</v>
      </c>
      <c r="I21" s="51">
        <v>4.83</v>
      </c>
      <c r="J21" s="51">
        <v>1.18</v>
      </c>
      <c r="K21" s="51">
        <v>271.76</v>
      </c>
      <c r="L21" s="51">
        <v>31.29</v>
      </c>
      <c r="M21" s="51">
        <v>71.849999999999994</v>
      </c>
      <c r="N21" s="51">
        <v>678.9</v>
      </c>
      <c r="O21" s="51">
        <v>0</v>
      </c>
      <c r="P21" s="51">
        <v>0.49</v>
      </c>
      <c r="Q21" s="51">
        <v>3.89</v>
      </c>
    </row>
    <row r="22" spans="1:17" customFormat="1">
      <c r="A22" s="50" t="s">
        <v>407</v>
      </c>
      <c r="B22" s="51">
        <v>4.8600000000000003</v>
      </c>
      <c r="C22" s="51">
        <v>18.71</v>
      </c>
      <c r="D22" s="51">
        <v>12.63</v>
      </c>
      <c r="E22" s="51">
        <v>10.39</v>
      </c>
      <c r="F22" s="51">
        <v>18.88</v>
      </c>
      <c r="G22" s="51">
        <v>23.06</v>
      </c>
      <c r="H22" s="51">
        <v>9.65</v>
      </c>
      <c r="I22" s="51">
        <v>5.2</v>
      </c>
      <c r="J22" s="51">
        <v>1.44</v>
      </c>
      <c r="K22" s="51">
        <v>301.38</v>
      </c>
      <c r="L22" s="51">
        <v>31.42</v>
      </c>
      <c r="M22" s="51">
        <v>93.32</v>
      </c>
      <c r="N22" s="51">
        <v>559.29999999999995</v>
      </c>
      <c r="O22" s="51">
        <v>3.8</v>
      </c>
      <c r="P22" s="51">
        <v>0.5</v>
      </c>
      <c r="Q22" s="51">
        <v>3.85</v>
      </c>
    </row>
    <row r="23" spans="1:17" customFormat="1">
      <c r="A23" s="50" t="s">
        <v>408</v>
      </c>
      <c r="B23" s="51">
        <v>1.54</v>
      </c>
      <c r="C23" s="51">
        <v>19.77</v>
      </c>
      <c r="D23" s="51">
        <v>10.52</v>
      </c>
      <c r="E23" s="51">
        <v>4.5</v>
      </c>
      <c r="F23" s="51">
        <v>5.01</v>
      </c>
      <c r="G23" s="51">
        <v>23.06</v>
      </c>
      <c r="H23" s="51">
        <v>9.11</v>
      </c>
      <c r="I23" s="51">
        <v>4.37</v>
      </c>
      <c r="J23" s="51">
        <v>0.56000000000000005</v>
      </c>
      <c r="K23" s="51">
        <v>265.51</v>
      </c>
      <c r="L23" s="51">
        <v>25.73</v>
      </c>
      <c r="M23" s="51">
        <v>98.01</v>
      </c>
      <c r="N23" s="51">
        <v>18</v>
      </c>
      <c r="O23" s="51">
        <v>3.6</v>
      </c>
      <c r="P23" s="51">
        <v>0.44</v>
      </c>
      <c r="Q23" s="51">
        <v>3.59</v>
      </c>
    </row>
    <row r="24" spans="1:17" customFormat="1">
      <c r="A24" s="50" t="s">
        <v>409</v>
      </c>
      <c r="B24" s="51">
        <v>2.35</v>
      </c>
      <c r="C24" s="51">
        <v>21.72</v>
      </c>
      <c r="D24" s="51">
        <v>12.18</v>
      </c>
      <c r="E24" s="51">
        <v>5.38</v>
      </c>
      <c r="F24" s="51">
        <v>5.6</v>
      </c>
      <c r="G24" s="51">
        <v>20.350000000000001</v>
      </c>
      <c r="H24" s="51">
        <v>7.31</v>
      </c>
      <c r="I24" s="51">
        <v>4.1900000000000004</v>
      </c>
      <c r="J24" s="51">
        <v>0.45</v>
      </c>
      <c r="K24" s="51">
        <v>258.95999999999998</v>
      </c>
      <c r="L24" s="51">
        <v>25.45</v>
      </c>
      <c r="M24" s="51">
        <v>98.48</v>
      </c>
      <c r="N24" s="51">
        <v>8.5</v>
      </c>
      <c r="O24" s="51">
        <v>1</v>
      </c>
      <c r="P24" s="51">
        <v>0.45</v>
      </c>
      <c r="Q24" s="51">
        <v>3.69</v>
      </c>
    </row>
    <row r="25" spans="1:17" customFormat="1">
      <c r="A25" s="50" t="s">
        <v>410</v>
      </c>
      <c r="B25" s="51">
        <v>4.3899999999999997</v>
      </c>
      <c r="C25" s="51">
        <v>22.52</v>
      </c>
      <c r="D25" s="51">
        <v>13.86</v>
      </c>
      <c r="E25" s="51">
        <v>5.21</v>
      </c>
      <c r="F25" s="51">
        <v>4.09</v>
      </c>
      <c r="G25" s="51">
        <v>18.23</v>
      </c>
      <c r="H25" s="51">
        <v>7.31</v>
      </c>
      <c r="I25" s="51">
        <v>4.3099999999999996</v>
      </c>
      <c r="J25" s="51">
        <v>0.72</v>
      </c>
      <c r="K25" s="51">
        <v>265.39</v>
      </c>
      <c r="L25" s="51">
        <v>25.4</v>
      </c>
      <c r="M25" s="51">
        <v>98.63</v>
      </c>
      <c r="N25" s="51">
        <v>3.7</v>
      </c>
      <c r="O25" s="51">
        <v>1</v>
      </c>
      <c r="P25" s="51">
        <v>0.46</v>
      </c>
      <c r="Q25" s="51">
        <v>3.79</v>
      </c>
    </row>
    <row r="26" spans="1:17" customFormat="1">
      <c r="A26" s="50" t="s">
        <v>411</v>
      </c>
      <c r="B26" s="51">
        <v>7.57</v>
      </c>
      <c r="C26" s="51">
        <v>25.23</v>
      </c>
      <c r="D26" s="51">
        <v>18.21</v>
      </c>
      <c r="E26" s="51">
        <v>6.14</v>
      </c>
      <c r="F26" s="51">
        <v>2.97</v>
      </c>
      <c r="G26" s="51">
        <v>15.29</v>
      </c>
      <c r="H26" s="51">
        <v>5.82</v>
      </c>
      <c r="I26" s="51">
        <v>4.5</v>
      </c>
      <c r="J26" s="51">
        <v>0.97</v>
      </c>
      <c r="K26" s="51">
        <v>318.49</v>
      </c>
      <c r="L26" s="51">
        <v>24.84</v>
      </c>
      <c r="M26" s="51">
        <v>98.65</v>
      </c>
      <c r="N26" s="51">
        <v>0</v>
      </c>
      <c r="O26" s="51">
        <v>1.4</v>
      </c>
      <c r="P26" s="51">
        <v>0.5</v>
      </c>
      <c r="Q26" s="51">
        <v>3.98</v>
      </c>
    </row>
    <row r="27" spans="1:17" customFormat="1">
      <c r="A27" s="50" t="s">
        <v>412</v>
      </c>
      <c r="B27" s="51">
        <v>10.49</v>
      </c>
      <c r="C27" s="51">
        <v>27.03</v>
      </c>
      <c r="D27" s="51">
        <v>20.75</v>
      </c>
      <c r="E27" s="51">
        <v>6.74</v>
      </c>
      <c r="F27" s="51">
        <v>2.37</v>
      </c>
      <c r="G27" s="51">
        <v>12.06</v>
      </c>
      <c r="H27" s="51">
        <v>5.8</v>
      </c>
      <c r="I27" s="51">
        <v>4.68</v>
      </c>
      <c r="J27" s="51">
        <v>0.24</v>
      </c>
      <c r="K27" s="51">
        <v>297.43</v>
      </c>
      <c r="L27" s="51">
        <v>24.06</v>
      </c>
      <c r="M27" s="51">
        <v>98.77</v>
      </c>
      <c r="N27" s="51">
        <v>0</v>
      </c>
      <c r="O27" s="51">
        <v>1.2</v>
      </c>
      <c r="P27" s="51">
        <v>0.51</v>
      </c>
      <c r="Q27" s="51">
        <v>4.13</v>
      </c>
    </row>
    <row r="28" spans="1:17" customFormat="1">
      <c r="A28" s="50" t="s">
        <v>413</v>
      </c>
      <c r="B28" s="51">
        <v>13.88</v>
      </c>
      <c r="C28" s="51">
        <v>28.18</v>
      </c>
      <c r="D28" s="51">
        <v>24.01</v>
      </c>
      <c r="E28" s="51">
        <v>7.34</v>
      </c>
      <c r="F28" s="51">
        <v>2.5499999999999998</v>
      </c>
      <c r="G28" s="51">
        <v>16.079999999999998</v>
      </c>
      <c r="H28" s="51">
        <v>5.8</v>
      </c>
      <c r="I28" s="51">
        <v>5.04</v>
      </c>
      <c r="J28" s="51">
        <v>0.49</v>
      </c>
      <c r="K28" s="51">
        <v>274.93</v>
      </c>
      <c r="L28" s="51">
        <v>24.36</v>
      </c>
      <c r="M28" s="51">
        <v>98.82</v>
      </c>
      <c r="N28" s="51">
        <v>0</v>
      </c>
      <c r="O28" s="51">
        <v>1</v>
      </c>
      <c r="P28" s="51">
        <v>0.53</v>
      </c>
      <c r="Q28" s="51">
        <v>4.3499999999999996</v>
      </c>
    </row>
    <row r="29" spans="1:17" customFormat="1">
      <c r="A29" s="50" t="s">
        <v>414</v>
      </c>
      <c r="B29" s="51">
        <v>14.25</v>
      </c>
      <c r="C29" s="51">
        <v>28.32</v>
      </c>
      <c r="D29" s="51">
        <v>25.18</v>
      </c>
      <c r="E29" s="51">
        <v>7.37</v>
      </c>
      <c r="F29" s="51">
        <v>2.23</v>
      </c>
      <c r="G29" s="51">
        <v>16.079999999999998</v>
      </c>
      <c r="H29" s="51">
        <v>8.08</v>
      </c>
      <c r="I29" s="51">
        <v>5.0999999999999996</v>
      </c>
      <c r="J29" s="51">
        <v>0.42</v>
      </c>
      <c r="K29" s="51">
        <v>257.27999999999997</v>
      </c>
      <c r="L29" s="51">
        <v>24.25</v>
      </c>
      <c r="M29" s="51">
        <v>98.78</v>
      </c>
      <c r="N29" s="51">
        <v>0</v>
      </c>
      <c r="O29" s="51">
        <v>0.2</v>
      </c>
      <c r="P29" s="51">
        <v>0.54</v>
      </c>
      <c r="Q29" s="51">
        <v>4.42</v>
      </c>
    </row>
    <row r="30" spans="1:17" customFormat="1">
      <c r="A30" s="50" t="s">
        <v>415</v>
      </c>
      <c r="B30" s="51">
        <v>15.24</v>
      </c>
      <c r="C30" s="51">
        <v>28.37</v>
      </c>
      <c r="D30" s="51">
        <v>25.8</v>
      </c>
      <c r="E30" s="51">
        <v>7.44</v>
      </c>
      <c r="F30" s="51">
        <v>2.44</v>
      </c>
      <c r="G30" s="51">
        <v>12.84</v>
      </c>
      <c r="H30" s="51">
        <v>8.08</v>
      </c>
      <c r="I30" s="51">
        <v>5.58</v>
      </c>
      <c r="J30" s="51">
        <v>0.75</v>
      </c>
      <c r="K30" s="51">
        <v>263</v>
      </c>
      <c r="L30" s="51">
        <v>24.34</v>
      </c>
      <c r="M30" s="51">
        <v>98.53</v>
      </c>
      <c r="N30" s="51">
        <v>0</v>
      </c>
      <c r="O30" s="51">
        <v>0</v>
      </c>
      <c r="P30" s="51">
        <v>0.56999999999999995</v>
      </c>
      <c r="Q30" s="51">
        <v>4.45</v>
      </c>
    </row>
    <row r="31" spans="1:17" customFormat="1">
      <c r="A31" s="50" t="s">
        <v>416</v>
      </c>
      <c r="B31" s="51">
        <v>15.04</v>
      </c>
      <c r="C31" s="51">
        <v>28.55</v>
      </c>
      <c r="D31" s="51">
        <v>25.67</v>
      </c>
      <c r="E31" s="51">
        <v>7.29</v>
      </c>
      <c r="F31" s="51">
        <v>2.83</v>
      </c>
      <c r="G31" s="51">
        <v>12.73</v>
      </c>
      <c r="H31" s="51">
        <v>5.67</v>
      </c>
      <c r="I31" s="51">
        <v>5.62</v>
      </c>
      <c r="J31" s="51">
        <v>0.8</v>
      </c>
      <c r="K31" s="51">
        <v>262.01</v>
      </c>
      <c r="L31" s="51">
        <v>24.4</v>
      </c>
      <c r="M31" s="51">
        <v>96.63</v>
      </c>
      <c r="N31" s="51">
        <v>0</v>
      </c>
      <c r="O31" s="51">
        <v>0</v>
      </c>
      <c r="P31" s="51">
        <v>0.55000000000000004</v>
      </c>
      <c r="Q31" s="51">
        <v>4.4400000000000004</v>
      </c>
    </row>
    <row r="32" spans="1:17" customFormat="1">
      <c r="A32" s="50" t="s">
        <v>417</v>
      </c>
      <c r="B32" s="51">
        <v>15.21</v>
      </c>
      <c r="C32" s="51">
        <v>28.46</v>
      </c>
      <c r="D32" s="51">
        <v>25.8</v>
      </c>
      <c r="E32" s="51">
        <v>7.68</v>
      </c>
      <c r="F32" s="51">
        <v>2.27</v>
      </c>
      <c r="G32" s="51">
        <v>9.25</v>
      </c>
      <c r="H32" s="51">
        <v>4.34</v>
      </c>
      <c r="I32" s="51">
        <v>5.4</v>
      </c>
      <c r="J32" s="51">
        <v>0.56000000000000005</v>
      </c>
      <c r="K32" s="51">
        <v>266.75</v>
      </c>
      <c r="L32" s="51">
        <v>24.5</v>
      </c>
      <c r="M32" s="51">
        <v>96.71</v>
      </c>
      <c r="N32" s="51">
        <v>0</v>
      </c>
      <c r="O32" s="51">
        <v>0</v>
      </c>
      <c r="P32" s="51">
        <v>0.54</v>
      </c>
      <c r="Q32" s="51">
        <v>4.4400000000000004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1.54</v>
      </c>
      <c r="C34" s="41">
        <f t="shared" si="0"/>
        <v>18.71</v>
      </c>
      <c r="D34" s="41">
        <f t="shared" si="0"/>
        <v>10.52</v>
      </c>
      <c r="E34" s="41">
        <f t="shared" si="0"/>
        <v>4.5</v>
      </c>
      <c r="F34" s="41">
        <f t="shared" si="0"/>
        <v>2.23</v>
      </c>
      <c r="G34" s="41">
        <f t="shared" si="0"/>
        <v>9.25</v>
      </c>
      <c r="H34" s="41">
        <f t="shared" si="0"/>
        <v>2.87</v>
      </c>
      <c r="I34" s="41">
        <f t="shared" si="0"/>
        <v>4.1900000000000004</v>
      </c>
      <c r="J34" s="41">
        <f t="shared" si="0"/>
        <v>0.24</v>
      </c>
      <c r="K34" s="41">
        <f t="shared" si="0"/>
        <v>257.27999999999997</v>
      </c>
      <c r="L34" s="41">
        <f t="shared" si="0"/>
        <v>24.06</v>
      </c>
      <c r="M34" s="41">
        <f t="shared" si="0"/>
        <v>71.849999999999994</v>
      </c>
      <c r="N34" s="41">
        <f t="shared" si="0"/>
        <v>0</v>
      </c>
      <c r="O34" s="41">
        <f t="shared" si="0"/>
        <v>0</v>
      </c>
      <c r="P34" s="41">
        <f t="shared" si="0"/>
        <v>0.36</v>
      </c>
      <c r="Q34" s="41">
        <f t="shared" si="0"/>
        <v>3.59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15.24</v>
      </c>
      <c r="C35" s="33">
        <f t="shared" si="1"/>
        <v>28.55</v>
      </c>
      <c r="D35" s="33">
        <f t="shared" si="1"/>
        <v>25.8</v>
      </c>
      <c r="E35" s="33">
        <f t="shared" si="1"/>
        <v>10.39</v>
      </c>
      <c r="F35" s="33">
        <f t="shared" si="1"/>
        <v>18.88</v>
      </c>
      <c r="G35" s="33">
        <f t="shared" si="1"/>
        <v>23.06</v>
      </c>
      <c r="H35" s="33">
        <f t="shared" si="1"/>
        <v>9.65</v>
      </c>
      <c r="I35" s="33">
        <f t="shared" si="1"/>
        <v>5.62</v>
      </c>
      <c r="J35" s="33">
        <f t="shared" si="1"/>
        <v>1.44</v>
      </c>
      <c r="K35" s="33">
        <f t="shared" si="1"/>
        <v>318.49</v>
      </c>
      <c r="L35" s="33">
        <f t="shared" si="1"/>
        <v>31.42</v>
      </c>
      <c r="M35" s="33">
        <f t="shared" si="1"/>
        <v>98.82</v>
      </c>
      <c r="N35" s="33">
        <f t="shared" si="1"/>
        <v>678.9</v>
      </c>
      <c r="O35" s="33">
        <f t="shared" si="1"/>
        <v>3.8</v>
      </c>
      <c r="P35" s="33">
        <f t="shared" si="1"/>
        <v>0.56999999999999995</v>
      </c>
      <c r="Q35" s="33">
        <f t="shared" si="1"/>
        <v>4.45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9.7916666666666661</v>
      </c>
      <c r="C36" s="41">
        <f t="shared" si="2"/>
        <v>25.083333333333329</v>
      </c>
      <c r="D36" s="41">
        <f t="shared" si="2"/>
        <v>19.765416666666667</v>
      </c>
      <c r="E36" s="41">
        <f t="shared" si="2"/>
        <v>6.5787499999999994</v>
      </c>
      <c r="F36" s="41">
        <f t="shared" si="2"/>
        <v>5.0337499999999995</v>
      </c>
      <c r="G36" s="41">
        <f t="shared" si="2"/>
        <v>16</v>
      </c>
      <c r="H36" s="41">
        <f t="shared" si="2"/>
        <v>6.5012500000000015</v>
      </c>
      <c r="I36" s="41">
        <f t="shared" si="2"/>
        <v>4.6108333333333347</v>
      </c>
      <c r="J36" s="41">
        <f t="shared" si="2"/>
        <v>0.71916666666666662</v>
      </c>
      <c r="K36" s="41">
        <f t="shared" si="2"/>
        <v>269.42041666666671</v>
      </c>
      <c r="L36" s="41">
        <f t="shared" si="2"/>
        <v>26.750416666666666</v>
      </c>
      <c r="M36" s="41">
        <f t="shared" si="2"/>
        <v>89.746249999999989</v>
      </c>
      <c r="N36" s="41">
        <f t="shared" si="2"/>
        <v>112.9875</v>
      </c>
      <c r="O36" s="41">
        <f t="shared" si="2"/>
        <v>0.54999999999999993</v>
      </c>
      <c r="P36" s="41">
        <f t="shared" si="2"/>
        <v>0.45</v>
      </c>
      <c r="Q36" s="41">
        <f t="shared" si="2"/>
        <v>4.1066666666666665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3.7956344107026596</v>
      </c>
      <c r="C37" s="41">
        <f t="shared" ref="C37:Q37" si="3">STDEV(C9:C32)</f>
        <v>2.670495258849293</v>
      </c>
      <c r="D37" s="41">
        <f t="shared" si="3"/>
        <v>4.2781720793558256</v>
      </c>
      <c r="E37" s="41">
        <f t="shared" si="3"/>
        <v>1.2280394856277541</v>
      </c>
      <c r="F37" s="41">
        <f t="shared" si="3"/>
        <v>3.3057641522702115</v>
      </c>
      <c r="G37" s="41">
        <f t="shared" si="3"/>
        <v>3.6464908682422208</v>
      </c>
      <c r="H37" s="41">
        <f t="shared" si="3"/>
        <v>2.0143427291388996</v>
      </c>
      <c r="I37" s="41">
        <f t="shared" si="3"/>
        <v>0.45955476247139326</v>
      </c>
      <c r="J37" s="41">
        <f t="shared" si="3"/>
        <v>0.25717388241635547</v>
      </c>
      <c r="K37" s="41">
        <f t="shared" si="3"/>
        <v>14.979897683275954</v>
      </c>
      <c r="L37" s="41">
        <f t="shared" si="3"/>
        <v>2.2488537740594601</v>
      </c>
      <c r="M37" s="41">
        <f t="shared" si="3"/>
        <v>8.2216129870418904</v>
      </c>
      <c r="N37" s="41">
        <f t="shared" si="3"/>
        <v>201.30791321732249</v>
      </c>
      <c r="O37" s="41">
        <f t="shared" si="3"/>
        <v>1.0750126389550234</v>
      </c>
      <c r="P37" s="41">
        <f t="shared" si="3"/>
        <v>6.5938047339578587E-2</v>
      </c>
      <c r="Q37" s="41">
        <f t="shared" si="3"/>
        <v>0.23087106634517829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16/07/2023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418</v>
      </c>
      <c r="B9" s="51">
        <v>16.079999999999998</v>
      </c>
      <c r="C9" s="51">
        <v>28.33</v>
      </c>
      <c r="D9" s="51">
        <v>26.53</v>
      </c>
      <c r="E9" s="51">
        <v>7.17</v>
      </c>
      <c r="F9" s="51">
        <v>2.48</v>
      </c>
      <c r="G9" s="51">
        <v>6.78</v>
      </c>
      <c r="H9" s="51">
        <v>3.31</v>
      </c>
      <c r="I9" s="51">
        <v>5.73</v>
      </c>
      <c r="J9" s="51">
        <v>0.66</v>
      </c>
      <c r="K9" s="51">
        <v>265.8</v>
      </c>
      <c r="L9" s="51">
        <v>24.67</v>
      </c>
      <c r="M9" s="51">
        <v>96.49</v>
      </c>
      <c r="N9" s="51">
        <v>0</v>
      </c>
      <c r="O9" s="51">
        <v>0</v>
      </c>
      <c r="P9" s="51">
        <v>0.55000000000000004</v>
      </c>
      <c r="Q9" s="51">
        <v>4.43</v>
      </c>
    </row>
    <row r="10" spans="1:21" customFormat="1">
      <c r="A10" s="50" t="s">
        <v>419</v>
      </c>
      <c r="B10" s="51">
        <v>17.04</v>
      </c>
      <c r="C10" s="51">
        <v>28.57</v>
      </c>
      <c r="D10" s="51">
        <v>27.22</v>
      </c>
      <c r="E10" s="51">
        <v>7.62</v>
      </c>
      <c r="F10" s="51">
        <v>2.38</v>
      </c>
      <c r="G10" s="51">
        <v>11.32</v>
      </c>
      <c r="H10" s="51">
        <v>2.93</v>
      </c>
      <c r="I10" s="51">
        <v>5.78</v>
      </c>
      <c r="J10" s="51">
        <v>0.53</v>
      </c>
      <c r="K10" s="51">
        <v>266.69</v>
      </c>
      <c r="L10" s="51">
        <v>24.74</v>
      </c>
      <c r="M10" s="51">
        <v>96.53</v>
      </c>
      <c r="N10" s="51">
        <v>0</v>
      </c>
      <c r="O10" s="51">
        <v>0</v>
      </c>
      <c r="P10" s="51">
        <v>0.54</v>
      </c>
      <c r="Q10" s="51">
        <v>4.46</v>
      </c>
    </row>
    <row r="11" spans="1:21" customFormat="1">
      <c r="A11" s="50" t="s">
        <v>420</v>
      </c>
      <c r="B11" s="51">
        <v>17.54</v>
      </c>
      <c r="C11" s="51">
        <v>28.21</v>
      </c>
      <c r="D11" s="51">
        <v>27.76</v>
      </c>
      <c r="E11" s="51">
        <v>5.56</v>
      </c>
      <c r="F11" s="51">
        <v>2.82</v>
      </c>
      <c r="G11" s="51">
        <v>16.350000000000001</v>
      </c>
      <c r="H11" s="51">
        <v>2.93</v>
      </c>
      <c r="I11" s="51">
        <v>5.79</v>
      </c>
      <c r="J11" s="51">
        <v>0.52</v>
      </c>
      <c r="K11" s="51">
        <v>262.11</v>
      </c>
      <c r="L11" s="51">
        <v>24.73</v>
      </c>
      <c r="M11" s="51">
        <v>96.95</v>
      </c>
      <c r="N11" s="51">
        <v>0</v>
      </c>
      <c r="O11" s="51">
        <v>0</v>
      </c>
      <c r="P11" s="51">
        <v>0.55000000000000004</v>
      </c>
      <c r="Q11" s="51">
        <v>4.5</v>
      </c>
    </row>
    <row r="12" spans="1:21" customFormat="1">
      <c r="A12" s="50" t="s">
        <v>421</v>
      </c>
      <c r="B12" s="51">
        <v>17.84</v>
      </c>
      <c r="C12" s="51">
        <v>28.29</v>
      </c>
      <c r="D12" s="51">
        <v>27.9</v>
      </c>
      <c r="E12" s="51">
        <v>5.69</v>
      </c>
      <c r="F12" s="51">
        <v>2.48</v>
      </c>
      <c r="G12" s="51">
        <v>16.350000000000001</v>
      </c>
      <c r="H12" s="51">
        <v>2.87</v>
      </c>
      <c r="I12" s="51">
        <v>5.87</v>
      </c>
      <c r="J12" s="51">
        <v>0.61</v>
      </c>
      <c r="K12" s="51">
        <v>265.74</v>
      </c>
      <c r="L12" s="51">
        <v>24.63</v>
      </c>
      <c r="M12" s="51">
        <v>96.9</v>
      </c>
      <c r="N12" s="51">
        <v>0</v>
      </c>
      <c r="O12" s="51">
        <v>0.2</v>
      </c>
      <c r="P12" s="51">
        <v>0.54</v>
      </c>
      <c r="Q12" s="51">
        <v>4.53</v>
      </c>
    </row>
    <row r="13" spans="1:21" customFormat="1">
      <c r="A13" s="50" t="s">
        <v>422</v>
      </c>
      <c r="B13" s="51">
        <v>17.8</v>
      </c>
      <c r="C13" s="51">
        <v>28.22</v>
      </c>
      <c r="D13" s="51">
        <v>27.97</v>
      </c>
      <c r="E13" s="51">
        <v>6.11</v>
      </c>
      <c r="F13" s="51">
        <v>2.96</v>
      </c>
      <c r="G13" s="51">
        <v>11.9</v>
      </c>
      <c r="H13" s="51">
        <v>3.24</v>
      </c>
      <c r="I13" s="51">
        <v>5.78</v>
      </c>
      <c r="J13" s="51">
        <v>0.56000000000000005</v>
      </c>
      <c r="K13" s="51">
        <v>262.73</v>
      </c>
      <c r="L13" s="51">
        <v>24.65</v>
      </c>
      <c r="M13" s="51">
        <v>96.9</v>
      </c>
      <c r="N13" s="51">
        <v>0</v>
      </c>
      <c r="O13" s="51">
        <v>0</v>
      </c>
      <c r="P13" s="51">
        <v>0.55000000000000004</v>
      </c>
      <c r="Q13" s="51">
        <v>4.51</v>
      </c>
    </row>
    <row r="14" spans="1:21" customFormat="1">
      <c r="A14" s="50" t="s">
        <v>423</v>
      </c>
      <c r="B14" s="51">
        <v>17.940000000000001</v>
      </c>
      <c r="C14" s="51">
        <v>28.78</v>
      </c>
      <c r="D14" s="51">
        <v>28.34</v>
      </c>
      <c r="E14" s="51">
        <v>6.37</v>
      </c>
      <c r="F14" s="51">
        <v>3.84</v>
      </c>
      <c r="G14" s="51">
        <v>10.33</v>
      </c>
      <c r="H14" s="51">
        <v>3.63</v>
      </c>
      <c r="I14" s="51">
        <v>5.87</v>
      </c>
      <c r="J14" s="51">
        <v>0.82</v>
      </c>
      <c r="K14" s="51">
        <v>262.91000000000003</v>
      </c>
      <c r="L14" s="51">
        <v>24.83</v>
      </c>
      <c r="M14" s="51">
        <v>96.47</v>
      </c>
      <c r="N14" s="51">
        <v>7.4</v>
      </c>
      <c r="O14" s="51">
        <v>0</v>
      </c>
      <c r="P14" s="51">
        <v>0.55000000000000004</v>
      </c>
      <c r="Q14" s="51">
        <v>4.55</v>
      </c>
    </row>
    <row r="15" spans="1:21" customFormat="1">
      <c r="A15" s="50" t="s">
        <v>424</v>
      </c>
      <c r="B15" s="51">
        <v>17.82</v>
      </c>
      <c r="C15" s="51">
        <v>27.81</v>
      </c>
      <c r="D15" s="51">
        <v>27.67</v>
      </c>
      <c r="E15" s="51">
        <v>5.81</v>
      </c>
      <c r="F15" s="51">
        <v>2.6</v>
      </c>
      <c r="G15" s="51">
        <v>10.88</v>
      </c>
      <c r="H15" s="51">
        <v>3.63</v>
      </c>
      <c r="I15" s="51">
        <v>5.68</v>
      </c>
      <c r="J15" s="51">
        <v>0.69</v>
      </c>
      <c r="K15" s="51">
        <v>264.33999999999997</v>
      </c>
      <c r="L15" s="51">
        <v>25.16</v>
      </c>
      <c r="M15" s="51">
        <v>95.73</v>
      </c>
      <c r="N15" s="51">
        <v>41</v>
      </c>
      <c r="O15" s="51">
        <v>0</v>
      </c>
      <c r="P15" s="51">
        <v>0.53</v>
      </c>
      <c r="Q15" s="51">
        <v>4.5199999999999996</v>
      </c>
    </row>
    <row r="16" spans="1:21" customFormat="1">
      <c r="A16" s="50" t="s">
        <v>425</v>
      </c>
      <c r="B16" s="51">
        <v>17.79</v>
      </c>
      <c r="C16" s="51">
        <v>27.71</v>
      </c>
      <c r="D16" s="51">
        <v>27.7</v>
      </c>
      <c r="E16" s="51">
        <v>5.96</v>
      </c>
      <c r="F16" s="51">
        <v>2.88</v>
      </c>
      <c r="G16" s="51">
        <v>10.88</v>
      </c>
      <c r="H16" s="51">
        <v>2.82</v>
      </c>
      <c r="I16" s="51">
        <v>5.66</v>
      </c>
      <c r="J16" s="51">
        <v>0.67</v>
      </c>
      <c r="K16" s="51">
        <v>266.83999999999997</v>
      </c>
      <c r="L16" s="51">
        <v>25.57</v>
      </c>
      <c r="M16" s="51">
        <v>94.87</v>
      </c>
      <c r="N16" s="51">
        <v>120.8</v>
      </c>
      <c r="O16" s="51">
        <v>0</v>
      </c>
      <c r="P16" s="51">
        <v>0.55000000000000004</v>
      </c>
      <c r="Q16" s="51">
        <v>4.53</v>
      </c>
    </row>
    <row r="17" spans="1:17" customFormat="1">
      <c r="A17" s="50" t="s">
        <v>426</v>
      </c>
      <c r="B17" s="51">
        <v>17.77</v>
      </c>
      <c r="C17" s="51">
        <v>27.31</v>
      </c>
      <c r="D17" s="51">
        <v>27.4</v>
      </c>
      <c r="E17" s="51">
        <v>6.01</v>
      </c>
      <c r="F17" s="51">
        <v>2.85</v>
      </c>
      <c r="G17" s="51">
        <v>11.11</v>
      </c>
      <c r="H17" s="51">
        <v>6.37</v>
      </c>
      <c r="I17" s="51">
        <v>5.78</v>
      </c>
      <c r="J17" s="51">
        <v>0.8</v>
      </c>
      <c r="K17" s="51">
        <v>266.36</v>
      </c>
      <c r="L17" s="51">
        <v>26.42</v>
      </c>
      <c r="M17" s="51">
        <v>92.17</v>
      </c>
      <c r="N17" s="51">
        <v>208.1</v>
      </c>
      <c r="O17" s="51">
        <v>0</v>
      </c>
      <c r="P17" s="51">
        <v>0.56999999999999995</v>
      </c>
      <c r="Q17" s="51">
        <v>4.5199999999999996</v>
      </c>
    </row>
    <row r="18" spans="1:17" customFormat="1">
      <c r="A18" s="50" t="s">
        <v>427</v>
      </c>
      <c r="B18" s="51">
        <v>17.45</v>
      </c>
      <c r="C18" s="51">
        <v>27.43</v>
      </c>
      <c r="D18" s="51">
        <v>27.17</v>
      </c>
      <c r="E18" s="51">
        <v>5.81</v>
      </c>
      <c r="F18" s="51">
        <v>3.06</v>
      </c>
      <c r="G18" s="51">
        <v>21.37</v>
      </c>
      <c r="H18" s="51">
        <v>7.63</v>
      </c>
      <c r="I18" s="51">
        <v>6.06</v>
      </c>
      <c r="J18" s="51">
        <v>0.64</v>
      </c>
      <c r="K18" s="51">
        <v>266.5</v>
      </c>
      <c r="L18" s="51">
        <v>27.19</v>
      </c>
      <c r="M18" s="51">
        <v>90.37</v>
      </c>
      <c r="N18" s="51">
        <v>254.7</v>
      </c>
      <c r="O18" s="51">
        <v>0</v>
      </c>
      <c r="P18" s="51">
        <v>0.59</v>
      </c>
      <c r="Q18" s="51">
        <v>4.4800000000000004</v>
      </c>
    </row>
    <row r="19" spans="1:17" customFormat="1">
      <c r="A19" s="50" t="s">
        <v>428</v>
      </c>
      <c r="B19" s="51">
        <v>17.100000000000001</v>
      </c>
      <c r="C19" s="51">
        <v>25.94</v>
      </c>
      <c r="D19" s="51">
        <v>26.22</v>
      </c>
      <c r="E19" s="51">
        <v>5.64</v>
      </c>
      <c r="F19" s="51">
        <v>4.7</v>
      </c>
      <c r="G19" s="51">
        <v>21.37</v>
      </c>
      <c r="H19" s="51">
        <v>7.9</v>
      </c>
      <c r="I19" s="51">
        <v>6.26</v>
      </c>
      <c r="J19" s="51">
        <v>0.68</v>
      </c>
      <c r="K19" s="51">
        <v>268.93</v>
      </c>
      <c r="L19" s="51">
        <v>28.27</v>
      </c>
      <c r="M19" s="51">
        <v>86.79</v>
      </c>
      <c r="N19" s="51">
        <v>344.7</v>
      </c>
      <c r="O19" s="51">
        <v>0</v>
      </c>
      <c r="P19" s="51">
        <v>0.6</v>
      </c>
      <c r="Q19" s="51">
        <v>4.4400000000000004</v>
      </c>
    </row>
    <row r="20" spans="1:17" customFormat="1">
      <c r="A20" s="50" t="s">
        <v>429</v>
      </c>
      <c r="B20" s="51">
        <v>15.58</v>
      </c>
      <c r="C20" s="51">
        <v>27.51</v>
      </c>
      <c r="D20" s="51">
        <v>25.82</v>
      </c>
      <c r="E20" s="51">
        <v>5.92</v>
      </c>
      <c r="F20" s="51">
        <v>6.72</v>
      </c>
      <c r="G20" s="51">
        <v>20.69</v>
      </c>
      <c r="H20" s="51">
        <v>7.9</v>
      </c>
      <c r="I20" s="51">
        <v>6.62</v>
      </c>
      <c r="J20" s="51">
        <v>0.78</v>
      </c>
      <c r="K20" s="51">
        <v>261.41000000000003</v>
      </c>
      <c r="L20" s="51">
        <v>28.6</v>
      </c>
      <c r="M20" s="51">
        <v>85.61</v>
      </c>
      <c r="N20" s="51">
        <v>276.5</v>
      </c>
      <c r="O20" s="51">
        <v>0</v>
      </c>
      <c r="P20" s="51">
        <v>0.64</v>
      </c>
      <c r="Q20" s="51">
        <v>4.4400000000000004</v>
      </c>
    </row>
    <row r="21" spans="1:17" customFormat="1">
      <c r="A21" s="50" t="s">
        <v>430</v>
      </c>
      <c r="B21" s="51">
        <v>13.16</v>
      </c>
      <c r="C21" s="51">
        <v>26.74</v>
      </c>
      <c r="D21" s="51">
        <v>23.21</v>
      </c>
      <c r="E21" s="51">
        <v>5.32</v>
      </c>
      <c r="F21" s="51">
        <v>6.4</v>
      </c>
      <c r="G21" s="51">
        <v>19.53</v>
      </c>
      <c r="H21" s="51">
        <v>5.65</v>
      </c>
      <c r="I21" s="51">
        <v>6.69</v>
      </c>
      <c r="J21" s="51">
        <v>0.97</v>
      </c>
      <c r="K21" s="51">
        <v>267.01</v>
      </c>
      <c r="L21" s="51">
        <v>28.73</v>
      </c>
      <c r="M21" s="51">
        <v>81.97</v>
      </c>
      <c r="N21" s="51">
        <v>238.9</v>
      </c>
      <c r="O21" s="51">
        <v>0</v>
      </c>
      <c r="P21" s="51">
        <v>0.67</v>
      </c>
      <c r="Q21" s="51">
        <v>4.2699999999999996</v>
      </c>
    </row>
    <row r="22" spans="1:17" customFormat="1">
      <c r="A22" s="50" t="s">
        <v>431</v>
      </c>
      <c r="B22" s="51">
        <v>11.47</v>
      </c>
      <c r="C22" s="51">
        <v>26.62</v>
      </c>
      <c r="D22" s="51">
        <v>21.57</v>
      </c>
      <c r="E22" s="51">
        <v>5.41</v>
      </c>
      <c r="F22" s="51">
        <v>5.68</v>
      </c>
      <c r="G22" s="51">
        <v>19.28</v>
      </c>
      <c r="H22" s="51">
        <v>5.86</v>
      </c>
      <c r="I22" s="51">
        <v>6.55</v>
      </c>
      <c r="J22" s="51">
        <v>0.93</v>
      </c>
      <c r="K22" s="51">
        <v>273.05</v>
      </c>
      <c r="L22" s="51">
        <v>28.47</v>
      </c>
      <c r="M22" s="51">
        <v>86.13</v>
      </c>
      <c r="N22" s="51">
        <v>159</v>
      </c>
      <c r="O22" s="51">
        <v>0.2</v>
      </c>
      <c r="P22" s="51">
        <v>0.67</v>
      </c>
      <c r="Q22" s="51">
        <v>4.1399999999999997</v>
      </c>
    </row>
    <row r="23" spans="1:17" customFormat="1">
      <c r="A23" s="50" t="s">
        <v>432</v>
      </c>
      <c r="B23" s="51">
        <v>10.48</v>
      </c>
      <c r="C23" s="51">
        <v>27.39</v>
      </c>
      <c r="D23" s="51">
        <v>21.67</v>
      </c>
      <c r="E23" s="51">
        <v>5.6</v>
      </c>
      <c r="F23" s="51">
        <v>7.21</v>
      </c>
      <c r="G23" s="51">
        <v>20.07</v>
      </c>
      <c r="H23" s="51">
        <v>5.86</v>
      </c>
      <c r="I23" s="51">
        <v>6.55</v>
      </c>
      <c r="J23" s="51">
        <v>0.75</v>
      </c>
      <c r="K23" s="51">
        <v>263.57</v>
      </c>
      <c r="L23" s="51">
        <v>28.42</v>
      </c>
      <c r="M23" s="51">
        <v>85.89</v>
      </c>
      <c r="N23" s="51">
        <v>268.5</v>
      </c>
      <c r="O23" s="51">
        <v>0.2</v>
      </c>
      <c r="P23" s="51">
        <v>0.71</v>
      </c>
      <c r="Q23" s="51">
        <v>4.13</v>
      </c>
    </row>
    <row r="24" spans="1:17" customFormat="1">
      <c r="A24" s="50" t="s">
        <v>433</v>
      </c>
      <c r="B24" s="51">
        <v>10.53</v>
      </c>
      <c r="C24" s="51">
        <v>23.62</v>
      </c>
      <c r="D24" s="51">
        <v>19.73</v>
      </c>
      <c r="E24" s="51">
        <v>6.97</v>
      </c>
      <c r="F24" s="51">
        <v>6.93</v>
      </c>
      <c r="G24" s="51">
        <v>20.07</v>
      </c>
      <c r="H24" s="51">
        <v>6.79</v>
      </c>
      <c r="I24" s="51">
        <v>6.58</v>
      </c>
      <c r="J24" s="51">
        <v>1.04</v>
      </c>
      <c r="K24" s="51">
        <v>270.29000000000002</v>
      </c>
      <c r="L24" s="51">
        <v>28.96</v>
      </c>
      <c r="M24" s="51">
        <v>81.8</v>
      </c>
      <c r="N24" s="51">
        <v>239</v>
      </c>
      <c r="O24" s="51">
        <v>0</v>
      </c>
      <c r="P24" s="51">
        <v>0.72</v>
      </c>
      <c r="Q24" s="51">
        <v>4.07</v>
      </c>
    </row>
    <row r="25" spans="1:17" customFormat="1">
      <c r="A25" s="50" t="s">
        <v>434</v>
      </c>
      <c r="B25" s="51">
        <v>10.130000000000001</v>
      </c>
      <c r="C25" s="51">
        <v>26.83</v>
      </c>
      <c r="D25" s="51">
        <v>21.1</v>
      </c>
      <c r="E25" s="51">
        <v>5.65</v>
      </c>
      <c r="F25" s="51">
        <v>7.98</v>
      </c>
      <c r="G25" s="51">
        <v>17.14</v>
      </c>
      <c r="H25" s="51">
        <v>6.79</v>
      </c>
      <c r="I25" s="51">
        <v>6.37</v>
      </c>
      <c r="J25" s="51">
        <v>1.03</v>
      </c>
      <c r="K25" s="51">
        <v>263.55</v>
      </c>
      <c r="L25" s="51">
        <v>28.78</v>
      </c>
      <c r="M25" s="51">
        <v>80.930000000000007</v>
      </c>
      <c r="N25" s="51">
        <v>129.9</v>
      </c>
      <c r="O25" s="51">
        <v>0</v>
      </c>
      <c r="P25" s="51">
        <v>0.71</v>
      </c>
      <c r="Q25" s="51">
        <v>4.09</v>
      </c>
    </row>
    <row r="26" spans="1:17" customFormat="1">
      <c r="A26" s="50" t="s">
        <v>435</v>
      </c>
      <c r="B26" s="51">
        <v>9.57</v>
      </c>
      <c r="C26" s="51">
        <v>24.57</v>
      </c>
      <c r="D26" s="51">
        <v>19.46</v>
      </c>
      <c r="E26" s="51">
        <v>5.0999999999999996</v>
      </c>
      <c r="F26" s="51">
        <v>7.48</v>
      </c>
      <c r="G26" s="51">
        <v>16.68</v>
      </c>
      <c r="H26" s="51">
        <v>5.23</v>
      </c>
      <c r="I26" s="51">
        <v>5.83</v>
      </c>
      <c r="J26" s="51">
        <v>1.1399999999999999</v>
      </c>
      <c r="K26" s="51">
        <v>263.57</v>
      </c>
      <c r="L26" s="51">
        <v>28.57</v>
      </c>
      <c r="M26" s="51">
        <v>80.53</v>
      </c>
      <c r="N26" s="51">
        <v>126.3</v>
      </c>
      <c r="O26" s="51">
        <v>0</v>
      </c>
      <c r="P26" s="51">
        <v>0.65</v>
      </c>
      <c r="Q26" s="51">
        <v>4.05</v>
      </c>
    </row>
    <row r="27" spans="1:17" customFormat="1">
      <c r="A27" s="50" t="s">
        <v>436</v>
      </c>
      <c r="B27" s="51">
        <v>9.06</v>
      </c>
      <c r="C27" s="51">
        <v>24.22</v>
      </c>
      <c r="D27" s="51">
        <v>18.84</v>
      </c>
      <c r="E27" s="51">
        <v>5.63</v>
      </c>
      <c r="F27" s="51">
        <v>7.39</v>
      </c>
      <c r="G27" s="51">
        <v>12.59</v>
      </c>
      <c r="H27" s="51">
        <v>5.23</v>
      </c>
      <c r="I27" s="51">
        <v>5.36</v>
      </c>
      <c r="J27" s="51">
        <v>1.1200000000000001</v>
      </c>
      <c r="K27" s="51">
        <v>263.27</v>
      </c>
      <c r="L27" s="51">
        <v>27.84</v>
      </c>
      <c r="M27" s="51">
        <v>82.58</v>
      </c>
      <c r="N27" s="51">
        <v>16.3</v>
      </c>
      <c r="O27" s="51">
        <v>0</v>
      </c>
      <c r="P27" s="51">
        <v>0.59</v>
      </c>
      <c r="Q27" s="51">
        <v>3.98</v>
      </c>
    </row>
    <row r="28" spans="1:17" customFormat="1">
      <c r="A28" s="50" t="s">
        <v>437</v>
      </c>
      <c r="B28" s="51">
        <v>8.77</v>
      </c>
      <c r="C28" s="51">
        <v>24.24</v>
      </c>
      <c r="D28" s="51">
        <v>18.600000000000001</v>
      </c>
      <c r="E28" s="51">
        <v>5.25</v>
      </c>
      <c r="F28" s="51">
        <v>4.95</v>
      </c>
      <c r="G28" s="51">
        <v>12.36</v>
      </c>
      <c r="H28" s="51">
        <v>3.88</v>
      </c>
      <c r="I28" s="51">
        <v>5.05</v>
      </c>
      <c r="J28" s="51">
        <v>0.97</v>
      </c>
      <c r="K28" s="51">
        <v>264.63</v>
      </c>
      <c r="L28" s="51">
        <v>27.35</v>
      </c>
      <c r="M28" s="51">
        <v>88.62</v>
      </c>
      <c r="N28" s="51">
        <v>0</v>
      </c>
      <c r="O28" s="51">
        <v>0</v>
      </c>
      <c r="P28" s="51">
        <v>0.56999999999999995</v>
      </c>
      <c r="Q28" s="51">
        <v>3.95</v>
      </c>
    </row>
    <row r="29" spans="1:17" customFormat="1">
      <c r="A29" s="50" t="s">
        <v>438</v>
      </c>
      <c r="B29" s="51">
        <v>9.34</v>
      </c>
      <c r="C29" s="51">
        <v>25.02</v>
      </c>
      <c r="D29" s="51">
        <v>19.22</v>
      </c>
      <c r="E29" s="51">
        <v>4.96</v>
      </c>
      <c r="F29" s="51">
        <v>4.53</v>
      </c>
      <c r="G29" s="51">
        <v>12.36</v>
      </c>
      <c r="H29" s="51">
        <v>3.54</v>
      </c>
      <c r="I29" s="51">
        <v>4.9400000000000004</v>
      </c>
      <c r="J29" s="51">
        <v>1.01</v>
      </c>
      <c r="K29" s="51">
        <v>264.70999999999998</v>
      </c>
      <c r="L29" s="51">
        <v>26.36</v>
      </c>
      <c r="M29" s="51">
        <v>94.29</v>
      </c>
      <c r="N29" s="51">
        <v>0</v>
      </c>
      <c r="O29" s="51">
        <v>0.6</v>
      </c>
      <c r="P29" s="51">
        <v>0.56000000000000005</v>
      </c>
      <c r="Q29" s="51">
        <v>3.96</v>
      </c>
    </row>
    <row r="30" spans="1:17" customFormat="1">
      <c r="A30" s="50" t="s">
        <v>439</v>
      </c>
      <c r="B30" s="51">
        <v>10.08</v>
      </c>
      <c r="C30" s="51">
        <v>24.75</v>
      </c>
      <c r="D30" s="51">
        <v>19.97</v>
      </c>
      <c r="E30" s="51">
        <v>5.67</v>
      </c>
      <c r="F30" s="51">
        <v>3.94</v>
      </c>
      <c r="G30" s="51">
        <v>11.51</v>
      </c>
      <c r="H30" s="51">
        <v>6.73</v>
      </c>
      <c r="I30" s="51">
        <v>4.8600000000000003</v>
      </c>
      <c r="J30" s="51">
        <v>1.08</v>
      </c>
      <c r="K30" s="51">
        <v>261.3</v>
      </c>
      <c r="L30" s="51">
        <v>25.74</v>
      </c>
      <c r="M30" s="51">
        <v>94.81</v>
      </c>
      <c r="N30" s="51">
        <v>0</v>
      </c>
      <c r="O30" s="51">
        <v>0.4</v>
      </c>
      <c r="P30" s="51">
        <v>0.54</v>
      </c>
      <c r="Q30" s="51">
        <v>4.04</v>
      </c>
    </row>
    <row r="31" spans="1:17" customFormat="1">
      <c r="A31" s="50" t="s">
        <v>440</v>
      </c>
      <c r="B31" s="51">
        <v>10.64</v>
      </c>
      <c r="C31" s="51">
        <v>24.73</v>
      </c>
      <c r="D31" s="51">
        <v>20.14</v>
      </c>
      <c r="E31" s="51">
        <v>5.65</v>
      </c>
      <c r="F31" s="51">
        <v>2.93</v>
      </c>
      <c r="G31" s="51">
        <v>10.14</v>
      </c>
      <c r="H31" s="51">
        <v>6.73</v>
      </c>
      <c r="I31" s="51">
        <v>4.72</v>
      </c>
      <c r="J31" s="51">
        <v>0.94</v>
      </c>
      <c r="K31" s="51">
        <v>263.35000000000002</v>
      </c>
      <c r="L31" s="51">
        <v>25.29</v>
      </c>
      <c r="M31" s="51">
        <v>96.16</v>
      </c>
      <c r="N31" s="51">
        <v>0</v>
      </c>
      <c r="O31" s="51">
        <v>0.4</v>
      </c>
      <c r="P31" s="51">
        <v>0.5</v>
      </c>
      <c r="Q31" s="51">
        <v>4.08</v>
      </c>
    </row>
    <row r="32" spans="1:17" customFormat="1">
      <c r="A32" s="50" t="s">
        <v>441</v>
      </c>
      <c r="B32" s="51">
        <v>11.46</v>
      </c>
      <c r="C32" s="51">
        <v>25.3</v>
      </c>
      <c r="D32" s="51">
        <v>21.36</v>
      </c>
      <c r="E32" s="51">
        <v>5.65</v>
      </c>
      <c r="F32" s="51">
        <v>2.44</v>
      </c>
      <c r="G32" s="51">
        <v>9.8000000000000007</v>
      </c>
      <c r="H32" s="51">
        <v>6.33</v>
      </c>
      <c r="I32" s="51">
        <v>4.54</v>
      </c>
      <c r="J32" s="51">
        <v>0.83</v>
      </c>
      <c r="K32" s="51">
        <v>264.07</v>
      </c>
      <c r="L32" s="51">
        <v>25.08</v>
      </c>
      <c r="M32" s="51">
        <v>96.49</v>
      </c>
      <c r="N32" s="51">
        <v>0</v>
      </c>
      <c r="O32" s="51">
        <v>2</v>
      </c>
      <c r="P32" s="51">
        <v>0.51</v>
      </c>
      <c r="Q32" s="51">
        <v>4.13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8.77</v>
      </c>
      <c r="C34" s="41">
        <f t="shared" si="0"/>
        <v>23.62</v>
      </c>
      <c r="D34" s="41">
        <f t="shared" si="0"/>
        <v>18.600000000000001</v>
      </c>
      <c r="E34" s="41">
        <f t="shared" si="0"/>
        <v>4.96</v>
      </c>
      <c r="F34" s="41">
        <f t="shared" si="0"/>
        <v>2.38</v>
      </c>
      <c r="G34" s="41">
        <f t="shared" si="0"/>
        <v>6.78</v>
      </c>
      <c r="H34" s="41">
        <f t="shared" si="0"/>
        <v>2.82</v>
      </c>
      <c r="I34" s="41">
        <f t="shared" si="0"/>
        <v>4.54</v>
      </c>
      <c r="J34" s="41">
        <f t="shared" si="0"/>
        <v>0.52</v>
      </c>
      <c r="K34" s="41">
        <f t="shared" si="0"/>
        <v>261.3</v>
      </c>
      <c r="L34" s="41">
        <f t="shared" si="0"/>
        <v>24.63</v>
      </c>
      <c r="M34" s="41">
        <f t="shared" si="0"/>
        <v>80.53</v>
      </c>
      <c r="N34" s="41">
        <f t="shared" si="0"/>
        <v>0</v>
      </c>
      <c r="O34" s="41">
        <f t="shared" si="0"/>
        <v>0</v>
      </c>
      <c r="P34" s="41">
        <f t="shared" si="0"/>
        <v>0.5</v>
      </c>
      <c r="Q34" s="41">
        <f t="shared" si="0"/>
        <v>3.95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17.940000000000001</v>
      </c>
      <c r="C35" s="33">
        <f t="shared" si="1"/>
        <v>28.78</v>
      </c>
      <c r="D35" s="33">
        <f t="shared" si="1"/>
        <v>28.34</v>
      </c>
      <c r="E35" s="33">
        <f t="shared" si="1"/>
        <v>7.62</v>
      </c>
      <c r="F35" s="33">
        <f t="shared" si="1"/>
        <v>7.98</v>
      </c>
      <c r="G35" s="33">
        <f t="shared" si="1"/>
        <v>21.37</v>
      </c>
      <c r="H35" s="33">
        <f t="shared" si="1"/>
        <v>7.9</v>
      </c>
      <c r="I35" s="33">
        <f t="shared" si="1"/>
        <v>6.69</v>
      </c>
      <c r="J35" s="33">
        <f t="shared" si="1"/>
        <v>1.1399999999999999</v>
      </c>
      <c r="K35" s="33">
        <f t="shared" si="1"/>
        <v>273.05</v>
      </c>
      <c r="L35" s="33">
        <f t="shared" si="1"/>
        <v>28.96</v>
      </c>
      <c r="M35" s="33">
        <f t="shared" si="1"/>
        <v>96.95</v>
      </c>
      <c r="N35" s="33">
        <f t="shared" si="1"/>
        <v>344.7</v>
      </c>
      <c r="O35" s="33">
        <f t="shared" si="1"/>
        <v>2</v>
      </c>
      <c r="P35" s="33">
        <f t="shared" si="1"/>
        <v>0.72</v>
      </c>
      <c r="Q35" s="33">
        <f t="shared" si="1"/>
        <v>4.55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13.851666666666661</v>
      </c>
      <c r="C36" s="41">
        <f t="shared" si="2"/>
        <v>26.589166666666667</v>
      </c>
      <c r="D36" s="41">
        <f t="shared" si="2"/>
        <v>23.857083333333335</v>
      </c>
      <c r="E36" s="41">
        <f t="shared" si="2"/>
        <v>5.8554166666666667</v>
      </c>
      <c r="F36" s="41">
        <f t="shared" si="2"/>
        <v>4.484583333333334</v>
      </c>
      <c r="G36" s="41">
        <f t="shared" si="2"/>
        <v>14.619166666666665</v>
      </c>
      <c r="H36" s="41">
        <f t="shared" si="2"/>
        <v>5.1575000000000015</v>
      </c>
      <c r="I36" s="41">
        <f t="shared" si="2"/>
        <v>5.7883333333333331</v>
      </c>
      <c r="J36" s="41">
        <f t="shared" si="2"/>
        <v>0.82374999999999998</v>
      </c>
      <c r="K36" s="41">
        <f t="shared" si="2"/>
        <v>265.11375000000004</v>
      </c>
      <c r="L36" s="41">
        <f t="shared" si="2"/>
        <v>26.627083333333331</v>
      </c>
      <c r="M36" s="41">
        <f t="shared" si="2"/>
        <v>90.66583333333331</v>
      </c>
      <c r="N36" s="41">
        <f t="shared" si="2"/>
        <v>101.29583333333336</v>
      </c>
      <c r="O36" s="41">
        <f t="shared" si="2"/>
        <v>0.16666666666666666</v>
      </c>
      <c r="P36" s="41">
        <f t="shared" si="2"/>
        <v>0.59</v>
      </c>
      <c r="Q36" s="41">
        <f t="shared" si="2"/>
        <v>4.2833333333333323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3.6723309345365021</v>
      </c>
      <c r="C37" s="41">
        <f t="shared" ref="C37:Q37" si="3">STDEV(C9:C32)</f>
        <v>1.6270403021829893</v>
      </c>
      <c r="D37" s="41">
        <f t="shared" si="3"/>
        <v>3.6901060184683261</v>
      </c>
      <c r="E37" s="41">
        <f t="shared" si="3"/>
        <v>0.62966505358813118</v>
      </c>
      <c r="F37" s="41">
        <f t="shared" si="3"/>
        <v>1.9682015166503959</v>
      </c>
      <c r="G37" s="41">
        <f t="shared" si="3"/>
        <v>4.4504166064554553</v>
      </c>
      <c r="H37" s="41">
        <f t="shared" si="3"/>
        <v>1.7710405931566573</v>
      </c>
      <c r="I37" s="41">
        <f t="shared" si="3"/>
        <v>0.6249498530606914</v>
      </c>
      <c r="J37" s="41">
        <f t="shared" si="3"/>
        <v>0.1944403898818127</v>
      </c>
      <c r="K37" s="41">
        <f t="shared" si="3"/>
        <v>2.8081431471259743</v>
      </c>
      <c r="L37" s="41">
        <f t="shared" si="3"/>
        <v>1.6714598648217962</v>
      </c>
      <c r="M37" s="41">
        <f t="shared" si="3"/>
        <v>6.1310988565190385</v>
      </c>
      <c r="N37" s="41">
        <f t="shared" si="3"/>
        <v>117.61673009940105</v>
      </c>
      <c r="O37" s="41">
        <f t="shared" si="3"/>
        <v>0.42392233360314507</v>
      </c>
      <c r="P37" s="41">
        <f t="shared" si="3"/>
        <v>6.593804733957917E-2</v>
      </c>
      <c r="Q37" s="41">
        <f t="shared" si="3"/>
        <v>0.2242798458965192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17/07/2023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442</v>
      </c>
      <c r="B9" s="51">
        <v>10.36</v>
      </c>
      <c r="C9" s="51">
        <v>24.21</v>
      </c>
      <c r="D9" s="51">
        <v>19.61</v>
      </c>
      <c r="E9" s="51">
        <v>5.75</v>
      </c>
      <c r="F9" s="51">
        <v>2.81</v>
      </c>
      <c r="G9" s="51">
        <v>7.32</v>
      </c>
      <c r="H9" s="51">
        <v>4.4800000000000004</v>
      </c>
      <c r="I9" s="51">
        <v>4.4400000000000004</v>
      </c>
      <c r="J9" s="51">
        <v>0.96</v>
      </c>
      <c r="K9" s="51">
        <v>261.82</v>
      </c>
      <c r="L9" s="51">
        <v>24.73</v>
      </c>
      <c r="M9" s="51">
        <v>97.91</v>
      </c>
      <c r="N9" s="51">
        <v>0</v>
      </c>
      <c r="O9" s="51">
        <v>1.4</v>
      </c>
      <c r="P9" s="51">
        <v>0.49</v>
      </c>
      <c r="Q9" s="51">
        <v>4.09</v>
      </c>
    </row>
    <row r="10" spans="1:21" customFormat="1">
      <c r="A10" s="50" t="s">
        <v>443</v>
      </c>
      <c r="B10" s="51">
        <v>10.89</v>
      </c>
      <c r="C10" s="51">
        <v>25.24</v>
      </c>
      <c r="D10" s="51">
        <v>20.7</v>
      </c>
      <c r="E10" s="51">
        <v>5.61</v>
      </c>
      <c r="F10" s="51">
        <v>2.52</v>
      </c>
      <c r="G10" s="51">
        <v>6.45</v>
      </c>
      <c r="H10" s="51">
        <v>3.43</v>
      </c>
      <c r="I10" s="51">
        <v>4.25</v>
      </c>
      <c r="J10" s="51">
        <v>0.96</v>
      </c>
      <c r="K10" s="51">
        <v>262.83999999999997</v>
      </c>
      <c r="L10" s="51">
        <v>24.81</v>
      </c>
      <c r="M10" s="51">
        <v>97.91</v>
      </c>
      <c r="N10" s="51">
        <v>0</v>
      </c>
      <c r="O10" s="51">
        <v>0.6</v>
      </c>
      <c r="P10" s="51">
        <v>0.47</v>
      </c>
      <c r="Q10" s="51">
        <v>4.13</v>
      </c>
    </row>
    <row r="11" spans="1:21" customFormat="1">
      <c r="A11" s="50" t="s">
        <v>444</v>
      </c>
      <c r="B11" s="51">
        <v>11.36</v>
      </c>
      <c r="C11" s="51">
        <v>25.4</v>
      </c>
      <c r="D11" s="51">
        <v>21.34</v>
      </c>
      <c r="E11" s="51">
        <v>6.21</v>
      </c>
      <c r="F11" s="51">
        <v>2.39</v>
      </c>
      <c r="G11" s="51">
        <v>6.45</v>
      </c>
      <c r="H11" s="51">
        <v>4.2</v>
      </c>
      <c r="I11" s="51">
        <v>4.2</v>
      </c>
      <c r="J11" s="51">
        <v>1.1399999999999999</v>
      </c>
      <c r="K11" s="51">
        <v>265.18</v>
      </c>
      <c r="L11" s="51">
        <v>24.73</v>
      </c>
      <c r="M11" s="51">
        <v>98.07</v>
      </c>
      <c r="N11" s="51">
        <v>0</v>
      </c>
      <c r="O11" s="51">
        <v>1.2</v>
      </c>
      <c r="P11" s="51">
        <v>0.47</v>
      </c>
      <c r="Q11" s="51">
        <v>4.2</v>
      </c>
    </row>
    <row r="12" spans="1:21" customFormat="1">
      <c r="A12" s="50" t="s">
        <v>445</v>
      </c>
      <c r="B12" s="51">
        <v>12.51</v>
      </c>
      <c r="C12" s="51">
        <v>24.99</v>
      </c>
      <c r="D12" s="51">
        <v>21.86</v>
      </c>
      <c r="E12" s="51">
        <v>6.4</v>
      </c>
      <c r="F12" s="51">
        <v>2.1800000000000002</v>
      </c>
      <c r="G12" s="51">
        <v>7.25</v>
      </c>
      <c r="H12" s="51">
        <v>6.84</v>
      </c>
      <c r="I12" s="51">
        <v>4.8</v>
      </c>
      <c r="J12" s="51">
        <v>1.26</v>
      </c>
      <c r="K12" s="51">
        <v>291.24</v>
      </c>
      <c r="L12" s="51">
        <v>24.62</v>
      </c>
      <c r="M12" s="51">
        <v>98.56</v>
      </c>
      <c r="N12" s="51">
        <v>0</v>
      </c>
      <c r="O12" s="51">
        <v>11.2</v>
      </c>
      <c r="P12" s="51">
        <v>0.56000000000000005</v>
      </c>
      <c r="Q12" s="51">
        <v>4.2699999999999996</v>
      </c>
    </row>
    <row r="13" spans="1:21" customFormat="1">
      <c r="A13" s="50" t="s">
        <v>446</v>
      </c>
      <c r="B13" s="51">
        <v>13.29</v>
      </c>
      <c r="C13" s="51">
        <v>26.13</v>
      </c>
      <c r="D13" s="51">
        <v>23.27</v>
      </c>
      <c r="E13" s="51">
        <v>6.41</v>
      </c>
      <c r="F13" s="51">
        <v>2.36</v>
      </c>
      <c r="G13" s="51">
        <v>9.23</v>
      </c>
      <c r="H13" s="51">
        <v>6.84</v>
      </c>
      <c r="I13" s="51">
        <v>4.9800000000000004</v>
      </c>
      <c r="J13" s="51">
        <v>1.05</v>
      </c>
      <c r="K13" s="51">
        <v>276.22000000000003</v>
      </c>
      <c r="L13" s="51">
        <v>24.38</v>
      </c>
      <c r="M13" s="51">
        <v>98.81</v>
      </c>
      <c r="N13" s="51">
        <v>0</v>
      </c>
      <c r="O13" s="51">
        <v>5.4</v>
      </c>
      <c r="P13" s="51">
        <v>0.64</v>
      </c>
      <c r="Q13" s="51">
        <v>4.33</v>
      </c>
    </row>
    <row r="14" spans="1:21" customFormat="1">
      <c r="A14" s="50" t="s">
        <v>447</v>
      </c>
      <c r="B14" s="51">
        <v>14.66</v>
      </c>
      <c r="C14" s="51">
        <v>26.42</v>
      </c>
      <c r="D14" s="51">
        <v>24.52</v>
      </c>
      <c r="E14" s="51">
        <v>6.67</v>
      </c>
      <c r="F14" s="51">
        <v>2.27</v>
      </c>
      <c r="G14" s="51">
        <v>9.23</v>
      </c>
      <c r="H14" s="51">
        <v>9.2200000000000006</v>
      </c>
      <c r="I14" s="51">
        <v>5.57</v>
      </c>
      <c r="J14" s="51">
        <v>1.18</v>
      </c>
      <c r="K14" s="51">
        <v>297.44</v>
      </c>
      <c r="L14" s="51">
        <v>24.39</v>
      </c>
      <c r="M14" s="51">
        <v>98.97</v>
      </c>
      <c r="N14" s="51">
        <v>3.1</v>
      </c>
      <c r="O14" s="51">
        <v>5.8</v>
      </c>
      <c r="P14" s="51">
        <v>0.67</v>
      </c>
      <c r="Q14" s="51">
        <v>4.3899999999999997</v>
      </c>
    </row>
    <row r="15" spans="1:21" customFormat="1">
      <c r="A15" s="50" t="s">
        <v>448</v>
      </c>
      <c r="B15" s="51">
        <v>15.78</v>
      </c>
      <c r="C15" s="51">
        <v>26.04</v>
      </c>
      <c r="D15" s="51">
        <v>24.87</v>
      </c>
      <c r="E15" s="51">
        <v>6.15</v>
      </c>
      <c r="F15" s="51">
        <v>2.14</v>
      </c>
      <c r="G15" s="51">
        <v>7.92</v>
      </c>
      <c r="H15" s="51">
        <v>9.2200000000000006</v>
      </c>
      <c r="I15" s="51">
        <v>5.71</v>
      </c>
      <c r="J15" s="51">
        <v>0.95</v>
      </c>
      <c r="K15" s="51">
        <v>279.02</v>
      </c>
      <c r="L15" s="51">
        <v>24.27</v>
      </c>
      <c r="M15" s="51">
        <v>99.05</v>
      </c>
      <c r="N15" s="51">
        <v>7.6</v>
      </c>
      <c r="O15" s="51">
        <v>3.6</v>
      </c>
      <c r="P15" s="51">
        <v>0.64</v>
      </c>
      <c r="Q15" s="51">
        <v>4.43</v>
      </c>
    </row>
    <row r="16" spans="1:21" customFormat="1">
      <c r="A16" s="50" t="s">
        <v>449</v>
      </c>
      <c r="B16" s="51">
        <v>15.81</v>
      </c>
      <c r="C16" s="51">
        <v>26.69</v>
      </c>
      <c r="D16" s="51">
        <v>25.49</v>
      </c>
      <c r="E16" s="51">
        <v>6.37</v>
      </c>
      <c r="F16" s="51">
        <v>2.2000000000000002</v>
      </c>
      <c r="G16" s="51">
        <v>6.84</v>
      </c>
      <c r="H16" s="51">
        <v>7.12</v>
      </c>
      <c r="I16" s="51">
        <v>5.52</v>
      </c>
      <c r="J16" s="51">
        <v>1.06</v>
      </c>
      <c r="K16" s="51">
        <v>270.32</v>
      </c>
      <c r="L16" s="51">
        <v>24.36</v>
      </c>
      <c r="M16" s="51">
        <v>99.15</v>
      </c>
      <c r="N16" s="51">
        <v>43</v>
      </c>
      <c r="O16" s="51">
        <v>1.8</v>
      </c>
      <c r="P16" s="51">
        <v>0.64</v>
      </c>
      <c r="Q16" s="51">
        <v>4.43</v>
      </c>
    </row>
    <row r="17" spans="1:17" customFormat="1">
      <c r="A17" s="50" t="s">
        <v>450</v>
      </c>
      <c r="B17" s="51">
        <v>16.34</v>
      </c>
      <c r="C17" s="51">
        <v>25.59</v>
      </c>
      <c r="D17" s="51">
        <v>25.29</v>
      </c>
      <c r="E17" s="51">
        <v>6.76</v>
      </c>
      <c r="F17" s="51">
        <v>2.2799999999999998</v>
      </c>
      <c r="G17" s="51">
        <v>7.22</v>
      </c>
      <c r="H17" s="51">
        <v>5.34</v>
      </c>
      <c r="I17" s="51">
        <v>5.52</v>
      </c>
      <c r="J17" s="51">
        <v>1.1399999999999999</v>
      </c>
      <c r="K17" s="51">
        <v>276.18</v>
      </c>
      <c r="L17" s="51">
        <v>24.58</v>
      </c>
      <c r="M17" s="51">
        <v>99.18</v>
      </c>
      <c r="N17" s="51">
        <v>47.8</v>
      </c>
      <c r="O17" s="51">
        <v>0.8</v>
      </c>
      <c r="P17" s="51">
        <v>0.65</v>
      </c>
      <c r="Q17" s="51">
        <v>4.4800000000000004</v>
      </c>
    </row>
    <row r="18" spans="1:17" customFormat="1">
      <c r="A18" s="50" t="s">
        <v>451</v>
      </c>
      <c r="B18" s="51">
        <v>16.88</v>
      </c>
      <c r="C18" s="51">
        <v>27.17</v>
      </c>
      <c r="D18" s="51">
        <v>26.49</v>
      </c>
      <c r="E18" s="51">
        <v>6.82</v>
      </c>
      <c r="F18" s="51">
        <v>2.23</v>
      </c>
      <c r="G18" s="51">
        <v>9.89</v>
      </c>
      <c r="H18" s="51">
        <v>5.38</v>
      </c>
      <c r="I18" s="51">
        <v>6.02</v>
      </c>
      <c r="J18" s="51">
        <v>0.93</v>
      </c>
      <c r="K18" s="51">
        <v>270.17</v>
      </c>
      <c r="L18" s="51">
        <v>24.86</v>
      </c>
      <c r="M18" s="51">
        <v>99.27</v>
      </c>
      <c r="N18" s="51">
        <v>106.7</v>
      </c>
      <c r="O18" s="51">
        <v>1.8</v>
      </c>
      <c r="P18" s="51">
        <v>0.69</v>
      </c>
      <c r="Q18" s="51">
        <v>4.53</v>
      </c>
    </row>
    <row r="19" spans="1:17" customFormat="1">
      <c r="A19" s="50" t="s">
        <v>452</v>
      </c>
      <c r="B19" s="51">
        <v>16.82</v>
      </c>
      <c r="C19" s="51">
        <v>25.74</v>
      </c>
      <c r="D19" s="51">
        <v>25.85</v>
      </c>
      <c r="E19" s="51">
        <v>5.53</v>
      </c>
      <c r="F19" s="51">
        <v>3.05</v>
      </c>
      <c r="G19" s="51">
        <v>9.89</v>
      </c>
      <c r="H19" s="51">
        <v>5.9</v>
      </c>
      <c r="I19" s="51">
        <v>5.95</v>
      </c>
      <c r="J19" s="51">
        <v>1.18</v>
      </c>
      <c r="K19" s="51">
        <v>284.63</v>
      </c>
      <c r="L19" s="51">
        <v>26.59</v>
      </c>
      <c r="M19" s="51">
        <v>99.3</v>
      </c>
      <c r="N19" s="51">
        <v>482.8</v>
      </c>
      <c r="O19" s="51">
        <v>0</v>
      </c>
      <c r="P19" s="51">
        <v>0.67</v>
      </c>
      <c r="Q19" s="51">
        <v>4.5199999999999996</v>
      </c>
    </row>
    <row r="20" spans="1:17" customFormat="1">
      <c r="A20" s="50" t="s">
        <v>453</v>
      </c>
      <c r="B20" s="51">
        <v>16.829999999999998</v>
      </c>
      <c r="C20" s="51">
        <v>25.16</v>
      </c>
      <c r="D20" s="51">
        <v>24.96</v>
      </c>
      <c r="E20" s="51">
        <v>5.0599999999999996</v>
      </c>
      <c r="F20" s="51">
        <v>3.01</v>
      </c>
      <c r="G20" s="51">
        <v>8.5500000000000007</v>
      </c>
      <c r="H20" s="51">
        <v>6.18</v>
      </c>
      <c r="I20" s="51">
        <v>5.78</v>
      </c>
      <c r="J20" s="51">
        <v>1.29</v>
      </c>
      <c r="K20" s="51">
        <v>286.02</v>
      </c>
      <c r="L20" s="51">
        <v>27.71</v>
      </c>
      <c r="M20" s="51">
        <v>94.62</v>
      </c>
      <c r="N20" s="51">
        <v>442.3</v>
      </c>
      <c r="O20" s="51">
        <v>0</v>
      </c>
      <c r="P20" s="51">
        <v>0.65</v>
      </c>
      <c r="Q20" s="51">
        <v>4.51</v>
      </c>
    </row>
    <row r="21" spans="1:17" customFormat="1">
      <c r="A21" s="50" t="s">
        <v>454</v>
      </c>
      <c r="B21" s="51">
        <v>14.78</v>
      </c>
      <c r="C21" s="51">
        <v>26.29</v>
      </c>
      <c r="D21" s="51">
        <v>23.35</v>
      </c>
      <c r="E21" s="51">
        <v>4.88</v>
      </c>
      <c r="F21" s="51">
        <v>4.1900000000000004</v>
      </c>
      <c r="G21" s="51">
        <v>9.42</v>
      </c>
      <c r="H21" s="51">
        <v>6.18</v>
      </c>
      <c r="I21" s="51">
        <v>5.61</v>
      </c>
      <c r="J21" s="51">
        <v>1.1399999999999999</v>
      </c>
      <c r="K21" s="51">
        <v>273.91000000000003</v>
      </c>
      <c r="L21" s="51">
        <v>27.86</v>
      </c>
      <c r="M21" s="51">
        <v>87.46</v>
      </c>
      <c r="N21" s="51">
        <v>332.2</v>
      </c>
      <c r="O21" s="51">
        <v>0</v>
      </c>
      <c r="P21" s="51">
        <v>0.62</v>
      </c>
      <c r="Q21" s="51">
        <v>4.33</v>
      </c>
    </row>
    <row r="22" spans="1:17" customFormat="1">
      <c r="A22" s="50" t="s">
        <v>455</v>
      </c>
      <c r="B22" s="51">
        <v>13.08</v>
      </c>
      <c r="C22" s="51">
        <v>23.87</v>
      </c>
      <c r="D22" s="51">
        <v>21.92</v>
      </c>
      <c r="E22" s="51">
        <v>5.12</v>
      </c>
      <c r="F22" s="51">
        <v>4.66</v>
      </c>
      <c r="G22" s="51">
        <v>13.89</v>
      </c>
      <c r="H22" s="51">
        <v>4.47</v>
      </c>
      <c r="I22" s="51">
        <v>5.46</v>
      </c>
      <c r="J22" s="51">
        <v>1.37</v>
      </c>
      <c r="K22" s="51">
        <v>266.54000000000002</v>
      </c>
      <c r="L22" s="51">
        <v>28.42</v>
      </c>
      <c r="M22" s="51">
        <v>85.62</v>
      </c>
      <c r="N22" s="51">
        <v>489.1</v>
      </c>
      <c r="O22" s="51">
        <v>0</v>
      </c>
      <c r="P22" s="51">
        <v>0.59</v>
      </c>
      <c r="Q22" s="51">
        <v>4.3099999999999996</v>
      </c>
    </row>
    <row r="23" spans="1:17" customFormat="1">
      <c r="A23" s="50" t="s">
        <v>456</v>
      </c>
      <c r="B23" s="51">
        <v>11.08</v>
      </c>
      <c r="C23" s="51">
        <v>25.12</v>
      </c>
      <c r="D23" s="51">
        <v>20.97</v>
      </c>
      <c r="E23" s="51">
        <v>4.9400000000000004</v>
      </c>
      <c r="F23" s="51">
        <v>3.8</v>
      </c>
      <c r="G23" s="51">
        <v>15.16</v>
      </c>
      <c r="H23" s="51">
        <v>5.95</v>
      </c>
      <c r="I23" s="51">
        <v>5.47</v>
      </c>
      <c r="J23" s="51">
        <v>1.32</v>
      </c>
      <c r="K23" s="51">
        <v>267.83</v>
      </c>
      <c r="L23" s="51">
        <v>28.81</v>
      </c>
      <c r="M23" s="51">
        <v>85.92</v>
      </c>
      <c r="N23" s="51">
        <v>381.9</v>
      </c>
      <c r="O23" s="51">
        <v>0</v>
      </c>
      <c r="P23" s="51">
        <v>0.56999999999999995</v>
      </c>
      <c r="Q23" s="51">
        <v>4.21</v>
      </c>
    </row>
    <row r="24" spans="1:17" customFormat="1">
      <c r="A24" s="50" t="s">
        <v>457</v>
      </c>
      <c r="B24" s="51">
        <v>9.69</v>
      </c>
      <c r="C24" s="51">
        <v>22.79</v>
      </c>
      <c r="D24" s="51">
        <v>18.63</v>
      </c>
      <c r="E24" s="51">
        <v>4.5</v>
      </c>
      <c r="F24" s="51">
        <v>5.49</v>
      </c>
      <c r="G24" s="51">
        <v>16.28</v>
      </c>
      <c r="H24" s="51">
        <v>7.81</v>
      </c>
      <c r="I24" s="51">
        <v>5.72</v>
      </c>
      <c r="J24" s="51">
        <v>1.22</v>
      </c>
      <c r="K24" s="51">
        <v>267.17</v>
      </c>
      <c r="L24" s="51">
        <v>27.85</v>
      </c>
      <c r="M24" s="51">
        <v>87.78</v>
      </c>
      <c r="N24" s="51">
        <v>88.2</v>
      </c>
      <c r="O24" s="51">
        <v>0</v>
      </c>
      <c r="P24" s="51">
        <v>0.56000000000000005</v>
      </c>
      <c r="Q24" s="51">
        <v>4.0599999999999996</v>
      </c>
    </row>
    <row r="25" spans="1:17" customFormat="1">
      <c r="A25" s="50" t="s">
        <v>458</v>
      </c>
      <c r="B25" s="51">
        <v>9.09</v>
      </c>
      <c r="C25" s="51">
        <v>24.59</v>
      </c>
      <c r="D25" s="51">
        <v>19.09</v>
      </c>
      <c r="E25" s="51">
        <v>4.55</v>
      </c>
      <c r="F25" s="51">
        <v>3.18</v>
      </c>
      <c r="G25" s="51">
        <v>17.5</v>
      </c>
      <c r="H25" s="51">
        <v>9.8699999999999992</v>
      </c>
      <c r="I25" s="51">
        <v>5.61</v>
      </c>
      <c r="J25" s="51">
        <v>1.03</v>
      </c>
      <c r="K25" s="51">
        <v>263.08999999999997</v>
      </c>
      <c r="L25" s="51">
        <v>26.79</v>
      </c>
      <c r="M25" s="51">
        <v>96.73</v>
      </c>
      <c r="N25" s="51">
        <v>6.6</v>
      </c>
      <c r="O25" s="51">
        <v>1.8</v>
      </c>
      <c r="P25" s="51">
        <v>0.56000000000000005</v>
      </c>
      <c r="Q25" s="51">
        <v>4.08</v>
      </c>
    </row>
    <row r="26" spans="1:17" customFormat="1">
      <c r="A26" s="50" t="s">
        <v>459</v>
      </c>
      <c r="B26" s="51">
        <v>9.24</v>
      </c>
      <c r="C26" s="51">
        <v>23.94</v>
      </c>
      <c r="D26" s="51">
        <v>18.87</v>
      </c>
      <c r="E26" s="51">
        <v>4</v>
      </c>
      <c r="F26" s="51">
        <v>4.16</v>
      </c>
      <c r="G26" s="51">
        <v>17.5</v>
      </c>
      <c r="H26" s="51">
        <v>9.8699999999999992</v>
      </c>
      <c r="I26" s="51">
        <v>5.5</v>
      </c>
      <c r="J26" s="51">
        <v>0.96</v>
      </c>
      <c r="K26" s="51">
        <v>262.14999999999998</v>
      </c>
      <c r="L26" s="51">
        <v>25.94</v>
      </c>
      <c r="M26" s="51">
        <v>96.73</v>
      </c>
      <c r="N26" s="51">
        <v>9.4</v>
      </c>
      <c r="O26" s="51">
        <v>0.4</v>
      </c>
      <c r="P26" s="51">
        <v>0.52</v>
      </c>
      <c r="Q26" s="51">
        <v>4.07</v>
      </c>
    </row>
    <row r="27" spans="1:17" customFormat="1">
      <c r="A27" s="50" t="s">
        <v>460</v>
      </c>
      <c r="B27" s="51">
        <v>9.6999999999999993</v>
      </c>
      <c r="C27" s="51">
        <v>24.78</v>
      </c>
      <c r="D27" s="51">
        <v>19.54</v>
      </c>
      <c r="E27" s="51">
        <v>5.45</v>
      </c>
      <c r="F27" s="51">
        <v>4</v>
      </c>
      <c r="G27" s="51">
        <v>12.89</v>
      </c>
      <c r="H27" s="51">
        <v>7.05</v>
      </c>
      <c r="I27" s="51">
        <v>5.19</v>
      </c>
      <c r="J27" s="51">
        <v>0.96</v>
      </c>
      <c r="K27" s="51">
        <v>264.74</v>
      </c>
      <c r="L27" s="51">
        <v>25.98</v>
      </c>
      <c r="M27" s="51">
        <v>96.23</v>
      </c>
      <c r="N27" s="51">
        <v>2.8</v>
      </c>
      <c r="O27" s="51">
        <v>0</v>
      </c>
      <c r="P27" s="51">
        <v>0.53</v>
      </c>
      <c r="Q27" s="51">
        <v>4.09</v>
      </c>
    </row>
    <row r="28" spans="1:17" customFormat="1">
      <c r="A28" s="50" t="s">
        <v>461</v>
      </c>
      <c r="B28" s="51">
        <v>9.7899999999999991</v>
      </c>
      <c r="C28" s="51">
        <v>24.7</v>
      </c>
      <c r="D28" s="51">
        <v>19.649999999999999</v>
      </c>
      <c r="E28" s="51">
        <v>5.38</v>
      </c>
      <c r="F28" s="51">
        <v>3.13</v>
      </c>
      <c r="G28" s="51">
        <v>11.88</v>
      </c>
      <c r="H28" s="51">
        <v>6.96</v>
      </c>
      <c r="I28" s="51">
        <v>4.99</v>
      </c>
      <c r="J28" s="51">
        <v>1.01</v>
      </c>
      <c r="K28" s="51">
        <v>265.29000000000002</v>
      </c>
      <c r="L28" s="51">
        <v>25.89</v>
      </c>
      <c r="M28" s="51">
        <v>95.15</v>
      </c>
      <c r="N28" s="51">
        <v>0</v>
      </c>
      <c r="O28" s="51">
        <v>0</v>
      </c>
      <c r="P28" s="51">
        <v>0.5</v>
      </c>
      <c r="Q28" s="51">
        <v>4.1100000000000003</v>
      </c>
    </row>
    <row r="29" spans="1:17" customFormat="1">
      <c r="A29" s="50" t="s">
        <v>462</v>
      </c>
      <c r="B29" s="51">
        <v>9.68</v>
      </c>
      <c r="C29" s="51">
        <v>24.95</v>
      </c>
      <c r="D29" s="51">
        <v>19.73</v>
      </c>
      <c r="E29" s="51">
        <v>5.39</v>
      </c>
      <c r="F29" s="51">
        <v>3.58</v>
      </c>
      <c r="G29" s="51">
        <v>11.88</v>
      </c>
      <c r="H29" s="51">
        <v>6.49</v>
      </c>
      <c r="I29" s="51">
        <v>4.8499999999999996</v>
      </c>
      <c r="J29" s="51">
        <v>0.94</v>
      </c>
      <c r="K29" s="51">
        <v>264.52999999999997</v>
      </c>
      <c r="L29" s="51">
        <v>25.88</v>
      </c>
      <c r="M29" s="51">
        <v>94.47</v>
      </c>
      <c r="N29" s="51">
        <v>0</v>
      </c>
      <c r="O29" s="51">
        <v>0</v>
      </c>
      <c r="P29" s="51">
        <v>0.49</v>
      </c>
      <c r="Q29" s="51">
        <v>4.0999999999999996</v>
      </c>
    </row>
    <row r="30" spans="1:17" customFormat="1">
      <c r="A30" s="50" t="s">
        <v>463</v>
      </c>
      <c r="B30" s="51">
        <v>10.56</v>
      </c>
      <c r="C30" s="51">
        <v>25.27</v>
      </c>
      <c r="D30" s="51">
        <v>20.62</v>
      </c>
      <c r="E30" s="51">
        <v>5.63</v>
      </c>
      <c r="F30" s="51">
        <v>2.91</v>
      </c>
      <c r="G30" s="51">
        <v>9.0299999999999994</v>
      </c>
      <c r="H30" s="51">
        <v>6.49</v>
      </c>
      <c r="I30" s="51">
        <v>4.67</v>
      </c>
      <c r="J30" s="51">
        <v>0.98</v>
      </c>
      <c r="K30" s="51">
        <v>263.17</v>
      </c>
      <c r="L30" s="51">
        <v>25.85</v>
      </c>
      <c r="M30" s="51">
        <v>95.3</v>
      </c>
      <c r="N30" s="51">
        <v>0</v>
      </c>
      <c r="O30" s="51">
        <v>0</v>
      </c>
      <c r="P30" s="51">
        <v>0.49</v>
      </c>
      <c r="Q30" s="51">
        <v>4.16</v>
      </c>
    </row>
    <row r="31" spans="1:17" customFormat="1">
      <c r="A31" s="50" t="s">
        <v>464</v>
      </c>
      <c r="B31" s="51">
        <v>11.06</v>
      </c>
      <c r="C31" s="51">
        <v>25.01</v>
      </c>
      <c r="D31" s="51">
        <v>20.74</v>
      </c>
      <c r="E31" s="51">
        <v>5.89</v>
      </c>
      <c r="F31" s="51">
        <v>4.04</v>
      </c>
      <c r="G31" s="51">
        <v>8.69</v>
      </c>
      <c r="H31" s="51">
        <v>4.5999999999999996</v>
      </c>
      <c r="I31" s="51">
        <v>4.76</v>
      </c>
      <c r="J31" s="51">
        <v>0.73</v>
      </c>
      <c r="K31" s="51">
        <v>267.83</v>
      </c>
      <c r="L31" s="51">
        <v>25.69</v>
      </c>
      <c r="M31" s="51">
        <v>94.44</v>
      </c>
      <c r="N31" s="51">
        <v>0</v>
      </c>
      <c r="O31" s="51">
        <v>0</v>
      </c>
      <c r="P31" s="51">
        <v>0.5</v>
      </c>
      <c r="Q31" s="51">
        <v>4.2</v>
      </c>
    </row>
    <row r="32" spans="1:17" customFormat="1">
      <c r="A32" s="50" t="s">
        <v>465</v>
      </c>
      <c r="B32" s="51">
        <v>11.83</v>
      </c>
      <c r="C32" s="51">
        <v>26.25</v>
      </c>
      <c r="D32" s="51">
        <v>21.94</v>
      </c>
      <c r="E32" s="51">
        <v>6.03</v>
      </c>
      <c r="F32" s="51">
        <v>3.6</v>
      </c>
      <c r="G32" s="51">
        <v>10.07</v>
      </c>
      <c r="H32" s="51">
        <v>6.59</v>
      </c>
      <c r="I32" s="51">
        <v>5.18</v>
      </c>
      <c r="J32" s="51">
        <v>0.47</v>
      </c>
      <c r="K32" s="51">
        <v>266.93</v>
      </c>
      <c r="L32" s="51">
        <v>25.59</v>
      </c>
      <c r="M32" s="51">
        <v>95.41</v>
      </c>
      <c r="N32" s="51">
        <v>0</v>
      </c>
      <c r="O32" s="51">
        <v>0</v>
      </c>
      <c r="P32" s="51">
        <v>0.55000000000000004</v>
      </c>
      <c r="Q32" s="51">
        <v>4.2300000000000004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9.09</v>
      </c>
      <c r="C34" s="41">
        <f t="shared" si="0"/>
        <v>22.79</v>
      </c>
      <c r="D34" s="41">
        <f t="shared" si="0"/>
        <v>18.63</v>
      </c>
      <c r="E34" s="41">
        <f t="shared" si="0"/>
        <v>4</v>
      </c>
      <c r="F34" s="41">
        <f t="shared" si="0"/>
        <v>2.14</v>
      </c>
      <c r="G34" s="41">
        <f t="shared" si="0"/>
        <v>6.45</v>
      </c>
      <c r="H34" s="41">
        <f t="shared" si="0"/>
        <v>3.43</v>
      </c>
      <c r="I34" s="41">
        <f t="shared" si="0"/>
        <v>4.2</v>
      </c>
      <c r="J34" s="41">
        <f t="shared" si="0"/>
        <v>0.47</v>
      </c>
      <c r="K34" s="41">
        <f t="shared" si="0"/>
        <v>261.82</v>
      </c>
      <c r="L34" s="41">
        <f t="shared" si="0"/>
        <v>24.27</v>
      </c>
      <c r="M34" s="41">
        <f t="shared" si="0"/>
        <v>85.62</v>
      </c>
      <c r="N34" s="41">
        <f t="shared" si="0"/>
        <v>0</v>
      </c>
      <c r="O34" s="41">
        <f t="shared" si="0"/>
        <v>0</v>
      </c>
      <c r="P34" s="41">
        <f t="shared" si="0"/>
        <v>0.47</v>
      </c>
      <c r="Q34" s="41">
        <f t="shared" si="0"/>
        <v>4.0599999999999996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16.88</v>
      </c>
      <c r="C35" s="33">
        <f t="shared" si="1"/>
        <v>27.17</v>
      </c>
      <c r="D35" s="33">
        <f t="shared" si="1"/>
        <v>26.49</v>
      </c>
      <c r="E35" s="33">
        <f t="shared" si="1"/>
        <v>6.82</v>
      </c>
      <c r="F35" s="33">
        <f t="shared" si="1"/>
        <v>5.49</v>
      </c>
      <c r="G35" s="33">
        <f t="shared" si="1"/>
        <v>17.5</v>
      </c>
      <c r="H35" s="33">
        <f t="shared" si="1"/>
        <v>9.8699999999999992</v>
      </c>
      <c r="I35" s="33">
        <f t="shared" si="1"/>
        <v>6.02</v>
      </c>
      <c r="J35" s="33">
        <f t="shared" si="1"/>
        <v>1.37</v>
      </c>
      <c r="K35" s="33">
        <f t="shared" si="1"/>
        <v>297.44</v>
      </c>
      <c r="L35" s="33">
        <f t="shared" si="1"/>
        <v>28.81</v>
      </c>
      <c r="M35" s="33">
        <f t="shared" si="1"/>
        <v>99.3</v>
      </c>
      <c r="N35" s="33">
        <f t="shared" si="1"/>
        <v>489.1</v>
      </c>
      <c r="O35" s="33">
        <f t="shared" si="1"/>
        <v>11.2</v>
      </c>
      <c r="P35" s="33">
        <f t="shared" si="1"/>
        <v>0.69</v>
      </c>
      <c r="Q35" s="33">
        <f t="shared" si="1"/>
        <v>4.53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12.546250000000001</v>
      </c>
      <c r="C36" s="41">
        <f t="shared" si="2"/>
        <v>25.264166666666668</v>
      </c>
      <c r="D36" s="41">
        <f t="shared" si="2"/>
        <v>22.054166666666671</v>
      </c>
      <c r="E36" s="41">
        <f t="shared" si="2"/>
        <v>5.6458333333333321</v>
      </c>
      <c r="F36" s="41">
        <f t="shared" si="2"/>
        <v>3.1741666666666664</v>
      </c>
      <c r="G36" s="41">
        <f t="shared" si="2"/>
        <v>10.434583333333332</v>
      </c>
      <c r="H36" s="41">
        <f t="shared" si="2"/>
        <v>6.5200000000000022</v>
      </c>
      <c r="I36" s="41">
        <f t="shared" si="2"/>
        <v>5.2395833333333321</v>
      </c>
      <c r="J36" s="41">
        <f t="shared" si="2"/>
        <v>1.0512500000000002</v>
      </c>
      <c r="K36" s="41">
        <f t="shared" si="2"/>
        <v>271.42749999999995</v>
      </c>
      <c r="L36" s="41">
        <f t="shared" si="2"/>
        <v>25.857500000000005</v>
      </c>
      <c r="M36" s="41">
        <f t="shared" si="2"/>
        <v>95.501666666666665</v>
      </c>
      <c r="N36" s="41">
        <f t="shared" si="2"/>
        <v>101.8125</v>
      </c>
      <c r="O36" s="41">
        <f t="shared" si="2"/>
        <v>1.4916666666666665</v>
      </c>
      <c r="P36" s="41">
        <f t="shared" si="2"/>
        <v>0.57166666666666677</v>
      </c>
      <c r="Q36" s="41">
        <f t="shared" si="2"/>
        <v>4.2608333333333333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2.7496336712527616</v>
      </c>
      <c r="C37" s="41">
        <f t="shared" ref="C37:Q37" si="3">STDEV(C9:C32)</f>
        <v>0.99860300971630056</v>
      </c>
      <c r="D37" s="41">
        <f t="shared" si="3"/>
        <v>2.4975621447056193</v>
      </c>
      <c r="E37" s="41">
        <f t="shared" si="3"/>
        <v>0.75908936671954197</v>
      </c>
      <c r="F37" s="41">
        <f t="shared" si="3"/>
        <v>0.91394470704536224</v>
      </c>
      <c r="G37" s="41">
        <f t="shared" si="3"/>
        <v>3.4445003160888596</v>
      </c>
      <c r="H37" s="41">
        <f t="shared" si="3"/>
        <v>1.7488953035012351</v>
      </c>
      <c r="I37" s="41">
        <f t="shared" si="3"/>
        <v>0.52347899062254588</v>
      </c>
      <c r="J37" s="41">
        <f t="shared" si="3"/>
        <v>0.19545515442500849</v>
      </c>
      <c r="K37" s="41">
        <f t="shared" si="3"/>
        <v>9.8146931777780839</v>
      </c>
      <c r="L37" s="41">
        <f t="shared" si="3"/>
        <v>1.4006527981156667</v>
      </c>
      <c r="M37" s="41">
        <f t="shared" si="3"/>
        <v>4.3689663155793834</v>
      </c>
      <c r="N37" s="41">
        <f t="shared" si="3"/>
        <v>174.31538711422641</v>
      </c>
      <c r="O37" s="41">
        <f t="shared" si="3"/>
        <v>2.6545967787916518</v>
      </c>
      <c r="P37" s="41">
        <f t="shared" si="3"/>
        <v>7.1788739983410566E-2</v>
      </c>
      <c r="Q37" s="41">
        <f t="shared" si="3"/>
        <v>0.16021498238214635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18/07/2023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466</v>
      </c>
      <c r="B9" s="51">
        <v>12.28</v>
      </c>
      <c r="C9" s="51">
        <v>26.92</v>
      </c>
      <c r="D9" s="51">
        <v>22.73</v>
      </c>
      <c r="E9" s="51">
        <v>6.1</v>
      </c>
      <c r="F9" s="51">
        <v>3.77</v>
      </c>
      <c r="G9" s="51">
        <v>10.07</v>
      </c>
      <c r="H9" s="51">
        <v>6.59</v>
      </c>
      <c r="I9" s="51">
        <v>5.25</v>
      </c>
      <c r="J9" s="51">
        <v>0.44</v>
      </c>
      <c r="K9" s="51">
        <v>264.42</v>
      </c>
      <c r="L9" s="51">
        <v>25.71</v>
      </c>
      <c r="M9" s="51">
        <v>95.98</v>
      </c>
      <c r="N9" s="51">
        <v>0</v>
      </c>
      <c r="O9" s="51">
        <v>0</v>
      </c>
      <c r="P9" s="51">
        <v>0.55000000000000004</v>
      </c>
      <c r="Q9" s="51">
        <v>4.3</v>
      </c>
    </row>
    <row r="10" spans="1:21" customFormat="1">
      <c r="A10" s="50" t="s">
        <v>467</v>
      </c>
      <c r="B10" s="51">
        <v>12.83</v>
      </c>
      <c r="C10" s="51">
        <v>26.06</v>
      </c>
      <c r="D10" s="51">
        <v>22.86</v>
      </c>
      <c r="E10" s="51">
        <v>6.17</v>
      </c>
      <c r="F10" s="51">
        <v>4.4800000000000004</v>
      </c>
      <c r="G10" s="51">
        <v>8.73</v>
      </c>
      <c r="H10" s="51">
        <v>4.66</v>
      </c>
      <c r="I10" s="51">
        <v>4.95</v>
      </c>
      <c r="J10" s="51">
        <v>0.41</v>
      </c>
      <c r="K10" s="51">
        <v>255.28</v>
      </c>
      <c r="L10" s="51">
        <v>25.79</v>
      </c>
      <c r="M10" s="51">
        <v>96.36</v>
      </c>
      <c r="N10" s="51">
        <v>0</v>
      </c>
      <c r="O10" s="51">
        <v>0</v>
      </c>
      <c r="P10" s="51">
        <v>0.52</v>
      </c>
      <c r="Q10" s="51">
        <v>4.34</v>
      </c>
    </row>
    <row r="11" spans="1:21" customFormat="1">
      <c r="A11" s="50" t="s">
        <v>468</v>
      </c>
      <c r="B11" s="51">
        <v>13.84</v>
      </c>
      <c r="C11" s="51">
        <v>25.9</v>
      </c>
      <c r="D11" s="51">
        <v>23.45</v>
      </c>
      <c r="E11" s="51">
        <v>5.72</v>
      </c>
      <c r="F11" s="51">
        <v>3.12</v>
      </c>
      <c r="G11" s="51">
        <v>8.73</v>
      </c>
      <c r="H11" s="51">
        <v>3.35</v>
      </c>
      <c r="I11" s="51">
        <v>4.82</v>
      </c>
      <c r="J11" s="51">
        <v>0.16</v>
      </c>
      <c r="K11" s="51">
        <v>186.87</v>
      </c>
      <c r="L11" s="51">
        <v>25.89</v>
      </c>
      <c r="M11" s="51">
        <v>96.31</v>
      </c>
      <c r="N11" s="51">
        <v>0</v>
      </c>
      <c r="O11" s="51">
        <v>0</v>
      </c>
      <c r="P11" s="51">
        <v>0.51</v>
      </c>
      <c r="Q11" s="51">
        <v>4.38</v>
      </c>
    </row>
    <row r="12" spans="1:21" customFormat="1">
      <c r="A12" s="50" t="s">
        <v>469</v>
      </c>
      <c r="B12" s="51">
        <v>15.78</v>
      </c>
      <c r="C12" s="51">
        <v>25.87</v>
      </c>
      <c r="D12" s="51">
        <v>24.34</v>
      </c>
      <c r="E12" s="51">
        <v>5.85</v>
      </c>
      <c r="F12" s="51">
        <v>3.22</v>
      </c>
      <c r="G12" s="51">
        <v>11.14</v>
      </c>
      <c r="H12" s="51">
        <v>4.24</v>
      </c>
      <c r="I12" s="51">
        <v>4.83</v>
      </c>
      <c r="J12" s="51">
        <v>0.44</v>
      </c>
      <c r="K12" s="51">
        <v>357.17</v>
      </c>
      <c r="L12" s="51">
        <v>25.84</v>
      </c>
      <c r="M12" s="51">
        <v>97.02</v>
      </c>
      <c r="N12" s="51">
        <v>0</v>
      </c>
      <c r="O12" s="51">
        <v>0</v>
      </c>
      <c r="P12" s="51">
        <v>0.51</v>
      </c>
      <c r="Q12" s="51">
        <v>4.46</v>
      </c>
    </row>
    <row r="13" spans="1:21" customFormat="1">
      <c r="A13" s="50" t="s">
        <v>470</v>
      </c>
      <c r="B13" s="51">
        <v>18.47</v>
      </c>
      <c r="C13" s="51">
        <v>27.9</v>
      </c>
      <c r="D13" s="51">
        <v>28.34</v>
      </c>
      <c r="E13" s="51">
        <v>6.52</v>
      </c>
      <c r="F13" s="51">
        <v>2.38</v>
      </c>
      <c r="G13" s="51">
        <v>20.51</v>
      </c>
      <c r="H13" s="51">
        <v>8.44</v>
      </c>
      <c r="I13" s="51">
        <v>4.9800000000000004</v>
      </c>
      <c r="J13" s="51">
        <v>0.39</v>
      </c>
      <c r="K13" s="51">
        <v>63.06</v>
      </c>
      <c r="L13" s="51">
        <v>25.64</v>
      </c>
      <c r="M13" s="51">
        <v>97.47</v>
      </c>
      <c r="N13" s="51">
        <v>0</v>
      </c>
      <c r="O13" s="51">
        <v>0</v>
      </c>
      <c r="P13" s="51">
        <v>0.52</v>
      </c>
      <c r="Q13" s="51">
        <v>4.6500000000000004</v>
      </c>
    </row>
    <row r="14" spans="1:21" customFormat="1">
      <c r="A14" s="50" t="s">
        <v>471</v>
      </c>
      <c r="B14" s="51">
        <v>20.2</v>
      </c>
      <c r="C14" s="51">
        <v>29.1</v>
      </c>
      <c r="D14" s="51">
        <v>29.96</v>
      </c>
      <c r="E14" s="51">
        <v>6.57</v>
      </c>
      <c r="F14" s="51">
        <v>3.4</v>
      </c>
      <c r="G14" s="51">
        <v>20.51</v>
      </c>
      <c r="H14" s="51">
        <v>8.44</v>
      </c>
      <c r="I14" s="51">
        <v>5.15</v>
      </c>
      <c r="J14" s="51">
        <v>0.46</v>
      </c>
      <c r="K14" s="51">
        <v>49.17</v>
      </c>
      <c r="L14" s="51">
        <v>25.62</v>
      </c>
      <c r="M14" s="51">
        <v>97.41</v>
      </c>
      <c r="N14" s="51">
        <v>2.9</v>
      </c>
      <c r="O14" s="51">
        <v>0</v>
      </c>
      <c r="P14" s="51">
        <v>0.54</v>
      </c>
      <c r="Q14" s="51">
        <v>4.74</v>
      </c>
    </row>
    <row r="15" spans="1:21" customFormat="1">
      <c r="A15" s="50" t="s">
        <v>472</v>
      </c>
      <c r="B15" s="51">
        <v>21.33</v>
      </c>
      <c r="C15" s="51">
        <v>28.22</v>
      </c>
      <c r="D15" s="51">
        <v>30.61</v>
      </c>
      <c r="E15" s="51">
        <v>7.01</v>
      </c>
      <c r="F15" s="51">
        <v>3.36</v>
      </c>
      <c r="G15" s="51">
        <v>23.26</v>
      </c>
      <c r="H15" s="51">
        <v>6.14</v>
      </c>
      <c r="I15" s="51">
        <v>4.9800000000000004</v>
      </c>
      <c r="J15" s="51">
        <v>0.91</v>
      </c>
      <c r="K15" s="51">
        <v>45.5</v>
      </c>
      <c r="L15" s="51">
        <v>26.25</v>
      </c>
      <c r="M15" s="51">
        <v>97.19</v>
      </c>
      <c r="N15" s="51">
        <v>93.9</v>
      </c>
      <c r="O15" s="51">
        <v>0</v>
      </c>
      <c r="P15" s="51">
        <v>0.51</v>
      </c>
      <c r="Q15" s="51">
        <v>4.83</v>
      </c>
    </row>
    <row r="16" spans="1:21" customFormat="1">
      <c r="A16" s="50" t="s">
        <v>473</v>
      </c>
      <c r="B16" s="51">
        <v>21.7</v>
      </c>
      <c r="C16" s="51">
        <v>27.75</v>
      </c>
      <c r="D16" s="51">
        <v>30.73</v>
      </c>
      <c r="E16" s="51">
        <v>12.09</v>
      </c>
      <c r="F16" s="51">
        <v>3.37</v>
      </c>
      <c r="G16" s="51">
        <v>23.26</v>
      </c>
      <c r="H16" s="51">
        <v>7.31</v>
      </c>
      <c r="I16" s="51">
        <v>4.97</v>
      </c>
      <c r="J16" s="51">
        <v>1.0900000000000001</v>
      </c>
      <c r="K16" s="51">
        <v>63.03</v>
      </c>
      <c r="L16" s="51">
        <v>27.29</v>
      </c>
      <c r="M16" s="51">
        <v>89.33</v>
      </c>
      <c r="N16" s="51">
        <v>136.9</v>
      </c>
      <c r="O16" s="51">
        <v>0</v>
      </c>
      <c r="P16" s="51">
        <v>0.51</v>
      </c>
      <c r="Q16" s="51">
        <v>4.8499999999999996</v>
      </c>
    </row>
    <row r="17" spans="1:17" customFormat="1">
      <c r="A17" s="50" t="s">
        <v>474</v>
      </c>
      <c r="B17" s="51">
        <v>21.82</v>
      </c>
      <c r="C17" s="51">
        <v>27.17</v>
      </c>
      <c r="D17" s="51">
        <v>30.51</v>
      </c>
      <c r="E17" s="51">
        <v>10.81</v>
      </c>
      <c r="F17" s="51">
        <v>3.36</v>
      </c>
      <c r="G17" s="51">
        <v>23.67</v>
      </c>
      <c r="H17" s="51">
        <v>8.41</v>
      </c>
      <c r="I17" s="51">
        <v>4.76</v>
      </c>
      <c r="J17" s="51">
        <v>0.79</v>
      </c>
      <c r="K17" s="51">
        <v>63.08</v>
      </c>
      <c r="L17" s="51">
        <v>27.93</v>
      </c>
      <c r="M17" s="51">
        <v>85.58</v>
      </c>
      <c r="N17" s="51">
        <v>232.5</v>
      </c>
      <c r="O17" s="51">
        <v>0</v>
      </c>
      <c r="P17" s="51">
        <v>0.51</v>
      </c>
      <c r="Q17" s="51">
        <v>4.84</v>
      </c>
    </row>
    <row r="18" spans="1:17" customFormat="1">
      <c r="A18" s="50" t="s">
        <v>475</v>
      </c>
      <c r="B18" s="51">
        <v>21.51</v>
      </c>
      <c r="C18" s="51">
        <v>28.2</v>
      </c>
      <c r="D18" s="51">
        <v>29.94</v>
      </c>
      <c r="E18" s="51">
        <v>8.58</v>
      </c>
      <c r="F18" s="51">
        <v>4.07</v>
      </c>
      <c r="G18" s="51">
        <v>23.67</v>
      </c>
      <c r="H18" s="51">
        <v>8.41</v>
      </c>
      <c r="I18" s="51">
        <v>4.66</v>
      </c>
      <c r="J18" s="51">
        <v>0.84</v>
      </c>
      <c r="K18" s="51">
        <v>69.489999999999995</v>
      </c>
      <c r="L18" s="51">
        <v>28.31</v>
      </c>
      <c r="M18" s="51">
        <v>83.37</v>
      </c>
      <c r="N18" s="51">
        <v>241.1</v>
      </c>
      <c r="O18" s="51">
        <v>0</v>
      </c>
      <c r="P18" s="51">
        <v>0.52</v>
      </c>
      <c r="Q18" s="51">
        <v>4.8099999999999996</v>
      </c>
    </row>
    <row r="19" spans="1:17" customFormat="1">
      <c r="A19" s="50" t="s">
        <v>476</v>
      </c>
      <c r="B19" s="51">
        <v>19.86</v>
      </c>
      <c r="C19" s="51">
        <v>27.09</v>
      </c>
      <c r="D19" s="51">
        <v>29.03</v>
      </c>
      <c r="E19" s="51">
        <v>11.29</v>
      </c>
      <c r="F19" s="51">
        <v>4.21</v>
      </c>
      <c r="G19" s="51">
        <v>23.18</v>
      </c>
      <c r="H19" s="51">
        <v>7.99</v>
      </c>
      <c r="I19" s="51">
        <v>4.62</v>
      </c>
      <c r="J19" s="51">
        <v>1.07</v>
      </c>
      <c r="K19" s="51">
        <v>66.45</v>
      </c>
      <c r="L19" s="51">
        <v>28.26</v>
      </c>
      <c r="M19" s="51">
        <v>83.15</v>
      </c>
      <c r="N19" s="51">
        <v>256.2</v>
      </c>
      <c r="O19" s="51">
        <v>0</v>
      </c>
      <c r="P19" s="51">
        <v>0.51</v>
      </c>
      <c r="Q19" s="51">
        <v>4.7</v>
      </c>
    </row>
    <row r="20" spans="1:17" customFormat="1">
      <c r="A20" s="50" t="s">
        <v>477</v>
      </c>
      <c r="B20" s="51">
        <v>19.37</v>
      </c>
      <c r="C20" s="51">
        <v>26.45</v>
      </c>
      <c r="D20" s="51">
        <v>28.31</v>
      </c>
      <c r="E20" s="51">
        <v>11.79</v>
      </c>
      <c r="F20" s="51">
        <v>4.55</v>
      </c>
      <c r="G20" s="51">
        <v>28.83</v>
      </c>
      <c r="H20" s="51">
        <v>7.99</v>
      </c>
      <c r="I20" s="51">
        <v>4.49</v>
      </c>
      <c r="J20" s="51">
        <v>0.8</v>
      </c>
      <c r="K20" s="51">
        <v>70.09</v>
      </c>
      <c r="L20" s="51">
        <v>28.55</v>
      </c>
      <c r="M20" s="51">
        <v>82.91</v>
      </c>
      <c r="N20" s="51">
        <v>247.7</v>
      </c>
      <c r="O20" s="51">
        <v>0</v>
      </c>
      <c r="P20" s="51">
        <v>0.51</v>
      </c>
      <c r="Q20" s="51">
        <v>4.72</v>
      </c>
    </row>
    <row r="21" spans="1:17" customFormat="1">
      <c r="A21" s="50" t="s">
        <v>478</v>
      </c>
      <c r="B21" s="51">
        <v>18.98</v>
      </c>
      <c r="C21" s="51">
        <v>28.13</v>
      </c>
      <c r="D21" s="51">
        <v>28.88</v>
      </c>
      <c r="E21" s="51">
        <v>12.84</v>
      </c>
      <c r="F21" s="51">
        <v>6.05</v>
      </c>
      <c r="G21" s="51">
        <v>28.83</v>
      </c>
      <c r="H21" s="51">
        <v>5.9</v>
      </c>
      <c r="I21" s="51">
        <v>4.47</v>
      </c>
      <c r="J21" s="51">
        <v>1.1299999999999999</v>
      </c>
      <c r="K21" s="51">
        <v>70.98</v>
      </c>
      <c r="L21" s="51">
        <v>30.23</v>
      </c>
      <c r="M21" s="51">
        <v>81.489999999999995</v>
      </c>
      <c r="N21" s="51">
        <v>563.29999999999995</v>
      </c>
      <c r="O21" s="51">
        <v>0</v>
      </c>
      <c r="P21" s="51">
        <v>0.53</v>
      </c>
      <c r="Q21" s="51">
        <v>4.7</v>
      </c>
    </row>
    <row r="22" spans="1:17" customFormat="1">
      <c r="A22" s="50" t="s">
        <v>479</v>
      </c>
      <c r="B22" s="51">
        <v>16.690000000000001</v>
      </c>
      <c r="C22" s="51">
        <v>27.78</v>
      </c>
      <c r="D22" s="51">
        <v>26.5</v>
      </c>
      <c r="E22" s="51">
        <v>11.52</v>
      </c>
      <c r="F22" s="51">
        <v>6.49</v>
      </c>
      <c r="G22" s="51">
        <v>25.03</v>
      </c>
      <c r="H22" s="51">
        <v>8.73</v>
      </c>
      <c r="I22" s="51">
        <v>4.28</v>
      </c>
      <c r="J22" s="51">
        <v>0.79</v>
      </c>
      <c r="K22" s="51">
        <v>101.13</v>
      </c>
      <c r="L22" s="51">
        <v>30.92</v>
      </c>
      <c r="M22" s="51">
        <v>81.77</v>
      </c>
      <c r="N22" s="51">
        <v>765.5</v>
      </c>
      <c r="O22" s="51">
        <v>0</v>
      </c>
      <c r="P22" s="51">
        <v>0.51</v>
      </c>
      <c r="Q22" s="51">
        <v>4.57</v>
      </c>
    </row>
    <row r="23" spans="1:17" customFormat="1">
      <c r="A23" s="50" t="s">
        <v>480</v>
      </c>
      <c r="B23" s="51">
        <v>14.57</v>
      </c>
      <c r="C23" s="51">
        <v>27.26</v>
      </c>
      <c r="D23" s="51">
        <v>22.81</v>
      </c>
      <c r="E23" s="51">
        <v>10.49</v>
      </c>
      <c r="F23" s="51">
        <v>8.68</v>
      </c>
      <c r="G23" s="51">
        <v>25.03</v>
      </c>
      <c r="H23" s="51">
        <v>9.34</v>
      </c>
      <c r="I23" s="51">
        <v>4.09</v>
      </c>
      <c r="J23" s="51">
        <v>1.03</v>
      </c>
      <c r="K23" s="51">
        <v>112.78</v>
      </c>
      <c r="L23" s="51">
        <v>31.25</v>
      </c>
      <c r="M23" s="51">
        <v>72.150000000000006</v>
      </c>
      <c r="N23" s="51">
        <v>729.4</v>
      </c>
      <c r="O23" s="51">
        <v>0</v>
      </c>
      <c r="P23" s="51">
        <v>0.49</v>
      </c>
      <c r="Q23" s="51">
        <v>4.3899999999999997</v>
      </c>
    </row>
    <row r="24" spans="1:17" customFormat="1">
      <c r="A24" s="50" t="s">
        <v>481</v>
      </c>
      <c r="B24" s="51">
        <v>10.59</v>
      </c>
      <c r="C24" s="51">
        <v>24.71</v>
      </c>
      <c r="D24" s="51">
        <v>20.36</v>
      </c>
      <c r="E24" s="51">
        <v>11.92</v>
      </c>
      <c r="F24" s="51">
        <v>13.96</v>
      </c>
      <c r="G24" s="51">
        <v>24.9</v>
      </c>
      <c r="H24" s="51">
        <v>9.34</v>
      </c>
      <c r="I24" s="51">
        <v>4.04</v>
      </c>
      <c r="J24" s="51">
        <v>0.68</v>
      </c>
      <c r="K24" s="51">
        <v>83.95</v>
      </c>
      <c r="L24" s="51">
        <v>31.83</v>
      </c>
      <c r="M24" s="51">
        <v>70.39</v>
      </c>
      <c r="N24" s="51">
        <v>573.79999999999995</v>
      </c>
      <c r="O24" s="51">
        <v>0</v>
      </c>
      <c r="P24" s="51">
        <v>0.47</v>
      </c>
      <c r="Q24" s="51">
        <v>4.24</v>
      </c>
    </row>
    <row r="25" spans="1:17" customFormat="1">
      <c r="A25" s="50" t="s">
        <v>482</v>
      </c>
      <c r="B25" s="51">
        <v>7.3</v>
      </c>
      <c r="C25" s="51">
        <v>23.63</v>
      </c>
      <c r="D25" s="51">
        <v>16.71</v>
      </c>
      <c r="E25" s="51">
        <v>14.34</v>
      </c>
      <c r="F25" s="51">
        <v>15.09</v>
      </c>
      <c r="G25" s="51">
        <v>27.93</v>
      </c>
      <c r="H25" s="51">
        <v>11.33</v>
      </c>
      <c r="I25" s="51">
        <v>3.63</v>
      </c>
      <c r="J25" s="51">
        <v>0.28000000000000003</v>
      </c>
      <c r="K25" s="51">
        <v>184.23</v>
      </c>
      <c r="L25" s="51">
        <v>30.93</v>
      </c>
      <c r="M25" s="51">
        <v>75.59</v>
      </c>
      <c r="N25" s="51">
        <v>162.6</v>
      </c>
      <c r="O25" s="51">
        <v>0</v>
      </c>
      <c r="P25" s="51">
        <v>0.46</v>
      </c>
      <c r="Q25" s="51">
        <v>4.1100000000000003</v>
      </c>
    </row>
    <row r="26" spans="1:17" customFormat="1">
      <c r="A26" s="50" t="s">
        <v>483</v>
      </c>
      <c r="B26" s="51">
        <v>6.46</v>
      </c>
      <c r="C26" s="51">
        <v>20.68</v>
      </c>
      <c r="D26" s="51">
        <v>14.94</v>
      </c>
      <c r="E26" s="51">
        <v>9.36</v>
      </c>
      <c r="F26" s="51">
        <v>20.84</v>
      </c>
      <c r="G26" s="51">
        <v>27.93</v>
      </c>
      <c r="H26" s="51">
        <v>11.33</v>
      </c>
      <c r="I26" s="51">
        <v>3.57</v>
      </c>
      <c r="J26" s="51">
        <v>0.27</v>
      </c>
      <c r="K26" s="51">
        <v>144.25</v>
      </c>
      <c r="L26" s="51">
        <v>30.05</v>
      </c>
      <c r="M26" s="51">
        <v>79.989999999999995</v>
      </c>
      <c r="N26" s="51">
        <v>58.6</v>
      </c>
      <c r="O26" s="51">
        <v>0</v>
      </c>
      <c r="P26" s="51">
        <v>0.43</v>
      </c>
      <c r="Q26" s="51">
        <v>4.03</v>
      </c>
    </row>
    <row r="27" spans="1:17" customFormat="1">
      <c r="A27" s="50" t="s">
        <v>484</v>
      </c>
      <c r="B27" s="51">
        <v>6.18</v>
      </c>
      <c r="C27" s="51">
        <v>22.38</v>
      </c>
      <c r="D27" s="51">
        <v>15.6</v>
      </c>
      <c r="E27" s="51">
        <v>9.5399999999999991</v>
      </c>
      <c r="F27" s="51">
        <v>21.04</v>
      </c>
      <c r="G27" s="51">
        <v>24.12</v>
      </c>
      <c r="H27" s="51">
        <v>8.02</v>
      </c>
      <c r="I27" s="51">
        <v>3.43</v>
      </c>
      <c r="J27" s="51">
        <v>0.46</v>
      </c>
      <c r="K27" s="51">
        <v>166.9</v>
      </c>
      <c r="L27" s="51">
        <v>29.04</v>
      </c>
      <c r="M27" s="51">
        <v>81.93</v>
      </c>
      <c r="N27" s="51">
        <v>8.1999999999999993</v>
      </c>
      <c r="O27" s="51">
        <v>0</v>
      </c>
      <c r="P27" s="51">
        <v>0.44</v>
      </c>
      <c r="Q27" s="51">
        <v>4.01</v>
      </c>
    </row>
    <row r="28" spans="1:17" customFormat="1">
      <c r="A28" s="50" t="s">
        <v>485</v>
      </c>
      <c r="B28" s="51">
        <v>8</v>
      </c>
      <c r="C28" s="51">
        <v>27.33</v>
      </c>
      <c r="D28" s="51">
        <v>19.649999999999999</v>
      </c>
      <c r="E28" s="51">
        <v>10.49</v>
      </c>
      <c r="F28" s="51">
        <v>10.35</v>
      </c>
      <c r="G28" s="51">
        <v>20.93</v>
      </c>
      <c r="H28" s="51">
        <v>8.0299999999999994</v>
      </c>
      <c r="I28" s="51">
        <v>3.92</v>
      </c>
      <c r="J28" s="51">
        <v>1.03</v>
      </c>
      <c r="K28" s="51">
        <v>180.33</v>
      </c>
      <c r="L28" s="51">
        <v>27.55</v>
      </c>
      <c r="M28" s="51">
        <v>88.35</v>
      </c>
      <c r="N28" s="51">
        <v>0</v>
      </c>
      <c r="O28" s="51">
        <v>0</v>
      </c>
      <c r="P28" s="51">
        <v>0.54</v>
      </c>
      <c r="Q28" s="51">
        <v>4.1399999999999997</v>
      </c>
    </row>
    <row r="29" spans="1:17" customFormat="1">
      <c r="A29" s="50" t="s">
        <v>486</v>
      </c>
      <c r="B29" s="51">
        <v>8.41</v>
      </c>
      <c r="C29" s="51">
        <v>26.98</v>
      </c>
      <c r="D29" s="51">
        <v>19.8</v>
      </c>
      <c r="E29" s="51">
        <v>9.31</v>
      </c>
      <c r="F29" s="51">
        <v>13.74</v>
      </c>
      <c r="G29" s="51">
        <v>23.49</v>
      </c>
      <c r="H29" s="51">
        <v>9.9700000000000006</v>
      </c>
      <c r="I29" s="51">
        <v>4.03</v>
      </c>
      <c r="J29" s="51">
        <v>0.16</v>
      </c>
      <c r="K29" s="51">
        <v>244.77</v>
      </c>
      <c r="L29" s="51">
        <v>27.25</v>
      </c>
      <c r="M29" s="51">
        <v>92.1</v>
      </c>
      <c r="N29" s="51">
        <v>0</v>
      </c>
      <c r="O29" s="51">
        <v>0</v>
      </c>
      <c r="P29" s="51">
        <v>0.52</v>
      </c>
      <c r="Q29" s="51">
        <v>4.1399999999999997</v>
      </c>
    </row>
    <row r="30" spans="1:17" customFormat="1">
      <c r="A30" s="50" t="s">
        <v>487</v>
      </c>
      <c r="B30" s="51">
        <v>12.99</v>
      </c>
      <c r="C30" s="51">
        <v>26.62</v>
      </c>
      <c r="D30" s="51">
        <v>22.57</v>
      </c>
      <c r="E30" s="51">
        <v>9.2799999999999994</v>
      </c>
      <c r="F30" s="51">
        <v>7.41</v>
      </c>
      <c r="G30" s="51">
        <v>36.58</v>
      </c>
      <c r="H30" s="51">
        <v>12.59</v>
      </c>
      <c r="I30" s="51">
        <v>4.41</v>
      </c>
      <c r="J30" s="51">
        <v>0.3</v>
      </c>
      <c r="K30" s="51">
        <v>324.72000000000003</v>
      </c>
      <c r="L30" s="51">
        <v>27.1</v>
      </c>
      <c r="M30" s="51">
        <v>91.78</v>
      </c>
      <c r="N30" s="51">
        <v>0</v>
      </c>
      <c r="O30" s="51">
        <v>0</v>
      </c>
      <c r="P30" s="51">
        <v>0.56999999999999995</v>
      </c>
      <c r="Q30" s="51">
        <v>4.24</v>
      </c>
    </row>
    <row r="31" spans="1:17" customFormat="1">
      <c r="A31" s="50" t="s">
        <v>488</v>
      </c>
      <c r="B31" s="51">
        <v>12.91</v>
      </c>
      <c r="C31" s="51">
        <v>27.97</v>
      </c>
      <c r="D31" s="51">
        <v>23.2</v>
      </c>
      <c r="E31" s="51">
        <v>9.5500000000000007</v>
      </c>
      <c r="F31" s="51">
        <v>4.25</v>
      </c>
      <c r="G31" s="51">
        <v>39.299999999999997</v>
      </c>
      <c r="H31" s="51">
        <v>15.88</v>
      </c>
      <c r="I31" s="51">
        <v>4.8099999999999996</v>
      </c>
      <c r="J31" s="51">
        <v>0.2</v>
      </c>
      <c r="K31" s="51">
        <v>89.38</v>
      </c>
      <c r="L31" s="51">
        <v>27.2</v>
      </c>
      <c r="M31" s="51">
        <v>91.71</v>
      </c>
      <c r="N31" s="51">
        <v>0</v>
      </c>
      <c r="O31" s="51">
        <v>0</v>
      </c>
      <c r="P31" s="51">
        <v>0.67</v>
      </c>
      <c r="Q31" s="51">
        <v>4.34</v>
      </c>
    </row>
    <row r="32" spans="1:17" customFormat="1">
      <c r="A32" s="50" t="s">
        <v>489</v>
      </c>
      <c r="B32" s="51">
        <v>14.15</v>
      </c>
      <c r="C32" s="51">
        <v>28.58</v>
      </c>
      <c r="D32" s="51">
        <v>25.24</v>
      </c>
      <c r="E32" s="51">
        <v>9.89</v>
      </c>
      <c r="F32" s="51">
        <v>4.21</v>
      </c>
      <c r="G32" s="51">
        <v>39.299999999999997</v>
      </c>
      <c r="H32" s="51">
        <v>15.88</v>
      </c>
      <c r="I32" s="51">
        <v>5.18</v>
      </c>
      <c r="J32" s="51">
        <v>0.3</v>
      </c>
      <c r="K32" s="51">
        <v>138.30000000000001</v>
      </c>
      <c r="L32" s="51">
        <v>27.19</v>
      </c>
      <c r="M32" s="51">
        <v>91.64</v>
      </c>
      <c r="N32" s="51">
        <v>0</v>
      </c>
      <c r="O32" s="51">
        <v>0</v>
      </c>
      <c r="P32" s="51">
        <v>0.63</v>
      </c>
      <c r="Q32" s="51">
        <v>4.49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6.18</v>
      </c>
      <c r="C34" s="41">
        <f t="shared" si="0"/>
        <v>20.68</v>
      </c>
      <c r="D34" s="41">
        <f t="shared" si="0"/>
        <v>14.94</v>
      </c>
      <c r="E34" s="41">
        <f t="shared" si="0"/>
        <v>5.72</v>
      </c>
      <c r="F34" s="41">
        <f t="shared" si="0"/>
        <v>2.38</v>
      </c>
      <c r="G34" s="41">
        <f t="shared" si="0"/>
        <v>8.73</v>
      </c>
      <c r="H34" s="41">
        <f t="shared" si="0"/>
        <v>3.35</v>
      </c>
      <c r="I34" s="41">
        <f t="shared" si="0"/>
        <v>3.43</v>
      </c>
      <c r="J34" s="41">
        <f t="shared" si="0"/>
        <v>0.16</v>
      </c>
      <c r="K34" s="41">
        <f t="shared" si="0"/>
        <v>45.5</v>
      </c>
      <c r="L34" s="41">
        <f t="shared" si="0"/>
        <v>25.62</v>
      </c>
      <c r="M34" s="41">
        <f t="shared" si="0"/>
        <v>70.39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21.82</v>
      </c>
      <c r="C35" s="33">
        <f t="shared" si="1"/>
        <v>29.1</v>
      </c>
      <c r="D35" s="33">
        <f t="shared" si="1"/>
        <v>30.73</v>
      </c>
      <c r="E35" s="33">
        <f t="shared" si="1"/>
        <v>14.34</v>
      </c>
      <c r="F35" s="33">
        <f t="shared" si="1"/>
        <v>21.04</v>
      </c>
      <c r="G35" s="33">
        <f t="shared" si="1"/>
        <v>39.299999999999997</v>
      </c>
      <c r="H35" s="33">
        <f t="shared" si="1"/>
        <v>15.88</v>
      </c>
      <c r="I35" s="33">
        <f t="shared" si="1"/>
        <v>5.25</v>
      </c>
      <c r="J35" s="33">
        <f t="shared" si="1"/>
        <v>1.1299999999999999</v>
      </c>
      <c r="K35" s="33">
        <f t="shared" si="1"/>
        <v>357.17</v>
      </c>
      <c r="L35" s="33">
        <f t="shared" si="1"/>
        <v>31.83</v>
      </c>
      <c r="M35" s="33">
        <f t="shared" si="1"/>
        <v>97.47</v>
      </c>
      <c r="N35" s="33">
        <f t="shared" si="1"/>
        <v>765.5</v>
      </c>
      <c r="O35" s="33">
        <f t="shared" si="1"/>
        <v>0</v>
      </c>
      <c r="P35" s="33">
        <f t="shared" si="1"/>
        <v>0.67</v>
      </c>
      <c r="Q35" s="33">
        <f t="shared" si="1"/>
        <v>4.8499999999999996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14.842500000000001</v>
      </c>
      <c r="C36" s="41">
        <f t="shared" si="2"/>
        <v>26.611666666666668</v>
      </c>
      <c r="D36" s="41">
        <f t="shared" si="2"/>
        <v>24.461250000000003</v>
      </c>
      <c r="E36" s="41">
        <f t="shared" si="2"/>
        <v>9.4595833333333328</v>
      </c>
      <c r="F36" s="41">
        <f t="shared" si="2"/>
        <v>7.3083333333333336</v>
      </c>
      <c r="G36" s="41">
        <f t="shared" si="2"/>
        <v>23.705416666666661</v>
      </c>
      <c r="H36" s="41">
        <f t="shared" si="2"/>
        <v>8.6795833333333334</v>
      </c>
      <c r="I36" s="41">
        <f t="shared" si="2"/>
        <v>4.5133333333333345</v>
      </c>
      <c r="J36" s="41">
        <f t="shared" si="2"/>
        <v>0.60124999999999995</v>
      </c>
      <c r="K36" s="41">
        <f t="shared" si="2"/>
        <v>141.47208333333333</v>
      </c>
      <c r="L36" s="41">
        <f t="shared" si="2"/>
        <v>27.98416666666667</v>
      </c>
      <c r="M36" s="41">
        <f t="shared" si="2"/>
        <v>87.540416666666673</v>
      </c>
      <c r="N36" s="41">
        <f t="shared" si="2"/>
        <v>169.69166666666663</v>
      </c>
      <c r="O36" s="41">
        <f t="shared" si="2"/>
        <v>0</v>
      </c>
      <c r="P36" s="41">
        <f t="shared" si="2"/>
        <v>0.52</v>
      </c>
      <c r="Q36" s="41">
        <f t="shared" si="2"/>
        <v>4.4591666666666674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5.1878497262939902</v>
      </c>
      <c r="C37" s="41">
        <f t="shared" ref="C37:Q37" si="3">STDEV(C9:C32)</f>
        <v>2.0036893507958342</v>
      </c>
      <c r="D37" s="41">
        <f t="shared" si="3"/>
        <v>4.9096633307935722</v>
      </c>
      <c r="E37" s="41">
        <f t="shared" si="3"/>
        <v>2.4525345880939415</v>
      </c>
      <c r="F37" s="41">
        <f t="shared" si="3"/>
        <v>5.5907654190651286</v>
      </c>
      <c r="G37" s="41">
        <f t="shared" si="3"/>
        <v>8.2531901495681019</v>
      </c>
      <c r="H37" s="41">
        <f t="shared" si="3"/>
        <v>3.1091037142232976</v>
      </c>
      <c r="I37" s="41">
        <f t="shared" si="3"/>
        <v>0.53175400218575686</v>
      </c>
      <c r="J37" s="41">
        <f t="shared" si="3"/>
        <v>0.32923247370077363</v>
      </c>
      <c r="K37" s="41">
        <f t="shared" si="3"/>
        <v>90.992689767492806</v>
      </c>
      <c r="L37" s="41">
        <f t="shared" si="3"/>
        <v>1.9779478092790197</v>
      </c>
      <c r="M37" s="41">
        <f t="shared" si="3"/>
        <v>8.2774457723678569</v>
      </c>
      <c r="N37" s="41">
        <f t="shared" si="3"/>
        <v>244.07483156974033</v>
      </c>
      <c r="O37" s="41">
        <f t="shared" si="3"/>
        <v>0</v>
      </c>
      <c r="P37" s="41">
        <f t="shared" si="3"/>
        <v>5.1583617217265863E-2</v>
      </c>
      <c r="Q37" s="41">
        <f t="shared" si="3"/>
        <v>0.27531668195428799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19/07/2023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490</v>
      </c>
      <c r="B9" s="51">
        <v>17.79</v>
      </c>
      <c r="C9" s="51">
        <v>28.08</v>
      </c>
      <c r="D9" s="51">
        <v>26.85</v>
      </c>
      <c r="E9" s="51">
        <v>10.130000000000001</v>
      </c>
      <c r="F9" s="51">
        <v>7</v>
      </c>
      <c r="G9" s="51">
        <v>38.229999999999997</v>
      </c>
      <c r="H9" s="51">
        <v>13.92</v>
      </c>
      <c r="I9" s="51">
        <v>5.07</v>
      </c>
      <c r="J9" s="51">
        <v>0.32</v>
      </c>
      <c r="K9" s="51">
        <v>63.34</v>
      </c>
      <c r="L9" s="51">
        <v>27.08</v>
      </c>
      <c r="M9" s="51">
        <v>92.01</v>
      </c>
      <c r="N9" s="51">
        <v>0</v>
      </c>
      <c r="O9" s="51">
        <v>0</v>
      </c>
      <c r="P9" s="51">
        <v>0.62</v>
      </c>
      <c r="Q9" s="51">
        <v>4.5599999999999996</v>
      </c>
    </row>
    <row r="10" spans="1:21" customFormat="1">
      <c r="A10" s="50" t="s">
        <v>491</v>
      </c>
      <c r="B10" s="51">
        <v>16.68</v>
      </c>
      <c r="C10" s="51">
        <v>28.03</v>
      </c>
      <c r="D10" s="51">
        <v>26.98</v>
      </c>
      <c r="E10" s="51">
        <v>9.42</v>
      </c>
      <c r="F10" s="51">
        <v>7.04</v>
      </c>
      <c r="G10" s="51">
        <v>39.9</v>
      </c>
      <c r="H10" s="51">
        <v>15.47</v>
      </c>
      <c r="I10" s="51">
        <v>4.6100000000000003</v>
      </c>
      <c r="J10" s="51">
        <v>0.33</v>
      </c>
      <c r="K10" s="51">
        <v>53.19</v>
      </c>
      <c r="L10" s="51">
        <v>27.09</v>
      </c>
      <c r="M10" s="51">
        <v>93.78</v>
      </c>
      <c r="N10" s="51">
        <v>0</v>
      </c>
      <c r="O10" s="51">
        <v>0</v>
      </c>
      <c r="P10" s="51">
        <v>0.56999999999999995</v>
      </c>
      <c r="Q10" s="51">
        <v>4.62</v>
      </c>
    </row>
    <row r="11" spans="1:21" customFormat="1">
      <c r="A11" s="50" t="s">
        <v>492</v>
      </c>
      <c r="B11" s="51">
        <v>17.23</v>
      </c>
      <c r="C11" s="51">
        <v>28.53</v>
      </c>
      <c r="D11" s="51">
        <v>27.59</v>
      </c>
      <c r="E11" s="51">
        <v>7.78</v>
      </c>
      <c r="F11" s="51">
        <v>6.93</v>
      </c>
      <c r="G11" s="51">
        <v>39.9</v>
      </c>
      <c r="H11" s="51">
        <v>15.47</v>
      </c>
      <c r="I11" s="51">
        <v>4.6100000000000003</v>
      </c>
      <c r="J11" s="51">
        <v>0.53</v>
      </c>
      <c r="K11" s="51">
        <v>357.12</v>
      </c>
      <c r="L11" s="51">
        <v>26.77</v>
      </c>
      <c r="M11" s="51">
        <v>93.96</v>
      </c>
      <c r="N11" s="51">
        <v>0</v>
      </c>
      <c r="O11" s="51">
        <v>0</v>
      </c>
      <c r="P11" s="51">
        <v>0.57999999999999996</v>
      </c>
      <c r="Q11" s="51">
        <v>4.63</v>
      </c>
    </row>
    <row r="12" spans="1:21" customFormat="1">
      <c r="A12" s="50" t="s">
        <v>493</v>
      </c>
      <c r="B12" s="51">
        <v>18.22</v>
      </c>
      <c r="C12" s="51">
        <v>28.3</v>
      </c>
      <c r="D12" s="51">
        <v>28.35</v>
      </c>
      <c r="E12" s="51">
        <v>7.67</v>
      </c>
      <c r="F12" s="51">
        <v>6.14</v>
      </c>
      <c r="G12" s="51">
        <v>33.590000000000003</v>
      </c>
      <c r="H12" s="51">
        <v>13.35</v>
      </c>
      <c r="I12" s="51">
        <v>4.68</v>
      </c>
      <c r="J12" s="51">
        <v>0.83</v>
      </c>
      <c r="K12" s="51">
        <v>38.83</v>
      </c>
      <c r="L12" s="51">
        <v>26.61</v>
      </c>
      <c r="M12" s="51">
        <v>95.57</v>
      </c>
      <c r="N12" s="51">
        <v>0</v>
      </c>
      <c r="O12" s="51">
        <v>0</v>
      </c>
      <c r="P12" s="51">
        <v>0.55000000000000004</v>
      </c>
      <c r="Q12" s="51">
        <v>4.7</v>
      </c>
    </row>
    <row r="13" spans="1:21" customFormat="1">
      <c r="A13" s="50" t="s">
        <v>494</v>
      </c>
      <c r="B13" s="51">
        <v>18.25</v>
      </c>
      <c r="C13" s="51">
        <v>28.08</v>
      </c>
      <c r="D13" s="51">
        <v>28.07</v>
      </c>
      <c r="E13" s="51">
        <v>7.62</v>
      </c>
      <c r="F13" s="51">
        <v>4.84</v>
      </c>
      <c r="G13" s="51">
        <v>29.57</v>
      </c>
      <c r="H13" s="51">
        <v>13.35</v>
      </c>
      <c r="I13" s="51">
        <v>4.63</v>
      </c>
      <c r="J13" s="51">
        <v>0.71</v>
      </c>
      <c r="K13" s="51">
        <v>52.4</v>
      </c>
      <c r="L13" s="51">
        <v>26.11</v>
      </c>
      <c r="M13" s="51">
        <v>94.4</v>
      </c>
      <c r="N13" s="51">
        <v>0</v>
      </c>
      <c r="O13" s="51">
        <v>0</v>
      </c>
      <c r="P13" s="51">
        <v>0.53</v>
      </c>
      <c r="Q13" s="51">
        <v>4.67</v>
      </c>
    </row>
    <row r="14" spans="1:21" customFormat="1">
      <c r="A14" s="50" t="s">
        <v>495</v>
      </c>
      <c r="B14" s="51">
        <v>20.07</v>
      </c>
      <c r="C14" s="51">
        <v>28.11</v>
      </c>
      <c r="D14" s="51">
        <v>29.74</v>
      </c>
      <c r="E14" s="51">
        <v>7.46</v>
      </c>
      <c r="F14" s="51">
        <v>3.37</v>
      </c>
      <c r="G14" s="51">
        <v>26.28</v>
      </c>
      <c r="H14" s="51">
        <v>10.46</v>
      </c>
      <c r="I14" s="51">
        <v>4.5199999999999996</v>
      </c>
      <c r="J14" s="51">
        <v>0.6</v>
      </c>
      <c r="K14" s="51">
        <v>58.06</v>
      </c>
      <c r="L14" s="51">
        <v>26.2</v>
      </c>
      <c r="M14" s="51">
        <v>95.09</v>
      </c>
      <c r="N14" s="51">
        <v>2.2000000000000002</v>
      </c>
      <c r="O14" s="51">
        <v>0</v>
      </c>
      <c r="P14" s="51">
        <v>0.51</v>
      </c>
      <c r="Q14" s="51">
        <v>4.6900000000000004</v>
      </c>
    </row>
    <row r="15" spans="1:21" customFormat="1">
      <c r="A15" s="50" t="s">
        <v>496</v>
      </c>
      <c r="B15" s="51">
        <v>22.03</v>
      </c>
      <c r="C15" s="51">
        <v>29.31</v>
      </c>
      <c r="D15" s="51">
        <v>31.93</v>
      </c>
      <c r="E15" s="51">
        <v>7.9</v>
      </c>
      <c r="F15" s="51">
        <v>3.21</v>
      </c>
      <c r="G15" s="51">
        <v>24.04</v>
      </c>
      <c r="H15" s="51">
        <v>7.62</v>
      </c>
      <c r="I15" s="51">
        <v>4.41</v>
      </c>
      <c r="J15" s="51">
        <v>0.77</v>
      </c>
      <c r="K15" s="51">
        <v>55.16</v>
      </c>
      <c r="L15" s="51">
        <v>26.75</v>
      </c>
      <c r="M15" s="51">
        <v>94.83</v>
      </c>
      <c r="N15" s="51">
        <v>89.3</v>
      </c>
      <c r="O15" s="51">
        <v>0</v>
      </c>
      <c r="P15" s="51">
        <v>0.51</v>
      </c>
      <c r="Q15" s="51">
        <v>4.87</v>
      </c>
    </row>
    <row r="16" spans="1:21" customFormat="1">
      <c r="A16" s="50" t="s">
        <v>497</v>
      </c>
      <c r="B16" s="51">
        <v>21.93</v>
      </c>
      <c r="C16" s="51">
        <v>28.46</v>
      </c>
      <c r="D16" s="51">
        <v>31.03</v>
      </c>
      <c r="E16" s="51">
        <v>8.8000000000000007</v>
      </c>
      <c r="F16" s="51">
        <v>3.58</v>
      </c>
      <c r="G16" s="51">
        <v>26.43</v>
      </c>
      <c r="H16" s="51">
        <v>7.32</v>
      </c>
      <c r="I16" s="51">
        <v>4.3899999999999997</v>
      </c>
      <c r="J16" s="51">
        <v>0.88</v>
      </c>
      <c r="K16" s="51">
        <v>69.48</v>
      </c>
      <c r="L16" s="51">
        <v>27.91</v>
      </c>
      <c r="M16" s="51">
        <v>90.53</v>
      </c>
      <c r="N16" s="51">
        <v>140.80000000000001</v>
      </c>
      <c r="O16" s="51">
        <v>0</v>
      </c>
      <c r="P16" s="51">
        <v>0.52</v>
      </c>
      <c r="Q16" s="51">
        <v>4.84</v>
      </c>
    </row>
    <row r="17" spans="1:17" customFormat="1">
      <c r="A17" s="50" t="s">
        <v>498</v>
      </c>
      <c r="B17" s="51">
        <v>21.89</v>
      </c>
      <c r="C17" s="51">
        <v>26.93</v>
      </c>
      <c r="D17" s="51">
        <v>30.58</v>
      </c>
      <c r="E17" s="51">
        <v>10.28</v>
      </c>
      <c r="F17" s="51">
        <v>4.7300000000000004</v>
      </c>
      <c r="G17" s="51">
        <v>26.43</v>
      </c>
      <c r="H17" s="51">
        <v>8.2799999999999994</v>
      </c>
      <c r="I17" s="51">
        <v>4.3499999999999996</v>
      </c>
      <c r="J17" s="51">
        <v>0.75</v>
      </c>
      <c r="K17" s="51">
        <v>65.39</v>
      </c>
      <c r="L17" s="51">
        <v>28.35</v>
      </c>
      <c r="M17" s="51">
        <v>87.55</v>
      </c>
      <c r="N17" s="51">
        <v>164.7</v>
      </c>
      <c r="O17" s="51">
        <v>0</v>
      </c>
      <c r="P17" s="51">
        <v>0.51</v>
      </c>
      <c r="Q17" s="51">
        <v>4.84</v>
      </c>
    </row>
    <row r="18" spans="1:17" customFormat="1">
      <c r="A18" s="50" t="s">
        <v>499</v>
      </c>
      <c r="B18" s="51">
        <v>20.63</v>
      </c>
      <c r="C18" s="51">
        <v>27.05</v>
      </c>
      <c r="D18" s="51">
        <v>29.28</v>
      </c>
      <c r="E18" s="51">
        <v>9.2799999999999994</v>
      </c>
      <c r="F18" s="51">
        <v>5.4</v>
      </c>
      <c r="G18" s="51">
        <v>25.55</v>
      </c>
      <c r="H18" s="51">
        <v>8.75</v>
      </c>
      <c r="I18" s="51">
        <v>4.2300000000000004</v>
      </c>
      <c r="J18" s="51">
        <v>0.94</v>
      </c>
      <c r="K18" s="51">
        <v>66.81</v>
      </c>
      <c r="L18" s="51">
        <v>29.93</v>
      </c>
      <c r="M18" s="51">
        <v>82.99</v>
      </c>
      <c r="N18" s="51">
        <v>300</v>
      </c>
      <c r="O18" s="51">
        <v>0</v>
      </c>
      <c r="P18" s="51">
        <v>0.53</v>
      </c>
      <c r="Q18" s="51">
        <v>4.8</v>
      </c>
    </row>
    <row r="19" spans="1:17" customFormat="1">
      <c r="A19" s="50" t="s">
        <v>500</v>
      </c>
      <c r="B19" s="51">
        <v>19.55</v>
      </c>
      <c r="C19" s="51">
        <v>26</v>
      </c>
      <c r="D19" s="51">
        <v>28.22</v>
      </c>
      <c r="E19" s="51">
        <v>8.5299999999999994</v>
      </c>
      <c r="F19" s="51">
        <v>6.4</v>
      </c>
      <c r="G19" s="51">
        <v>25.65</v>
      </c>
      <c r="H19" s="51">
        <v>8.86</v>
      </c>
      <c r="I19" s="51">
        <v>4.3</v>
      </c>
      <c r="J19" s="51">
        <v>0.72</v>
      </c>
      <c r="K19" s="51">
        <v>70.44</v>
      </c>
      <c r="L19" s="51">
        <v>29.65</v>
      </c>
      <c r="M19" s="51">
        <v>79.319999999999993</v>
      </c>
      <c r="N19" s="51">
        <v>262</v>
      </c>
      <c r="O19" s="51">
        <v>0</v>
      </c>
      <c r="P19" s="51">
        <v>0.52</v>
      </c>
      <c r="Q19" s="51">
        <v>4.7</v>
      </c>
    </row>
    <row r="20" spans="1:17" customFormat="1">
      <c r="A20" s="50" t="s">
        <v>501</v>
      </c>
      <c r="B20" s="51">
        <v>16.68</v>
      </c>
      <c r="C20" s="51">
        <v>27.76</v>
      </c>
      <c r="D20" s="51">
        <v>26.6</v>
      </c>
      <c r="E20" s="51">
        <v>8.7899999999999991</v>
      </c>
      <c r="F20" s="51">
        <v>6.66</v>
      </c>
      <c r="G20" s="51">
        <v>25.65</v>
      </c>
      <c r="H20" s="51">
        <v>8.86</v>
      </c>
      <c r="I20" s="51">
        <v>4.12</v>
      </c>
      <c r="J20" s="51">
        <v>1.26</v>
      </c>
      <c r="K20" s="51">
        <v>71.66</v>
      </c>
      <c r="L20" s="51">
        <v>29.77</v>
      </c>
      <c r="M20" s="51">
        <v>84.4</v>
      </c>
      <c r="N20" s="51">
        <v>377</v>
      </c>
      <c r="O20" s="51">
        <v>0</v>
      </c>
      <c r="P20" s="51">
        <v>0.52</v>
      </c>
      <c r="Q20" s="51">
        <v>4.5999999999999996</v>
      </c>
    </row>
    <row r="21" spans="1:17" customFormat="1">
      <c r="A21" s="50" t="s">
        <v>502</v>
      </c>
      <c r="B21" s="51">
        <v>16.350000000000001</v>
      </c>
      <c r="C21" s="51">
        <v>28.77</v>
      </c>
      <c r="D21" s="51">
        <v>26.73</v>
      </c>
      <c r="E21" s="51">
        <v>9.5500000000000007</v>
      </c>
      <c r="F21" s="51">
        <v>6.93</v>
      </c>
      <c r="G21" s="51">
        <v>24.92</v>
      </c>
      <c r="H21" s="51">
        <v>6.32</v>
      </c>
      <c r="I21" s="51">
        <v>4.2699999999999996</v>
      </c>
      <c r="J21" s="51">
        <v>1.04</v>
      </c>
      <c r="K21" s="51">
        <v>130.21</v>
      </c>
      <c r="L21" s="51">
        <v>28.76</v>
      </c>
      <c r="M21" s="51">
        <v>96.94</v>
      </c>
      <c r="N21" s="51">
        <v>147.30000000000001</v>
      </c>
      <c r="O21" s="51">
        <v>4.2</v>
      </c>
      <c r="P21" s="51">
        <v>0.52</v>
      </c>
      <c r="Q21" s="51">
        <v>4.51</v>
      </c>
    </row>
    <row r="22" spans="1:17" customFormat="1">
      <c r="A22" s="50" t="s">
        <v>503</v>
      </c>
      <c r="B22" s="51">
        <v>15.88</v>
      </c>
      <c r="C22" s="51">
        <v>28.35</v>
      </c>
      <c r="D22" s="51">
        <v>26.5</v>
      </c>
      <c r="E22" s="51">
        <v>6.72</v>
      </c>
      <c r="F22" s="51">
        <v>5.04</v>
      </c>
      <c r="G22" s="51">
        <v>24.92</v>
      </c>
      <c r="H22" s="51">
        <v>6.69</v>
      </c>
      <c r="I22" s="51">
        <v>4.3099999999999996</v>
      </c>
      <c r="J22" s="51">
        <v>0.68</v>
      </c>
      <c r="K22" s="51">
        <v>94.73</v>
      </c>
      <c r="L22" s="51">
        <v>26.6</v>
      </c>
      <c r="M22" s="51">
        <v>96.84</v>
      </c>
      <c r="N22" s="51">
        <v>122</v>
      </c>
      <c r="O22" s="51">
        <v>0</v>
      </c>
      <c r="P22" s="51">
        <v>0.52</v>
      </c>
      <c r="Q22" s="51">
        <v>4.5</v>
      </c>
    </row>
    <row r="23" spans="1:17" customFormat="1">
      <c r="A23" s="50" t="s">
        <v>504</v>
      </c>
      <c r="B23" s="51">
        <v>17.190000000000001</v>
      </c>
      <c r="C23" s="51">
        <v>27.18</v>
      </c>
      <c r="D23" s="51">
        <v>26.88</v>
      </c>
      <c r="E23" s="51">
        <v>6.6</v>
      </c>
      <c r="F23" s="51">
        <v>5.13</v>
      </c>
      <c r="G23" s="51">
        <v>28.48</v>
      </c>
      <c r="H23" s="51">
        <v>6.69</v>
      </c>
      <c r="I23" s="51">
        <v>4.17</v>
      </c>
      <c r="J23" s="51">
        <v>0.8</v>
      </c>
      <c r="K23" s="51">
        <v>59.18</v>
      </c>
      <c r="L23" s="51">
        <v>29.51</v>
      </c>
      <c r="M23" s="51">
        <v>91.36</v>
      </c>
      <c r="N23" s="51">
        <v>757.7</v>
      </c>
      <c r="O23" s="51">
        <v>0</v>
      </c>
      <c r="P23" s="51">
        <v>0.44</v>
      </c>
      <c r="Q23" s="51">
        <v>4.57</v>
      </c>
    </row>
    <row r="24" spans="1:17" customFormat="1">
      <c r="A24" s="50" t="s">
        <v>505</v>
      </c>
      <c r="B24" s="51">
        <v>17.32</v>
      </c>
      <c r="C24" s="51">
        <v>25.78</v>
      </c>
      <c r="D24" s="51">
        <v>26.32</v>
      </c>
      <c r="E24" s="51">
        <v>6.35</v>
      </c>
      <c r="F24" s="51">
        <v>6.14</v>
      </c>
      <c r="G24" s="51">
        <v>28.48</v>
      </c>
      <c r="H24" s="51">
        <v>8.07</v>
      </c>
      <c r="I24" s="51">
        <v>4.04</v>
      </c>
      <c r="J24" s="51">
        <v>0.78</v>
      </c>
      <c r="K24" s="51">
        <v>76.23</v>
      </c>
      <c r="L24" s="51">
        <v>30.88</v>
      </c>
      <c r="M24" s="51">
        <v>79.489999999999995</v>
      </c>
      <c r="N24" s="51">
        <v>610.79999999999995</v>
      </c>
      <c r="O24" s="51">
        <v>0</v>
      </c>
      <c r="P24" s="51">
        <v>0.43</v>
      </c>
      <c r="Q24" s="51">
        <v>4.55</v>
      </c>
    </row>
    <row r="25" spans="1:17" customFormat="1">
      <c r="A25" s="50" t="s">
        <v>506</v>
      </c>
      <c r="B25" s="51">
        <v>15.9</v>
      </c>
      <c r="C25" s="51">
        <v>26.28</v>
      </c>
      <c r="D25" s="51">
        <v>25.43</v>
      </c>
      <c r="E25" s="51">
        <v>6.56</v>
      </c>
      <c r="F25" s="51">
        <v>11.2</v>
      </c>
      <c r="G25" s="51">
        <v>24.55</v>
      </c>
      <c r="H25" s="51">
        <v>8.07</v>
      </c>
      <c r="I25" s="51">
        <v>3.95</v>
      </c>
      <c r="J25" s="51">
        <v>0.93</v>
      </c>
      <c r="K25" s="51">
        <v>71.59</v>
      </c>
      <c r="L25" s="51">
        <v>30.67</v>
      </c>
      <c r="M25" s="51">
        <v>81.790000000000006</v>
      </c>
      <c r="N25" s="51">
        <v>292.3</v>
      </c>
      <c r="O25" s="51">
        <v>0</v>
      </c>
      <c r="P25" s="51">
        <v>0.43</v>
      </c>
      <c r="Q25" s="51">
        <v>4.49</v>
      </c>
    </row>
    <row r="26" spans="1:17" customFormat="1">
      <c r="A26" s="50" t="s">
        <v>507</v>
      </c>
      <c r="B26" s="51">
        <v>19.39</v>
      </c>
      <c r="C26" s="51">
        <v>27.61</v>
      </c>
      <c r="D26" s="51">
        <v>28.93</v>
      </c>
      <c r="E26" s="51">
        <v>8.08</v>
      </c>
      <c r="F26" s="51">
        <v>9.01</v>
      </c>
      <c r="G26" s="51">
        <v>27.05</v>
      </c>
      <c r="H26" s="51">
        <v>10.54</v>
      </c>
      <c r="I26" s="51">
        <v>3.87</v>
      </c>
      <c r="J26" s="51">
        <v>0.47</v>
      </c>
      <c r="K26" s="51">
        <v>53.75</v>
      </c>
      <c r="L26" s="51">
        <v>28.78</v>
      </c>
      <c r="M26" s="51">
        <v>84.35</v>
      </c>
      <c r="N26" s="51">
        <v>79.2</v>
      </c>
      <c r="O26" s="51">
        <v>0</v>
      </c>
      <c r="P26" s="51">
        <v>0.51</v>
      </c>
      <c r="Q26" s="51">
        <v>4.49</v>
      </c>
    </row>
    <row r="27" spans="1:17" customFormat="1">
      <c r="A27" s="50" t="s">
        <v>508</v>
      </c>
      <c r="B27" s="51">
        <v>17.28</v>
      </c>
      <c r="C27" s="51">
        <v>28.47</v>
      </c>
      <c r="D27" s="51">
        <v>27.07</v>
      </c>
      <c r="E27" s="51">
        <v>5.98</v>
      </c>
      <c r="F27" s="51">
        <v>11.48</v>
      </c>
      <c r="G27" s="51">
        <v>32.94</v>
      </c>
      <c r="H27" s="51">
        <v>10.58</v>
      </c>
      <c r="I27" s="51">
        <v>3.92</v>
      </c>
      <c r="J27" s="51">
        <v>0.21</v>
      </c>
      <c r="K27" s="51">
        <v>202.16</v>
      </c>
      <c r="L27" s="51">
        <v>28.87</v>
      </c>
      <c r="M27" s="51">
        <v>90.67</v>
      </c>
      <c r="N27" s="51">
        <v>18.899999999999999</v>
      </c>
      <c r="O27" s="51">
        <v>0</v>
      </c>
      <c r="P27" s="51">
        <v>0.48</v>
      </c>
      <c r="Q27" s="51">
        <v>4.6100000000000003</v>
      </c>
    </row>
    <row r="28" spans="1:17" customFormat="1">
      <c r="A28" s="50" t="s">
        <v>509</v>
      </c>
      <c r="B28" s="51">
        <v>18.28</v>
      </c>
      <c r="C28" s="51">
        <v>30.12</v>
      </c>
      <c r="D28" s="51">
        <v>28.91</v>
      </c>
      <c r="E28" s="51">
        <v>5.4</v>
      </c>
      <c r="F28" s="51">
        <v>2.9</v>
      </c>
      <c r="G28" s="51">
        <v>43.95</v>
      </c>
      <c r="H28" s="51">
        <v>10.58</v>
      </c>
      <c r="I28" s="51">
        <v>4.71</v>
      </c>
      <c r="J28" s="51">
        <v>0.24</v>
      </c>
      <c r="K28" s="51">
        <v>248.36</v>
      </c>
      <c r="L28" s="51">
        <v>27.89</v>
      </c>
      <c r="M28" s="51">
        <v>93.8</v>
      </c>
      <c r="N28" s="51">
        <v>0</v>
      </c>
      <c r="O28" s="51">
        <v>0</v>
      </c>
      <c r="P28" s="51">
        <v>0.64</v>
      </c>
      <c r="Q28" s="51">
        <v>4.68</v>
      </c>
    </row>
    <row r="29" spans="1:17" customFormat="1">
      <c r="A29" s="50" t="s">
        <v>510</v>
      </c>
      <c r="B29" s="51">
        <v>27.28</v>
      </c>
      <c r="C29" s="51">
        <v>31.04</v>
      </c>
      <c r="D29" s="51">
        <v>36.44</v>
      </c>
      <c r="E29" s="51">
        <v>5.36</v>
      </c>
      <c r="F29" s="51">
        <v>2.13</v>
      </c>
      <c r="G29" s="51">
        <v>49.09</v>
      </c>
      <c r="H29" s="51">
        <v>15.59</v>
      </c>
      <c r="I29" s="51">
        <v>5.68</v>
      </c>
      <c r="J29" s="51">
        <v>0.23</v>
      </c>
      <c r="K29" s="51">
        <v>260.25</v>
      </c>
      <c r="L29" s="51">
        <v>27.74</v>
      </c>
      <c r="M29" s="51">
        <v>93.53</v>
      </c>
      <c r="N29" s="51">
        <v>0</v>
      </c>
      <c r="O29" s="51">
        <v>0</v>
      </c>
      <c r="P29" s="51">
        <v>0.76</v>
      </c>
      <c r="Q29" s="51">
        <v>4.82</v>
      </c>
    </row>
    <row r="30" spans="1:17" customFormat="1">
      <c r="A30" s="50" t="s">
        <v>511</v>
      </c>
      <c r="B30" s="51">
        <v>20.54</v>
      </c>
      <c r="C30" s="51">
        <v>29.69</v>
      </c>
      <c r="D30" s="51">
        <v>30.94</v>
      </c>
      <c r="E30" s="51">
        <v>5.36</v>
      </c>
      <c r="F30" s="51">
        <v>2.29</v>
      </c>
      <c r="G30" s="51">
        <v>51.11</v>
      </c>
      <c r="H30" s="51">
        <v>15.75</v>
      </c>
      <c r="I30" s="51">
        <v>5.97</v>
      </c>
      <c r="J30" s="51">
        <v>0.19</v>
      </c>
      <c r="K30" s="51">
        <v>193.85</v>
      </c>
      <c r="L30" s="51">
        <v>27.66</v>
      </c>
      <c r="M30" s="51">
        <v>95.75</v>
      </c>
      <c r="N30" s="51">
        <v>0</v>
      </c>
      <c r="O30" s="51">
        <v>0</v>
      </c>
      <c r="P30" s="51">
        <v>0.72</v>
      </c>
      <c r="Q30" s="51">
        <v>4.9000000000000004</v>
      </c>
    </row>
    <row r="31" spans="1:17" customFormat="1">
      <c r="A31" s="50" t="s">
        <v>512</v>
      </c>
      <c r="B31" s="51">
        <v>22.07</v>
      </c>
      <c r="C31" s="51">
        <v>30.07</v>
      </c>
      <c r="D31" s="51">
        <v>32.369999999999997</v>
      </c>
      <c r="E31" s="51">
        <v>4.84</v>
      </c>
      <c r="F31" s="51">
        <v>2.88</v>
      </c>
      <c r="G31" s="51">
        <v>51.11</v>
      </c>
      <c r="H31" s="51">
        <v>15.75</v>
      </c>
      <c r="I31" s="51">
        <v>6.23</v>
      </c>
      <c r="J31" s="51">
        <v>0.17</v>
      </c>
      <c r="K31" s="51">
        <v>185.23</v>
      </c>
      <c r="L31" s="51">
        <v>27.59</v>
      </c>
      <c r="M31" s="51">
        <v>95.84</v>
      </c>
      <c r="N31" s="51">
        <v>0</v>
      </c>
      <c r="O31" s="51">
        <v>0</v>
      </c>
      <c r="P31" s="51">
        <v>0.75</v>
      </c>
      <c r="Q31" s="51">
        <v>4.91</v>
      </c>
    </row>
    <row r="32" spans="1:17" customFormat="1">
      <c r="A32" s="50" t="s">
        <v>513</v>
      </c>
      <c r="B32" s="51">
        <v>32.11</v>
      </c>
      <c r="C32" s="51">
        <v>30.47</v>
      </c>
      <c r="D32" s="51">
        <v>38.659999999999997</v>
      </c>
      <c r="E32" s="51">
        <v>5.18</v>
      </c>
      <c r="F32" s="51">
        <v>1.88</v>
      </c>
      <c r="G32" s="51">
        <v>52.96</v>
      </c>
      <c r="H32" s="51">
        <v>15.51</v>
      </c>
      <c r="I32" s="51">
        <v>6.73</v>
      </c>
      <c r="J32" s="51">
        <v>0.23</v>
      </c>
      <c r="K32" s="51">
        <v>174.49</v>
      </c>
      <c r="L32" s="51">
        <v>27.78</v>
      </c>
      <c r="M32" s="51">
        <v>94.85</v>
      </c>
      <c r="N32" s="51">
        <v>0</v>
      </c>
      <c r="O32" s="51">
        <v>0</v>
      </c>
      <c r="P32" s="51">
        <v>0.79</v>
      </c>
      <c r="Q32" s="51">
        <v>5.09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15.88</v>
      </c>
      <c r="C34" s="41">
        <f t="shared" si="0"/>
        <v>25.78</v>
      </c>
      <c r="D34" s="41">
        <f t="shared" si="0"/>
        <v>25.43</v>
      </c>
      <c r="E34" s="41">
        <f t="shared" si="0"/>
        <v>4.84</v>
      </c>
      <c r="F34" s="41">
        <f t="shared" si="0"/>
        <v>1.88</v>
      </c>
      <c r="G34" s="41">
        <f t="shared" si="0"/>
        <v>24.04</v>
      </c>
      <c r="H34" s="41">
        <f t="shared" si="0"/>
        <v>6.32</v>
      </c>
      <c r="I34" s="41">
        <f t="shared" si="0"/>
        <v>3.87</v>
      </c>
      <c r="J34" s="41">
        <f t="shared" si="0"/>
        <v>0.17</v>
      </c>
      <c r="K34" s="41">
        <f t="shared" si="0"/>
        <v>38.83</v>
      </c>
      <c r="L34" s="41">
        <f t="shared" si="0"/>
        <v>26.11</v>
      </c>
      <c r="M34" s="41">
        <f t="shared" si="0"/>
        <v>79.319999999999993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4.49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32.11</v>
      </c>
      <c r="C35" s="33">
        <f t="shared" si="1"/>
        <v>31.04</v>
      </c>
      <c r="D35" s="33">
        <f t="shared" si="1"/>
        <v>38.659999999999997</v>
      </c>
      <c r="E35" s="33">
        <f t="shared" si="1"/>
        <v>10.28</v>
      </c>
      <c r="F35" s="33">
        <f t="shared" si="1"/>
        <v>11.48</v>
      </c>
      <c r="G35" s="33">
        <f t="shared" si="1"/>
        <v>52.96</v>
      </c>
      <c r="H35" s="33">
        <f t="shared" si="1"/>
        <v>15.75</v>
      </c>
      <c r="I35" s="33">
        <f t="shared" si="1"/>
        <v>6.73</v>
      </c>
      <c r="J35" s="33">
        <f t="shared" si="1"/>
        <v>1.26</v>
      </c>
      <c r="K35" s="33">
        <f t="shared" si="1"/>
        <v>357.12</v>
      </c>
      <c r="L35" s="33">
        <f t="shared" si="1"/>
        <v>30.88</v>
      </c>
      <c r="M35" s="33">
        <f t="shared" si="1"/>
        <v>96.94</v>
      </c>
      <c r="N35" s="33">
        <f t="shared" si="1"/>
        <v>757.7</v>
      </c>
      <c r="O35" s="33">
        <f t="shared" si="1"/>
        <v>4.2</v>
      </c>
      <c r="P35" s="33">
        <f t="shared" si="1"/>
        <v>0.79</v>
      </c>
      <c r="Q35" s="33">
        <f t="shared" si="1"/>
        <v>5.09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19.605833333333333</v>
      </c>
      <c r="C36" s="41">
        <f t="shared" si="2"/>
        <v>28.26958333333334</v>
      </c>
      <c r="D36" s="41">
        <f t="shared" si="2"/>
        <v>29.183333333333337</v>
      </c>
      <c r="E36" s="41">
        <f t="shared" si="2"/>
        <v>7.4850000000000021</v>
      </c>
      <c r="F36" s="41">
        <f t="shared" si="2"/>
        <v>5.5129166666666665</v>
      </c>
      <c r="G36" s="41">
        <f t="shared" si="2"/>
        <v>33.365833333333335</v>
      </c>
      <c r="H36" s="41">
        <f t="shared" si="2"/>
        <v>10.910416666666668</v>
      </c>
      <c r="I36" s="41">
        <f t="shared" si="2"/>
        <v>4.6570833333333335</v>
      </c>
      <c r="J36" s="41">
        <f t="shared" si="2"/>
        <v>0.60875000000000001</v>
      </c>
      <c r="K36" s="41">
        <f t="shared" si="2"/>
        <v>115.49624999999999</v>
      </c>
      <c r="L36" s="41">
        <f t="shared" si="2"/>
        <v>28.122916666666665</v>
      </c>
      <c r="M36" s="41">
        <f t="shared" si="2"/>
        <v>90.818333333333328</v>
      </c>
      <c r="N36" s="41">
        <f t="shared" si="2"/>
        <v>140.17500000000001</v>
      </c>
      <c r="O36" s="41">
        <f t="shared" si="2"/>
        <v>0.17500000000000002</v>
      </c>
      <c r="P36" s="41">
        <f t="shared" si="2"/>
        <v>0.56083333333333341</v>
      </c>
      <c r="Q36" s="41">
        <f t="shared" si="2"/>
        <v>4.6933333333333325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3.7663693931685884</v>
      </c>
      <c r="C37" s="41">
        <f t="shared" ref="C37:Q37" si="3">STDEV(C9:C32)</f>
        <v>1.3722513369946487</v>
      </c>
      <c r="D37" s="41">
        <f t="shared" si="3"/>
        <v>3.2081454302211907</v>
      </c>
      <c r="E37" s="41">
        <f t="shared" si="3"/>
        <v>1.6510075974860019</v>
      </c>
      <c r="F37" s="41">
        <f t="shared" si="3"/>
        <v>2.6001412656717853</v>
      </c>
      <c r="G37" s="41">
        <f t="shared" si="3"/>
        <v>9.8204971611804623</v>
      </c>
      <c r="H37" s="41">
        <f t="shared" si="3"/>
        <v>3.4233285088799348</v>
      </c>
      <c r="I37" s="41">
        <f t="shared" si="3"/>
        <v>0.75513015962217522</v>
      </c>
      <c r="J37" s="41">
        <f t="shared" si="3"/>
        <v>0.31078179819120105</v>
      </c>
      <c r="K37" s="41">
        <f t="shared" si="3"/>
        <v>84.553463344720285</v>
      </c>
      <c r="L37" s="41">
        <f t="shared" si="3"/>
        <v>1.3965873909568844</v>
      </c>
      <c r="M37" s="41">
        <f t="shared" si="3"/>
        <v>5.6838127640019991</v>
      </c>
      <c r="N37" s="41">
        <f t="shared" si="3"/>
        <v>204.29759676383432</v>
      </c>
      <c r="O37" s="41">
        <f t="shared" si="3"/>
        <v>0.85732140997411244</v>
      </c>
      <c r="P37" s="41">
        <f t="shared" si="3"/>
        <v>0.10206207261596588</v>
      </c>
      <c r="Q37" s="41">
        <f t="shared" si="3"/>
        <v>0.15903695678424146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20/07/2023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514</v>
      </c>
      <c r="B9" s="51">
        <v>36.22</v>
      </c>
      <c r="C9" s="51">
        <v>28.09</v>
      </c>
      <c r="D9" s="51">
        <v>42.04</v>
      </c>
      <c r="E9" s="51">
        <v>4.71</v>
      </c>
      <c r="F9" s="51">
        <v>2.2999999999999998</v>
      </c>
      <c r="G9" s="51">
        <v>52.96</v>
      </c>
      <c r="H9" s="51">
        <v>15.11</v>
      </c>
      <c r="I9" s="51">
        <v>6.63</v>
      </c>
      <c r="J9" s="51">
        <v>0.17</v>
      </c>
      <c r="K9" s="51">
        <v>200.5</v>
      </c>
      <c r="L9" s="51">
        <v>27.5</v>
      </c>
      <c r="M9" s="51">
        <v>95.65</v>
      </c>
      <c r="N9" s="51">
        <v>0</v>
      </c>
      <c r="O9" s="51">
        <v>0</v>
      </c>
      <c r="P9" s="51">
        <v>0.73</v>
      </c>
      <c r="Q9" s="51">
        <v>5.0599999999999996</v>
      </c>
    </row>
    <row r="10" spans="1:21" customFormat="1">
      <c r="A10" s="50" t="s">
        <v>515</v>
      </c>
      <c r="B10" s="51">
        <v>28.72</v>
      </c>
      <c r="C10" s="51">
        <v>30</v>
      </c>
      <c r="D10" s="51">
        <v>37.549999999999997</v>
      </c>
      <c r="E10" s="51">
        <v>4.8099999999999996</v>
      </c>
      <c r="F10" s="51">
        <v>1.89</v>
      </c>
      <c r="G10" s="51">
        <v>51.37</v>
      </c>
      <c r="H10" s="51">
        <v>15.11</v>
      </c>
      <c r="I10" s="51">
        <v>6.77</v>
      </c>
      <c r="J10" s="51">
        <v>0.17</v>
      </c>
      <c r="K10" s="51">
        <v>183.79</v>
      </c>
      <c r="L10" s="51">
        <v>27.49</v>
      </c>
      <c r="M10" s="51">
        <v>96.21</v>
      </c>
      <c r="N10" s="51">
        <v>0</v>
      </c>
      <c r="O10" s="51">
        <v>0</v>
      </c>
      <c r="P10" s="51">
        <v>0.77</v>
      </c>
      <c r="Q10" s="51">
        <v>5.18</v>
      </c>
    </row>
    <row r="11" spans="1:21" customFormat="1">
      <c r="A11" s="50" t="s">
        <v>516</v>
      </c>
      <c r="B11" s="51">
        <v>31.09</v>
      </c>
      <c r="C11" s="51">
        <v>30.45</v>
      </c>
      <c r="D11" s="51">
        <v>39.79</v>
      </c>
      <c r="E11" s="51">
        <v>6.47</v>
      </c>
      <c r="F11" s="51">
        <v>2.16</v>
      </c>
      <c r="G11" s="51">
        <v>51.37</v>
      </c>
      <c r="H11" s="51">
        <v>16.03</v>
      </c>
      <c r="I11" s="51">
        <v>6.76</v>
      </c>
      <c r="J11" s="51">
        <v>0.32</v>
      </c>
      <c r="K11" s="51">
        <v>133.21</v>
      </c>
      <c r="L11" s="51">
        <v>27.53</v>
      </c>
      <c r="M11" s="51">
        <v>95.94</v>
      </c>
      <c r="N11" s="51">
        <v>0</v>
      </c>
      <c r="O11" s="51">
        <v>0</v>
      </c>
      <c r="P11" s="51">
        <v>0.76</v>
      </c>
      <c r="Q11" s="51">
        <v>5.27</v>
      </c>
    </row>
    <row r="12" spans="1:21" customFormat="1">
      <c r="A12" s="50" t="s">
        <v>517</v>
      </c>
      <c r="B12" s="51">
        <v>29.68</v>
      </c>
      <c r="C12" s="51">
        <v>29.97</v>
      </c>
      <c r="D12" s="51">
        <v>38.42</v>
      </c>
      <c r="E12" s="51">
        <v>6.89</v>
      </c>
      <c r="F12" s="51">
        <v>4.8899999999999997</v>
      </c>
      <c r="G12" s="51">
        <v>48.22</v>
      </c>
      <c r="H12" s="51">
        <v>16.03</v>
      </c>
      <c r="I12" s="51">
        <v>6.56</v>
      </c>
      <c r="J12" s="51">
        <v>0.65</v>
      </c>
      <c r="K12" s="51">
        <v>64.78</v>
      </c>
      <c r="L12" s="51">
        <v>27.35</v>
      </c>
      <c r="M12" s="51">
        <v>94.55</v>
      </c>
      <c r="N12" s="51">
        <v>0</v>
      </c>
      <c r="O12" s="51">
        <v>0</v>
      </c>
      <c r="P12" s="51">
        <v>0.69</v>
      </c>
      <c r="Q12" s="51">
        <v>5.29</v>
      </c>
    </row>
    <row r="13" spans="1:21" customFormat="1">
      <c r="A13" s="50" t="s">
        <v>518</v>
      </c>
      <c r="B13" s="51">
        <v>29</v>
      </c>
      <c r="C13" s="51">
        <v>27.98</v>
      </c>
      <c r="D13" s="51">
        <v>36.56</v>
      </c>
      <c r="E13" s="51">
        <v>7.74</v>
      </c>
      <c r="F13" s="51">
        <v>4.72</v>
      </c>
      <c r="G13" s="51">
        <v>46.21</v>
      </c>
      <c r="H13" s="51">
        <v>13.24</v>
      </c>
      <c r="I13" s="51">
        <v>6.33</v>
      </c>
      <c r="J13" s="51">
        <v>0.73</v>
      </c>
      <c r="K13" s="51">
        <v>47.24</v>
      </c>
      <c r="L13" s="51">
        <v>26.78</v>
      </c>
      <c r="M13" s="51">
        <v>92.81</v>
      </c>
      <c r="N13" s="51">
        <v>0</v>
      </c>
      <c r="O13" s="51">
        <v>0</v>
      </c>
      <c r="P13" s="51">
        <v>0.65</v>
      </c>
      <c r="Q13" s="51">
        <v>5.24</v>
      </c>
    </row>
    <row r="14" spans="1:21" customFormat="1">
      <c r="A14" s="50" t="s">
        <v>519</v>
      </c>
      <c r="B14" s="51">
        <v>29.06</v>
      </c>
      <c r="C14" s="51">
        <v>28.61</v>
      </c>
      <c r="D14" s="51">
        <v>36.81</v>
      </c>
      <c r="E14" s="51">
        <v>6.81</v>
      </c>
      <c r="F14" s="51">
        <v>3.77</v>
      </c>
      <c r="G14" s="51">
        <v>33.51</v>
      </c>
      <c r="H14" s="51">
        <v>12.72</v>
      </c>
      <c r="I14" s="51">
        <v>6.03</v>
      </c>
      <c r="J14" s="51">
        <v>0.89</v>
      </c>
      <c r="K14" s="51">
        <v>45.2</v>
      </c>
      <c r="L14" s="51">
        <v>26.6</v>
      </c>
      <c r="M14" s="51">
        <v>95</v>
      </c>
      <c r="N14" s="51">
        <v>12.8</v>
      </c>
      <c r="O14" s="51">
        <v>0</v>
      </c>
      <c r="P14" s="51">
        <v>0.63</v>
      </c>
      <c r="Q14" s="51">
        <v>5.14</v>
      </c>
    </row>
    <row r="15" spans="1:21" customFormat="1">
      <c r="A15" s="50" t="s">
        <v>520</v>
      </c>
      <c r="B15" s="51">
        <v>30.35</v>
      </c>
      <c r="C15" s="51">
        <v>28.2</v>
      </c>
      <c r="D15" s="51">
        <v>38.020000000000003</v>
      </c>
      <c r="E15" s="51">
        <v>6.66</v>
      </c>
      <c r="F15" s="51">
        <v>2.82</v>
      </c>
      <c r="G15" s="51">
        <v>25.63</v>
      </c>
      <c r="H15" s="51">
        <v>9.27</v>
      </c>
      <c r="I15" s="51">
        <v>5.67</v>
      </c>
      <c r="J15" s="51">
        <v>0.96</v>
      </c>
      <c r="K15" s="51">
        <v>50.78</v>
      </c>
      <c r="L15" s="51">
        <v>27.02</v>
      </c>
      <c r="M15" s="51">
        <v>94.57</v>
      </c>
      <c r="N15" s="51">
        <v>90.5</v>
      </c>
      <c r="O15" s="51">
        <v>0</v>
      </c>
      <c r="P15" s="51">
        <v>0.57999999999999996</v>
      </c>
      <c r="Q15" s="51">
        <v>5.21</v>
      </c>
    </row>
    <row r="16" spans="1:21" customFormat="1">
      <c r="A16" s="50" t="s">
        <v>521</v>
      </c>
      <c r="B16" s="51">
        <v>28.61</v>
      </c>
      <c r="C16" s="51">
        <v>26.13</v>
      </c>
      <c r="D16" s="51">
        <v>35.51</v>
      </c>
      <c r="E16" s="51">
        <v>7.23</v>
      </c>
      <c r="F16" s="51">
        <v>5.01</v>
      </c>
      <c r="G16" s="51">
        <v>27.46</v>
      </c>
      <c r="H16" s="51">
        <v>7.6</v>
      </c>
      <c r="I16" s="51">
        <v>5.45</v>
      </c>
      <c r="J16" s="51">
        <v>0.98</v>
      </c>
      <c r="K16" s="51">
        <v>73.36</v>
      </c>
      <c r="L16" s="51">
        <v>28.31</v>
      </c>
      <c r="M16" s="51">
        <v>91.58</v>
      </c>
      <c r="N16" s="51">
        <v>142.1</v>
      </c>
      <c r="O16" s="51">
        <v>0</v>
      </c>
      <c r="P16" s="51">
        <v>0.55000000000000004</v>
      </c>
      <c r="Q16" s="51">
        <v>5.17</v>
      </c>
    </row>
    <row r="17" spans="1:17" customFormat="1">
      <c r="A17" s="50" t="s">
        <v>522</v>
      </c>
      <c r="B17" s="51">
        <v>26.78</v>
      </c>
      <c r="C17" s="51">
        <v>28.12</v>
      </c>
      <c r="D17" s="51">
        <v>34.81</v>
      </c>
      <c r="E17" s="51">
        <v>6.69</v>
      </c>
      <c r="F17" s="51">
        <v>5.94</v>
      </c>
      <c r="G17" s="51">
        <v>27.46</v>
      </c>
      <c r="H17" s="51">
        <v>9.49</v>
      </c>
      <c r="I17" s="51">
        <v>5.0999999999999996</v>
      </c>
      <c r="J17" s="51">
        <v>0.65</v>
      </c>
      <c r="K17" s="51">
        <v>63.75</v>
      </c>
      <c r="L17" s="51">
        <v>29.09</v>
      </c>
      <c r="M17" s="51">
        <v>85.18</v>
      </c>
      <c r="N17" s="51">
        <v>207.1</v>
      </c>
      <c r="O17" s="51">
        <v>0</v>
      </c>
      <c r="P17" s="51">
        <v>0.54</v>
      </c>
      <c r="Q17" s="51">
        <v>5.09</v>
      </c>
    </row>
    <row r="18" spans="1:17" customFormat="1">
      <c r="A18" s="50" t="s">
        <v>523</v>
      </c>
      <c r="B18" s="51">
        <v>24.82</v>
      </c>
      <c r="C18" s="51">
        <v>27.56</v>
      </c>
      <c r="D18" s="51">
        <v>33.020000000000003</v>
      </c>
      <c r="E18" s="51">
        <v>6.5</v>
      </c>
      <c r="F18" s="51">
        <v>7.17</v>
      </c>
      <c r="G18" s="51">
        <v>25.86</v>
      </c>
      <c r="H18" s="51">
        <v>9.49</v>
      </c>
      <c r="I18" s="51">
        <v>4.91</v>
      </c>
      <c r="J18" s="51">
        <v>0.71</v>
      </c>
      <c r="K18" s="51">
        <v>75.400000000000006</v>
      </c>
      <c r="L18" s="51">
        <v>30.2</v>
      </c>
      <c r="M18" s="51">
        <v>84.84</v>
      </c>
      <c r="N18" s="51">
        <v>240.6</v>
      </c>
      <c r="O18" s="51">
        <v>0</v>
      </c>
      <c r="P18" s="51">
        <v>0.54</v>
      </c>
      <c r="Q18" s="51">
        <v>5.01</v>
      </c>
    </row>
    <row r="19" spans="1:17" customFormat="1">
      <c r="A19" s="50" t="s">
        <v>524</v>
      </c>
      <c r="B19" s="51">
        <v>22.82</v>
      </c>
      <c r="C19" s="51">
        <v>26.56</v>
      </c>
      <c r="D19" s="51">
        <v>31.13</v>
      </c>
      <c r="E19" s="51">
        <v>9.68</v>
      </c>
      <c r="F19" s="51">
        <v>8.82</v>
      </c>
      <c r="G19" s="51">
        <v>25.86</v>
      </c>
      <c r="H19" s="51">
        <v>8.01</v>
      </c>
      <c r="I19" s="51">
        <v>4.8099999999999996</v>
      </c>
      <c r="J19" s="51">
        <v>0.59</v>
      </c>
      <c r="K19" s="51">
        <v>139.66999999999999</v>
      </c>
      <c r="L19" s="51">
        <v>30.31</v>
      </c>
      <c r="M19" s="51">
        <v>80.17</v>
      </c>
      <c r="N19" s="51">
        <v>163.6</v>
      </c>
      <c r="O19" s="51">
        <v>0</v>
      </c>
      <c r="P19" s="51">
        <v>0.53</v>
      </c>
      <c r="Q19" s="51">
        <v>4.8600000000000003</v>
      </c>
    </row>
    <row r="20" spans="1:17" customFormat="1">
      <c r="A20" s="50" t="s">
        <v>525</v>
      </c>
      <c r="B20" s="51">
        <v>19.27</v>
      </c>
      <c r="C20" s="51">
        <v>27.23</v>
      </c>
      <c r="D20" s="51">
        <v>28.63</v>
      </c>
      <c r="E20" s="51">
        <v>12.93</v>
      </c>
      <c r="F20" s="51">
        <v>8.4499999999999993</v>
      </c>
      <c r="G20" s="51">
        <v>21.3</v>
      </c>
      <c r="H20" s="51">
        <v>6.7</v>
      </c>
      <c r="I20" s="51">
        <v>4.4800000000000004</v>
      </c>
      <c r="J20" s="51">
        <v>0.51</v>
      </c>
      <c r="K20" s="51">
        <v>132.68</v>
      </c>
      <c r="L20" s="51">
        <v>30.96</v>
      </c>
      <c r="M20" s="51">
        <v>78.06</v>
      </c>
      <c r="N20" s="51">
        <v>283.89999999999998</v>
      </c>
      <c r="O20" s="51">
        <v>0</v>
      </c>
      <c r="P20" s="51">
        <v>0.51</v>
      </c>
      <c r="Q20" s="51">
        <v>4.74</v>
      </c>
    </row>
    <row r="21" spans="1:17" customFormat="1">
      <c r="A21" s="50" t="s">
        <v>526</v>
      </c>
      <c r="B21" s="51">
        <v>19.61</v>
      </c>
      <c r="C21" s="51">
        <v>23.49</v>
      </c>
      <c r="D21" s="51">
        <v>26.89</v>
      </c>
      <c r="E21" s="51">
        <v>11.36</v>
      </c>
      <c r="F21" s="51">
        <v>11.68</v>
      </c>
      <c r="G21" s="51">
        <v>25.25</v>
      </c>
      <c r="H21" s="51">
        <v>5.03</v>
      </c>
      <c r="I21" s="51">
        <v>4.29</v>
      </c>
      <c r="J21" s="51">
        <v>0.51</v>
      </c>
      <c r="K21" s="51">
        <v>120.53</v>
      </c>
      <c r="L21" s="51">
        <v>31.95</v>
      </c>
      <c r="M21" s="51">
        <v>76.11</v>
      </c>
      <c r="N21" s="51">
        <v>610.70000000000005</v>
      </c>
      <c r="O21" s="51">
        <v>0</v>
      </c>
      <c r="P21" s="51">
        <v>0.47</v>
      </c>
      <c r="Q21" s="51">
        <v>4.59</v>
      </c>
    </row>
    <row r="22" spans="1:17" customFormat="1">
      <c r="A22" s="50" t="s">
        <v>527</v>
      </c>
      <c r="B22" s="51">
        <v>16.45</v>
      </c>
      <c r="C22" s="51">
        <v>24.44</v>
      </c>
      <c r="D22" s="51">
        <v>24.92</v>
      </c>
      <c r="E22" s="51">
        <v>9.82</v>
      </c>
      <c r="F22" s="51">
        <v>10.02</v>
      </c>
      <c r="G22" s="51">
        <v>25.25</v>
      </c>
      <c r="H22" s="51">
        <v>4.33</v>
      </c>
      <c r="I22" s="51">
        <v>4.33</v>
      </c>
      <c r="J22" s="51">
        <v>0.51</v>
      </c>
      <c r="K22" s="51">
        <v>117.86</v>
      </c>
      <c r="L22" s="51">
        <v>33.200000000000003</v>
      </c>
      <c r="M22" s="51">
        <v>68.73</v>
      </c>
      <c r="N22" s="51">
        <v>871.8</v>
      </c>
      <c r="O22" s="51">
        <v>0</v>
      </c>
      <c r="P22" s="51">
        <v>0.48</v>
      </c>
      <c r="Q22" s="51">
        <v>4.5599999999999996</v>
      </c>
    </row>
    <row r="23" spans="1:17" customFormat="1">
      <c r="A23" s="50" t="s">
        <v>528</v>
      </c>
      <c r="B23" s="51">
        <v>14.5</v>
      </c>
      <c r="C23" s="51">
        <v>23.95</v>
      </c>
      <c r="D23" s="51">
        <v>22.81</v>
      </c>
      <c r="E23" s="51">
        <v>9.6300000000000008</v>
      </c>
      <c r="F23" s="51">
        <v>9.9700000000000006</v>
      </c>
      <c r="G23" s="51">
        <v>24.4</v>
      </c>
      <c r="H23" s="51">
        <v>7.73</v>
      </c>
      <c r="I23" s="51">
        <v>3.99</v>
      </c>
      <c r="J23" s="51">
        <v>1.01</v>
      </c>
      <c r="K23" s="51">
        <v>55.76</v>
      </c>
      <c r="L23" s="51">
        <v>33.5</v>
      </c>
      <c r="M23" s="51">
        <v>67.91</v>
      </c>
      <c r="N23" s="51">
        <v>738.1</v>
      </c>
      <c r="O23" s="51">
        <v>0</v>
      </c>
      <c r="P23" s="51">
        <v>0.46</v>
      </c>
      <c r="Q23" s="51">
        <v>4.3600000000000003</v>
      </c>
    </row>
    <row r="24" spans="1:17" customFormat="1">
      <c r="A24" s="50" t="s">
        <v>529</v>
      </c>
      <c r="B24" s="51">
        <v>13.39</v>
      </c>
      <c r="C24" s="51">
        <v>24.34</v>
      </c>
      <c r="D24" s="51">
        <v>22.31</v>
      </c>
      <c r="E24" s="51">
        <v>17.52</v>
      </c>
      <c r="F24" s="51">
        <v>13.4</v>
      </c>
      <c r="G24" s="51">
        <v>24.87</v>
      </c>
      <c r="H24" s="51">
        <v>9.3000000000000007</v>
      </c>
      <c r="I24" s="51">
        <v>4.1399999999999997</v>
      </c>
      <c r="J24" s="51">
        <v>0.93</v>
      </c>
      <c r="K24" s="51">
        <v>57.67</v>
      </c>
      <c r="L24" s="51">
        <v>33.049999999999997</v>
      </c>
      <c r="M24" s="51">
        <v>64.92</v>
      </c>
      <c r="N24" s="51">
        <v>501.2</v>
      </c>
      <c r="O24" s="51">
        <v>0</v>
      </c>
      <c r="P24" s="51">
        <v>0.44</v>
      </c>
      <c r="Q24" s="51">
        <v>4.3499999999999996</v>
      </c>
    </row>
    <row r="25" spans="1:17" customFormat="1">
      <c r="A25" s="50" t="s">
        <v>530</v>
      </c>
      <c r="B25" s="51">
        <v>12.04</v>
      </c>
      <c r="C25" s="51">
        <v>24.02</v>
      </c>
      <c r="D25" s="51">
        <v>20.65</v>
      </c>
      <c r="E25" s="51">
        <v>15.66</v>
      </c>
      <c r="F25" s="51">
        <v>19.329999999999998</v>
      </c>
      <c r="G25" s="51">
        <v>30.83</v>
      </c>
      <c r="H25" s="51">
        <v>9.3000000000000007</v>
      </c>
      <c r="I25" s="51">
        <v>3.85</v>
      </c>
      <c r="J25" s="51">
        <v>0.83</v>
      </c>
      <c r="K25" s="51">
        <v>55.81</v>
      </c>
      <c r="L25" s="51">
        <v>32.83</v>
      </c>
      <c r="M25" s="51">
        <v>65.34</v>
      </c>
      <c r="N25" s="51">
        <v>246</v>
      </c>
      <c r="O25" s="51">
        <v>0</v>
      </c>
      <c r="P25" s="51">
        <v>0.43</v>
      </c>
      <c r="Q25" s="51">
        <v>4.26</v>
      </c>
    </row>
    <row r="26" spans="1:17" customFormat="1">
      <c r="A26" s="50" t="s">
        <v>531</v>
      </c>
      <c r="B26" s="51">
        <v>10.119999999999999</v>
      </c>
      <c r="C26" s="51">
        <v>23.78</v>
      </c>
      <c r="D26" s="51">
        <v>19.489999999999998</v>
      </c>
      <c r="E26" s="51">
        <v>14.61</v>
      </c>
      <c r="F26" s="51">
        <v>23.63</v>
      </c>
      <c r="G26" s="51">
        <v>40.75</v>
      </c>
      <c r="H26" s="51">
        <v>8.9499999999999993</v>
      </c>
      <c r="I26" s="51">
        <v>3.63</v>
      </c>
      <c r="J26" s="51">
        <v>0.61</v>
      </c>
      <c r="K26" s="51">
        <v>109.34</v>
      </c>
      <c r="L26" s="51">
        <v>32.97</v>
      </c>
      <c r="M26" s="51">
        <v>68.05</v>
      </c>
      <c r="N26" s="51">
        <v>133.30000000000001</v>
      </c>
      <c r="O26" s="51">
        <v>0</v>
      </c>
      <c r="P26" s="51">
        <v>0.43</v>
      </c>
      <c r="Q26" s="51">
        <v>4.1900000000000004</v>
      </c>
    </row>
    <row r="27" spans="1:17" customFormat="1">
      <c r="A27" s="50" t="s">
        <v>532</v>
      </c>
      <c r="B27" s="51">
        <v>14.2</v>
      </c>
      <c r="C27" s="51">
        <v>31.98</v>
      </c>
      <c r="D27" s="51">
        <v>27.05</v>
      </c>
      <c r="E27" s="51">
        <v>8.49</v>
      </c>
      <c r="F27" s="51">
        <v>20.260000000000002</v>
      </c>
      <c r="G27" s="51">
        <v>40.75</v>
      </c>
      <c r="H27" s="51">
        <v>10.56</v>
      </c>
      <c r="I27" s="51">
        <v>3.68</v>
      </c>
      <c r="J27" s="51">
        <v>0.4</v>
      </c>
      <c r="K27" s="51">
        <v>84.9</v>
      </c>
      <c r="L27" s="51">
        <v>31.9</v>
      </c>
      <c r="M27" s="51">
        <v>72.2</v>
      </c>
      <c r="N27" s="51">
        <v>24.9</v>
      </c>
      <c r="O27" s="51">
        <v>0</v>
      </c>
      <c r="P27" s="51">
        <v>0.59</v>
      </c>
      <c r="Q27" s="51">
        <v>4.16</v>
      </c>
    </row>
    <row r="28" spans="1:17" customFormat="1">
      <c r="A28" s="50" t="s">
        <v>533</v>
      </c>
      <c r="B28" s="51">
        <v>9.7200000000000006</v>
      </c>
      <c r="C28" s="51">
        <v>26.26</v>
      </c>
      <c r="D28" s="51">
        <v>20.47</v>
      </c>
      <c r="E28" s="51">
        <v>8.07</v>
      </c>
      <c r="F28" s="51">
        <v>22.66</v>
      </c>
      <c r="G28" s="51">
        <v>44.16</v>
      </c>
      <c r="H28" s="51">
        <v>11.88</v>
      </c>
      <c r="I28" s="51">
        <v>4.1500000000000004</v>
      </c>
      <c r="J28" s="51">
        <v>0.19</v>
      </c>
      <c r="K28" s="51">
        <v>224.79</v>
      </c>
      <c r="L28" s="51">
        <v>30.48</v>
      </c>
      <c r="M28" s="51">
        <v>84.19</v>
      </c>
      <c r="N28" s="51">
        <v>0</v>
      </c>
      <c r="O28" s="51">
        <v>0</v>
      </c>
      <c r="P28" s="51">
        <v>0.49</v>
      </c>
      <c r="Q28" s="51">
        <v>4.1500000000000004</v>
      </c>
    </row>
    <row r="29" spans="1:17" customFormat="1">
      <c r="A29" s="50" t="s">
        <v>534</v>
      </c>
      <c r="B29" s="51">
        <v>8.91</v>
      </c>
      <c r="C29" s="51">
        <v>23.57</v>
      </c>
      <c r="D29" s="51">
        <v>18.05</v>
      </c>
      <c r="E29" s="51">
        <v>6.87</v>
      </c>
      <c r="F29" s="51">
        <v>17.63</v>
      </c>
      <c r="G29" s="51">
        <v>44.16</v>
      </c>
      <c r="H29" s="51">
        <v>14.03</v>
      </c>
      <c r="I29" s="51">
        <v>3.58</v>
      </c>
      <c r="J29" s="51">
        <v>0.26</v>
      </c>
      <c r="K29" s="51">
        <v>228.79</v>
      </c>
      <c r="L29" s="51">
        <v>29.37</v>
      </c>
      <c r="M29" s="51">
        <v>90.51</v>
      </c>
      <c r="N29" s="51">
        <v>0</v>
      </c>
      <c r="O29" s="51">
        <v>0.2</v>
      </c>
      <c r="P29" s="51">
        <v>0.5</v>
      </c>
      <c r="Q29" s="51">
        <v>4.1399999999999997</v>
      </c>
    </row>
    <row r="30" spans="1:17" customFormat="1">
      <c r="A30" s="50" t="s">
        <v>535</v>
      </c>
      <c r="B30" s="51">
        <v>9.34</v>
      </c>
      <c r="C30" s="51">
        <v>25.86</v>
      </c>
      <c r="D30" s="51">
        <v>19.96</v>
      </c>
      <c r="E30" s="51">
        <v>5.99</v>
      </c>
      <c r="F30" s="51">
        <v>14.68</v>
      </c>
      <c r="G30" s="51">
        <v>34.53</v>
      </c>
      <c r="H30" s="51">
        <v>14.03</v>
      </c>
      <c r="I30" s="51">
        <v>3.68</v>
      </c>
      <c r="J30" s="51">
        <v>0.39</v>
      </c>
      <c r="K30" s="51">
        <v>256.56</v>
      </c>
      <c r="L30" s="51">
        <v>27.89</v>
      </c>
      <c r="M30" s="51">
        <v>93.43</v>
      </c>
      <c r="N30" s="51">
        <v>0</v>
      </c>
      <c r="O30" s="51">
        <v>0</v>
      </c>
      <c r="P30" s="51">
        <v>0.47</v>
      </c>
      <c r="Q30" s="51">
        <v>4.18</v>
      </c>
    </row>
    <row r="31" spans="1:17" customFormat="1">
      <c r="A31" s="50" t="s">
        <v>536</v>
      </c>
      <c r="B31" s="51">
        <v>10.16</v>
      </c>
      <c r="C31" s="51">
        <v>26.8</v>
      </c>
      <c r="D31" s="51">
        <v>21.11</v>
      </c>
      <c r="E31" s="51">
        <v>6.49</v>
      </c>
      <c r="F31" s="51">
        <v>10.31</v>
      </c>
      <c r="G31" s="51">
        <v>34.53</v>
      </c>
      <c r="H31" s="51">
        <v>11.73</v>
      </c>
      <c r="I31" s="51">
        <v>3.92</v>
      </c>
      <c r="J31" s="51">
        <v>0.6</v>
      </c>
      <c r="K31" s="51">
        <v>258.16000000000003</v>
      </c>
      <c r="L31" s="51">
        <v>27.61</v>
      </c>
      <c r="M31" s="51">
        <v>92.02</v>
      </c>
      <c r="N31" s="51">
        <v>0</v>
      </c>
      <c r="O31" s="51">
        <v>0</v>
      </c>
      <c r="P31" s="51">
        <v>0.46</v>
      </c>
      <c r="Q31" s="51">
        <v>4.17</v>
      </c>
    </row>
    <row r="32" spans="1:17" customFormat="1">
      <c r="A32" s="50" t="s">
        <v>537</v>
      </c>
      <c r="B32" s="51">
        <v>9.99</v>
      </c>
      <c r="C32" s="51">
        <v>24.61</v>
      </c>
      <c r="D32" s="51">
        <v>19.78</v>
      </c>
      <c r="E32" s="51">
        <v>6.25</v>
      </c>
      <c r="F32" s="51">
        <v>10.9</v>
      </c>
      <c r="G32" s="51">
        <v>24.16</v>
      </c>
      <c r="H32" s="51">
        <v>9.25</v>
      </c>
      <c r="I32" s="51">
        <v>3.97</v>
      </c>
      <c r="J32" s="51">
        <v>0.23</v>
      </c>
      <c r="K32" s="51">
        <v>255.26</v>
      </c>
      <c r="L32" s="51">
        <v>27.07</v>
      </c>
      <c r="M32" s="51">
        <v>94.69</v>
      </c>
      <c r="N32" s="51">
        <v>0</v>
      </c>
      <c r="O32" s="51">
        <v>0</v>
      </c>
      <c r="P32" s="51">
        <v>0.43</v>
      </c>
      <c r="Q32" s="51">
        <v>4.1500000000000004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8.91</v>
      </c>
      <c r="C34" s="41">
        <f t="shared" si="0"/>
        <v>23.49</v>
      </c>
      <c r="D34" s="41">
        <f t="shared" si="0"/>
        <v>18.05</v>
      </c>
      <c r="E34" s="41">
        <f t="shared" si="0"/>
        <v>4.71</v>
      </c>
      <c r="F34" s="41">
        <f t="shared" si="0"/>
        <v>1.89</v>
      </c>
      <c r="G34" s="41">
        <f t="shared" si="0"/>
        <v>21.3</v>
      </c>
      <c r="H34" s="41">
        <f t="shared" si="0"/>
        <v>4.33</v>
      </c>
      <c r="I34" s="41">
        <f t="shared" si="0"/>
        <v>3.58</v>
      </c>
      <c r="J34" s="41">
        <f t="shared" si="0"/>
        <v>0.17</v>
      </c>
      <c r="K34" s="41">
        <f t="shared" si="0"/>
        <v>45.2</v>
      </c>
      <c r="L34" s="41">
        <f t="shared" si="0"/>
        <v>26.6</v>
      </c>
      <c r="M34" s="41">
        <f t="shared" si="0"/>
        <v>64.92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4.1399999999999997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36.22</v>
      </c>
      <c r="C35" s="33">
        <f t="shared" si="1"/>
        <v>31.98</v>
      </c>
      <c r="D35" s="33">
        <f t="shared" si="1"/>
        <v>42.04</v>
      </c>
      <c r="E35" s="33">
        <f t="shared" si="1"/>
        <v>17.52</v>
      </c>
      <c r="F35" s="33">
        <f t="shared" si="1"/>
        <v>23.63</v>
      </c>
      <c r="G35" s="33">
        <f t="shared" si="1"/>
        <v>52.96</v>
      </c>
      <c r="H35" s="33">
        <f t="shared" si="1"/>
        <v>16.03</v>
      </c>
      <c r="I35" s="33">
        <f t="shared" si="1"/>
        <v>6.77</v>
      </c>
      <c r="J35" s="33">
        <f t="shared" si="1"/>
        <v>1.01</v>
      </c>
      <c r="K35" s="33">
        <f t="shared" si="1"/>
        <v>258.16000000000003</v>
      </c>
      <c r="L35" s="33">
        <f t="shared" si="1"/>
        <v>33.5</v>
      </c>
      <c r="M35" s="33">
        <f t="shared" si="1"/>
        <v>96.21</v>
      </c>
      <c r="N35" s="33">
        <f t="shared" si="1"/>
        <v>871.8</v>
      </c>
      <c r="O35" s="33">
        <f t="shared" si="1"/>
        <v>0.2</v>
      </c>
      <c r="P35" s="33">
        <f t="shared" si="1"/>
        <v>0.77</v>
      </c>
      <c r="Q35" s="33">
        <f t="shared" si="1"/>
        <v>5.29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20.202083333333334</v>
      </c>
      <c r="C36" s="41">
        <f t="shared" si="2"/>
        <v>26.75</v>
      </c>
      <c r="D36" s="41">
        <f t="shared" si="2"/>
        <v>28.990833333333327</v>
      </c>
      <c r="E36" s="41">
        <f t="shared" si="2"/>
        <v>8.6616666666666688</v>
      </c>
      <c r="F36" s="41">
        <f t="shared" si="2"/>
        <v>10.100416666666666</v>
      </c>
      <c r="G36" s="41">
        <f t="shared" si="2"/>
        <v>34.618749999999999</v>
      </c>
      <c r="H36" s="41">
        <f t="shared" si="2"/>
        <v>10.621666666666664</v>
      </c>
      <c r="I36" s="41">
        <f t="shared" si="2"/>
        <v>4.8629166666666679</v>
      </c>
      <c r="J36" s="41">
        <f t="shared" si="2"/>
        <v>0.57499999999999996</v>
      </c>
      <c r="K36" s="41">
        <f t="shared" si="2"/>
        <v>126.49124999999999</v>
      </c>
      <c r="L36" s="41">
        <f t="shared" si="2"/>
        <v>29.623333333333335</v>
      </c>
      <c r="M36" s="41">
        <f t="shared" si="2"/>
        <v>84.277500000000003</v>
      </c>
      <c r="N36" s="41">
        <f t="shared" si="2"/>
        <v>177.77499999999998</v>
      </c>
      <c r="O36" s="41">
        <f t="shared" si="2"/>
        <v>8.3333333333333332E-3</v>
      </c>
      <c r="P36" s="41">
        <f t="shared" si="2"/>
        <v>0.54708333333333337</v>
      </c>
      <c r="Q36" s="41">
        <f t="shared" si="2"/>
        <v>4.6883333333333344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8.8403767277421963</v>
      </c>
      <c r="C37" s="41">
        <f t="shared" ref="C37:Q37" si="3">STDEV(C9:C32)</f>
        <v>2.4284598805219026</v>
      </c>
      <c r="D37" s="41">
        <f t="shared" si="3"/>
        <v>7.8976176466548429</v>
      </c>
      <c r="E37" s="41">
        <f t="shared" si="3"/>
        <v>3.4274666353200041</v>
      </c>
      <c r="F37" s="41">
        <f t="shared" si="3"/>
        <v>6.6516003168682873</v>
      </c>
      <c r="G37" s="41">
        <f t="shared" si="3"/>
        <v>10.401344525338196</v>
      </c>
      <c r="H37" s="41">
        <f t="shared" si="3"/>
        <v>3.3570194682403915</v>
      </c>
      <c r="I37" s="41">
        <f t="shared" si="3"/>
        <v>1.1236372583737984</v>
      </c>
      <c r="J37" s="41">
        <f t="shared" si="3"/>
        <v>0.27061925764567396</v>
      </c>
      <c r="K37" s="41">
        <f t="shared" si="3"/>
        <v>74.789422602077721</v>
      </c>
      <c r="L37" s="41">
        <f t="shared" si="3"/>
        <v>2.4067869013283296</v>
      </c>
      <c r="M37" s="41">
        <f t="shared" si="3"/>
        <v>11.280625271754243</v>
      </c>
      <c r="N37" s="41">
        <f t="shared" si="3"/>
        <v>254.18944535608628</v>
      </c>
      <c r="O37" s="41">
        <f t="shared" si="3"/>
        <v>4.0824829046386311E-2</v>
      </c>
      <c r="P37" s="41">
        <f t="shared" si="3"/>
        <v>0.10646408525542911</v>
      </c>
      <c r="Q37" s="41">
        <f t="shared" si="3"/>
        <v>0.45474949307202339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21/07/2023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538</v>
      </c>
      <c r="B9" s="51">
        <v>9.69</v>
      </c>
      <c r="C9" s="51">
        <v>22.93</v>
      </c>
      <c r="D9" s="51">
        <v>18.7</v>
      </c>
      <c r="E9" s="51">
        <v>5.75</v>
      </c>
      <c r="F9" s="51">
        <v>9.68</v>
      </c>
      <c r="G9" s="51">
        <v>18.309999999999999</v>
      </c>
      <c r="H9" s="51">
        <v>6.76</v>
      </c>
      <c r="I9" s="51">
        <v>3.65</v>
      </c>
      <c r="J9" s="51">
        <v>0.15</v>
      </c>
      <c r="K9" s="51">
        <v>276.12</v>
      </c>
      <c r="L9" s="51">
        <v>27.26</v>
      </c>
      <c r="M9" s="51">
        <v>95.12</v>
      </c>
      <c r="N9" s="51">
        <v>0</v>
      </c>
      <c r="O9" s="51">
        <v>0</v>
      </c>
      <c r="P9" s="51">
        <v>0.43</v>
      </c>
      <c r="Q9" s="51">
        <v>4.12</v>
      </c>
    </row>
    <row r="10" spans="1:21" customFormat="1">
      <c r="A10" s="50" t="s">
        <v>539</v>
      </c>
      <c r="B10" s="51">
        <v>10.210000000000001</v>
      </c>
      <c r="C10" s="51">
        <v>24.21</v>
      </c>
      <c r="D10" s="51">
        <v>19.79</v>
      </c>
      <c r="E10" s="51">
        <v>6.06</v>
      </c>
      <c r="F10" s="51">
        <v>7.87</v>
      </c>
      <c r="G10" s="51">
        <v>16.010000000000002</v>
      </c>
      <c r="H10" s="51">
        <v>5.46</v>
      </c>
      <c r="I10" s="51">
        <v>3.49</v>
      </c>
      <c r="J10" s="51">
        <v>0.22</v>
      </c>
      <c r="K10" s="51">
        <v>201.94</v>
      </c>
      <c r="L10" s="51">
        <v>27.27</v>
      </c>
      <c r="M10" s="51">
        <v>95.08</v>
      </c>
      <c r="N10" s="51">
        <v>0</v>
      </c>
      <c r="O10" s="51">
        <v>0</v>
      </c>
      <c r="P10" s="51">
        <v>0.41</v>
      </c>
      <c r="Q10" s="51">
        <v>4.16</v>
      </c>
    </row>
    <row r="11" spans="1:21" customFormat="1">
      <c r="A11" s="50" t="s">
        <v>540</v>
      </c>
      <c r="B11" s="51">
        <v>11.53</v>
      </c>
      <c r="C11" s="51">
        <v>25.5</v>
      </c>
      <c r="D11" s="51">
        <v>21.53</v>
      </c>
      <c r="E11" s="51">
        <v>6.75</v>
      </c>
      <c r="F11" s="51">
        <v>7.07</v>
      </c>
      <c r="G11" s="51">
        <v>12.76</v>
      </c>
      <c r="H11" s="51">
        <v>5.46</v>
      </c>
      <c r="I11" s="51">
        <v>3.45</v>
      </c>
      <c r="J11" s="51">
        <v>0.27</v>
      </c>
      <c r="K11" s="51">
        <v>265.08</v>
      </c>
      <c r="L11" s="51">
        <v>27.15</v>
      </c>
      <c r="M11" s="51">
        <v>95</v>
      </c>
      <c r="N11" s="51">
        <v>0</v>
      </c>
      <c r="O11" s="51">
        <v>0</v>
      </c>
      <c r="P11" s="51">
        <v>0.43</v>
      </c>
      <c r="Q11" s="51">
        <v>4.2</v>
      </c>
    </row>
    <row r="12" spans="1:21" customFormat="1">
      <c r="A12" s="50" t="s">
        <v>541</v>
      </c>
      <c r="B12" s="51">
        <v>11.8</v>
      </c>
      <c r="C12" s="51">
        <v>24.9</v>
      </c>
      <c r="D12" s="51">
        <v>21.43</v>
      </c>
      <c r="E12" s="51">
        <v>6.5</v>
      </c>
      <c r="F12" s="51">
        <v>7.18</v>
      </c>
      <c r="G12" s="51">
        <v>10.34</v>
      </c>
      <c r="H12" s="51">
        <v>5.23</v>
      </c>
      <c r="I12" s="51">
        <v>4.0999999999999996</v>
      </c>
      <c r="J12" s="51">
        <v>0.2</v>
      </c>
      <c r="K12" s="51">
        <v>267.85000000000002</v>
      </c>
      <c r="L12" s="51">
        <v>26.85</v>
      </c>
      <c r="M12" s="51">
        <v>92.88</v>
      </c>
      <c r="N12" s="51">
        <v>0</v>
      </c>
      <c r="O12" s="51">
        <v>0</v>
      </c>
      <c r="P12" s="51">
        <v>0.41</v>
      </c>
      <c r="Q12" s="51">
        <v>4.2300000000000004</v>
      </c>
    </row>
    <row r="13" spans="1:21" customFormat="1">
      <c r="A13" s="50" t="s">
        <v>542</v>
      </c>
      <c r="B13" s="51">
        <v>12.98</v>
      </c>
      <c r="C13" s="51">
        <v>26.49</v>
      </c>
      <c r="D13" s="51">
        <v>23.2</v>
      </c>
      <c r="E13" s="51">
        <v>6.94</v>
      </c>
      <c r="F13" s="51">
        <v>6.24</v>
      </c>
      <c r="G13" s="51">
        <v>15.94</v>
      </c>
      <c r="H13" s="51">
        <v>4.4800000000000004</v>
      </c>
      <c r="I13" s="51">
        <v>4.37</v>
      </c>
      <c r="J13" s="51">
        <v>0.19</v>
      </c>
      <c r="K13" s="51">
        <v>241.34</v>
      </c>
      <c r="L13" s="51">
        <v>26.75</v>
      </c>
      <c r="M13" s="51">
        <v>93.99</v>
      </c>
      <c r="N13" s="51">
        <v>0</v>
      </c>
      <c r="O13" s="51">
        <v>0</v>
      </c>
      <c r="P13" s="51">
        <v>0.43</v>
      </c>
      <c r="Q13" s="51">
        <v>4.32</v>
      </c>
    </row>
    <row r="14" spans="1:21" customFormat="1">
      <c r="A14" s="50" t="s">
        <v>543</v>
      </c>
      <c r="B14" s="51">
        <v>15.37</v>
      </c>
      <c r="C14" s="51">
        <v>25.96</v>
      </c>
      <c r="D14" s="51">
        <v>24.85</v>
      </c>
      <c r="E14" s="51">
        <v>7.37</v>
      </c>
      <c r="F14" s="51">
        <v>4.2300000000000004</v>
      </c>
      <c r="G14" s="51">
        <v>15.94</v>
      </c>
      <c r="H14" s="51">
        <v>3.17</v>
      </c>
      <c r="I14" s="51">
        <v>4.53</v>
      </c>
      <c r="J14" s="51">
        <v>0.34</v>
      </c>
      <c r="K14" s="51">
        <v>184.69</v>
      </c>
      <c r="L14" s="51">
        <v>26.76</v>
      </c>
      <c r="M14" s="51">
        <v>95.27</v>
      </c>
      <c r="N14" s="51">
        <v>8.8000000000000007</v>
      </c>
      <c r="O14" s="51">
        <v>0</v>
      </c>
      <c r="P14" s="51">
        <v>0.48</v>
      </c>
      <c r="Q14" s="51">
        <v>4.3600000000000003</v>
      </c>
    </row>
    <row r="15" spans="1:21" customFormat="1">
      <c r="A15" s="50" t="s">
        <v>544</v>
      </c>
      <c r="B15" s="51">
        <v>18.100000000000001</v>
      </c>
      <c r="C15" s="51">
        <v>27.09</v>
      </c>
      <c r="D15" s="51">
        <v>27.62</v>
      </c>
      <c r="E15" s="51">
        <v>7.69</v>
      </c>
      <c r="F15" s="51">
        <v>2.83</v>
      </c>
      <c r="G15" s="51">
        <v>28.3</v>
      </c>
      <c r="H15" s="51">
        <v>8.77</v>
      </c>
      <c r="I15" s="51">
        <v>6.04</v>
      </c>
      <c r="J15" s="51">
        <v>0.49</v>
      </c>
      <c r="K15" s="51">
        <v>56.67</v>
      </c>
      <c r="L15" s="51">
        <v>27.08</v>
      </c>
      <c r="M15" s="51">
        <v>95.53</v>
      </c>
      <c r="N15" s="51">
        <v>24.4</v>
      </c>
      <c r="O15" s="51">
        <v>1.2</v>
      </c>
      <c r="P15" s="51">
        <v>0.63</v>
      </c>
      <c r="Q15" s="51">
        <v>4.58</v>
      </c>
    </row>
    <row r="16" spans="1:21" customFormat="1">
      <c r="A16" s="50" t="s">
        <v>545</v>
      </c>
      <c r="B16" s="51">
        <v>18.899999999999999</v>
      </c>
      <c r="C16" s="51">
        <v>25.32</v>
      </c>
      <c r="D16" s="51">
        <v>27.27</v>
      </c>
      <c r="E16" s="51">
        <v>7.9</v>
      </c>
      <c r="F16" s="51">
        <v>4.01</v>
      </c>
      <c r="G16" s="51">
        <v>28.3</v>
      </c>
      <c r="H16" s="51">
        <v>9.42</v>
      </c>
      <c r="I16" s="51">
        <v>6.14</v>
      </c>
      <c r="J16" s="51">
        <v>1.32</v>
      </c>
      <c r="K16" s="51">
        <v>57.08</v>
      </c>
      <c r="L16" s="51">
        <v>27.21</v>
      </c>
      <c r="M16" s="51">
        <v>97.19</v>
      </c>
      <c r="N16" s="51">
        <v>187.3</v>
      </c>
      <c r="O16" s="51">
        <v>0.8</v>
      </c>
      <c r="P16" s="51">
        <v>0.52</v>
      </c>
      <c r="Q16" s="51">
        <v>4.6500000000000004</v>
      </c>
    </row>
    <row r="17" spans="1:17" customFormat="1">
      <c r="A17" s="50" t="s">
        <v>546</v>
      </c>
      <c r="B17" s="51">
        <v>20.91</v>
      </c>
      <c r="C17" s="51">
        <v>26.75</v>
      </c>
      <c r="D17" s="51">
        <v>28.1</v>
      </c>
      <c r="E17" s="51">
        <v>7.79</v>
      </c>
      <c r="F17" s="51">
        <v>4.4800000000000004</v>
      </c>
      <c r="G17" s="51">
        <v>21.98</v>
      </c>
      <c r="H17" s="51">
        <v>9.48</v>
      </c>
      <c r="I17" s="51">
        <v>5.36</v>
      </c>
      <c r="J17" s="51">
        <v>0.78</v>
      </c>
      <c r="K17" s="51">
        <v>78.42</v>
      </c>
      <c r="L17" s="51">
        <v>28.61</v>
      </c>
      <c r="M17" s="51">
        <v>94.31</v>
      </c>
      <c r="N17" s="51">
        <v>275.8</v>
      </c>
      <c r="O17" s="51">
        <v>0</v>
      </c>
      <c r="P17" s="51">
        <v>0.53</v>
      </c>
      <c r="Q17" s="51">
        <v>4.6500000000000004</v>
      </c>
    </row>
    <row r="18" spans="1:17" customFormat="1">
      <c r="A18" s="50" t="s">
        <v>547</v>
      </c>
      <c r="B18" s="51">
        <v>19.170000000000002</v>
      </c>
      <c r="C18" s="51">
        <v>27.48</v>
      </c>
      <c r="D18" s="51">
        <v>28.68</v>
      </c>
      <c r="E18" s="51">
        <v>7.49</v>
      </c>
      <c r="F18" s="51">
        <v>7.43</v>
      </c>
      <c r="G18" s="51">
        <v>22.89</v>
      </c>
      <c r="H18" s="51">
        <v>9.48</v>
      </c>
      <c r="I18" s="51">
        <v>5.14</v>
      </c>
      <c r="J18" s="51">
        <v>0.98</v>
      </c>
      <c r="K18" s="51">
        <v>70.59</v>
      </c>
      <c r="L18" s="51">
        <v>30.48</v>
      </c>
      <c r="M18" s="51">
        <v>83.89</v>
      </c>
      <c r="N18" s="51">
        <v>279.39999999999998</v>
      </c>
      <c r="O18" s="51">
        <v>0</v>
      </c>
      <c r="P18" s="51">
        <v>0.53</v>
      </c>
      <c r="Q18" s="51">
        <v>4.68</v>
      </c>
    </row>
    <row r="19" spans="1:17" customFormat="1">
      <c r="A19" s="50" t="s">
        <v>548</v>
      </c>
      <c r="B19" s="51">
        <v>18.190000000000001</v>
      </c>
      <c r="C19" s="51">
        <v>24.63</v>
      </c>
      <c r="D19" s="51">
        <v>26.41</v>
      </c>
      <c r="E19" s="51">
        <v>9.76</v>
      </c>
      <c r="F19" s="51">
        <v>6.79</v>
      </c>
      <c r="G19" s="51">
        <v>24.87</v>
      </c>
      <c r="H19" s="51">
        <v>6.82</v>
      </c>
      <c r="I19" s="51">
        <v>4.93</v>
      </c>
      <c r="J19" s="51">
        <v>0.91</v>
      </c>
      <c r="K19" s="51">
        <v>79.58</v>
      </c>
      <c r="L19" s="51">
        <v>30.36</v>
      </c>
      <c r="M19" s="51">
        <v>79.11</v>
      </c>
      <c r="N19" s="51">
        <v>375.4</v>
      </c>
      <c r="O19" s="51">
        <v>0</v>
      </c>
      <c r="P19" s="51">
        <v>0.49</v>
      </c>
      <c r="Q19" s="51">
        <v>4.5599999999999996</v>
      </c>
    </row>
    <row r="20" spans="1:17" customFormat="1">
      <c r="A20" s="50" t="s">
        <v>549</v>
      </c>
      <c r="B20" s="51">
        <v>16.510000000000002</v>
      </c>
      <c r="C20" s="51">
        <v>25.56</v>
      </c>
      <c r="D20" s="51">
        <v>25.33</v>
      </c>
      <c r="E20" s="51">
        <v>10.66</v>
      </c>
      <c r="F20" s="51">
        <v>6.75</v>
      </c>
      <c r="G20" s="51">
        <v>25.22</v>
      </c>
      <c r="H20" s="51">
        <v>5.51</v>
      </c>
      <c r="I20" s="51">
        <v>4.57</v>
      </c>
      <c r="J20" s="51">
        <v>1.44</v>
      </c>
      <c r="K20" s="51">
        <v>55.64</v>
      </c>
      <c r="L20" s="51">
        <v>30.58</v>
      </c>
      <c r="M20" s="51">
        <v>78.400000000000006</v>
      </c>
      <c r="N20" s="51">
        <v>642.20000000000005</v>
      </c>
      <c r="O20" s="51">
        <v>0</v>
      </c>
      <c r="P20" s="51">
        <v>0.5</v>
      </c>
      <c r="Q20" s="51">
        <v>4.5</v>
      </c>
    </row>
    <row r="21" spans="1:17" customFormat="1">
      <c r="A21" s="50" t="s">
        <v>550</v>
      </c>
      <c r="B21" s="51">
        <v>15.25</v>
      </c>
      <c r="C21" s="51">
        <v>23.58</v>
      </c>
      <c r="D21" s="51">
        <v>23.51</v>
      </c>
      <c r="E21" s="51">
        <v>10.55</v>
      </c>
      <c r="F21" s="51">
        <v>6.58</v>
      </c>
      <c r="G21" s="51">
        <v>25.22</v>
      </c>
      <c r="H21" s="51">
        <v>5.53</v>
      </c>
      <c r="I21" s="51">
        <v>4.63</v>
      </c>
      <c r="J21" s="51">
        <v>1.01</v>
      </c>
      <c r="K21" s="51">
        <v>74.94</v>
      </c>
      <c r="L21" s="51">
        <v>30.96</v>
      </c>
      <c r="M21" s="51">
        <v>74.209999999999994</v>
      </c>
      <c r="N21" s="51">
        <v>508.3</v>
      </c>
      <c r="O21" s="51">
        <v>0</v>
      </c>
      <c r="P21" s="51">
        <v>0.49</v>
      </c>
      <c r="Q21" s="51">
        <v>4.43</v>
      </c>
    </row>
    <row r="22" spans="1:17" customFormat="1">
      <c r="A22" s="50" t="s">
        <v>551</v>
      </c>
      <c r="B22" s="51">
        <v>12.69</v>
      </c>
      <c r="C22" s="51">
        <v>24.14</v>
      </c>
      <c r="D22" s="51">
        <v>20.9</v>
      </c>
      <c r="E22" s="51">
        <v>8.09</v>
      </c>
      <c r="F22" s="51">
        <v>7.07</v>
      </c>
      <c r="G22" s="51">
        <v>25.05</v>
      </c>
      <c r="H22" s="51">
        <v>6.35</v>
      </c>
      <c r="I22" s="51">
        <v>4.26</v>
      </c>
      <c r="J22" s="51">
        <v>0.84</v>
      </c>
      <c r="K22" s="51">
        <v>69.63</v>
      </c>
      <c r="L22" s="51">
        <v>31.26</v>
      </c>
      <c r="M22" s="51">
        <v>72.14</v>
      </c>
      <c r="N22" s="51">
        <v>797.6</v>
      </c>
      <c r="O22" s="51">
        <v>0</v>
      </c>
      <c r="P22" s="51">
        <v>0.43</v>
      </c>
      <c r="Q22" s="51">
        <v>4.24</v>
      </c>
    </row>
    <row r="23" spans="1:17" customFormat="1">
      <c r="A23" s="50" t="s">
        <v>552</v>
      </c>
      <c r="B23" s="51">
        <v>11.26</v>
      </c>
      <c r="C23" s="51">
        <v>23.48</v>
      </c>
      <c r="D23" s="51">
        <v>19.850000000000001</v>
      </c>
      <c r="E23" s="51">
        <v>6.15</v>
      </c>
      <c r="F23" s="51">
        <v>7.31</v>
      </c>
      <c r="G23" s="51">
        <v>19.82</v>
      </c>
      <c r="H23" s="51">
        <v>6.35</v>
      </c>
      <c r="I23" s="51">
        <v>4.1399999999999997</v>
      </c>
      <c r="J23" s="51">
        <v>0.77</v>
      </c>
      <c r="K23" s="51">
        <v>160.88</v>
      </c>
      <c r="L23" s="51">
        <v>30.78</v>
      </c>
      <c r="M23" s="51">
        <v>97.85</v>
      </c>
      <c r="N23" s="51">
        <v>172.8</v>
      </c>
      <c r="O23" s="51">
        <v>4.4000000000000004</v>
      </c>
      <c r="P23" s="51">
        <v>0.41</v>
      </c>
      <c r="Q23" s="51">
        <v>4.18</v>
      </c>
    </row>
    <row r="24" spans="1:17" customFormat="1">
      <c r="A24" s="50" t="s">
        <v>553</v>
      </c>
      <c r="B24" s="51">
        <v>9.9700000000000006</v>
      </c>
      <c r="C24" s="51">
        <v>24.52</v>
      </c>
      <c r="D24" s="51">
        <v>19.68</v>
      </c>
      <c r="E24" s="51">
        <v>6.35</v>
      </c>
      <c r="F24" s="51">
        <v>10.6</v>
      </c>
      <c r="G24" s="51">
        <v>17.579999999999998</v>
      </c>
      <c r="H24" s="51">
        <v>5.28</v>
      </c>
      <c r="I24" s="51">
        <v>3.94</v>
      </c>
      <c r="J24" s="51">
        <v>0.28999999999999998</v>
      </c>
      <c r="K24" s="51">
        <v>140.88999999999999</v>
      </c>
      <c r="L24" s="51">
        <v>28.76</v>
      </c>
      <c r="M24" s="51">
        <v>97.34</v>
      </c>
      <c r="N24" s="51">
        <v>386.7</v>
      </c>
      <c r="O24" s="51">
        <v>0</v>
      </c>
      <c r="P24" s="51">
        <v>0.41</v>
      </c>
      <c r="Q24" s="51">
        <v>4.1100000000000003</v>
      </c>
    </row>
    <row r="25" spans="1:17" customFormat="1">
      <c r="A25" s="50" t="s">
        <v>554</v>
      </c>
      <c r="B25" s="51">
        <v>10.42</v>
      </c>
      <c r="C25" s="51">
        <v>26.04</v>
      </c>
      <c r="D25" s="51">
        <v>20.92</v>
      </c>
      <c r="E25" s="51">
        <v>6.7</v>
      </c>
      <c r="F25" s="51">
        <v>4.9800000000000004</v>
      </c>
      <c r="G25" s="51">
        <v>16.07</v>
      </c>
      <c r="H25" s="51">
        <v>4.2300000000000004</v>
      </c>
      <c r="I25" s="51">
        <v>3.87</v>
      </c>
      <c r="J25" s="51">
        <v>0.62</v>
      </c>
      <c r="K25" s="51">
        <v>84.96</v>
      </c>
      <c r="L25" s="51">
        <v>27.48</v>
      </c>
      <c r="M25" s="51">
        <v>91.38</v>
      </c>
      <c r="N25" s="51">
        <v>20.6</v>
      </c>
      <c r="O25" s="51">
        <v>0.2</v>
      </c>
      <c r="P25" s="51">
        <v>0.42</v>
      </c>
      <c r="Q25" s="51">
        <v>4.1100000000000003</v>
      </c>
    </row>
    <row r="26" spans="1:17" customFormat="1">
      <c r="A26" s="50" t="s">
        <v>555</v>
      </c>
      <c r="B26" s="51">
        <v>12.77</v>
      </c>
      <c r="C26" s="51">
        <v>27.85</v>
      </c>
      <c r="D26" s="51">
        <v>23.75</v>
      </c>
      <c r="E26" s="51">
        <v>6.76</v>
      </c>
      <c r="F26" s="51">
        <v>5.74</v>
      </c>
      <c r="G26" s="51">
        <v>16</v>
      </c>
      <c r="H26" s="51">
        <v>6.56</v>
      </c>
      <c r="I26" s="51">
        <v>3.81</v>
      </c>
      <c r="J26" s="51">
        <v>0.39</v>
      </c>
      <c r="K26" s="51">
        <v>118.15</v>
      </c>
      <c r="L26" s="51">
        <v>27.06</v>
      </c>
      <c r="M26" s="51">
        <v>91.73</v>
      </c>
      <c r="N26" s="51">
        <v>22.9</v>
      </c>
      <c r="O26" s="51">
        <v>0</v>
      </c>
      <c r="P26" s="51">
        <v>0.45</v>
      </c>
      <c r="Q26" s="51">
        <v>4.2699999999999996</v>
      </c>
    </row>
    <row r="27" spans="1:17" customFormat="1">
      <c r="A27" s="50" t="s">
        <v>556</v>
      </c>
      <c r="B27" s="51">
        <v>14.03</v>
      </c>
      <c r="C27" s="51">
        <v>27.51</v>
      </c>
      <c r="D27" s="51">
        <v>24.48</v>
      </c>
      <c r="E27" s="51">
        <v>6.11</v>
      </c>
      <c r="F27" s="51">
        <v>5.09</v>
      </c>
      <c r="G27" s="51">
        <v>20.41</v>
      </c>
      <c r="H27" s="51">
        <v>6.56</v>
      </c>
      <c r="I27" s="51">
        <v>3.9</v>
      </c>
      <c r="J27" s="51">
        <v>0.52</v>
      </c>
      <c r="K27" s="51">
        <v>87.4</v>
      </c>
      <c r="L27" s="51">
        <v>26.91</v>
      </c>
      <c r="M27" s="51">
        <v>92.67</v>
      </c>
      <c r="N27" s="51">
        <v>5.3</v>
      </c>
      <c r="O27" s="51">
        <v>0</v>
      </c>
      <c r="P27" s="51">
        <v>0.46</v>
      </c>
      <c r="Q27" s="51">
        <v>4.38</v>
      </c>
    </row>
    <row r="28" spans="1:17" customFormat="1">
      <c r="A28" s="50" t="s">
        <v>557</v>
      </c>
      <c r="B28" s="51">
        <v>17.66</v>
      </c>
      <c r="C28" s="51">
        <v>29.1</v>
      </c>
      <c r="D28" s="51">
        <v>26.84</v>
      </c>
      <c r="E28" s="51">
        <v>6.42</v>
      </c>
      <c r="F28" s="51">
        <v>5.34</v>
      </c>
      <c r="G28" s="51">
        <v>24.9</v>
      </c>
      <c r="H28" s="51">
        <v>4.8499999999999996</v>
      </c>
      <c r="I28" s="51">
        <v>4.1100000000000003</v>
      </c>
      <c r="J28" s="51">
        <v>0.37</v>
      </c>
      <c r="K28" s="51">
        <v>92.76</v>
      </c>
      <c r="L28" s="51">
        <v>27.05</v>
      </c>
      <c r="M28" s="51">
        <v>92.29</v>
      </c>
      <c r="N28" s="51">
        <v>0</v>
      </c>
      <c r="O28" s="51">
        <v>0</v>
      </c>
      <c r="P28" s="51">
        <v>0.5</v>
      </c>
      <c r="Q28" s="51">
        <v>4.5199999999999996</v>
      </c>
    </row>
    <row r="29" spans="1:17" customFormat="1">
      <c r="A29" s="50" t="s">
        <v>558</v>
      </c>
      <c r="B29" s="51">
        <v>16.559999999999999</v>
      </c>
      <c r="C29" s="51">
        <v>28.62</v>
      </c>
      <c r="D29" s="51">
        <v>26.59</v>
      </c>
      <c r="E29" s="51">
        <v>8.1999999999999993</v>
      </c>
      <c r="F29" s="51">
        <v>5.46</v>
      </c>
      <c r="G29" s="51">
        <v>26.46</v>
      </c>
      <c r="H29" s="51">
        <v>4.5199999999999996</v>
      </c>
      <c r="I29" s="51">
        <v>4.13</v>
      </c>
      <c r="J29" s="51">
        <v>0.33</v>
      </c>
      <c r="K29" s="51">
        <v>138.27000000000001</v>
      </c>
      <c r="L29" s="51">
        <v>27.08</v>
      </c>
      <c r="M29" s="51">
        <v>93.06</v>
      </c>
      <c r="N29" s="51">
        <v>0</v>
      </c>
      <c r="O29" s="51">
        <v>0</v>
      </c>
      <c r="P29" s="51">
        <v>0.52</v>
      </c>
      <c r="Q29" s="51">
        <v>4.51</v>
      </c>
    </row>
    <row r="30" spans="1:17" customFormat="1">
      <c r="A30" s="50" t="s">
        <v>559</v>
      </c>
      <c r="B30" s="51">
        <v>16.34</v>
      </c>
      <c r="C30" s="51">
        <v>28.51</v>
      </c>
      <c r="D30" s="51">
        <v>26.95</v>
      </c>
      <c r="E30" s="51">
        <v>6.88</v>
      </c>
      <c r="F30" s="51">
        <v>7.55</v>
      </c>
      <c r="G30" s="51">
        <v>26.46</v>
      </c>
      <c r="H30" s="51">
        <v>4.8600000000000003</v>
      </c>
      <c r="I30" s="51">
        <v>4.1500000000000004</v>
      </c>
      <c r="J30" s="51">
        <v>0.24</v>
      </c>
      <c r="K30" s="51">
        <v>126.97</v>
      </c>
      <c r="L30" s="51">
        <v>27.26</v>
      </c>
      <c r="M30" s="51">
        <v>92.99</v>
      </c>
      <c r="N30" s="51">
        <v>0</v>
      </c>
      <c r="O30" s="51">
        <v>0</v>
      </c>
      <c r="P30" s="51">
        <v>0.49</v>
      </c>
      <c r="Q30" s="51">
        <v>4.57</v>
      </c>
    </row>
    <row r="31" spans="1:17" customFormat="1">
      <c r="A31" s="50" t="s">
        <v>560</v>
      </c>
      <c r="B31" s="51">
        <v>15.93</v>
      </c>
      <c r="C31" s="51">
        <v>27.67</v>
      </c>
      <c r="D31" s="51">
        <v>26.14</v>
      </c>
      <c r="E31" s="51">
        <v>6.87</v>
      </c>
      <c r="F31" s="51">
        <v>7.28</v>
      </c>
      <c r="G31" s="51">
        <v>21.53</v>
      </c>
      <c r="H31" s="51">
        <v>4.97</v>
      </c>
      <c r="I31" s="51">
        <v>4.05</v>
      </c>
      <c r="J31" s="51">
        <v>0.27</v>
      </c>
      <c r="K31" s="51">
        <v>138.37</v>
      </c>
      <c r="L31" s="51">
        <v>27.39</v>
      </c>
      <c r="M31" s="51">
        <v>91.57</v>
      </c>
      <c r="N31" s="51">
        <v>0</v>
      </c>
      <c r="O31" s="51">
        <v>0</v>
      </c>
      <c r="P31" s="51">
        <v>0.46</v>
      </c>
      <c r="Q31" s="51">
        <v>4.54</v>
      </c>
    </row>
    <row r="32" spans="1:17" customFormat="1">
      <c r="A32" s="50" t="s">
        <v>561</v>
      </c>
      <c r="B32" s="51">
        <v>15.33</v>
      </c>
      <c r="C32" s="51">
        <v>27.41</v>
      </c>
      <c r="D32" s="51">
        <v>25.57</v>
      </c>
      <c r="E32" s="51">
        <v>6.78</v>
      </c>
      <c r="F32" s="51">
        <v>5.78</v>
      </c>
      <c r="G32" s="51">
        <v>21.53</v>
      </c>
      <c r="H32" s="51">
        <v>7.18</v>
      </c>
      <c r="I32" s="51">
        <v>3.86</v>
      </c>
      <c r="J32" s="51">
        <v>0.22</v>
      </c>
      <c r="K32" s="51">
        <v>147.58000000000001</v>
      </c>
      <c r="L32" s="51">
        <v>27.18</v>
      </c>
      <c r="M32" s="51">
        <v>92.55</v>
      </c>
      <c r="N32" s="51">
        <v>0</v>
      </c>
      <c r="O32" s="51">
        <v>0</v>
      </c>
      <c r="P32" s="51">
        <v>0.45</v>
      </c>
      <c r="Q32" s="51">
        <v>4.49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9.69</v>
      </c>
      <c r="C34" s="41">
        <f t="shared" si="0"/>
        <v>22.93</v>
      </c>
      <c r="D34" s="41">
        <f t="shared" si="0"/>
        <v>18.7</v>
      </c>
      <c r="E34" s="41">
        <f t="shared" si="0"/>
        <v>5.75</v>
      </c>
      <c r="F34" s="41">
        <f t="shared" si="0"/>
        <v>2.83</v>
      </c>
      <c r="G34" s="41">
        <f t="shared" si="0"/>
        <v>10.34</v>
      </c>
      <c r="H34" s="41">
        <f t="shared" si="0"/>
        <v>3.17</v>
      </c>
      <c r="I34" s="41">
        <f t="shared" si="0"/>
        <v>3.45</v>
      </c>
      <c r="J34" s="41">
        <f t="shared" si="0"/>
        <v>0.15</v>
      </c>
      <c r="K34" s="41">
        <f t="shared" si="0"/>
        <v>55.64</v>
      </c>
      <c r="L34" s="41">
        <f t="shared" si="0"/>
        <v>26.75</v>
      </c>
      <c r="M34" s="41">
        <f t="shared" si="0"/>
        <v>72.14</v>
      </c>
      <c r="N34" s="41">
        <f t="shared" si="0"/>
        <v>0</v>
      </c>
      <c r="O34" s="41">
        <f t="shared" si="0"/>
        <v>0</v>
      </c>
      <c r="P34" s="41">
        <f t="shared" si="0"/>
        <v>0.41</v>
      </c>
      <c r="Q34" s="41">
        <f t="shared" si="0"/>
        <v>4.1100000000000003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20.91</v>
      </c>
      <c r="C35" s="33">
        <f t="shared" si="1"/>
        <v>29.1</v>
      </c>
      <c r="D35" s="33">
        <f t="shared" si="1"/>
        <v>28.68</v>
      </c>
      <c r="E35" s="33">
        <f t="shared" si="1"/>
        <v>10.66</v>
      </c>
      <c r="F35" s="33">
        <f t="shared" si="1"/>
        <v>10.6</v>
      </c>
      <c r="G35" s="33">
        <f t="shared" si="1"/>
        <v>28.3</v>
      </c>
      <c r="H35" s="33">
        <f t="shared" si="1"/>
        <v>9.48</v>
      </c>
      <c r="I35" s="33">
        <f t="shared" si="1"/>
        <v>6.14</v>
      </c>
      <c r="J35" s="33">
        <f t="shared" si="1"/>
        <v>1.44</v>
      </c>
      <c r="K35" s="33">
        <f t="shared" si="1"/>
        <v>276.12</v>
      </c>
      <c r="L35" s="33">
        <f t="shared" si="1"/>
        <v>31.26</v>
      </c>
      <c r="M35" s="33">
        <f t="shared" si="1"/>
        <v>97.85</v>
      </c>
      <c r="N35" s="33">
        <f t="shared" si="1"/>
        <v>797.6</v>
      </c>
      <c r="O35" s="33">
        <f t="shared" si="1"/>
        <v>4.4000000000000004</v>
      </c>
      <c r="P35" s="33">
        <f t="shared" si="1"/>
        <v>0.63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14.64875</v>
      </c>
      <c r="C36" s="41">
        <f t="shared" si="2"/>
        <v>26.052083333333329</v>
      </c>
      <c r="D36" s="41">
        <f t="shared" si="2"/>
        <v>24.087083333333336</v>
      </c>
      <c r="E36" s="41">
        <f t="shared" si="2"/>
        <v>7.3549999999999995</v>
      </c>
      <c r="F36" s="41">
        <f t="shared" si="2"/>
        <v>6.3891666666666671</v>
      </c>
      <c r="G36" s="41">
        <f t="shared" si="2"/>
        <v>20.912083333333328</v>
      </c>
      <c r="H36" s="41">
        <f t="shared" si="2"/>
        <v>6.1366666666666676</v>
      </c>
      <c r="I36" s="41">
        <f t="shared" si="2"/>
        <v>4.3591666666666669</v>
      </c>
      <c r="J36" s="41">
        <f t="shared" si="2"/>
        <v>0.54833333333333323</v>
      </c>
      <c r="K36" s="41">
        <f t="shared" si="2"/>
        <v>133.99166666666667</v>
      </c>
      <c r="L36" s="41">
        <f t="shared" si="2"/>
        <v>28.147083333333327</v>
      </c>
      <c r="M36" s="41">
        <f t="shared" si="2"/>
        <v>90.647916666666674</v>
      </c>
      <c r="N36" s="41">
        <f t="shared" si="2"/>
        <v>154.47916666666666</v>
      </c>
      <c r="O36" s="41">
        <f t="shared" si="2"/>
        <v>0.27500000000000002</v>
      </c>
      <c r="P36" s="41">
        <f t="shared" si="2"/>
        <v>0.47000000000000003</v>
      </c>
      <c r="Q36" s="41">
        <f t="shared" si="2"/>
        <v>4.3899999999999997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3.2845253942110735</v>
      </c>
      <c r="C37" s="41">
        <f t="shared" ref="C37:Q37" si="3">STDEV(C9:C32)</f>
        <v>1.7674840363750925</v>
      </c>
      <c r="D37" s="41">
        <f t="shared" si="3"/>
        <v>3.0632612334010894</v>
      </c>
      <c r="E37" s="41">
        <f t="shared" si="3"/>
        <v>1.3313837195548315</v>
      </c>
      <c r="F37" s="41">
        <f t="shared" si="3"/>
        <v>1.741977678354131</v>
      </c>
      <c r="G37" s="41">
        <f t="shared" si="3"/>
        <v>5.0257450057000641</v>
      </c>
      <c r="H37" s="41">
        <f t="shared" si="3"/>
        <v>1.7211918688151404</v>
      </c>
      <c r="I37" s="41">
        <f t="shared" si="3"/>
        <v>0.71388049582464297</v>
      </c>
      <c r="J37" s="41">
        <f t="shared" si="3"/>
        <v>0.37339414618576622</v>
      </c>
      <c r="K37" s="41">
        <f t="shared" si="3"/>
        <v>71.418143637171838</v>
      </c>
      <c r="L37" s="41">
        <f t="shared" si="3"/>
        <v>1.6057464177046408</v>
      </c>
      <c r="M37" s="41">
        <f t="shared" si="3"/>
        <v>7.3384443198969667</v>
      </c>
      <c r="N37" s="41">
        <f t="shared" si="3"/>
        <v>232.69749158635062</v>
      </c>
      <c r="O37" s="41">
        <f t="shared" si="3"/>
        <v>0.92466210044534647</v>
      </c>
      <c r="P37" s="41">
        <f t="shared" si="3"/>
        <v>5.3242676573361444E-2</v>
      </c>
      <c r="Q37" s="41">
        <f t="shared" si="3"/>
        <v>0.18943852966529565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H38" sqref="H38:I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45129.041666666664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45129.041666666664</v>
      </c>
      <c r="B9" s="51">
        <v>15.55</v>
      </c>
      <c r="C9" s="51">
        <v>25.96</v>
      </c>
      <c r="D9" s="51">
        <v>24.99</v>
      </c>
      <c r="E9" s="51">
        <v>6.12</v>
      </c>
      <c r="F9" s="51">
        <v>5.88</v>
      </c>
      <c r="G9" s="51">
        <v>16.13</v>
      </c>
      <c r="H9" s="51">
        <v>7.18</v>
      </c>
      <c r="I9" s="51">
        <v>3.88</v>
      </c>
      <c r="J9" s="51">
        <v>0.2</v>
      </c>
      <c r="K9" s="51">
        <v>170.09</v>
      </c>
      <c r="L9" s="51">
        <v>27</v>
      </c>
      <c r="M9" s="51">
        <v>93.68</v>
      </c>
      <c r="N9" s="51">
        <v>0</v>
      </c>
      <c r="O9" s="51">
        <v>0</v>
      </c>
      <c r="P9" s="51">
        <v>0.43</v>
      </c>
      <c r="Q9" s="51">
        <v>4.42</v>
      </c>
    </row>
    <row r="10" spans="1:21" customFormat="1">
      <c r="A10" s="50" t="s">
        <v>562</v>
      </c>
      <c r="B10" s="51">
        <v>15.46</v>
      </c>
      <c r="C10" s="51">
        <v>26.59</v>
      </c>
      <c r="D10" s="51">
        <v>25.25</v>
      </c>
      <c r="E10" s="51">
        <v>6.43</v>
      </c>
      <c r="F10" s="51">
        <v>6.06</v>
      </c>
      <c r="G10" s="51">
        <v>13.94</v>
      </c>
      <c r="H10" s="51">
        <v>5.4</v>
      </c>
      <c r="I10" s="51">
        <v>3.69</v>
      </c>
      <c r="J10" s="51">
        <v>0.16</v>
      </c>
      <c r="K10" s="51">
        <v>252.92</v>
      </c>
      <c r="L10" s="51">
        <v>26.61</v>
      </c>
      <c r="M10" s="51">
        <v>96.28</v>
      </c>
      <c r="N10" s="51">
        <v>0</v>
      </c>
      <c r="O10" s="51">
        <v>2.2000000000000002</v>
      </c>
      <c r="P10" s="51">
        <v>0.43</v>
      </c>
      <c r="Q10" s="51">
        <v>4.42</v>
      </c>
    </row>
    <row r="11" spans="1:21" customFormat="1">
      <c r="A11" s="50" t="s">
        <v>563</v>
      </c>
      <c r="B11" s="51">
        <v>16.38</v>
      </c>
      <c r="C11" s="51">
        <v>26.73</v>
      </c>
      <c r="D11" s="51">
        <v>25.86</v>
      </c>
      <c r="E11" s="51">
        <v>6.24</v>
      </c>
      <c r="F11" s="51">
        <v>4.1900000000000004</v>
      </c>
      <c r="G11" s="51">
        <v>12.87</v>
      </c>
      <c r="H11" s="51">
        <v>4.16</v>
      </c>
      <c r="I11" s="51">
        <v>3.63</v>
      </c>
      <c r="J11" s="51">
        <v>0.28000000000000003</v>
      </c>
      <c r="K11" s="51">
        <v>130.19999999999999</v>
      </c>
      <c r="L11" s="51">
        <v>25.73</v>
      </c>
      <c r="M11" s="51">
        <v>98.15</v>
      </c>
      <c r="N11" s="51">
        <v>0</v>
      </c>
      <c r="O11" s="51">
        <v>3.4</v>
      </c>
      <c r="P11" s="51">
        <v>0.4</v>
      </c>
      <c r="Q11" s="51">
        <v>4.43</v>
      </c>
    </row>
    <row r="12" spans="1:21" customFormat="1">
      <c r="A12" s="52">
        <v>45129.166666666664</v>
      </c>
      <c r="B12" s="51">
        <v>17.27</v>
      </c>
      <c r="C12" s="51">
        <v>26.84</v>
      </c>
      <c r="D12" s="51">
        <v>26.83</v>
      </c>
      <c r="E12" s="51">
        <v>5.61</v>
      </c>
      <c r="F12" s="51">
        <v>4.66</v>
      </c>
      <c r="G12" s="51">
        <v>10.61</v>
      </c>
      <c r="H12" s="51">
        <v>3.13</v>
      </c>
      <c r="I12" s="51">
        <v>3.57</v>
      </c>
      <c r="J12" s="51">
        <v>0.16</v>
      </c>
      <c r="K12" s="51">
        <v>247.76</v>
      </c>
      <c r="L12" s="51">
        <v>25.35</v>
      </c>
      <c r="M12" s="51">
        <v>98.84</v>
      </c>
      <c r="N12" s="51">
        <v>0</v>
      </c>
      <c r="O12" s="51">
        <v>5</v>
      </c>
      <c r="P12" s="51">
        <v>0.39</v>
      </c>
      <c r="Q12" s="51">
        <v>4.49</v>
      </c>
    </row>
    <row r="13" spans="1:21" customFormat="1">
      <c r="A13" s="50" t="s">
        <v>564</v>
      </c>
      <c r="B13" s="51">
        <v>17.41</v>
      </c>
      <c r="C13" s="51">
        <v>26.99</v>
      </c>
      <c r="D13" s="51">
        <v>26.75</v>
      </c>
      <c r="E13" s="51">
        <v>6.06</v>
      </c>
      <c r="F13" s="51">
        <v>3.71</v>
      </c>
      <c r="G13" s="51">
        <v>7.62</v>
      </c>
      <c r="H13" s="51">
        <v>2.2400000000000002</v>
      </c>
      <c r="I13" s="51">
        <v>3.55</v>
      </c>
      <c r="J13" s="51">
        <v>0.2</v>
      </c>
      <c r="K13" s="51">
        <v>201.33</v>
      </c>
      <c r="L13" s="51">
        <v>25.16</v>
      </c>
      <c r="M13" s="51">
        <v>99.13</v>
      </c>
      <c r="N13" s="51">
        <v>0</v>
      </c>
      <c r="O13" s="51">
        <v>3.6</v>
      </c>
      <c r="P13" s="51">
        <v>0.38</v>
      </c>
      <c r="Q13" s="51">
        <v>4.49</v>
      </c>
    </row>
    <row r="14" spans="1:21" customFormat="1">
      <c r="A14" s="50" t="s">
        <v>565</v>
      </c>
      <c r="B14" s="51">
        <v>18.45</v>
      </c>
      <c r="C14" s="51">
        <v>28.05</v>
      </c>
      <c r="D14" s="51">
        <v>28.4</v>
      </c>
      <c r="E14" s="51">
        <v>5.95</v>
      </c>
      <c r="F14" s="51">
        <v>3.11</v>
      </c>
      <c r="G14" s="51">
        <v>5.35</v>
      </c>
      <c r="H14" s="51">
        <v>1.68</v>
      </c>
      <c r="I14" s="51">
        <v>3.5</v>
      </c>
      <c r="J14" s="51">
        <v>0.21</v>
      </c>
      <c r="K14" s="51">
        <v>234.7</v>
      </c>
      <c r="L14" s="51">
        <v>25.13</v>
      </c>
      <c r="M14" s="51">
        <v>99.34</v>
      </c>
      <c r="N14" s="51">
        <v>11.9</v>
      </c>
      <c r="O14" s="51">
        <v>0</v>
      </c>
      <c r="P14" s="51">
        <v>0.39</v>
      </c>
      <c r="Q14" s="51">
        <v>4.53</v>
      </c>
    </row>
    <row r="15" spans="1:21" customFormat="1">
      <c r="A15" s="50" t="s">
        <v>566</v>
      </c>
      <c r="B15" s="51">
        <v>18.510000000000002</v>
      </c>
      <c r="C15" s="51">
        <v>27.34</v>
      </c>
      <c r="D15" s="51">
        <v>28.04</v>
      </c>
      <c r="E15" s="51">
        <v>6.03</v>
      </c>
      <c r="F15" s="51">
        <v>3.72</v>
      </c>
      <c r="G15" s="51">
        <v>3.88</v>
      </c>
      <c r="H15" s="51">
        <v>1.39</v>
      </c>
      <c r="I15" s="51">
        <v>3.49</v>
      </c>
      <c r="J15" s="51">
        <v>0.24</v>
      </c>
      <c r="K15" s="51">
        <v>118.78</v>
      </c>
      <c r="L15" s="51">
        <v>25.34</v>
      </c>
      <c r="M15" s="51">
        <v>99.47</v>
      </c>
      <c r="N15" s="51">
        <v>90.6</v>
      </c>
      <c r="O15" s="51">
        <v>1.2</v>
      </c>
      <c r="P15" s="51">
        <v>0.38</v>
      </c>
      <c r="Q15" s="51">
        <v>4.55</v>
      </c>
    </row>
    <row r="16" spans="1:21" customFormat="1">
      <c r="A16" s="50" t="s">
        <v>567</v>
      </c>
      <c r="B16" s="51">
        <v>18.3</v>
      </c>
      <c r="C16" s="51">
        <v>26.74</v>
      </c>
      <c r="D16" s="51">
        <v>27.43</v>
      </c>
      <c r="E16" s="51">
        <v>5.97</v>
      </c>
      <c r="F16" s="51">
        <v>3.58</v>
      </c>
      <c r="G16" s="51">
        <v>2.96</v>
      </c>
      <c r="H16" s="51">
        <v>1.1200000000000001</v>
      </c>
      <c r="I16" s="51">
        <v>3.47</v>
      </c>
      <c r="J16" s="51">
        <v>0.3</v>
      </c>
      <c r="K16" s="51">
        <v>110.08</v>
      </c>
      <c r="L16" s="51">
        <v>26.73</v>
      </c>
      <c r="M16" s="51">
        <v>99.56</v>
      </c>
      <c r="N16" s="51">
        <v>147</v>
      </c>
      <c r="O16" s="51">
        <v>0</v>
      </c>
      <c r="P16" s="51">
        <v>0.37</v>
      </c>
      <c r="Q16" s="51">
        <v>4.53</v>
      </c>
    </row>
    <row r="17" spans="1:17" customFormat="1">
      <c r="A17" s="50" t="s">
        <v>568</v>
      </c>
      <c r="B17" s="51">
        <v>17.600000000000001</v>
      </c>
      <c r="C17" s="51">
        <v>27.07</v>
      </c>
      <c r="D17" s="51">
        <v>27.22</v>
      </c>
      <c r="E17" s="51">
        <v>5.82</v>
      </c>
      <c r="F17" s="51">
        <v>5.09</v>
      </c>
      <c r="G17" s="51">
        <v>3.04</v>
      </c>
      <c r="H17" s="51">
        <v>1.1000000000000001</v>
      </c>
      <c r="I17" s="51">
        <v>3.37</v>
      </c>
      <c r="J17" s="51">
        <v>0.34</v>
      </c>
      <c r="K17" s="51">
        <v>116.69</v>
      </c>
      <c r="L17" s="51">
        <v>28.12</v>
      </c>
      <c r="M17" s="51">
        <v>99.36</v>
      </c>
      <c r="N17" s="51">
        <v>208.5</v>
      </c>
      <c r="O17" s="51">
        <v>0</v>
      </c>
      <c r="P17" s="51">
        <v>0.37</v>
      </c>
      <c r="Q17" s="51">
        <v>4.49</v>
      </c>
    </row>
    <row r="18" spans="1:17" customFormat="1">
      <c r="A18" s="50" t="s">
        <v>569</v>
      </c>
      <c r="B18" s="51">
        <v>15.94</v>
      </c>
      <c r="C18" s="51">
        <v>24.94</v>
      </c>
      <c r="D18" s="51">
        <v>24.76</v>
      </c>
      <c r="E18" s="51">
        <v>5.12</v>
      </c>
      <c r="F18" s="51">
        <v>4.7300000000000004</v>
      </c>
      <c r="G18" s="51">
        <v>4.55</v>
      </c>
      <c r="H18" s="51">
        <v>1.1599999999999999</v>
      </c>
      <c r="I18" s="51">
        <v>3.33</v>
      </c>
      <c r="J18" s="51">
        <v>0.43</v>
      </c>
      <c r="K18" s="51">
        <v>137.91999999999999</v>
      </c>
      <c r="L18" s="51">
        <v>30.36</v>
      </c>
      <c r="M18" s="51">
        <v>87.32</v>
      </c>
      <c r="N18" s="51">
        <v>283.2</v>
      </c>
      <c r="O18" s="51">
        <v>0</v>
      </c>
      <c r="P18" s="51">
        <v>0.35</v>
      </c>
      <c r="Q18" s="51">
        <v>4.41</v>
      </c>
    </row>
    <row r="19" spans="1:17" customFormat="1">
      <c r="A19" s="50" t="s">
        <v>570</v>
      </c>
      <c r="B19" s="51">
        <v>14.46</v>
      </c>
      <c r="C19" s="51">
        <v>24.19</v>
      </c>
      <c r="D19" s="51">
        <v>23.19</v>
      </c>
      <c r="E19" s="51">
        <v>6.12</v>
      </c>
      <c r="F19" s="51">
        <v>6.73</v>
      </c>
      <c r="G19" s="51">
        <v>4.55</v>
      </c>
      <c r="H19" s="51">
        <v>1.32</v>
      </c>
      <c r="I19" s="51">
        <v>3.22</v>
      </c>
      <c r="J19" s="51">
        <v>0.28000000000000003</v>
      </c>
      <c r="K19" s="51">
        <v>111.73</v>
      </c>
      <c r="L19" s="51">
        <v>29.84</v>
      </c>
      <c r="M19" s="51">
        <v>90.85</v>
      </c>
      <c r="N19" s="51">
        <v>234.7</v>
      </c>
      <c r="O19" s="51">
        <v>0.6</v>
      </c>
      <c r="P19" s="51">
        <v>0.34</v>
      </c>
      <c r="Q19" s="51">
        <v>4.29</v>
      </c>
    </row>
    <row r="20" spans="1:17" customFormat="1">
      <c r="A20" s="50" t="s">
        <v>571</v>
      </c>
      <c r="B20" s="51">
        <v>11.17</v>
      </c>
      <c r="C20" s="51">
        <v>21.6</v>
      </c>
      <c r="D20" s="51">
        <v>18.95</v>
      </c>
      <c r="E20" s="51">
        <v>6.4</v>
      </c>
      <c r="F20" s="51">
        <v>7.22</v>
      </c>
      <c r="G20" s="51">
        <v>3.81</v>
      </c>
      <c r="H20" s="51">
        <v>1.32</v>
      </c>
      <c r="I20" s="51">
        <v>2.89</v>
      </c>
      <c r="J20" s="51">
        <v>0.24</v>
      </c>
      <c r="K20" s="51">
        <v>145.15</v>
      </c>
      <c r="L20" s="51">
        <v>30.11</v>
      </c>
      <c r="M20" s="51">
        <v>93.82</v>
      </c>
      <c r="N20" s="51">
        <v>446.1</v>
      </c>
      <c r="O20" s="51">
        <v>0.8</v>
      </c>
      <c r="P20" s="51">
        <v>0.34</v>
      </c>
      <c r="Q20" s="51">
        <v>4.1500000000000004</v>
      </c>
    </row>
    <row r="21" spans="1:17" customFormat="1">
      <c r="A21" s="50" t="s">
        <v>572</v>
      </c>
      <c r="B21" s="51">
        <v>10.43</v>
      </c>
      <c r="C21" s="51">
        <v>20.48</v>
      </c>
      <c r="D21" s="51">
        <v>17.32</v>
      </c>
      <c r="E21" s="51">
        <v>6.2</v>
      </c>
      <c r="F21" s="51">
        <v>8.93</v>
      </c>
      <c r="G21" s="51">
        <v>5.64</v>
      </c>
      <c r="H21" s="11" t="s">
        <v>12</v>
      </c>
      <c r="I21" s="11" t="s">
        <v>12</v>
      </c>
      <c r="J21" s="51">
        <v>0.28000000000000003</v>
      </c>
      <c r="K21" s="51">
        <v>145.75</v>
      </c>
      <c r="L21" s="51">
        <v>31.74</v>
      </c>
      <c r="M21" s="51">
        <v>86.1</v>
      </c>
      <c r="N21" s="51">
        <v>978</v>
      </c>
      <c r="O21" s="51">
        <v>0.2</v>
      </c>
      <c r="P21" s="51">
        <v>0.33</v>
      </c>
      <c r="Q21" s="51">
        <v>4.0599999999999996</v>
      </c>
    </row>
    <row r="22" spans="1:17" customFormat="1">
      <c r="A22" s="50" t="s">
        <v>573</v>
      </c>
      <c r="B22" s="51">
        <v>9.76</v>
      </c>
      <c r="C22" s="51">
        <v>20.52</v>
      </c>
      <c r="D22" s="51">
        <v>17.510000000000002</v>
      </c>
      <c r="E22" s="51">
        <v>6.28</v>
      </c>
      <c r="F22" s="51">
        <v>6.41</v>
      </c>
      <c r="G22" s="51">
        <v>5.64</v>
      </c>
      <c r="H22" s="51">
        <v>0.35</v>
      </c>
      <c r="I22" s="51">
        <v>3.46</v>
      </c>
      <c r="J22" s="51">
        <v>0.3</v>
      </c>
      <c r="K22" s="51">
        <v>233.49</v>
      </c>
      <c r="L22" s="51">
        <v>32.39</v>
      </c>
      <c r="M22" s="51">
        <v>77.03</v>
      </c>
      <c r="N22" s="51">
        <v>977.7</v>
      </c>
      <c r="O22" s="51">
        <v>0</v>
      </c>
      <c r="P22" s="51">
        <v>0.32</v>
      </c>
      <c r="Q22" s="51">
        <v>4.0999999999999996</v>
      </c>
    </row>
    <row r="23" spans="1:17" customFormat="1">
      <c r="A23" s="50" t="s">
        <v>574</v>
      </c>
      <c r="B23" s="51">
        <v>9.06</v>
      </c>
      <c r="C23" s="51">
        <v>21.33</v>
      </c>
      <c r="D23" s="51">
        <v>17.13</v>
      </c>
      <c r="E23" s="51">
        <v>5.57</v>
      </c>
      <c r="F23" s="51">
        <v>6.74</v>
      </c>
      <c r="G23" s="51">
        <v>4.2</v>
      </c>
      <c r="H23" s="51">
        <v>0.48</v>
      </c>
      <c r="I23" s="51">
        <v>3.36</v>
      </c>
      <c r="J23" s="51">
        <v>0.36</v>
      </c>
      <c r="K23" s="51">
        <v>189.49</v>
      </c>
      <c r="L23" s="51">
        <v>33.33</v>
      </c>
      <c r="M23" s="51">
        <v>77.08</v>
      </c>
      <c r="N23" s="51">
        <v>722.5</v>
      </c>
      <c r="O23" s="51">
        <v>0</v>
      </c>
      <c r="P23" s="51">
        <v>0.37</v>
      </c>
      <c r="Q23" s="51">
        <v>4.04</v>
      </c>
    </row>
    <row r="24" spans="1:17" customFormat="1">
      <c r="A24" s="50" t="s">
        <v>575</v>
      </c>
      <c r="B24" s="51">
        <v>9.09</v>
      </c>
      <c r="C24" s="51">
        <v>21.04</v>
      </c>
      <c r="D24" s="51">
        <v>17.239999999999998</v>
      </c>
      <c r="E24" s="51">
        <v>5.73</v>
      </c>
      <c r="F24" s="51">
        <v>9.67</v>
      </c>
      <c r="G24" s="51">
        <v>3.05</v>
      </c>
      <c r="H24" s="51">
        <v>0.48</v>
      </c>
      <c r="I24" s="51">
        <v>3.36</v>
      </c>
      <c r="J24" s="51">
        <v>0.23</v>
      </c>
      <c r="K24" s="51">
        <v>210.56</v>
      </c>
      <c r="L24" s="51">
        <v>31.08</v>
      </c>
      <c r="M24" s="51">
        <v>91.53</v>
      </c>
      <c r="N24" s="51">
        <v>399.8</v>
      </c>
      <c r="O24" s="51">
        <v>1.4</v>
      </c>
      <c r="P24" s="51">
        <v>0.36</v>
      </c>
      <c r="Q24" s="51">
        <v>4.05</v>
      </c>
    </row>
    <row r="25" spans="1:17" customFormat="1">
      <c r="A25" s="50" t="s">
        <v>576</v>
      </c>
      <c r="B25" s="51">
        <v>9.59</v>
      </c>
      <c r="C25" s="51">
        <v>19.57</v>
      </c>
      <c r="D25" s="51">
        <v>16.87</v>
      </c>
      <c r="E25" s="51">
        <v>6.03</v>
      </c>
      <c r="F25" s="51">
        <v>12.01</v>
      </c>
      <c r="G25" s="51">
        <v>6.47</v>
      </c>
      <c r="H25" s="51">
        <v>1.69</v>
      </c>
      <c r="I25" s="51">
        <v>2.82</v>
      </c>
      <c r="J25" s="51">
        <v>0.22</v>
      </c>
      <c r="K25" s="51">
        <v>180.63</v>
      </c>
      <c r="L25" s="51">
        <v>31.35</v>
      </c>
      <c r="M25" s="51">
        <v>84.1</v>
      </c>
      <c r="N25" s="51">
        <v>289.3</v>
      </c>
      <c r="O25" s="51">
        <v>0</v>
      </c>
      <c r="P25" s="51">
        <v>0.37</v>
      </c>
      <c r="Q25" s="51">
        <v>4.07</v>
      </c>
    </row>
    <row r="26" spans="1:17" customFormat="1">
      <c r="A26" s="50" t="s">
        <v>577</v>
      </c>
      <c r="B26" s="51">
        <v>9.07</v>
      </c>
      <c r="C26" s="51">
        <v>19.38</v>
      </c>
      <c r="D26" s="51">
        <v>16.23</v>
      </c>
      <c r="E26" s="51">
        <v>6.5</v>
      </c>
      <c r="F26" s="51">
        <v>10.6</v>
      </c>
      <c r="G26" s="51">
        <v>6.47</v>
      </c>
      <c r="H26" s="51">
        <v>1.69</v>
      </c>
      <c r="I26" s="51">
        <v>2.83</v>
      </c>
      <c r="J26" s="51">
        <v>0.3</v>
      </c>
      <c r="K26" s="51">
        <v>134.99</v>
      </c>
      <c r="L26" s="51">
        <v>29.93</v>
      </c>
      <c r="M26" s="51">
        <v>84</v>
      </c>
      <c r="N26" s="51">
        <v>71.3</v>
      </c>
      <c r="O26" s="51">
        <v>0</v>
      </c>
      <c r="P26" s="51">
        <v>0.35</v>
      </c>
      <c r="Q26" s="51">
        <v>4.13</v>
      </c>
    </row>
    <row r="27" spans="1:17" customFormat="1">
      <c r="A27" s="50" t="s">
        <v>578</v>
      </c>
      <c r="B27" s="51">
        <v>17.32</v>
      </c>
      <c r="C27" s="51">
        <v>24.87</v>
      </c>
      <c r="D27" s="51">
        <v>24.83</v>
      </c>
      <c r="E27" s="51">
        <v>6.55</v>
      </c>
      <c r="F27" s="51">
        <v>6.41</v>
      </c>
      <c r="G27" s="51">
        <v>10.35</v>
      </c>
      <c r="H27" s="51">
        <v>1.84</v>
      </c>
      <c r="I27" s="51">
        <v>3.43</v>
      </c>
      <c r="J27" s="51">
        <v>0.42</v>
      </c>
      <c r="K27" s="51">
        <v>253.09</v>
      </c>
      <c r="L27" s="51">
        <v>28.05</v>
      </c>
      <c r="M27" s="51">
        <v>89.45</v>
      </c>
      <c r="N27" s="51">
        <v>7.9</v>
      </c>
      <c r="O27" s="51">
        <v>0</v>
      </c>
      <c r="P27" s="51">
        <v>0.52</v>
      </c>
      <c r="Q27" s="51">
        <v>4.18</v>
      </c>
    </row>
    <row r="28" spans="1:17" customFormat="1">
      <c r="A28" s="50" t="s">
        <v>579</v>
      </c>
      <c r="B28" s="51">
        <v>14.92</v>
      </c>
      <c r="C28" s="51">
        <v>26.22</v>
      </c>
      <c r="D28" s="51">
        <v>24.32</v>
      </c>
      <c r="E28" s="51">
        <v>7.6</v>
      </c>
      <c r="F28" s="51">
        <v>6.27</v>
      </c>
      <c r="G28" s="51">
        <v>14.69</v>
      </c>
      <c r="H28" s="51">
        <v>1.84</v>
      </c>
      <c r="I28" s="51">
        <v>3.95</v>
      </c>
      <c r="J28" s="51">
        <v>0.85</v>
      </c>
      <c r="K28" s="51">
        <v>265.67</v>
      </c>
      <c r="L28" s="51">
        <v>27.98</v>
      </c>
      <c r="M28" s="51">
        <v>97.87</v>
      </c>
      <c r="N28" s="51">
        <v>0</v>
      </c>
      <c r="O28" s="51">
        <v>3.8</v>
      </c>
      <c r="P28" s="51">
        <v>0.49</v>
      </c>
      <c r="Q28" s="51">
        <v>4.3899999999999997</v>
      </c>
    </row>
    <row r="29" spans="1:17" customFormat="1">
      <c r="A29" s="50" t="s">
        <v>580</v>
      </c>
      <c r="B29" s="51">
        <v>15.39</v>
      </c>
      <c r="C29" s="51">
        <v>26.5</v>
      </c>
      <c r="D29" s="51">
        <v>24.67</v>
      </c>
      <c r="E29" s="51">
        <v>7.32</v>
      </c>
      <c r="F29" s="51">
        <v>7.16</v>
      </c>
      <c r="G29" s="51">
        <v>14.69</v>
      </c>
      <c r="H29" s="51">
        <v>1.89</v>
      </c>
      <c r="I29" s="51">
        <v>3.86</v>
      </c>
      <c r="J29" s="51">
        <v>0.2</v>
      </c>
      <c r="K29" s="51">
        <v>302.18</v>
      </c>
      <c r="L29" s="51">
        <v>26.14</v>
      </c>
      <c r="M29" s="51">
        <v>99.01</v>
      </c>
      <c r="N29" s="51">
        <v>0</v>
      </c>
      <c r="O29" s="51">
        <v>0.4</v>
      </c>
      <c r="P29" s="51">
        <v>0.46</v>
      </c>
      <c r="Q29" s="51">
        <v>4.41</v>
      </c>
    </row>
    <row r="30" spans="1:17" customFormat="1">
      <c r="A30" s="50" t="s">
        <v>581</v>
      </c>
      <c r="B30" s="51">
        <v>15.78</v>
      </c>
      <c r="C30" s="51">
        <v>26.37</v>
      </c>
      <c r="D30" s="51">
        <v>25.38</v>
      </c>
      <c r="E30" s="51">
        <v>7.06</v>
      </c>
      <c r="F30" s="51">
        <v>7.82</v>
      </c>
      <c r="G30" s="51">
        <v>10.99</v>
      </c>
      <c r="H30" s="51">
        <v>1.89</v>
      </c>
      <c r="I30" s="51">
        <v>3.76</v>
      </c>
      <c r="J30" s="51">
        <v>0.27</v>
      </c>
      <c r="K30" s="51">
        <v>244.61</v>
      </c>
      <c r="L30" s="51">
        <v>26.26</v>
      </c>
      <c r="M30" s="51">
        <v>99.26</v>
      </c>
      <c r="N30" s="51">
        <v>0</v>
      </c>
      <c r="O30" s="51">
        <v>0.2</v>
      </c>
      <c r="P30" s="51">
        <v>0.47</v>
      </c>
      <c r="Q30" s="51">
        <v>4.43</v>
      </c>
    </row>
    <row r="31" spans="1:17" customFormat="1">
      <c r="A31" s="50" t="s">
        <v>582</v>
      </c>
      <c r="B31" s="51">
        <v>15.87</v>
      </c>
      <c r="C31" s="51">
        <v>26.9</v>
      </c>
      <c r="D31" s="51">
        <v>25.64</v>
      </c>
      <c r="E31" s="51">
        <v>7.57</v>
      </c>
      <c r="F31" s="51">
        <v>6.31</v>
      </c>
      <c r="G31" s="51">
        <v>8.07</v>
      </c>
      <c r="H31" s="51">
        <v>1.68</v>
      </c>
      <c r="I31" s="51">
        <v>3.72</v>
      </c>
      <c r="J31" s="51">
        <v>0.27</v>
      </c>
      <c r="K31" s="51">
        <v>256.79000000000002</v>
      </c>
      <c r="L31" s="51">
        <v>26.16</v>
      </c>
      <c r="M31" s="51">
        <v>99.35</v>
      </c>
      <c r="N31" s="51">
        <v>0</v>
      </c>
      <c r="O31" s="51">
        <v>0</v>
      </c>
      <c r="P31" s="51">
        <v>0.48</v>
      </c>
      <c r="Q31" s="51">
        <v>4.49</v>
      </c>
    </row>
    <row r="32" spans="1:17" customFormat="1">
      <c r="A32" s="50" t="s">
        <v>583</v>
      </c>
      <c r="B32" s="51">
        <v>15.62</v>
      </c>
      <c r="C32" s="51">
        <v>25.87</v>
      </c>
      <c r="D32" s="51">
        <v>25</v>
      </c>
      <c r="E32" s="51">
        <v>7.35</v>
      </c>
      <c r="F32" s="51">
        <v>7.14</v>
      </c>
      <c r="G32" s="51">
        <v>6.44</v>
      </c>
      <c r="H32" s="51">
        <v>1.74</v>
      </c>
      <c r="I32" s="51">
        <v>3.71</v>
      </c>
      <c r="J32" s="51">
        <v>0.13</v>
      </c>
      <c r="K32" s="51">
        <v>229.98</v>
      </c>
      <c r="L32" s="51">
        <v>25.92</v>
      </c>
      <c r="M32" s="51">
        <v>99.45</v>
      </c>
      <c r="N32" s="51">
        <v>0</v>
      </c>
      <c r="O32" s="51">
        <v>0.2</v>
      </c>
      <c r="P32" s="51">
        <v>0.46</v>
      </c>
      <c r="Q32" s="51">
        <v>4.46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9.06</v>
      </c>
      <c r="C34" s="41">
        <f t="shared" si="0"/>
        <v>19.38</v>
      </c>
      <c r="D34" s="41">
        <f t="shared" si="0"/>
        <v>16.23</v>
      </c>
      <c r="E34" s="41">
        <f t="shared" si="0"/>
        <v>5.12</v>
      </c>
      <c r="F34" s="41">
        <f t="shared" si="0"/>
        <v>3.11</v>
      </c>
      <c r="G34" s="41">
        <f t="shared" si="0"/>
        <v>2.96</v>
      </c>
      <c r="H34" s="41">
        <f t="shared" si="0"/>
        <v>0.35</v>
      </c>
      <c r="I34" s="41">
        <f t="shared" si="0"/>
        <v>2.82</v>
      </c>
      <c r="J34" s="41">
        <f t="shared" si="0"/>
        <v>0.13</v>
      </c>
      <c r="K34" s="41">
        <f t="shared" si="0"/>
        <v>110.08</v>
      </c>
      <c r="L34" s="41">
        <f t="shared" si="0"/>
        <v>25.13</v>
      </c>
      <c r="M34" s="41">
        <f t="shared" si="0"/>
        <v>77.03</v>
      </c>
      <c r="N34" s="41">
        <f t="shared" si="0"/>
        <v>0</v>
      </c>
      <c r="O34" s="41">
        <f t="shared" si="0"/>
        <v>0</v>
      </c>
      <c r="P34" s="41">
        <f t="shared" si="0"/>
        <v>0.32</v>
      </c>
      <c r="Q34" s="41">
        <f t="shared" si="0"/>
        <v>4.04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18.510000000000002</v>
      </c>
      <c r="C35" s="33">
        <f t="shared" si="1"/>
        <v>28.05</v>
      </c>
      <c r="D35" s="33">
        <f t="shared" si="1"/>
        <v>28.4</v>
      </c>
      <c r="E35" s="33">
        <f t="shared" si="1"/>
        <v>7.6</v>
      </c>
      <c r="F35" s="33">
        <f t="shared" si="1"/>
        <v>12.01</v>
      </c>
      <c r="G35" s="33">
        <f t="shared" si="1"/>
        <v>16.13</v>
      </c>
      <c r="H35" s="33">
        <f t="shared" si="1"/>
        <v>7.18</v>
      </c>
      <c r="I35" s="33">
        <f t="shared" si="1"/>
        <v>3.95</v>
      </c>
      <c r="J35" s="33">
        <f t="shared" si="1"/>
        <v>0.85</v>
      </c>
      <c r="K35" s="33">
        <f t="shared" si="1"/>
        <v>302.18</v>
      </c>
      <c r="L35" s="33">
        <f t="shared" si="1"/>
        <v>33.33</v>
      </c>
      <c r="M35" s="33">
        <f t="shared" si="1"/>
        <v>99.56</v>
      </c>
      <c r="N35" s="33">
        <f t="shared" si="1"/>
        <v>978</v>
      </c>
      <c r="O35" s="33">
        <f t="shared" si="1"/>
        <v>5</v>
      </c>
      <c r="P35" s="33">
        <f t="shared" si="1"/>
        <v>0.52</v>
      </c>
      <c r="Q35" s="33">
        <f t="shared" si="1"/>
        <v>4.55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14.516666666666666</v>
      </c>
      <c r="C36" s="41">
        <f t="shared" si="2"/>
        <v>24.670416666666668</v>
      </c>
      <c r="D36" s="41">
        <f t="shared" si="2"/>
        <v>23.325416666666669</v>
      </c>
      <c r="E36" s="41">
        <f t="shared" si="2"/>
        <v>6.3179166666666662</v>
      </c>
      <c r="F36" s="41">
        <f t="shared" si="2"/>
        <v>6.4229166666666657</v>
      </c>
      <c r="G36" s="41">
        <f t="shared" si="2"/>
        <v>7.7504166666666663</v>
      </c>
      <c r="H36" s="41">
        <f t="shared" si="2"/>
        <v>2.0334782608695652</v>
      </c>
      <c r="I36" s="41">
        <f t="shared" si="2"/>
        <v>3.4717391304347824</v>
      </c>
      <c r="J36" s="41">
        <f t="shared" si="2"/>
        <v>0.28624999999999995</v>
      </c>
      <c r="K36" s="41">
        <f t="shared" si="2"/>
        <v>192.69083333333333</v>
      </c>
      <c r="L36" s="41">
        <f t="shared" si="2"/>
        <v>28.158749999999994</v>
      </c>
      <c r="M36" s="41">
        <f t="shared" si="2"/>
        <v>93.334583333333299</v>
      </c>
      <c r="N36" s="41">
        <f t="shared" si="2"/>
        <v>202.85416666666666</v>
      </c>
      <c r="O36" s="41">
        <f t="shared" si="2"/>
        <v>0.95833333333333304</v>
      </c>
      <c r="P36" s="41">
        <f t="shared" si="2"/>
        <v>0.39791666666666686</v>
      </c>
      <c r="Q36" s="41">
        <f t="shared" si="2"/>
        <v>4.3337499999999993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3.3347142067319271</v>
      </c>
      <c r="C37" s="41">
        <f t="shared" ref="C37:Q37" si="3">STDEV(C9:C32)</f>
        <v>2.8453722598460374</v>
      </c>
      <c r="D37" s="41">
        <f t="shared" si="3"/>
        <v>4.1330281341857535</v>
      </c>
      <c r="E37" s="41">
        <f t="shared" si="3"/>
        <v>0.64657612730892788</v>
      </c>
      <c r="F37" s="41">
        <f t="shared" si="3"/>
        <v>2.2482330823901764</v>
      </c>
      <c r="G37" s="41">
        <f t="shared" si="3"/>
        <v>4.2071207537022124</v>
      </c>
      <c r="H37" s="41">
        <f t="shared" si="3"/>
        <v>1.593123315137031</v>
      </c>
      <c r="I37" s="41">
        <f t="shared" si="3"/>
        <v>0.31137017101708719</v>
      </c>
      <c r="J37" s="41">
        <f t="shared" si="3"/>
        <v>0.14175338351916153</v>
      </c>
      <c r="K37" s="41">
        <f t="shared" si="3"/>
        <v>58.837539400909918</v>
      </c>
      <c r="L37" s="41">
        <f t="shared" si="3"/>
        <v>2.5810333496826412</v>
      </c>
      <c r="M37" s="41">
        <f t="shared" si="3"/>
        <v>7.2886343798541908</v>
      </c>
      <c r="N37" s="41">
        <f t="shared" si="3"/>
        <v>302.39589797535092</v>
      </c>
      <c r="O37" s="41">
        <f t="shared" si="3"/>
        <v>1.495476270410975</v>
      </c>
      <c r="P37" s="41">
        <f t="shared" si="3"/>
        <v>5.6103876225587594E-2</v>
      </c>
      <c r="Q37" s="41">
        <f t="shared" si="3"/>
        <v>0.18086296758452489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v>24</v>
      </c>
      <c r="I38" s="46"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23/07/2023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584</v>
      </c>
      <c r="B9" s="51">
        <v>16.170000000000002</v>
      </c>
      <c r="C9" s="51">
        <v>23.96</v>
      </c>
      <c r="D9" s="51">
        <v>24.44</v>
      </c>
      <c r="E9" s="51">
        <v>7.16</v>
      </c>
      <c r="F9" s="51">
        <v>6.9</v>
      </c>
      <c r="G9" s="51">
        <v>4.87</v>
      </c>
      <c r="H9" s="51">
        <v>1.74</v>
      </c>
      <c r="I9" s="51">
        <v>3.47</v>
      </c>
      <c r="J9" s="51">
        <v>0.19</v>
      </c>
      <c r="K9" s="51">
        <v>236.49</v>
      </c>
      <c r="L9" s="51">
        <v>26.05</v>
      </c>
      <c r="M9" s="51">
        <v>99.52</v>
      </c>
      <c r="N9" s="51">
        <v>0</v>
      </c>
      <c r="O9" s="51">
        <v>0</v>
      </c>
      <c r="P9" s="51">
        <v>0.44</v>
      </c>
      <c r="Q9" s="51">
        <v>4.41</v>
      </c>
    </row>
    <row r="10" spans="1:21" customFormat="1">
      <c r="A10" s="50" t="s">
        <v>585</v>
      </c>
      <c r="B10" s="51">
        <v>16.809999999999999</v>
      </c>
      <c r="C10" s="51">
        <v>26.2</v>
      </c>
      <c r="D10" s="51">
        <v>26.13</v>
      </c>
      <c r="E10" s="51">
        <v>7.66</v>
      </c>
      <c r="F10" s="51">
        <v>6.16</v>
      </c>
      <c r="G10" s="51">
        <v>3.73</v>
      </c>
      <c r="H10" s="51">
        <v>1.63</v>
      </c>
      <c r="I10" s="51">
        <v>3.38</v>
      </c>
      <c r="J10" s="51">
        <v>0.15</v>
      </c>
      <c r="K10" s="51">
        <v>241.36</v>
      </c>
      <c r="L10" s="51">
        <v>26.09</v>
      </c>
      <c r="M10" s="51">
        <v>99.58</v>
      </c>
      <c r="N10" s="51">
        <v>0</v>
      </c>
      <c r="O10" s="51">
        <v>0</v>
      </c>
      <c r="P10" s="51">
        <v>0.44</v>
      </c>
      <c r="Q10" s="51">
        <v>4.4400000000000004</v>
      </c>
    </row>
    <row r="11" spans="1:21" customFormat="1">
      <c r="A11" s="50" t="s">
        <v>586</v>
      </c>
      <c r="B11" s="51">
        <v>16.739999999999998</v>
      </c>
      <c r="C11" s="51">
        <v>25.11</v>
      </c>
      <c r="D11" s="51">
        <v>25.5</v>
      </c>
      <c r="E11" s="51">
        <v>6.5</v>
      </c>
      <c r="F11" s="51">
        <v>6.08</v>
      </c>
      <c r="G11" s="51">
        <v>2.82</v>
      </c>
      <c r="H11" s="51">
        <v>1.6</v>
      </c>
      <c r="I11" s="51">
        <v>3.38</v>
      </c>
      <c r="J11" s="51">
        <v>0.13</v>
      </c>
      <c r="K11" s="51">
        <v>209.92</v>
      </c>
      <c r="L11" s="51">
        <v>25.97</v>
      </c>
      <c r="M11" s="51">
        <v>99.63</v>
      </c>
      <c r="N11" s="51">
        <v>0</v>
      </c>
      <c r="O11" s="51">
        <v>0</v>
      </c>
      <c r="P11" s="51">
        <v>0.43</v>
      </c>
      <c r="Q11" s="51">
        <v>4.47</v>
      </c>
    </row>
    <row r="12" spans="1:21" customFormat="1">
      <c r="A12" s="50" t="s">
        <v>587</v>
      </c>
      <c r="B12" s="51">
        <v>16.96</v>
      </c>
      <c r="C12" s="51">
        <v>25.68</v>
      </c>
      <c r="D12" s="51">
        <v>25.98</v>
      </c>
      <c r="E12" s="51">
        <v>6.39</v>
      </c>
      <c r="F12" s="51">
        <v>5.71</v>
      </c>
      <c r="G12" s="51">
        <v>1.99</v>
      </c>
      <c r="H12" s="51">
        <v>1.8</v>
      </c>
      <c r="I12" s="51">
        <v>3.27</v>
      </c>
      <c r="J12" s="51">
        <v>0.19</v>
      </c>
      <c r="K12" s="51">
        <v>184.38</v>
      </c>
      <c r="L12" s="51">
        <v>25.96</v>
      </c>
      <c r="M12" s="51">
        <v>99.63</v>
      </c>
      <c r="N12" s="51">
        <v>0</v>
      </c>
      <c r="O12" s="51">
        <v>0</v>
      </c>
      <c r="P12" s="51">
        <v>0.42</v>
      </c>
      <c r="Q12" s="51">
        <v>4.47</v>
      </c>
    </row>
    <row r="13" spans="1:21" customFormat="1">
      <c r="A13" s="50" t="s">
        <v>588</v>
      </c>
      <c r="B13" s="51">
        <v>17.47</v>
      </c>
      <c r="C13" s="51">
        <v>25.45</v>
      </c>
      <c r="D13" s="51">
        <v>26.26</v>
      </c>
      <c r="E13" s="51">
        <v>6.06</v>
      </c>
      <c r="F13" s="51">
        <v>5.59</v>
      </c>
      <c r="G13" s="51">
        <v>1.57</v>
      </c>
      <c r="H13" s="51">
        <v>3.48</v>
      </c>
      <c r="I13" s="51">
        <v>3.13</v>
      </c>
      <c r="J13" s="51">
        <v>0.13</v>
      </c>
      <c r="K13" s="51">
        <v>214.49</v>
      </c>
      <c r="L13" s="51">
        <v>25.92</v>
      </c>
      <c r="M13" s="51">
        <v>99.5</v>
      </c>
      <c r="N13" s="51">
        <v>0</v>
      </c>
      <c r="O13" s="51">
        <v>0</v>
      </c>
      <c r="P13" s="51">
        <v>0.41</v>
      </c>
      <c r="Q13" s="51">
        <v>4.5</v>
      </c>
    </row>
    <row r="14" spans="1:21" customFormat="1">
      <c r="A14" s="50" t="s">
        <v>589</v>
      </c>
      <c r="B14" s="51">
        <v>17.989999999999998</v>
      </c>
      <c r="C14" s="51">
        <v>25.16</v>
      </c>
      <c r="D14" s="51">
        <v>26.53</v>
      </c>
      <c r="E14" s="51">
        <v>6.82</v>
      </c>
      <c r="F14" s="51">
        <v>5.15</v>
      </c>
      <c r="G14" s="51">
        <v>1.2</v>
      </c>
      <c r="H14" s="51">
        <v>3.48</v>
      </c>
      <c r="I14" s="51">
        <v>3.26</v>
      </c>
      <c r="J14" s="51">
        <v>0.12</v>
      </c>
      <c r="K14" s="51">
        <v>196.61</v>
      </c>
      <c r="L14" s="51">
        <v>25.94</v>
      </c>
      <c r="M14" s="51">
        <v>99.25</v>
      </c>
      <c r="N14" s="51">
        <v>4.9000000000000004</v>
      </c>
      <c r="O14" s="51">
        <v>0</v>
      </c>
      <c r="P14" s="51">
        <v>0.41</v>
      </c>
      <c r="Q14" s="51">
        <v>4.47</v>
      </c>
    </row>
    <row r="15" spans="1:21" customFormat="1">
      <c r="A15" s="50" t="s">
        <v>590</v>
      </c>
      <c r="B15" s="51">
        <v>17.850000000000001</v>
      </c>
      <c r="C15" s="51">
        <v>24.38</v>
      </c>
      <c r="D15" s="51">
        <v>26.01</v>
      </c>
      <c r="E15" s="51">
        <v>6.41</v>
      </c>
      <c r="F15" s="51">
        <v>5.0999999999999996</v>
      </c>
      <c r="G15" s="51">
        <v>1.18</v>
      </c>
      <c r="H15" s="51">
        <v>3.03</v>
      </c>
      <c r="I15" s="51">
        <v>3.14</v>
      </c>
      <c r="J15" s="51">
        <v>0.27</v>
      </c>
      <c r="K15" s="51">
        <v>251.75</v>
      </c>
      <c r="L15" s="51">
        <v>26.48</v>
      </c>
      <c r="M15" s="51">
        <v>98.92</v>
      </c>
      <c r="N15" s="51">
        <v>60.9</v>
      </c>
      <c r="O15" s="51">
        <v>0</v>
      </c>
      <c r="P15" s="51">
        <v>0.39</v>
      </c>
      <c r="Q15" s="51">
        <v>4.54</v>
      </c>
    </row>
    <row r="16" spans="1:21" customFormat="1">
      <c r="A16" s="50" t="s">
        <v>591</v>
      </c>
      <c r="B16" s="51">
        <v>18.079999999999998</v>
      </c>
      <c r="C16" s="51">
        <v>24.75</v>
      </c>
      <c r="D16" s="51">
        <v>26.38</v>
      </c>
      <c r="E16" s="51">
        <v>6.63</v>
      </c>
      <c r="F16" s="51">
        <v>5.21</v>
      </c>
      <c r="G16" s="51">
        <v>1.24</v>
      </c>
      <c r="H16" s="51">
        <v>2.48</v>
      </c>
      <c r="I16" s="51">
        <v>3.11</v>
      </c>
      <c r="J16" s="51">
        <v>0.22</v>
      </c>
      <c r="K16" s="51">
        <v>251.21</v>
      </c>
      <c r="L16" s="51">
        <v>27.29</v>
      </c>
      <c r="M16" s="51">
        <v>95.39</v>
      </c>
      <c r="N16" s="51">
        <v>130.30000000000001</v>
      </c>
      <c r="O16" s="51">
        <v>0</v>
      </c>
      <c r="P16" s="51">
        <v>0.4</v>
      </c>
      <c r="Q16" s="51">
        <v>4.5199999999999996</v>
      </c>
    </row>
    <row r="17" spans="1:17" customFormat="1">
      <c r="A17" s="50" t="s">
        <v>592</v>
      </c>
      <c r="B17" s="51">
        <v>18.68</v>
      </c>
      <c r="C17" s="51">
        <v>25.41</v>
      </c>
      <c r="D17" s="51">
        <v>27.21</v>
      </c>
      <c r="E17" s="51">
        <v>6.37</v>
      </c>
      <c r="F17" s="51">
        <v>4.82</v>
      </c>
      <c r="G17" s="51">
        <v>1.5</v>
      </c>
      <c r="H17" s="51">
        <v>1.91</v>
      </c>
      <c r="I17" s="51">
        <v>3.19</v>
      </c>
      <c r="J17" s="51">
        <v>0.53</v>
      </c>
      <c r="K17" s="51">
        <v>260.11</v>
      </c>
      <c r="L17" s="51">
        <v>27.92</v>
      </c>
      <c r="M17" s="51">
        <v>90.48</v>
      </c>
      <c r="N17" s="51">
        <v>236.6</v>
      </c>
      <c r="O17" s="51">
        <v>0</v>
      </c>
      <c r="P17" s="51">
        <v>0.4</v>
      </c>
      <c r="Q17" s="51">
        <v>4.49</v>
      </c>
    </row>
    <row r="18" spans="1:17" customFormat="1">
      <c r="A18" s="50" t="s">
        <v>593</v>
      </c>
      <c r="B18" s="51">
        <v>18.03</v>
      </c>
      <c r="C18" s="51">
        <v>25.79</v>
      </c>
      <c r="D18" s="51">
        <v>26.89</v>
      </c>
      <c r="E18" s="51">
        <v>6.21</v>
      </c>
      <c r="F18" s="51">
        <v>5.62</v>
      </c>
      <c r="G18" s="51">
        <v>1.67</v>
      </c>
      <c r="H18" s="51">
        <v>1.38</v>
      </c>
      <c r="I18" s="51">
        <v>3.2</v>
      </c>
      <c r="J18" s="51">
        <v>0.27</v>
      </c>
      <c r="K18" s="51">
        <v>255.94</v>
      </c>
      <c r="L18" s="51">
        <v>28.22</v>
      </c>
      <c r="M18" s="51">
        <v>87.62</v>
      </c>
      <c r="N18" s="51">
        <v>194.2</v>
      </c>
      <c r="O18" s="51">
        <v>0</v>
      </c>
      <c r="P18" s="51">
        <v>0.39</v>
      </c>
      <c r="Q18" s="51">
        <v>4.47</v>
      </c>
    </row>
    <row r="19" spans="1:17" customFormat="1">
      <c r="A19" s="50" t="s">
        <v>594</v>
      </c>
      <c r="B19" s="51">
        <v>16.899999999999999</v>
      </c>
      <c r="C19" s="51">
        <v>24.12</v>
      </c>
      <c r="D19" s="51">
        <v>25.11</v>
      </c>
      <c r="E19" s="51">
        <v>5.83</v>
      </c>
      <c r="F19" s="51">
        <v>5.59</v>
      </c>
      <c r="G19" s="51">
        <v>5.14</v>
      </c>
      <c r="H19" s="51">
        <v>0.96</v>
      </c>
      <c r="I19" s="51">
        <v>3.09</v>
      </c>
      <c r="J19" s="51">
        <v>0.43</v>
      </c>
      <c r="K19" s="51">
        <v>253.83</v>
      </c>
      <c r="L19" s="51">
        <v>29.58</v>
      </c>
      <c r="M19" s="51">
        <v>86.89</v>
      </c>
      <c r="N19" s="51">
        <v>377.5</v>
      </c>
      <c r="O19" s="51">
        <v>0</v>
      </c>
      <c r="P19" s="51">
        <v>0.38</v>
      </c>
      <c r="Q19" s="51">
        <v>4.38</v>
      </c>
    </row>
    <row r="20" spans="1:17" customFormat="1">
      <c r="A20" s="50" t="s">
        <v>595</v>
      </c>
      <c r="B20" s="51">
        <v>15.59</v>
      </c>
      <c r="C20" s="51">
        <v>24.51</v>
      </c>
      <c r="D20" s="51">
        <v>24.27</v>
      </c>
      <c r="E20" s="51">
        <v>6.98</v>
      </c>
      <c r="F20" s="51">
        <v>6.89</v>
      </c>
      <c r="G20" s="51">
        <v>5.14</v>
      </c>
      <c r="H20" s="51">
        <v>0.84</v>
      </c>
      <c r="I20" s="51">
        <v>3.11</v>
      </c>
      <c r="J20" s="51">
        <v>0.49</v>
      </c>
      <c r="K20" s="51">
        <v>252.17</v>
      </c>
      <c r="L20" s="51">
        <v>30.04</v>
      </c>
      <c r="M20" s="51">
        <v>80.709999999999994</v>
      </c>
      <c r="N20" s="51">
        <v>364</v>
      </c>
      <c r="O20" s="51">
        <v>0</v>
      </c>
      <c r="P20" s="51">
        <v>0.39</v>
      </c>
      <c r="Q20" s="51">
        <v>4.3</v>
      </c>
    </row>
    <row r="21" spans="1:17" customFormat="1">
      <c r="A21" s="50" t="s">
        <v>596</v>
      </c>
      <c r="B21" s="51">
        <v>14.25</v>
      </c>
      <c r="C21" s="51">
        <v>21.9</v>
      </c>
      <c r="D21" s="51">
        <v>21.22</v>
      </c>
      <c r="E21" s="51">
        <v>6.15</v>
      </c>
      <c r="F21" s="51">
        <v>7.17</v>
      </c>
      <c r="G21" s="51">
        <v>7.02</v>
      </c>
      <c r="H21" s="51">
        <v>0.89</v>
      </c>
      <c r="I21" s="51">
        <v>2.97</v>
      </c>
      <c r="J21" s="51">
        <v>0.38</v>
      </c>
      <c r="K21" s="51">
        <v>246.98</v>
      </c>
      <c r="L21" s="51">
        <v>29.9</v>
      </c>
      <c r="M21" s="51">
        <v>80.03</v>
      </c>
      <c r="N21" s="51">
        <v>324.10000000000002</v>
      </c>
      <c r="O21" s="51">
        <v>0</v>
      </c>
      <c r="P21" s="51">
        <v>0.36</v>
      </c>
      <c r="Q21" s="51">
        <v>4.1500000000000004</v>
      </c>
    </row>
    <row r="22" spans="1:17" customFormat="1">
      <c r="A22" s="50" t="s">
        <v>597</v>
      </c>
      <c r="B22" s="51">
        <v>13.12</v>
      </c>
      <c r="C22" s="51">
        <v>22.7</v>
      </c>
      <c r="D22" s="51">
        <v>21.34</v>
      </c>
      <c r="E22" s="51">
        <v>6.05</v>
      </c>
      <c r="F22" s="51">
        <v>9.1</v>
      </c>
      <c r="G22" s="51">
        <v>7.02</v>
      </c>
      <c r="H22" s="51">
        <v>0.92</v>
      </c>
      <c r="I22" s="51">
        <v>2.95</v>
      </c>
      <c r="J22" s="51">
        <v>0.21</v>
      </c>
      <c r="K22" s="51">
        <v>294.35000000000002</v>
      </c>
      <c r="L22" s="51">
        <v>30.93</v>
      </c>
      <c r="M22" s="51">
        <v>79.31</v>
      </c>
      <c r="N22" s="51">
        <v>459.3</v>
      </c>
      <c r="O22" s="51">
        <v>0</v>
      </c>
      <c r="P22" s="51">
        <v>0.38</v>
      </c>
      <c r="Q22" s="51">
        <v>4.21</v>
      </c>
    </row>
    <row r="23" spans="1:17" customFormat="1">
      <c r="A23" s="50" t="s">
        <v>598</v>
      </c>
      <c r="B23" s="51">
        <v>12.31</v>
      </c>
      <c r="C23" s="51">
        <v>24.1</v>
      </c>
      <c r="D23" s="51">
        <v>21.33</v>
      </c>
      <c r="E23" s="51">
        <v>8.64</v>
      </c>
      <c r="F23" s="51">
        <v>9.64</v>
      </c>
      <c r="G23" s="51">
        <v>8.5299999999999994</v>
      </c>
      <c r="H23" s="51">
        <v>1.62</v>
      </c>
      <c r="I23" s="51">
        <v>3.02</v>
      </c>
      <c r="J23" s="51">
        <v>0.82</v>
      </c>
      <c r="K23" s="51">
        <v>34.64</v>
      </c>
      <c r="L23" s="51">
        <v>30.61</v>
      </c>
      <c r="M23" s="51">
        <v>82.49</v>
      </c>
      <c r="N23" s="51">
        <v>241.9</v>
      </c>
      <c r="O23" s="51">
        <v>0</v>
      </c>
      <c r="P23" s="51">
        <v>0.44</v>
      </c>
      <c r="Q23" s="51">
        <v>4.2</v>
      </c>
    </row>
    <row r="24" spans="1:17" customFormat="1">
      <c r="A24" s="50" t="s">
        <v>599</v>
      </c>
      <c r="B24" s="51">
        <v>12.59</v>
      </c>
      <c r="C24" s="51">
        <v>24.3</v>
      </c>
      <c r="D24" s="51">
        <v>21.75</v>
      </c>
      <c r="E24" s="51">
        <v>8.69</v>
      </c>
      <c r="F24" s="51">
        <v>10.19</v>
      </c>
      <c r="G24" s="51">
        <v>14.83</v>
      </c>
      <c r="H24" s="51">
        <v>3.85</v>
      </c>
      <c r="I24" s="51">
        <v>3.25</v>
      </c>
      <c r="J24" s="51">
        <v>0.78</v>
      </c>
      <c r="K24" s="51">
        <v>300.29000000000002</v>
      </c>
      <c r="L24" s="51">
        <v>29.43</v>
      </c>
      <c r="M24" s="51">
        <v>95.78</v>
      </c>
      <c r="N24" s="51">
        <v>100.6</v>
      </c>
      <c r="O24" s="51">
        <v>4.2</v>
      </c>
      <c r="P24" s="51">
        <v>0.44</v>
      </c>
      <c r="Q24" s="51">
        <v>4.13</v>
      </c>
    </row>
    <row r="25" spans="1:17" customFormat="1">
      <c r="A25" s="50" t="s">
        <v>600</v>
      </c>
      <c r="B25" s="51">
        <v>14.14</v>
      </c>
      <c r="C25" s="51">
        <v>25.33</v>
      </c>
      <c r="D25" s="51">
        <v>23.53</v>
      </c>
      <c r="E25" s="51">
        <v>6.58</v>
      </c>
      <c r="F25" s="51">
        <v>6.6</v>
      </c>
      <c r="G25" s="51">
        <v>16.239999999999998</v>
      </c>
      <c r="H25" s="51">
        <v>3.85</v>
      </c>
      <c r="I25" s="51">
        <v>3.29</v>
      </c>
      <c r="J25" s="51">
        <v>1.02</v>
      </c>
      <c r="K25" s="51">
        <v>338.81</v>
      </c>
      <c r="L25" s="51">
        <v>25.57</v>
      </c>
      <c r="M25" s="51">
        <v>98.71</v>
      </c>
      <c r="N25" s="51">
        <v>73.7</v>
      </c>
      <c r="O25" s="51">
        <v>3.2</v>
      </c>
      <c r="P25" s="51">
        <v>0.44</v>
      </c>
      <c r="Q25" s="51">
        <v>4.26</v>
      </c>
    </row>
    <row r="26" spans="1:17" customFormat="1">
      <c r="A26" s="50" t="s">
        <v>601</v>
      </c>
      <c r="B26" s="51">
        <v>14.95</v>
      </c>
      <c r="C26" s="51">
        <v>25.67</v>
      </c>
      <c r="D26" s="51">
        <v>23.99</v>
      </c>
      <c r="E26" s="51">
        <v>6.29</v>
      </c>
      <c r="F26" s="51">
        <v>5.18</v>
      </c>
      <c r="G26" s="51">
        <v>16.239999999999998</v>
      </c>
      <c r="H26" s="51">
        <v>3.65</v>
      </c>
      <c r="I26" s="51">
        <v>3.4</v>
      </c>
      <c r="J26" s="51">
        <v>0.66</v>
      </c>
      <c r="K26" s="51">
        <v>65.09</v>
      </c>
      <c r="L26" s="51">
        <v>25</v>
      </c>
      <c r="M26" s="51">
        <v>99.36</v>
      </c>
      <c r="N26" s="51">
        <v>20.2</v>
      </c>
      <c r="O26" s="51">
        <v>2.2000000000000002</v>
      </c>
      <c r="P26" s="51">
        <v>0.45</v>
      </c>
      <c r="Q26" s="51">
        <v>4.33</v>
      </c>
    </row>
    <row r="27" spans="1:17" customFormat="1">
      <c r="A27" s="50" t="s">
        <v>602</v>
      </c>
      <c r="B27" s="51">
        <v>15.43</v>
      </c>
      <c r="C27" s="51">
        <v>27.46</v>
      </c>
      <c r="D27" s="51">
        <v>25.54</v>
      </c>
      <c r="E27" s="51">
        <v>7.34</v>
      </c>
      <c r="F27" s="51">
        <v>5.81</v>
      </c>
      <c r="G27" s="51">
        <v>11.83</v>
      </c>
      <c r="H27" s="51">
        <v>3.65</v>
      </c>
      <c r="I27" s="51">
        <v>3.44</v>
      </c>
      <c r="J27" s="51">
        <v>0.2</v>
      </c>
      <c r="K27" s="51">
        <v>173.38</v>
      </c>
      <c r="L27" s="51">
        <v>25.55</v>
      </c>
      <c r="M27" s="51">
        <v>99.7</v>
      </c>
      <c r="N27" s="51">
        <v>28.3</v>
      </c>
      <c r="O27" s="51">
        <v>0.4</v>
      </c>
      <c r="P27" s="51">
        <v>0.48</v>
      </c>
      <c r="Q27" s="51">
        <v>4.3600000000000003</v>
      </c>
    </row>
    <row r="28" spans="1:17" customFormat="1">
      <c r="A28" s="50" t="s">
        <v>603</v>
      </c>
      <c r="B28" s="51">
        <v>15.8</v>
      </c>
      <c r="C28" s="51">
        <v>25.94</v>
      </c>
      <c r="D28" s="51">
        <v>25.17</v>
      </c>
      <c r="E28" s="51">
        <v>7.14</v>
      </c>
      <c r="F28" s="51">
        <v>4.8899999999999997</v>
      </c>
      <c r="G28" s="51">
        <v>8.6199999999999992</v>
      </c>
      <c r="H28" s="51">
        <v>3.72</v>
      </c>
      <c r="I28" s="51">
        <v>3.49</v>
      </c>
      <c r="J28" s="51">
        <v>0.17</v>
      </c>
      <c r="K28" s="51">
        <v>198.57</v>
      </c>
      <c r="L28" s="51">
        <v>25.82</v>
      </c>
      <c r="M28" s="51">
        <v>100</v>
      </c>
      <c r="N28" s="51">
        <v>0</v>
      </c>
      <c r="O28" s="51">
        <v>0</v>
      </c>
      <c r="P28" s="51">
        <v>0.5</v>
      </c>
      <c r="Q28" s="51">
        <v>4.42</v>
      </c>
    </row>
    <row r="29" spans="1:17" customFormat="1">
      <c r="A29" s="50" t="s">
        <v>604</v>
      </c>
      <c r="B29" s="51">
        <v>15.97</v>
      </c>
      <c r="C29" s="51">
        <v>25.75</v>
      </c>
      <c r="D29" s="51">
        <v>25.22</v>
      </c>
      <c r="E29" s="51">
        <v>7.48</v>
      </c>
      <c r="F29" s="51">
        <v>5.73</v>
      </c>
      <c r="G29" s="51">
        <v>8.69</v>
      </c>
      <c r="H29" s="51">
        <v>5.89</v>
      </c>
      <c r="I29" s="51">
        <v>3.53</v>
      </c>
      <c r="J29" s="51">
        <v>0.11</v>
      </c>
      <c r="K29" s="51">
        <v>247.29</v>
      </c>
      <c r="L29" s="51">
        <v>25.96</v>
      </c>
      <c r="M29" s="51">
        <v>100.46</v>
      </c>
      <c r="N29" s="51">
        <v>0</v>
      </c>
      <c r="O29" s="51">
        <v>0</v>
      </c>
      <c r="P29" s="51">
        <v>0.48</v>
      </c>
      <c r="Q29" s="51">
        <v>4.43</v>
      </c>
    </row>
    <row r="30" spans="1:17" customFormat="1">
      <c r="A30" s="50" t="s">
        <v>605</v>
      </c>
      <c r="B30" s="51">
        <v>16.72</v>
      </c>
      <c r="C30" s="51">
        <v>26.54</v>
      </c>
      <c r="D30" s="51">
        <v>26.23</v>
      </c>
      <c r="E30" s="51">
        <v>7.7</v>
      </c>
      <c r="F30" s="51">
        <v>5.78</v>
      </c>
      <c r="G30" s="51">
        <v>11.31</v>
      </c>
      <c r="H30" s="51">
        <v>5.89</v>
      </c>
      <c r="I30" s="51">
        <v>3.49</v>
      </c>
      <c r="J30" s="51">
        <v>0.11</v>
      </c>
      <c r="K30" s="51">
        <v>185.28</v>
      </c>
      <c r="L30" s="51">
        <v>26.05</v>
      </c>
      <c r="M30" s="51">
        <v>102.72</v>
      </c>
      <c r="N30" s="51">
        <v>0</v>
      </c>
      <c r="O30" s="51">
        <v>0</v>
      </c>
      <c r="P30" s="51">
        <v>0.5</v>
      </c>
      <c r="Q30" s="51">
        <v>4.47</v>
      </c>
    </row>
    <row r="31" spans="1:17" customFormat="1">
      <c r="A31" s="50" t="s">
        <v>606</v>
      </c>
      <c r="B31" s="51">
        <v>16.829999999999998</v>
      </c>
      <c r="C31" s="51">
        <v>25.68</v>
      </c>
      <c r="D31" s="51">
        <v>25.87</v>
      </c>
      <c r="E31" s="51">
        <v>7.66</v>
      </c>
      <c r="F31" s="51">
        <v>6.51</v>
      </c>
      <c r="G31" s="51">
        <v>11.63</v>
      </c>
      <c r="H31" s="51">
        <v>4.6399999999999997</v>
      </c>
      <c r="I31" s="51">
        <v>3.56</v>
      </c>
      <c r="J31" s="51">
        <v>0.12</v>
      </c>
      <c r="K31" s="51">
        <v>199.25</v>
      </c>
      <c r="L31" s="51">
        <v>25.89</v>
      </c>
      <c r="M31" s="51">
        <v>100.44</v>
      </c>
      <c r="N31" s="51">
        <v>0</v>
      </c>
      <c r="O31" s="51">
        <v>0</v>
      </c>
      <c r="P31" s="51">
        <v>0.49</v>
      </c>
      <c r="Q31" s="51">
        <v>4.4400000000000004</v>
      </c>
    </row>
    <row r="32" spans="1:17" customFormat="1">
      <c r="A32" s="50" t="s">
        <v>607</v>
      </c>
      <c r="B32" s="51">
        <v>16.89</v>
      </c>
      <c r="C32" s="51">
        <v>24.81</v>
      </c>
      <c r="D32" s="51">
        <v>25.46</v>
      </c>
      <c r="E32" s="51">
        <v>7.59</v>
      </c>
      <c r="F32" s="51">
        <v>5.5</v>
      </c>
      <c r="G32" s="51">
        <v>11.63</v>
      </c>
      <c r="H32" s="51">
        <v>4.6399999999999997</v>
      </c>
      <c r="I32" s="51">
        <v>3.49</v>
      </c>
      <c r="J32" s="51">
        <v>0.08</v>
      </c>
      <c r="K32" s="51">
        <v>244.2</v>
      </c>
      <c r="L32" s="51">
        <v>25.74</v>
      </c>
      <c r="M32" s="51">
        <v>100.23</v>
      </c>
      <c r="N32" s="51">
        <v>0</v>
      </c>
      <c r="O32" s="51">
        <v>0</v>
      </c>
      <c r="P32" s="51">
        <v>0.48</v>
      </c>
      <c r="Q32" s="51">
        <v>4.47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12.31</v>
      </c>
      <c r="C34" s="41">
        <f t="shared" si="0"/>
        <v>21.9</v>
      </c>
      <c r="D34" s="41">
        <f t="shared" si="0"/>
        <v>21.22</v>
      </c>
      <c r="E34" s="41">
        <f t="shared" si="0"/>
        <v>5.83</v>
      </c>
      <c r="F34" s="41">
        <f t="shared" si="0"/>
        <v>4.82</v>
      </c>
      <c r="G34" s="41">
        <f t="shared" si="0"/>
        <v>1.18</v>
      </c>
      <c r="H34" s="41">
        <f t="shared" si="0"/>
        <v>0.84</v>
      </c>
      <c r="I34" s="41">
        <f t="shared" si="0"/>
        <v>2.95</v>
      </c>
      <c r="J34" s="41">
        <f t="shared" si="0"/>
        <v>0.08</v>
      </c>
      <c r="K34" s="41">
        <f t="shared" si="0"/>
        <v>34.64</v>
      </c>
      <c r="L34" s="41">
        <f t="shared" si="0"/>
        <v>25</v>
      </c>
      <c r="M34" s="41">
        <f t="shared" si="0"/>
        <v>79.31</v>
      </c>
      <c r="N34" s="41">
        <f t="shared" si="0"/>
        <v>0</v>
      </c>
      <c r="O34" s="41">
        <f t="shared" si="0"/>
        <v>0</v>
      </c>
      <c r="P34" s="41">
        <f t="shared" si="0"/>
        <v>0.36</v>
      </c>
      <c r="Q34" s="41">
        <f t="shared" si="0"/>
        <v>4.13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18.68</v>
      </c>
      <c r="C35" s="33">
        <f t="shared" si="1"/>
        <v>27.46</v>
      </c>
      <c r="D35" s="33">
        <f t="shared" si="1"/>
        <v>27.21</v>
      </c>
      <c r="E35" s="33">
        <f t="shared" si="1"/>
        <v>8.69</v>
      </c>
      <c r="F35" s="33">
        <f t="shared" si="1"/>
        <v>10.19</v>
      </c>
      <c r="G35" s="33">
        <f t="shared" si="1"/>
        <v>16.239999999999998</v>
      </c>
      <c r="H35" s="33">
        <f t="shared" si="1"/>
        <v>5.89</v>
      </c>
      <c r="I35" s="33">
        <f t="shared" si="1"/>
        <v>3.56</v>
      </c>
      <c r="J35" s="33">
        <f t="shared" si="1"/>
        <v>1.02</v>
      </c>
      <c r="K35" s="33">
        <f t="shared" si="1"/>
        <v>338.81</v>
      </c>
      <c r="L35" s="33">
        <f t="shared" si="1"/>
        <v>30.93</v>
      </c>
      <c r="M35" s="33">
        <f t="shared" si="1"/>
        <v>102.72</v>
      </c>
      <c r="N35" s="33">
        <f t="shared" si="1"/>
        <v>459.3</v>
      </c>
      <c r="O35" s="33">
        <f t="shared" si="1"/>
        <v>4.2</v>
      </c>
      <c r="P35" s="33">
        <f t="shared" si="1"/>
        <v>0.5</v>
      </c>
      <c r="Q35" s="33">
        <f t="shared" si="1"/>
        <v>4.54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16.094583333333336</v>
      </c>
      <c r="C36" s="41">
        <f t="shared" si="2"/>
        <v>25.029166666666658</v>
      </c>
      <c r="D36" s="41">
        <f t="shared" si="2"/>
        <v>24.89</v>
      </c>
      <c r="E36" s="41">
        <f t="shared" si="2"/>
        <v>6.9304166666666651</v>
      </c>
      <c r="F36" s="41">
        <f t="shared" si="2"/>
        <v>6.2883333333333331</v>
      </c>
      <c r="G36" s="41">
        <f t="shared" si="2"/>
        <v>6.9016666666666664</v>
      </c>
      <c r="H36" s="41">
        <f t="shared" si="2"/>
        <v>2.8141666666666669</v>
      </c>
      <c r="I36" s="41">
        <f t="shared" si="2"/>
        <v>3.2754166666666666</v>
      </c>
      <c r="J36" s="41">
        <f t="shared" si="2"/>
        <v>0.32416666666666671</v>
      </c>
      <c r="K36" s="41">
        <f t="shared" si="2"/>
        <v>222.3495833333333</v>
      </c>
      <c r="L36" s="41">
        <f t="shared" si="2"/>
        <v>27.162916666666671</v>
      </c>
      <c r="M36" s="41">
        <f t="shared" si="2"/>
        <v>94.847916666666663</v>
      </c>
      <c r="N36" s="41">
        <f t="shared" si="2"/>
        <v>109.02083333333333</v>
      </c>
      <c r="O36" s="41">
        <f t="shared" si="2"/>
        <v>0.41666666666666674</v>
      </c>
      <c r="P36" s="41">
        <f t="shared" si="2"/>
        <v>0.4308333333333334</v>
      </c>
      <c r="Q36" s="41">
        <f t="shared" si="2"/>
        <v>4.388749999999999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1.76461839492567</v>
      </c>
      <c r="C37" s="41">
        <f t="shared" ref="C37:Q37" si="3">STDEV(C9:C32)</f>
        <v>1.1902316788237552</v>
      </c>
      <c r="D37" s="41">
        <f t="shared" si="3"/>
        <v>1.8191182766240948</v>
      </c>
      <c r="E37" s="41">
        <f t="shared" si="3"/>
        <v>0.78709415583204356</v>
      </c>
      <c r="F37" s="41">
        <f t="shared" si="3"/>
        <v>1.4516726983684762</v>
      </c>
      <c r="G37" s="41">
        <f t="shared" si="3"/>
        <v>5.0129759161831098</v>
      </c>
      <c r="H37" s="41">
        <f t="shared" si="3"/>
        <v>1.5461337943868003</v>
      </c>
      <c r="I37" s="41">
        <f t="shared" si="3"/>
        <v>0.18572956419077191</v>
      </c>
      <c r="J37" s="41">
        <f t="shared" si="3"/>
        <v>0.26211376001348308</v>
      </c>
      <c r="K37" s="41">
        <f t="shared" si="3"/>
        <v>66.06261683658262</v>
      </c>
      <c r="L37" s="41">
        <f t="shared" si="3"/>
        <v>1.8795107577253614</v>
      </c>
      <c r="M37" s="41">
        <f t="shared" si="3"/>
        <v>7.6215746285686619</v>
      </c>
      <c r="N37" s="41">
        <f t="shared" si="3"/>
        <v>146.76619080868983</v>
      </c>
      <c r="O37" s="41">
        <f t="shared" si="3"/>
        <v>1.1173208120774665</v>
      </c>
      <c r="P37" s="41">
        <f t="shared" si="3"/>
        <v>4.1274970483402403E-2</v>
      </c>
      <c r="Q37" s="41">
        <f t="shared" si="3"/>
        <v>0.1199750879938693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24/07/2023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608</v>
      </c>
      <c r="B9" s="51">
        <v>17.34</v>
      </c>
      <c r="C9" s="51">
        <v>28.69</v>
      </c>
      <c r="D9" s="51">
        <v>27.71</v>
      </c>
      <c r="E9" s="51">
        <v>8.1199999999999992</v>
      </c>
      <c r="F9" s="51">
        <v>5.0599999999999996</v>
      </c>
      <c r="G9" s="51">
        <v>9.59</v>
      </c>
      <c r="H9" s="51">
        <v>3.54</v>
      </c>
      <c r="I9" s="51">
        <v>3.67</v>
      </c>
      <c r="J9" s="51">
        <v>0.12</v>
      </c>
      <c r="K9" s="51">
        <v>235.23</v>
      </c>
      <c r="L9" s="51">
        <v>25.9</v>
      </c>
      <c r="M9" s="51">
        <v>98.78</v>
      </c>
      <c r="N9" s="51">
        <v>0</v>
      </c>
      <c r="O9" s="51">
        <v>0</v>
      </c>
      <c r="P9" s="51">
        <v>0.49</v>
      </c>
      <c r="Q9" s="51">
        <v>4.51</v>
      </c>
    </row>
    <row r="10" spans="1:21" customFormat="1">
      <c r="A10" s="50" t="s">
        <v>609</v>
      </c>
      <c r="B10" s="51">
        <v>17.34</v>
      </c>
      <c r="C10" s="51">
        <v>25.81</v>
      </c>
      <c r="D10" s="51">
        <v>26.34</v>
      </c>
      <c r="E10" s="51">
        <v>7.99</v>
      </c>
      <c r="F10" s="51">
        <v>5.16</v>
      </c>
      <c r="G10" s="51">
        <v>10.68</v>
      </c>
      <c r="H10" s="51">
        <v>2.5099999999999998</v>
      </c>
      <c r="I10" s="51">
        <v>3.48</v>
      </c>
      <c r="J10" s="51">
        <v>0.16</v>
      </c>
      <c r="K10" s="51">
        <v>253.24</v>
      </c>
      <c r="L10" s="51">
        <v>25.92</v>
      </c>
      <c r="M10" s="51">
        <v>98.97</v>
      </c>
      <c r="N10" s="51">
        <v>0</v>
      </c>
      <c r="O10" s="51">
        <v>0</v>
      </c>
      <c r="P10" s="51">
        <v>0.48</v>
      </c>
      <c r="Q10" s="51">
        <v>4.5199999999999996</v>
      </c>
    </row>
    <row r="11" spans="1:21" customFormat="1">
      <c r="A11" s="50" t="s">
        <v>610</v>
      </c>
      <c r="B11" s="51">
        <v>17.29</v>
      </c>
      <c r="C11" s="51">
        <v>24.55</v>
      </c>
      <c r="D11" s="51">
        <v>25.65</v>
      </c>
      <c r="E11" s="51">
        <v>6.84</v>
      </c>
      <c r="F11" s="51">
        <v>5.31</v>
      </c>
      <c r="G11" s="51">
        <v>10.68</v>
      </c>
      <c r="H11" s="51">
        <v>2.08</v>
      </c>
      <c r="I11" s="51">
        <v>3.49</v>
      </c>
      <c r="J11" s="51">
        <v>0.09</v>
      </c>
      <c r="K11" s="51">
        <v>203.26</v>
      </c>
      <c r="L11" s="51">
        <v>25.96</v>
      </c>
      <c r="M11" s="51">
        <v>99.26</v>
      </c>
      <c r="N11" s="51">
        <v>0</v>
      </c>
      <c r="O11" s="51">
        <v>0</v>
      </c>
      <c r="P11" s="51">
        <v>0.47</v>
      </c>
      <c r="Q11" s="51">
        <v>4.55</v>
      </c>
    </row>
    <row r="12" spans="1:21" customFormat="1">
      <c r="A12" s="50" t="s">
        <v>611</v>
      </c>
      <c r="B12" s="51">
        <v>17.600000000000001</v>
      </c>
      <c r="C12" s="51">
        <v>24.07</v>
      </c>
      <c r="D12" s="51">
        <v>25.65</v>
      </c>
      <c r="E12" s="51">
        <v>6.33</v>
      </c>
      <c r="F12" s="51">
        <v>5.16</v>
      </c>
      <c r="G12" s="51">
        <v>10.64</v>
      </c>
      <c r="H12" s="51">
        <v>3.32</v>
      </c>
      <c r="I12" s="51">
        <v>3.38</v>
      </c>
      <c r="J12" s="51">
        <v>0.1</v>
      </c>
      <c r="K12" s="51">
        <v>228.45</v>
      </c>
      <c r="L12" s="51">
        <v>25.72</v>
      </c>
      <c r="M12" s="51">
        <v>99.37</v>
      </c>
      <c r="N12" s="51">
        <v>0</v>
      </c>
      <c r="O12" s="51">
        <v>0</v>
      </c>
      <c r="P12" s="51">
        <v>0.45</v>
      </c>
      <c r="Q12" s="51">
        <v>4.5199999999999996</v>
      </c>
    </row>
    <row r="13" spans="1:21" customFormat="1">
      <c r="A13" s="50" t="s">
        <v>612</v>
      </c>
      <c r="B13" s="51">
        <v>18.86</v>
      </c>
      <c r="C13" s="51">
        <v>26.06</v>
      </c>
      <c r="D13" s="51">
        <v>27.53</v>
      </c>
      <c r="E13" s="51">
        <v>6.9</v>
      </c>
      <c r="F13" s="51">
        <v>4.54</v>
      </c>
      <c r="G13" s="51">
        <v>12.65</v>
      </c>
      <c r="H13" s="51">
        <v>3.32</v>
      </c>
      <c r="I13" s="51">
        <v>3.39</v>
      </c>
      <c r="J13" s="51">
        <v>0.17</v>
      </c>
      <c r="K13" s="51">
        <v>195.73</v>
      </c>
      <c r="L13" s="51">
        <v>25.61</v>
      </c>
      <c r="M13" s="51">
        <v>99.5</v>
      </c>
      <c r="N13" s="51">
        <v>0</v>
      </c>
      <c r="O13" s="51">
        <v>0</v>
      </c>
      <c r="P13" s="51">
        <v>0.46</v>
      </c>
      <c r="Q13" s="51">
        <v>4.53</v>
      </c>
    </row>
    <row r="14" spans="1:21" customFormat="1">
      <c r="A14" s="50" t="s">
        <v>613</v>
      </c>
      <c r="B14" s="51">
        <v>20.89</v>
      </c>
      <c r="C14" s="51">
        <v>27.15</v>
      </c>
      <c r="D14" s="51">
        <v>29.46</v>
      </c>
      <c r="E14" s="51">
        <v>6.43</v>
      </c>
      <c r="F14" s="51">
        <v>3.27</v>
      </c>
      <c r="G14" s="51">
        <v>15.24</v>
      </c>
      <c r="H14" s="51">
        <v>3.51</v>
      </c>
      <c r="I14" s="51">
        <v>3.49</v>
      </c>
      <c r="J14" s="51">
        <v>0.16</v>
      </c>
      <c r="K14" s="51">
        <v>239.88</v>
      </c>
      <c r="L14" s="51">
        <v>25.62</v>
      </c>
      <c r="M14" s="51">
        <v>100.61</v>
      </c>
      <c r="N14" s="51">
        <v>18.8</v>
      </c>
      <c r="O14" s="51">
        <v>0</v>
      </c>
      <c r="P14" s="51">
        <v>0.47</v>
      </c>
      <c r="Q14" s="51">
        <v>4.67</v>
      </c>
    </row>
    <row r="15" spans="1:21" customFormat="1">
      <c r="A15" s="50" t="s">
        <v>614</v>
      </c>
      <c r="B15" s="51">
        <v>20.32</v>
      </c>
      <c r="C15" s="51">
        <v>25.11</v>
      </c>
      <c r="D15" s="51">
        <v>28.37</v>
      </c>
      <c r="E15" s="51">
        <v>6.09</v>
      </c>
      <c r="F15" s="51">
        <v>4.32</v>
      </c>
      <c r="G15" s="51">
        <v>15.24</v>
      </c>
      <c r="H15" s="51">
        <v>5.09</v>
      </c>
      <c r="I15" s="51">
        <v>3.37</v>
      </c>
      <c r="J15" s="51">
        <v>0.19</v>
      </c>
      <c r="K15" s="51">
        <v>256.68</v>
      </c>
      <c r="L15" s="51">
        <v>26.52</v>
      </c>
      <c r="M15" s="51">
        <v>100.28</v>
      </c>
      <c r="N15" s="51">
        <v>67.8</v>
      </c>
      <c r="O15" s="51">
        <v>0</v>
      </c>
      <c r="P15" s="51">
        <v>0.45</v>
      </c>
      <c r="Q15" s="51">
        <v>4.71</v>
      </c>
    </row>
    <row r="16" spans="1:21" customFormat="1">
      <c r="A16" s="50" t="s">
        <v>615</v>
      </c>
      <c r="B16" s="51">
        <v>20.420000000000002</v>
      </c>
      <c r="C16" s="51">
        <v>25.2</v>
      </c>
      <c r="D16" s="51">
        <v>28.5</v>
      </c>
      <c r="E16" s="51">
        <v>6.52</v>
      </c>
      <c r="F16" s="51">
        <v>5.0599999999999996</v>
      </c>
      <c r="G16" s="51">
        <v>11.25</v>
      </c>
      <c r="H16" s="51">
        <v>5.09</v>
      </c>
      <c r="I16" s="51">
        <v>3.43</v>
      </c>
      <c r="J16" s="51">
        <v>0.27</v>
      </c>
      <c r="K16" s="51">
        <v>256.35000000000002</v>
      </c>
      <c r="L16" s="51">
        <v>26.95</v>
      </c>
      <c r="M16" s="51">
        <v>99.88</v>
      </c>
      <c r="N16" s="51">
        <v>167.5</v>
      </c>
      <c r="O16" s="51">
        <v>0</v>
      </c>
      <c r="P16" s="51">
        <v>0.44</v>
      </c>
      <c r="Q16" s="51">
        <v>4.6900000000000004</v>
      </c>
    </row>
    <row r="17" spans="1:17" customFormat="1">
      <c r="A17" s="50" t="s">
        <v>616</v>
      </c>
      <c r="B17" s="51">
        <v>20.65</v>
      </c>
      <c r="C17" s="51">
        <v>25.88</v>
      </c>
      <c r="D17" s="51">
        <v>29.04</v>
      </c>
      <c r="E17" s="51">
        <v>6.77</v>
      </c>
      <c r="F17" s="51">
        <v>4.57</v>
      </c>
      <c r="G17" s="51">
        <v>13.78</v>
      </c>
      <c r="H17" s="51">
        <v>3.9</v>
      </c>
      <c r="I17" s="51">
        <v>3.48</v>
      </c>
      <c r="J17" s="51">
        <v>0.33</v>
      </c>
      <c r="K17" s="51">
        <v>250.4</v>
      </c>
      <c r="L17" s="51">
        <v>27.71</v>
      </c>
      <c r="M17" s="51">
        <v>97.61</v>
      </c>
      <c r="N17" s="51">
        <v>191.3</v>
      </c>
      <c r="O17" s="51">
        <v>0</v>
      </c>
      <c r="P17" s="51">
        <v>0.45</v>
      </c>
      <c r="Q17" s="51">
        <v>4.67</v>
      </c>
    </row>
    <row r="18" spans="1:17" customFormat="1">
      <c r="A18" s="50" t="s">
        <v>617</v>
      </c>
      <c r="B18" s="51">
        <v>20</v>
      </c>
      <c r="C18" s="51">
        <v>23.9</v>
      </c>
      <c r="D18" s="51">
        <v>27.48</v>
      </c>
      <c r="E18" s="51">
        <v>6.34</v>
      </c>
      <c r="F18" s="51">
        <v>5.14</v>
      </c>
      <c r="G18" s="51">
        <v>13.78</v>
      </c>
      <c r="H18" s="51">
        <v>5.4</v>
      </c>
      <c r="I18" s="51">
        <v>3.49</v>
      </c>
      <c r="J18" s="51">
        <v>0.43</v>
      </c>
      <c r="K18" s="51">
        <v>283.58999999999997</v>
      </c>
      <c r="L18" s="51">
        <v>29.35</v>
      </c>
      <c r="M18" s="51">
        <v>88.1</v>
      </c>
      <c r="N18" s="51">
        <v>325.10000000000002</v>
      </c>
      <c r="O18" s="51">
        <v>0</v>
      </c>
      <c r="P18" s="51">
        <v>0.43</v>
      </c>
      <c r="Q18" s="51">
        <v>4.6399999999999997</v>
      </c>
    </row>
    <row r="19" spans="1:17" customFormat="1">
      <c r="A19" s="50" t="s">
        <v>618</v>
      </c>
      <c r="B19" s="51">
        <v>17.71</v>
      </c>
      <c r="C19" s="51">
        <v>24.1</v>
      </c>
      <c r="D19" s="51">
        <v>25.75</v>
      </c>
      <c r="E19" s="51">
        <v>7.68</v>
      </c>
      <c r="F19" s="51">
        <v>6.43</v>
      </c>
      <c r="G19" s="51">
        <v>17.46</v>
      </c>
      <c r="H19" s="51">
        <v>5.4</v>
      </c>
      <c r="I19" s="51">
        <v>3.44</v>
      </c>
      <c r="J19" s="51">
        <v>0.6</v>
      </c>
      <c r="K19" s="51">
        <v>349.98</v>
      </c>
      <c r="L19" s="51">
        <v>31.26</v>
      </c>
      <c r="M19" s="51">
        <v>81.349999999999994</v>
      </c>
      <c r="N19" s="51">
        <v>332.9</v>
      </c>
      <c r="O19" s="51">
        <v>0</v>
      </c>
      <c r="P19" s="51">
        <v>0.46</v>
      </c>
      <c r="Q19" s="51">
        <v>4.51</v>
      </c>
    </row>
    <row r="20" spans="1:17" customFormat="1">
      <c r="A20" s="50" t="s">
        <v>619</v>
      </c>
      <c r="B20" s="51">
        <v>16.54</v>
      </c>
      <c r="C20" s="51">
        <v>24.43</v>
      </c>
      <c r="D20" s="51">
        <v>23.61</v>
      </c>
      <c r="E20" s="51">
        <v>7.7</v>
      </c>
      <c r="F20" s="51">
        <v>10.3</v>
      </c>
      <c r="G20" s="51">
        <v>18.350000000000001</v>
      </c>
      <c r="H20" s="51">
        <v>8.2100000000000009</v>
      </c>
      <c r="I20" s="51">
        <v>3.46</v>
      </c>
      <c r="J20" s="51">
        <v>0.7</v>
      </c>
      <c r="K20" s="51">
        <v>33.119999999999997</v>
      </c>
      <c r="L20" s="51">
        <v>31.67</v>
      </c>
      <c r="M20" s="51">
        <v>76.900000000000006</v>
      </c>
      <c r="N20" s="51">
        <v>740.1</v>
      </c>
      <c r="O20" s="51">
        <v>0</v>
      </c>
      <c r="P20" s="51">
        <v>0.49</v>
      </c>
      <c r="Q20" s="51">
        <v>4.3899999999999997</v>
      </c>
    </row>
    <row r="21" spans="1:17" customFormat="1">
      <c r="A21" s="50" t="s">
        <v>620</v>
      </c>
      <c r="B21" s="51">
        <v>14.03</v>
      </c>
      <c r="C21" s="51">
        <v>24.17</v>
      </c>
      <c r="D21" s="51">
        <v>22.83</v>
      </c>
      <c r="E21" s="51">
        <v>8.23</v>
      </c>
      <c r="F21" s="51">
        <v>11.56</v>
      </c>
      <c r="G21" s="51">
        <v>19.7</v>
      </c>
      <c r="H21" s="51">
        <v>8.2100000000000009</v>
      </c>
      <c r="I21" s="51">
        <v>3.63</v>
      </c>
      <c r="J21" s="51">
        <v>0.65</v>
      </c>
      <c r="K21" s="51">
        <v>88.4</v>
      </c>
      <c r="L21" s="51">
        <v>32.729999999999997</v>
      </c>
      <c r="M21" s="51">
        <v>72.02</v>
      </c>
      <c r="N21" s="51">
        <v>904.8</v>
      </c>
      <c r="O21" s="51">
        <v>0</v>
      </c>
      <c r="P21" s="51">
        <v>0.48</v>
      </c>
      <c r="Q21" s="51">
        <v>4.3499999999999996</v>
      </c>
    </row>
    <row r="22" spans="1:17" customFormat="1">
      <c r="A22" s="50" t="s">
        <v>621</v>
      </c>
      <c r="B22" s="51">
        <v>11.52</v>
      </c>
      <c r="C22" s="51">
        <v>24.15</v>
      </c>
      <c r="D22" s="51">
        <v>20.49</v>
      </c>
      <c r="E22" s="51">
        <v>9.91</v>
      </c>
      <c r="F22" s="51">
        <v>11.75</v>
      </c>
      <c r="G22" s="51">
        <v>24.23</v>
      </c>
      <c r="H22" s="51">
        <v>8.52</v>
      </c>
      <c r="I22" s="51">
        <v>3.72</v>
      </c>
      <c r="J22" s="51">
        <v>1.76</v>
      </c>
      <c r="K22" s="51">
        <v>60.77</v>
      </c>
      <c r="L22" s="51">
        <v>32.840000000000003</v>
      </c>
      <c r="M22" s="51">
        <v>96.25</v>
      </c>
      <c r="N22" s="51">
        <v>738.9</v>
      </c>
      <c r="O22" s="51">
        <v>3.8</v>
      </c>
      <c r="P22" s="51">
        <v>0.49</v>
      </c>
      <c r="Q22" s="51">
        <v>4.21</v>
      </c>
    </row>
    <row r="23" spans="1:17" customFormat="1">
      <c r="A23" s="50" t="s">
        <v>622</v>
      </c>
      <c r="B23" s="51">
        <v>10.52</v>
      </c>
      <c r="C23" s="51">
        <v>27.06</v>
      </c>
      <c r="D23" s="51">
        <v>21.33</v>
      </c>
      <c r="E23" s="51">
        <v>6.46</v>
      </c>
      <c r="F23" s="51">
        <v>4.82</v>
      </c>
      <c r="G23" s="51">
        <v>24.23</v>
      </c>
      <c r="H23" s="51">
        <v>8.52</v>
      </c>
      <c r="I23" s="51">
        <v>3.78</v>
      </c>
      <c r="J23" s="51">
        <v>0.38</v>
      </c>
      <c r="K23" s="51">
        <v>167.21</v>
      </c>
      <c r="L23" s="51">
        <v>25.5</v>
      </c>
      <c r="M23" s="51">
        <v>100.74</v>
      </c>
      <c r="N23" s="51">
        <v>80.3</v>
      </c>
      <c r="O23" s="51">
        <v>2.2000000000000002</v>
      </c>
      <c r="P23" s="51">
        <v>0.49</v>
      </c>
      <c r="Q23" s="51">
        <v>4.16</v>
      </c>
    </row>
    <row r="24" spans="1:17" customFormat="1">
      <c r="A24" s="50" t="s">
        <v>623</v>
      </c>
      <c r="B24" s="51">
        <v>11.16</v>
      </c>
      <c r="C24" s="51">
        <v>26.63</v>
      </c>
      <c r="D24" s="51">
        <v>21.82</v>
      </c>
      <c r="E24" s="51">
        <v>6.62</v>
      </c>
      <c r="F24" s="51">
        <v>6.56</v>
      </c>
      <c r="G24" s="51">
        <v>20.92</v>
      </c>
      <c r="H24" s="51">
        <v>8.35</v>
      </c>
      <c r="I24" s="51">
        <v>3.72</v>
      </c>
      <c r="J24" s="51">
        <v>0.42</v>
      </c>
      <c r="K24" s="51">
        <v>176.43</v>
      </c>
      <c r="L24" s="51">
        <v>27.32</v>
      </c>
      <c r="M24" s="51">
        <v>102.01</v>
      </c>
      <c r="N24" s="51">
        <v>287.7</v>
      </c>
      <c r="O24" s="51">
        <v>0</v>
      </c>
      <c r="P24" s="51">
        <v>0.5</v>
      </c>
      <c r="Q24" s="51">
        <v>4.21</v>
      </c>
    </row>
    <row r="25" spans="1:17" customFormat="1">
      <c r="A25" s="50" t="s">
        <v>624</v>
      </c>
      <c r="B25" s="51">
        <v>12.75</v>
      </c>
      <c r="C25" s="51">
        <v>26.5</v>
      </c>
      <c r="D25" s="51">
        <v>22.45</v>
      </c>
      <c r="E25" s="51">
        <v>12.87</v>
      </c>
      <c r="F25" s="51">
        <v>7.77</v>
      </c>
      <c r="G25" s="51">
        <v>19.079999999999998</v>
      </c>
      <c r="H25" s="51">
        <v>8.35</v>
      </c>
      <c r="I25" s="51">
        <v>3.71</v>
      </c>
      <c r="J25" s="51">
        <v>0.32</v>
      </c>
      <c r="K25" s="51">
        <v>141.43</v>
      </c>
      <c r="L25" s="51">
        <v>28.36</v>
      </c>
      <c r="M25" s="51">
        <v>95.99</v>
      </c>
      <c r="N25" s="51">
        <v>195.6</v>
      </c>
      <c r="O25" s="51">
        <v>0</v>
      </c>
      <c r="P25" s="51">
        <v>0.53</v>
      </c>
      <c r="Q25" s="51">
        <v>4.21</v>
      </c>
    </row>
    <row r="26" spans="1:17" customFormat="1">
      <c r="A26" s="50" t="s">
        <v>625</v>
      </c>
      <c r="B26" s="51">
        <v>13.43</v>
      </c>
      <c r="C26" s="51">
        <v>26.7</v>
      </c>
      <c r="D26" s="51">
        <v>23.51</v>
      </c>
      <c r="E26" s="51">
        <v>18.73</v>
      </c>
      <c r="F26" s="51">
        <v>7.64</v>
      </c>
      <c r="G26" s="51">
        <v>23.8</v>
      </c>
      <c r="H26" s="51">
        <v>6.07</v>
      </c>
      <c r="I26" s="51">
        <v>4.1100000000000003</v>
      </c>
      <c r="J26" s="51">
        <v>0.28000000000000003</v>
      </c>
      <c r="K26" s="51">
        <v>163.53</v>
      </c>
      <c r="L26" s="51">
        <v>28.64</v>
      </c>
      <c r="M26" s="51">
        <v>89.97</v>
      </c>
      <c r="N26" s="51">
        <v>87.7</v>
      </c>
      <c r="O26" s="51">
        <v>0</v>
      </c>
      <c r="P26" s="51">
        <v>0.54</v>
      </c>
      <c r="Q26" s="51">
        <v>4.3600000000000003</v>
      </c>
    </row>
    <row r="27" spans="1:17" customFormat="1">
      <c r="A27" s="50" t="s">
        <v>626</v>
      </c>
      <c r="B27" s="51">
        <v>12.51</v>
      </c>
      <c r="C27" s="51">
        <v>24.45</v>
      </c>
      <c r="D27" s="51">
        <v>21.76</v>
      </c>
      <c r="E27" s="51">
        <v>8.2799999999999994</v>
      </c>
      <c r="F27" s="51">
        <v>9.75</v>
      </c>
      <c r="G27" s="51">
        <v>23.8</v>
      </c>
      <c r="H27" s="51">
        <v>4.5</v>
      </c>
      <c r="I27" s="51">
        <v>3.93</v>
      </c>
      <c r="J27" s="51">
        <v>0.15</v>
      </c>
      <c r="K27" s="51">
        <v>208.92</v>
      </c>
      <c r="L27" s="51">
        <v>28.2</v>
      </c>
      <c r="M27" s="51">
        <v>91.49</v>
      </c>
      <c r="N27" s="51">
        <v>25.5</v>
      </c>
      <c r="O27" s="51">
        <v>0</v>
      </c>
      <c r="P27" s="51">
        <v>0.52</v>
      </c>
      <c r="Q27" s="51">
        <v>4.3099999999999996</v>
      </c>
    </row>
    <row r="28" spans="1:17" customFormat="1">
      <c r="A28" s="50" t="s">
        <v>627</v>
      </c>
      <c r="B28" s="51">
        <v>12.89</v>
      </c>
      <c r="C28" s="51">
        <v>24.17</v>
      </c>
      <c r="D28" s="51">
        <v>21.92</v>
      </c>
      <c r="E28" s="51">
        <v>6.88</v>
      </c>
      <c r="F28" s="51">
        <v>10.24</v>
      </c>
      <c r="G28" s="51">
        <v>18.260000000000002</v>
      </c>
      <c r="H28" s="51">
        <v>3.4</v>
      </c>
      <c r="I28" s="51">
        <v>3.82</v>
      </c>
      <c r="J28" s="51">
        <v>0.15</v>
      </c>
      <c r="K28" s="51">
        <v>226.14</v>
      </c>
      <c r="L28" s="51">
        <v>27.04</v>
      </c>
      <c r="M28" s="51">
        <v>100.32</v>
      </c>
      <c r="N28" s="51">
        <v>0</v>
      </c>
      <c r="O28" s="51">
        <v>0</v>
      </c>
      <c r="P28" s="51">
        <v>0.53</v>
      </c>
      <c r="Q28" s="51">
        <v>4.3099999999999996</v>
      </c>
    </row>
    <row r="29" spans="1:17" customFormat="1">
      <c r="A29" s="50" t="s">
        <v>628</v>
      </c>
      <c r="B29" s="51">
        <v>12.48</v>
      </c>
      <c r="C29" s="51">
        <v>23.71</v>
      </c>
      <c r="D29" s="51">
        <v>21.36</v>
      </c>
      <c r="E29" s="51">
        <v>6.29</v>
      </c>
      <c r="F29" s="51">
        <v>8.86</v>
      </c>
      <c r="G29" s="51">
        <v>19.5</v>
      </c>
      <c r="H29" s="51">
        <v>2.56</v>
      </c>
      <c r="I29" s="51">
        <v>3.9</v>
      </c>
      <c r="J29" s="51">
        <v>0.16</v>
      </c>
      <c r="K29" s="51">
        <v>225.22</v>
      </c>
      <c r="L29" s="51">
        <v>26.95</v>
      </c>
      <c r="M29" s="51">
        <v>105.68</v>
      </c>
      <c r="N29" s="51">
        <v>0</v>
      </c>
      <c r="O29" s="51">
        <v>0</v>
      </c>
      <c r="P29" s="51">
        <v>0.54</v>
      </c>
      <c r="Q29" s="51">
        <v>4.29</v>
      </c>
    </row>
    <row r="30" spans="1:17" customFormat="1">
      <c r="A30" s="50" t="s">
        <v>629</v>
      </c>
      <c r="B30" s="51">
        <v>19.46</v>
      </c>
      <c r="C30" s="51">
        <v>27.27</v>
      </c>
      <c r="D30" s="51">
        <v>27.4</v>
      </c>
      <c r="E30" s="51">
        <v>6.52</v>
      </c>
      <c r="F30" s="51">
        <v>3.69</v>
      </c>
      <c r="G30" s="51">
        <v>21.07</v>
      </c>
      <c r="H30" s="51">
        <v>3.98</v>
      </c>
      <c r="I30" s="51">
        <v>4.41</v>
      </c>
      <c r="J30" s="51">
        <v>0.18</v>
      </c>
      <c r="K30" s="51">
        <v>229.16</v>
      </c>
      <c r="L30" s="51">
        <v>26.81</v>
      </c>
      <c r="M30" s="51">
        <v>103.7</v>
      </c>
      <c r="N30" s="51">
        <v>0</v>
      </c>
      <c r="O30" s="51">
        <v>0</v>
      </c>
      <c r="P30" s="51">
        <v>0.63</v>
      </c>
      <c r="Q30" s="51">
        <v>4.4400000000000004</v>
      </c>
    </row>
    <row r="31" spans="1:17" customFormat="1">
      <c r="A31" s="50" t="s">
        <v>630</v>
      </c>
      <c r="B31" s="51">
        <v>18.62</v>
      </c>
      <c r="C31" s="51">
        <v>26.87</v>
      </c>
      <c r="D31" s="51">
        <v>27.54</v>
      </c>
      <c r="E31" s="51">
        <v>6.59</v>
      </c>
      <c r="F31" s="51">
        <v>3.95</v>
      </c>
      <c r="G31" s="51">
        <v>29.6</v>
      </c>
      <c r="H31" s="51">
        <v>7.72</v>
      </c>
      <c r="I31" s="51">
        <v>5.66</v>
      </c>
      <c r="J31" s="51">
        <v>0.15</v>
      </c>
      <c r="K31" s="51">
        <v>233.33</v>
      </c>
      <c r="L31" s="51">
        <v>26.73</v>
      </c>
      <c r="M31" s="51">
        <v>100.89</v>
      </c>
      <c r="N31" s="51">
        <v>0</v>
      </c>
      <c r="O31" s="51">
        <v>0</v>
      </c>
      <c r="P31" s="51">
        <v>0.67</v>
      </c>
      <c r="Q31" s="51">
        <v>4.5999999999999996</v>
      </c>
    </row>
    <row r="32" spans="1:17" customFormat="1">
      <c r="A32" s="50" t="s">
        <v>631</v>
      </c>
      <c r="B32" s="51">
        <v>16.89</v>
      </c>
      <c r="C32" s="51">
        <v>25.06</v>
      </c>
      <c r="D32" s="51">
        <v>25.6</v>
      </c>
      <c r="E32" s="51">
        <v>6.23</v>
      </c>
      <c r="F32" s="51">
        <v>5.46</v>
      </c>
      <c r="G32" s="51">
        <v>29.6</v>
      </c>
      <c r="H32" s="51">
        <v>7.72</v>
      </c>
      <c r="I32" s="51">
        <v>4.9800000000000004</v>
      </c>
      <c r="J32" s="51">
        <v>0.17</v>
      </c>
      <c r="K32" s="51">
        <v>230.14</v>
      </c>
      <c r="L32" s="51">
        <v>26.72</v>
      </c>
      <c r="M32" s="51">
        <v>100.6</v>
      </c>
      <c r="N32" s="51">
        <v>0</v>
      </c>
      <c r="O32" s="51">
        <v>0</v>
      </c>
      <c r="P32" s="51">
        <v>0.66</v>
      </c>
      <c r="Q32" s="51">
        <v>4.5999999999999996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10.52</v>
      </c>
      <c r="C34" s="41">
        <f t="shared" si="0"/>
        <v>23.71</v>
      </c>
      <c r="D34" s="41">
        <f t="shared" si="0"/>
        <v>20.49</v>
      </c>
      <c r="E34" s="41">
        <f t="shared" si="0"/>
        <v>6.09</v>
      </c>
      <c r="F34" s="41">
        <f t="shared" si="0"/>
        <v>3.27</v>
      </c>
      <c r="G34" s="41">
        <f t="shared" si="0"/>
        <v>9.59</v>
      </c>
      <c r="H34" s="41">
        <f t="shared" si="0"/>
        <v>2.08</v>
      </c>
      <c r="I34" s="41">
        <f t="shared" si="0"/>
        <v>3.37</v>
      </c>
      <c r="J34" s="41">
        <f t="shared" si="0"/>
        <v>0.09</v>
      </c>
      <c r="K34" s="41">
        <f t="shared" si="0"/>
        <v>33.119999999999997</v>
      </c>
      <c r="L34" s="41">
        <f t="shared" si="0"/>
        <v>25.5</v>
      </c>
      <c r="M34" s="41">
        <f t="shared" si="0"/>
        <v>72.02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4.16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20.89</v>
      </c>
      <c r="C35" s="33">
        <f t="shared" si="1"/>
        <v>28.69</v>
      </c>
      <c r="D35" s="33">
        <f t="shared" si="1"/>
        <v>29.46</v>
      </c>
      <c r="E35" s="33">
        <f t="shared" si="1"/>
        <v>18.73</v>
      </c>
      <c r="F35" s="33">
        <f t="shared" si="1"/>
        <v>11.75</v>
      </c>
      <c r="G35" s="33">
        <f t="shared" si="1"/>
        <v>29.6</v>
      </c>
      <c r="H35" s="33">
        <f t="shared" si="1"/>
        <v>8.52</v>
      </c>
      <c r="I35" s="33">
        <f t="shared" si="1"/>
        <v>5.66</v>
      </c>
      <c r="J35" s="33">
        <f t="shared" si="1"/>
        <v>1.76</v>
      </c>
      <c r="K35" s="33">
        <f t="shared" si="1"/>
        <v>349.98</v>
      </c>
      <c r="L35" s="33">
        <f t="shared" si="1"/>
        <v>32.840000000000003</v>
      </c>
      <c r="M35" s="33">
        <f t="shared" si="1"/>
        <v>105.68</v>
      </c>
      <c r="N35" s="33">
        <f t="shared" si="1"/>
        <v>904.8</v>
      </c>
      <c r="O35" s="33">
        <f t="shared" si="1"/>
        <v>3.8</v>
      </c>
      <c r="P35" s="33">
        <f t="shared" si="1"/>
        <v>0.67</v>
      </c>
      <c r="Q35" s="33">
        <f t="shared" si="1"/>
        <v>4.71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16.300833333333333</v>
      </c>
      <c r="C36" s="41">
        <f t="shared" si="2"/>
        <v>25.487083333333331</v>
      </c>
      <c r="D36" s="41">
        <f t="shared" si="2"/>
        <v>25.129166666666663</v>
      </c>
      <c r="E36" s="41">
        <f t="shared" si="2"/>
        <v>7.8049999999999997</v>
      </c>
      <c r="F36" s="41">
        <f t="shared" si="2"/>
        <v>6.515416666666666</v>
      </c>
      <c r="G36" s="41">
        <f t="shared" si="2"/>
        <v>18.047083333333333</v>
      </c>
      <c r="H36" s="41">
        <f t="shared" si="2"/>
        <v>5.3862500000000004</v>
      </c>
      <c r="I36" s="41">
        <f t="shared" si="2"/>
        <v>3.789166666666667</v>
      </c>
      <c r="J36" s="41">
        <f t="shared" si="2"/>
        <v>0.3370833333333334</v>
      </c>
      <c r="K36" s="41">
        <f t="shared" si="2"/>
        <v>205.69125</v>
      </c>
      <c r="L36" s="41">
        <f t="shared" si="2"/>
        <v>27.751250000000002</v>
      </c>
      <c r="M36" s="41">
        <f t="shared" si="2"/>
        <v>95.844583333333333</v>
      </c>
      <c r="N36" s="41">
        <f t="shared" si="2"/>
        <v>173.5</v>
      </c>
      <c r="O36" s="41">
        <f t="shared" si="2"/>
        <v>0.25</v>
      </c>
      <c r="P36" s="41">
        <f t="shared" si="2"/>
        <v>0.505</v>
      </c>
      <c r="Q36" s="41">
        <f t="shared" si="2"/>
        <v>4.4566666666666661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3.3957606776258715</v>
      </c>
      <c r="C37" s="41">
        <f t="shared" ref="C37:Q37" si="3">STDEV(C9:C32)</f>
        <v>1.3724604347403271</v>
      </c>
      <c r="D37" s="41">
        <f t="shared" si="3"/>
        <v>2.8560263009790945</v>
      </c>
      <c r="E37" s="41">
        <f t="shared" si="3"/>
        <v>2.763156669935436</v>
      </c>
      <c r="F37" s="41">
        <f t="shared" si="3"/>
        <v>2.5766476015006097</v>
      </c>
      <c r="G37" s="41">
        <f t="shared" si="3"/>
        <v>5.8822189536637168</v>
      </c>
      <c r="H37" s="41">
        <f t="shared" si="3"/>
        <v>2.2483652273712478</v>
      </c>
      <c r="I37" s="41">
        <f t="shared" si="3"/>
        <v>0.54439369279375338</v>
      </c>
      <c r="J37" s="41">
        <f t="shared" si="3"/>
        <v>0.3498133560314286</v>
      </c>
      <c r="K37" s="41">
        <f t="shared" si="3"/>
        <v>70.552048028234111</v>
      </c>
      <c r="L37" s="41">
        <f t="shared" si="3"/>
        <v>2.2560591121224944</v>
      </c>
      <c r="M37" s="41">
        <f t="shared" si="3"/>
        <v>8.4862604962458477</v>
      </c>
      <c r="N37" s="41">
        <f t="shared" si="3"/>
        <v>264.72834147973026</v>
      </c>
      <c r="O37" s="41">
        <f t="shared" si="3"/>
        <v>0.87922891118346969</v>
      </c>
      <c r="P37" s="41">
        <f t="shared" si="3"/>
        <v>6.5408415892492078E-2</v>
      </c>
      <c r="Q37" s="41">
        <f t="shared" si="3"/>
        <v>0.17181047866681121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25/07/2023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632</v>
      </c>
      <c r="B9" s="51">
        <v>25.13</v>
      </c>
      <c r="C9" s="51">
        <v>29.99</v>
      </c>
      <c r="D9" s="51">
        <v>32.9</v>
      </c>
      <c r="E9" s="51">
        <v>6.88</v>
      </c>
      <c r="F9" s="51">
        <v>3.15</v>
      </c>
      <c r="G9" s="51">
        <v>33.6</v>
      </c>
      <c r="H9" s="51">
        <v>7.33</v>
      </c>
      <c r="I9" s="51">
        <v>5.4</v>
      </c>
      <c r="J9" s="51">
        <v>0.16</v>
      </c>
      <c r="K9" s="51">
        <v>198.83</v>
      </c>
      <c r="L9" s="51">
        <v>26.62</v>
      </c>
      <c r="M9" s="51">
        <v>99.03</v>
      </c>
      <c r="N9" s="51">
        <v>0</v>
      </c>
      <c r="O9" s="51">
        <v>0</v>
      </c>
      <c r="P9" s="51">
        <v>0.73</v>
      </c>
      <c r="Q9" s="51">
        <v>4.72</v>
      </c>
    </row>
    <row r="10" spans="1:21" customFormat="1">
      <c r="A10" s="50" t="s">
        <v>633</v>
      </c>
      <c r="B10" s="51">
        <v>31.01</v>
      </c>
      <c r="C10" s="51">
        <v>27.85</v>
      </c>
      <c r="D10" s="51">
        <v>37.159999999999997</v>
      </c>
      <c r="E10" s="51">
        <v>7.05</v>
      </c>
      <c r="F10" s="51">
        <v>3.09</v>
      </c>
      <c r="G10" s="51">
        <v>33.6</v>
      </c>
      <c r="H10" s="51">
        <v>9.44</v>
      </c>
      <c r="I10" s="51">
        <v>5.62</v>
      </c>
      <c r="J10" s="51">
        <v>0.13</v>
      </c>
      <c r="K10" s="51">
        <v>282.31</v>
      </c>
      <c r="L10" s="51">
        <v>26.46</v>
      </c>
      <c r="M10" s="51">
        <v>100.79</v>
      </c>
      <c r="N10" s="51">
        <v>0</v>
      </c>
      <c r="O10" s="51">
        <v>0</v>
      </c>
      <c r="P10" s="51">
        <v>0.73</v>
      </c>
      <c r="Q10" s="51">
        <v>4.82</v>
      </c>
    </row>
    <row r="11" spans="1:21" customFormat="1">
      <c r="A11" s="50" t="s">
        <v>634</v>
      </c>
      <c r="B11" s="51">
        <v>24.99</v>
      </c>
      <c r="C11" s="51">
        <v>28.42</v>
      </c>
      <c r="D11" s="51">
        <v>33.729999999999997</v>
      </c>
      <c r="E11" s="51">
        <v>6.83</v>
      </c>
      <c r="F11" s="51">
        <v>3.36</v>
      </c>
      <c r="G11" s="51">
        <v>33.44</v>
      </c>
      <c r="H11" s="51">
        <v>10.130000000000001</v>
      </c>
      <c r="I11" s="51">
        <v>5.93</v>
      </c>
      <c r="J11" s="51">
        <v>0.32</v>
      </c>
      <c r="K11" s="51">
        <v>55.97</v>
      </c>
      <c r="L11" s="51">
        <v>26.29</v>
      </c>
      <c r="M11" s="51">
        <v>107.64</v>
      </c>
      <c r="N11" s="51">
        <v>0</v>
      </c>
      <c r="O11" s="51">
        <v>0</v>
      </c>
      <c r="P11" s="51">
        <v>0.78</v>
      </c>
      <c r="Q11" s="51">
        <v>4.97</v>
      </c>
    </row>
    <row r="12" spans="1:21" customFormat="1">
      <c r="A12" s="50" t="s">
        <v>635</v>
      </c>
      <c r="B12" s="51">
        <v>25.02</v>
      </c>
      <c r="C12" s="51">
        <v>28.67</v>
      </c>
      <c r="D12" s="51">
        <v>33.99</v>
      </c>
      <c r="E12" s="51">
        <v>7.49</v>
      </c>
      <c r="F12" s="51">
        <v>3.15</v>
      </c>
      <c r="G12" s="51">
        <v>45.67</v>
      </c>
      <c r="H12" s="51">
        <v>11.96</v>
      </c>
      <c r="I12" s="51">
        <v>6.39</v>
      </c>
      <c r="J12" s="51">
        <v>0.33</v>
      </c>
      <c r="K12" s="51">
        <v>79.349999999999994</v>
      </c>
      <c r="L12" s="51">
        <v>26.33</v>
      </c>
      <c r="M12" s="51">
        <v>107.4</v>
      </c>
      <c r="N12" s="51">
        <v>0</v>
      </c>
      <c r="O12" s="51">
        <v>0</v>
      </c>
      <c r="P12" s="51">
        <v>0.81</v>
      </c>
      <c r="Q12" s="51">
        <v>4.9800000000000004</v>
      </c>
    </row>
    <row r="13" spans="1:21" customFormat="1">
      <c r="A13" s="50" t="s">
        <v>636</v>
      </c>
      <c r="B13" s="51">
        <v>27.14</v>
      </c>
      <c r="C13" s="51">
        <v>28.26</v>
      </c>
      <c r="D13" s="51">
        <v>35.49</v>
      </c>
      <c r="E13" s="51">
        <v>7.4</v>
      </c>
      <c r="F13" s="51">
        <v>3.74</v>
      </c>
      <c r="G13" s="51">
        <v>45.67</v>
      </c>
      <c r="H13" s="51">
        <v>11.96</v>
      </c>
      <c r="I13" s="51">
        <v>6.42</v>
      </c>
      <c r="J13" s="51">
        <v>0.43</v>
      </c>
      <c r="K13" s="51">
        <v>76.47</v>
      </c>
      <c r="L13" s="51">
        <v>26.23</v>
      </c>
      <c r="M13" s="51">
        <v>108.25</v>
      </c>
      <c r="N13" s="51">
        <v>0</v>
      </c>
      <c r="O13" s="51">
        <v>0</v>
      </c>
      <c r="P13" s="51">
        <v>0.8</v>
      </c>
      <c r="Q13" s="51">
        <v>5.07</v>
      </c>
    </row>
    <row r="14" spans="1:21" customFormat="1">
      <c r="A14" s="50" t="s">
        <v>637</v>
      </c>
      <c r="B14" s="51">
        <v>29.72</v>
      </c>
      <c r="C14" s="51">
        <v>30.15</v>
      </c>
      <c r="D14" s="51">
        <v>37.19</v>
      </c>
      <c r="E14" s="51">
        <v>7.38</v>
      </c>
      <c r="F14" s="51">
        <v>4.32</v>
      </c>
      <c r="G14" s="51">
        <v>41.25</v>
      </c>
      <c r="H14" s="51">
        <v>13.68</v>
      </c>
      <c r="I14" s="51">
        <v>6.25</v>
      </c>
      <c r="J14" s="51">
        <v>0.3</v>
      </c>
      <c r="K14" s="51">
        <v>66.66</v>
      </c>
      <c r="L14" s="51">
        <v>26.24</v>
      </c>
      <c r="M14" s="51">
        <v>101.51</v>
      </c>
      <c r="N14" s="51">
        <v>16.399999999999999</v>
      </c>
      <c r="O14" s="51">
        <v>0</v>
      </c>
      <c r="P14" s="51">
        <v>0.8</v>
      </c>
      <c r="Q14" s="51">
        <v>5.12</v>
      </c>
    </row>
    <row r="15" spans="1:21" customFormat="1">
      <c r="A15" s="50" t="s">
        <v>638</v>
      </c>
      <c r="B15" s="51">
        <v>29.74</v>
      </c>
      <c r="C15" s="51">
        <v>29.98</v>
      </c>
      <c r="D15" s="51">
        <v>38.47</v>
      </c>
      <c r="E15" s="51">
        <v>7.26</v>
      </c>
      <c r="F15" s="51">
        <v>4.5</v>
      </c>
      <c r="G15" s="51">
        <v>40.33</v>
      </c>
      <c r="H15" s="51">
        <v>13.68</v>
      </c>
      <c r="I15" s="51">
        <v>5.93</v>
      </c>
      <c r="J15" s="51">
        <v>0.71</v>
      </c>
      <c r="K15" s="51">
        <v>64.459999999999994</v>
      </c>
      <c r="L15" s="51">
        <v>27.07</v>
      </c>
      <c r="M15" s="51">
        <v>101.56</v>
      </c>
      <c r="N15" s="51">
        <v>59.6</v>
      </c>
      <c r="O15" s="51">
        <v>0</v>
      </c>
      <c r="P15" s="51">
        <v>0.76</v>
      </c>
      <c r="Q15" s="51">
        <v>5.21</v>
      </c>
    </row>
    <row r="16" spans="1:21" customFormat="1">
      <c r="A16" s="50" t="s">
        <v>639</v>
      </c>
      <c r="B16" s="51">
        <v>28.45</v>
      </c>
      <c r="C16" s="51">
        <v>27.75</v>
      </c>
      <c r="D16" s="51">
        <v>36.270000000000003</v>
      </c>
      <c r="E16" s="51">
        <v>6.65</v>
      </c>
      <c r="F16" s="51">
        <v>5.2</v>
      </c>
      <c r="G16" s="51">
        <v>34.96</v>
      </c>
      <c r="H16" s="51">
        <v>12.34</v>
      </c>
      <c r="I16" s="51">
        <v>5.75</v>
      </c>
      <c r="J16" s="51">
        <v>0.62</v>
      </c>
      <c r="K16" s="51">
        <v>95.51</v>
      </c>
      <c r="L16" s="51">
        <v>29.53</v>
      </c>
      <c r="M16" s="51">
        <v>92.38</v>
      </c>
      <c r="N16" s="51">
        <v>58.6</v>
      </c>
      <c r="O16" s="51">
        <v>0</v>
      </c>
      <c r="P16" s="51">
        <v>0.71</v>
      </c>
      <c r="Q16" s="51">
        <v>5.12</v>
      </c>
    </row>
    <row r="17" spans="1:17" customFormat="1">
      <c r="A17" s="50" t="s">
        <v>640</v>
      </c>
      <c r="B17" s="51">
        <v>26.39</v>
      </c>
      <c r="C17" s="51">
        <v>26.9</v>
      </c>
      <c r="D17" s="51">
        <v>32.6</v>
      </c>
      <c r="E17" s="51">
        <v>6.4</v>
      </c>
      <c r="F17" s="51">
        <v>5.85</v>
      </c>
      <c r="G17" s="51">
        <v>29.89</v>
      </c>
      <c r="H17" s="51">
        <v>10.54</v>
      </c>
      <c r="I17" s="51">
        <v>5.63</v>
      </c>
      <c r="J17" s="51">
        <v>0.87</v>
      </c>
      <c r="K17" s="51">
        <v>73.42</v>
      </c>
      <c r="L17" s="51">
        <v>30.04</v>
      </c>
      <c r="M17" s="51">
        <v>85.83</v>
      </c>
      <c r="N17" s="51">
        <v>110.7</v>
      </c>
      <c r="O17" s="51">
        <v>0</v>
      </c>
      <c r="P17" s="51">
        <v>0.64</v>
      </c>
      <c r="Q17" s="51">
        <v>4.9400000000000004</v>
      </c>
    </row>
    <row r="18" spans="1:17" customFormat="1">
      <c r="A18" s="50" t="s">
        <v>641</v>
      </c>
      <c r="B18" s="51">
        <v>23.52</v>
      </c>
      <c r="C18" s="51">
        <v>24.5</v>
      </c>
      <c r="D18" s="51">
        <v>30.62</v>
      </c>
      <c r="E18" s="51">
        <v>6.57</v>
      </c>
      <c r="F18" s="51">
        <v>5.78</v>
      </c>
      <c r="G18" s="51">
        <v>21.85</v>
      </c>
      <c r="H18" s="51">
        <v>7.68</v>
      </c>
      <c r="I18" s="51">
        <v>5.04</v>
      </c>
      <c r="J18" s="51">
        <v>0.79</v>
      </c>
      <c r="K18" s="51">
        <v>68</v>
      </c>
      <c r="L18" s="51">
        <v>30.97</v>
      </c>
      <c r="M18" s="51">
        <v>81.400000000000006</v>
      </c>
      <c r="N18" s="51">
        <v>169.2</v>
      </c>
      <c r="O18" s="51">
        <v>0</v>
      </c>
      <c r="P18" s="51">
        <v>0.61</v>
      </c>
      <c r="Q18" s="51">
        <v>4.8099999999999996</v>
      </c>
    </row>
    <row r="19" spans="1:17" customFormat="1">
      <c r="A19" s="50" t="s">
        <v>642</v>
      </c>
      <c r="B19" s="51">
        <v>21.94</v>
      </c>
      <c r="C19" s="51">
        <v>24.32</v>
      </c>
      <c r="D19" s="51">
        <v>29.26</v>
      </c>
      <c r="E19" s="51">
        <v>5.1100000000000003</v>
      </c>
      <c r="F19" s="51">
        <v>6.67</v>
      </c>
      <c r="G19" s="51">
        <v>20.78</v>
      </c>
      <c r="H19" s="51">
        <v>5.96</v>
      </c>
      <c r="I19" s="51">
        <v>4.72</v>
      </c>
      <c r="J19" s="51">
        <v>0.99</v>
      </c>
      <c r="K19" s="51">
        <v>69.489999999999995</v>
      </c>
      <c r="L19" s="51">
        <v>31.52</v>
      </c>
      <c r="M19" s="51">
        <v>83.07</v>
      </c>
      <c r="N19" s="51">
        <v>196.3</v>
      </c>
      <c r="O19" s="51">
        <v>0</v>
      </c>
      <c r="P19" s="51">
        <v>0.61</v>
      </c>
      <c r="Q19" s="51">
        <v>4.71</v>
      </c>
    </row>
    <row r="20" spans="1:17" customFormat="1">
      <c r="A20" s="50" t="s">
        <v>643</v>
      </c>
      <c r="B20" s="51">
        <v>20.09</v>
      </c>
      <c r="C20" s="51">
        <v>22.97</v>
      </c>
      <c r="D20" s="51">
        <v>27.07</v>
      </c>
      <c r="E20" s="51">
        <v>5.24</v>
      </c>
      <c r="F20" s="51">
        <v>8.59</v>
      </c>
      <c r="G20" s="51">
        <v>21.1</v>
      </c>
      <c r="H20" s="51">
        <v>6</v>
      </c>
      <c r="I20" s="51">
        <v>4.4000000000000004</v>
      </c>
      <c r="J20" s="51">
        <v>0.93</v>
      </c>
      <c r="K20" s="51">
        <v>72.59</v>
      </c>
      <c r="L20" s="51">
        <v>31.95</v>
      </c>
      <c r="M20" s="51">
        <v>78.849999999999994</v>
      </c>
      <c r="N20" s="51">
        <v>871.5</v>
      </c>
      <c r="O20" s="51">
        <v>0</v>
      </c>
      <c r="P20" s="51">
        <v>0.56000000000000005</v>
      </c>
      <c r="Q20" s="51">
        <v>4.54</v>
      </c>
    </row>
    <row r="21" spans="1:17" customFormat="1">
      <c r="A21" s="50" t="s">
        <v>644</v>
      </c>
      <c r="B21" s="51">
        <v>16.989999999999998</v>
      </c>
      <c r="C21" s="51">
        <v>21.5</v>
      </c>
      <c r="D21" s="51">
        <v>23.59</v>
      </c>
      <c r="E21" s="51">
        <v>5.81</v>
      </c>
      <c r="F21" s="51">
        <v>9.6300000000000008</v>
      </c>
      <c r="G21" s="51">
        <v>21.1</v>
      </c>
      <c r="H21" s="51">
        <v>6</v>
      </c>
      <c r="I21" s="51">
        <v>4.12</v>
      </c>
      <c r="J21" s="51">
        <v>1</v>
      </c>
      <c r="K21" s="51">
        <v>55.66</v>
      </c>
      <c r="L21" s="51">
        <v>32.57</v>
      </c>
      <c r="M21" s="51">
        <v>70.73</v>
      </c>
      <c r="N21" s="51">
        <v>882.7</v>
      </c>
      <c r="O21" s="51">
        <v>0</v>
      </c>
      <c r="P21" s="51">
        <v>0.53</v>
      </c>
      <c r="Q21" s="51">
        <v>4.46</v>
      </c>
    </row>
    <row r="22" spans="1:17" customFormat="1">
      <c r="A22" s="50" t="s">
        <v>645</v>
      </c>
      <c r="B22" s="51">
        <v>15.46</v>
      </c>
      <c r="C22" s="51">
        <v>22.93</v>
      </c>
      <c r="D22" s="51">
        <v>23.33</v>
      </c>
      <c r="E22" s="51">
        <v>9.58</v>
      </c>
      <c r="F22" s="51">
        <v>12.4</v>
      </c>
      <c r="G22" s="51">
        <v>20.64</v>
      </c>
      <c r="H22" s="51">
        <v>6.42</v>
      </c>
      <c r="I22" s="51">
        <v>4.03</v>
      </c>
      <c r="J22" s="51">
        <v>1.1100000000000001</v>
      </c>
      <c r="K22" s="51">
        <v>58.36</v>
      </c>
      <c r="L22" s="51">
        <v>32.83</v>
      </c>
      <c r="M22" s="51">
        <v>73.319999999999993</v>
      </c>
      <c r="N22" s="51">
        <v>862</v>
      </c>
      <c r="O22" s="51">
        <v>0</v>
      </c>
      <c r="P22" s="51">
        <v>0.51</v>
      </c>
      <c r="Q22" s="51">
        <v>4.33</v>
      </c>
    </row>
    <row r="23" spans="1:17" customFormat="1">
      <c r="A23" s="50" t="s">
        <v>646</v>
      </c>
      <c r="B23" s="51">
        <v>14.26</v>
      </c>
      <c r="C23" s="51">
        <v>24.81</v>
      </c>
      <c r="D23" s="51">
        <v>22.87</v>
      </c>
      <c r="E23" s="51">
        <v>15.81</v>
      </c>
      <c r="F23" s="51">
        <v>10.8</v>
      </c>
      <c r="G23" s="51">
        <v>29.04</v>
      </c>
      <c r="H23" s="51">
        <v>8.81</v>
      </c>
      <c r="I23" s="51">
        <v>3.75</v>
      </c>
      <c r="J23" s="51">
        <v>1.17</v>
      </c>
      <c r="K23" s="51">
        <v>50.93</v>
      </c>
      <c r="L23" s="51">
        <v>33.409999999999997</v>
      </c>
      <c r="M23" s="51">
        <v>70.13</v>
      </c>
      <c r="N23" s="51">
        <v>790.5</v>
      </c>
      <c r="O23" s="51">
        <v>0</v>
      </c>
      <c r="P23" s="51">
        <v>0.52</v>
      </c>
      <c r="Q23" s="51">
        <v>4.3</v>
      </c>
    </row>
    <row r="24" spans="1:17" customFormat="1">
      <c r="A24" s="50" t="s">
        <v>647</v>
      </c>
      <c r="B24" s="51">
        <v>13.95</v>
      </c>
      <c r="C24" s="51">
        <v>25.08</v>
      </c>
      <c r="D24" s="51">
        <v>23.24</v>
      </c>
      <c r="E24" s="51">
        <v>13.83</v>
      </c>
      <c r="F24" s="51">
        <v>12.44</v>
      </c>
      <c r="G24" s="51">
        <v>29.04</v>
      </c>
      <c r="H24" s="51">
        <v>10.17</v>
      </c>
      <c r="I24" s="51">
        <v>3.8</v>
      </c>
      <c r="J24" s="51">
        <v>1.07</v>
      </c>
      <c r="K24" s="51">
        <v>49.24</v>
      </c>
      <c r="L24" s="51">
        <v>33.42</v>
      </c>
      <c r="M24" s="51">
        <v>62.01</v>
      </c>
      <c r="N24" s="51">
        <v>608.79999999999995</v>
      </c>
      <c r="O24" s="51">
        <v>0</v>
      </c>
      <c r="P24" s="51">
        <v>0.51</v>
      </c>
      <c r="Q24" s="51">
        <v>4.32</v>
      </c>
    </row>
    <row r="25" spans="1:17" customFormat="1">
      <c r="A25" s="50" t="s">
        <v>648</v>
      </c>
      <c r="B25" s="51">
        <v>12.35</v>
      </c>
      <c r="C25" s="51">
        <v>23.52</v>
      </c>
      <c r="D25" s="51">
        <v>21.15</v>
      </c>
      <c r="E25" s="51">
        <v>10.119999999999999</v>
      </c>
      <c r="F25" s="51">
        <v>16.34</v>
      </c>
      <c r="G25" s="51">
        <v>34.69</v>
      </c>
      <c r="H25" s="51">
        <v>11.1</v>
      </c>
      <c r="I25" s="51">
        <v>3.7</v>
      </c>
      <c r="J25" s="51">
        <v>0.94</v>
      </c>
      <c r="K25" s="51">
        <v>64.53</v>
      </c>
      <c r="L25" s="51">
        <v>33.5</v>
      </c>
      <c r="M25" s="51">
        <v>62</v>
      </c>
      <c r="N25" s="51">
        <v>437.9</v>
      </c>
      <c r="O25" s="51">
        <v>0</v>
      </c>
      <c r="P25" s="51">
        <v>0.5</v>
      </c>
      <c r="Q25" s="51">
        <v>4.26</v>
      </c>
    </row>
    <row r="26" spans="1:17" customFormat="1">
      <c r="A26" s="50" t="s">
        <v>649</v>
      </c>
      <c r="B26" s="51">
        <v>12.24</v>
      </c>
      <c r="C26" s="51">
        <v>23.53</v>
      </c>
      <c r="D26" s="51">
        <v>20.75</v>
      </c>
      <c r="E26" s="51">
        <v>9.2200000000000006</v>
      </c>
      <c r="F26" s="51">
        <v>17.04</v>
      </c>
      <c r="G26" s="51">
        <v>40.64</v>
      </c>
      <c r="H26" s="51">
        <v>11.73</v>
      </c>
      <c r="I26" s="51">
        <v>3.5</v>
      </c>
      <c r="J26" s="51">
        <v>0.92</v>
      </c>
      <c r="K26" s="51">
        <v>62.51</v>
      </c>
      <c r="L26" s="51">
        <v>32.44</v>
      </c>
      <c r="M26" s="51">
        <v>65.400000000000006</v>
      </c>
      <c r="N26" s="51">
        <v>68.400000000000006</v>
      </c>
      <c r="O26" s="51">
        <v>0</v>
      </c>
      <c r="P26" s="51">
        <v>0.52</v>
      </c>
      <c r="Q26" s="51">
        <v>4.1399999999999997</v>
      </c>
    </row>
    <row r="27" spans="1:17" customFormat="1">
      <c r="A27" s="50" t="s">
        <v>650</v>
      </c>
      <c r="B27" s="51">
        <v>9.14</v>
      </c>
      <c r="C27" s="51">
        <v>22.44</v>
      </c>
      <c r="D27" s="51">
        <v>18.010000000000002</v>
      </c>
      <c r="E27" s="51">
        <v>7.87</v>
      </c>
      <c r="F27" s="51">
        <v>17.899999999999999</v>
      </c>
      <c r="G27" s="51">
        <v>44.08</v>
      </c>
      <c r="H27" s="51">
        <v>11.73</v>
      </c>
      <c r="I27" s="51">
        <v>3.26</v>
      </c>
      <c r="J27" s="51">
        <v>0.49</v>
      </c>
      <c r="K27" s="51">
        <v>164.47</v>
      </c>
      <c r="L27" s="51">
        <v>31.78</v>
      </c>
      <c r="M27" s="51">
        <v>78.099999999999994</v>
      </c>
      <c r="N27" s="51">
        <v>18.8</v>
      </c>
      <c r="O27" s="51">
        <v>0</v>
      </c>
      <c r="P27" s="51">
        <v>0.57999999999999996</v>
      </c>
      <c r="Q27" s="51">
        <v>4.12</v>
      </c>
    </row>
    <row r="28" spans="1:17" customFormat="1">
      <c r="A28" s="50" t="s">
        <v>651</v>
      </c>
      <c r="B28" s="51">
        <v>7.83</v>
      </c>
      <c r="C28" s="51">
        <v>20.28</v>
      </c>
      <c r="D28" s="51">
        <v>15.62</v>
      </c>
      <c r="E28" s="51">
        <v>7.22</v>
      </c>
      <c r="F28" s="51">
        <v>18.32</v>
      </c>
      <c r="G28" s="51">
        <v>44.08</v>
      </c>
      <c r="H28" s="51">
        <v>9.8000000000000007</v>
      </c>
      <c r="I28" s="51">
        <v>3.39</v>
      </c>
      <c r="J28" s="51">
        <v>0.2</v>
      </c>
      <c r="K28" s="51">
        <v>240.73</v>
      </c>
      <c r="L28" s="51">
        <v>30.2</v>
      </c>
      <c r="M28" s="51">
        <v>86.22</v>
      </c>
      <c r="N28" s="51">
        <v>0</v>
      </c>
      <c r="O28" s="51">
        <v>0</v>
      </c>
      <c r="P28" s="51">
        <v>0.51</v>
      </c>
      <c r="Q28" s="51">
        <v>4.17</v>
      </c>
    </row>
    <row r="29" spans="1:17" customFormat="1">
      <c r="A29" s="50" t="s">
        <v>652</v>
      </c>
      <c r="B29" s="51">
        <v>7.54</v>
      </c>
      <c r="C29" s="51">
        <v>19.96</v>
      </c>
      <c r="D29" s="51">
        <v>15.43</v>
      </c>
      <c r="E29" s="51">
        <v>7.19</v>
      </c>
      <c r="F29" s="51">
        <v>18.84</v>
      </c>
      <c r="G29" s="51">
        <v>38.299999999999997</v>
      </c>
      <c r="H29" s="51">
        <v>8.3699999999999992</v>
      </c>
      <c r="I29" s="51">
        <v>3.18</v>
      </c>
      <c r="J29" s="51">
        <v>0.19</v>
      </c>
      <c r="K29" s="51">
        <v>227.37</v>
      </c>
      <c r="L29" s="51">
        <v>29.34</v>
      </c>
      <c r="M29" s="51">
        <v>87.56</v>
      </c>
      <c r="N29" s="51">
        <v>0</v>
      </c>
      <c r="O29" s="51">
        <v>0</v>
      </c>
      <c r="P29" s="51">
        <v>0.53</v>
      </c>
      <c r="Q29" s="51">
        <v>4.1100000000000003</v>
      </c>
    </row>
    <row r="30" spans="1:17" customFormat="1">
      <c r="A30" s="50" t="s">
        <v>653</v>
      </c>
      <c r="B30" s="51">
        <v>8.98</v>
      </c>
      <c r="C30" s="51">
        <v>19.420000000000002</v>
      </c>
      <c r="D30" s="51">
        <v>16.3</v>
      </c>
      <c r="E30" s="51">
        <v>6.96</v>
      </c>
      <c r="F30" s="51">
        <v>13.23</v>
      </c>
      <c r="G30" s="51">
        <v>32.35</v>
      </c>
      <c r="H30" s="51">
        <v>11.48</v>
      </c>
      <c r="I30" s="51">
        <v>3.53</v>
      </c>
      <c r="J30" s="51">
        <v>0.26</v>
      </c>
      <c r="K30" s="51">
        <v>198.45</v>
      </c>
      <c r="L30" s="51">
        <v>29.12</v>
      </c>
      <c r="M30" s="51">
        <v>89.86</v>
      </c>
      <c r="N30" s="51">
        <v>0</v>
      </c>
      <c r="O30" s="51">
        <v>0</v>
      </c>
      <c r="P30" s="51">
        <v>0.6</v>
      </c>
      <c r="Q30" s="51">
        <v>4.09</v>
      </c>
    </row>
    <row r="31" spans="1:17" customFormat="1">
      <c r="A31" s="50" t="s">
        <v>654</v>
      </c>
      <c r="B31" s="51">
        <v>8.6</v>
      </c>
      <c r="C31" s="51">
        <v>21.42</v>
      </c>
      <c r="D31" s="51">
        <v>17.04</v>
      </c>
      <c r="E31" s="51">
        <v>7.21</v>
      </c>
      <c r="F31" s="51">
        <v>12.17</v>
      </c>
      <c r="G31" s="51">
        <v>31.4</v>
      </c>
      <c r="H31" s="51">
        <v>11.48</v>
      </c>
      <c r="I31" s="51">
        <v>3.64</v>
      </c>
      <c r="J31" s="51">
        <v>0.28000000000000003</v>
      </c>
      <c r="K31" s="51">
        <v>232.58</v>
      </c>
      <c r="L31" s="51">
        <v>28.92</v>
      </c>
      <c r="M31" s="51">
        <v>90.7</v>
      </c>
      <c r="N31" s="51">
        <v>0</v>
      </c>
      <c r="O31" s="51">
        <v>0</v>
      </c>
      <c r="P31" s="51">
        <v>0.54</v>
      </c>
      <c r="Q31" s="51">
        <v>4.13</v>
      </c>
    </row>
    <row r="32" spans="1:17" customFormat="1">
      <c r="A32" s="50" t="s">
        <v>655</v>
      </c>
      <c r="B32" s="51">
        <v>19.93</v>
      </c>
      <c r="C32" s="51">
        <v>25.2</v>
      </c>
      <c r="D32" s="51">
        <v>28.1</v>
      </c>
      <c r="E32" s="51">
        <v>6.66</v>
      </c>
      <c r="F32" s="51">
        <v>9.77</v>
      </c>
      <c r="G32" s="51">
        <v>26.02</v>
      </c>
      <c r="H32" s="51">
        <v>10.119999999999999</v>
      </c>
      <c r="I32" s="51">
        <v>3.8</v>
      </c>
      <c r="J32" s="51">
        <v>0.21</v>
      </c>
      <c r="K32" s="51">
        <v>275.88</v>
      </c>
      <c r="L32" s="51">
        <v>28.91</v>
      </c>
      <c r="M32" s="51">
        <v>91.14</v>
      </c>
      <c r="N32" s="51">
        <v>0</v>
      </c>
      <c r="O32" s="51">
        <v>0</v>
      </c>
      <c r="P32" s="51">
        <v>0.59</v>
      </c>
      <c r="Q32" s="51">
        <v>4.13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7.54</v>
      </c>
      <c r="C34" s="41">
        <f t="shared" si="0"/>
        <v>19.420000000000002</v>
      </c>
      <c r="D34" s="41">
        <f t="shared" si="0"/>
        <v>15.43</v>
      </c>
      <c r="E34" s="41">
        <f t="shared" si="0"/>
        <v>5.1100000000000003</v>
      </c>
      <c r="F34" s="41">
        <f t="shared" si="0"/>
        <v>3.09</v>
      </c>
      <c r="G34" s="41">
        <f t="shared" si="0"/>
        <v>20.64</v>
      </c>
      <c r="H34" s="41">
        <f t="shared" si="0"/>
        <v>5.96</v>
      </c>
      <c r="I34" s="41">
        <f t="shared" si="0"/>
        <v>3.18</v>
      </c>
      <c r="J34" s="41">
        <f t="shared" si="0"/>
        <v>0.13</v>
      </c>
      <c r="K34" s="41">
        <f t="shared" si="0"/>
        <v>49.24</v>
      </c>
      <c r="L34" s="41">
        <f t="shared" si="0"/>
        <v>26.23</v>
      </c>
      <c r="M34" s="41">
        <f t="shared" si="0"/>
        <v>62</v>
      </c>
      <c r="N34" s="41">
        <f t="shared" si="0"/>
        <v>0</v>
      </c>
      <c r="O34" s="41">
        <f t="shared" si="0"/>
        <v>0</v>
      </c>
      <c r="P34" s="41">
        <f t="shared" si="0"/>
        <v>0.5</v>
      </c>
      <c r="Q34" s="41">
        <f t="shared" si="0"/>
        <v>4.09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31.01</v>
      </c>
      <c r="C35" s="33">
        <f t="shared" si="1"/>
        <v>30.15</v>
      </c>
      <c r="D35" s="33">
        <f t="shared" si="1"/>
        <v>38.47</v>
      </c>
      <c r="E35" s="33">
        <f t="shared" si="1"/>
        <v>15.81</v>
      </c>
      <c r="F35" s="33">
        <f t="shared" si="1"/>
        <v>18.84</v>
      </c>
      <c r="G35" s="33">
        <f t="shared" si="1"/>
        <v>45.67</v>
      </c>
      <c r="H35" s="33">
        <f t="shared" si="1"/>
        <v>13.68</v>
      </c>
      <c r="I35" s="33">
        <f t="shared" si="1"/>
        <v>6.42</v>
      </c>
      <c r="J35" s="33">
        <f t="shared" si="1"/>
        <v>1.17</v>
      </c>
      <c r="K35" s="33">
        <f t="shared" si="1"/>
        <v>282.31</v>
      </c>
      <c r="L35" s="33">
        <f t="shared" si="1"/>
        <v>33.5</v>
      </c>
      <c r="M35" s="33">
        <f t="shared" si="1"/>
        <v>108.25</v>
      </c>
      <c r="N35" s="33">
        <f t="shared" si="1"/>
        <v>882.7</v>
      </c>
      <c r="O35" s="33">
        <f t="shared" si="1"/>
        <v>0</v>
      </c>
      <c r="P35" s="33">
        <f t="shared" si="1"/>
        <v>0.81</v>
      </c>
      <c r="Q35" s="33">
        <f t="shared" si="1"/>
        <v>5.21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19.18375</v>
      </c>
      <c r="C36" s="41">
        <f t="shared" si="2"/>
        <v>24.993750000000002</v>
      </c>
      <c r="D36" s="41">
        <f t="shared" si="2"/>
        <v>27.090833333333325</v>
      </c>
      <c r="E36" s="41">
        <f t="shared" si="2"/>
        <v>7.8225000000000007</v>
      </c>
      <c r="F36" s="41">
        <f t="shared" si="2"/>
        <v>9.4283333333333328</v>
      </c>
      <c r="G36" s="41">
        <f t="shared" si="2"/>
        <v>33.06333333333334</v>
      </c>
      <c r="H36" s="41">
        <f t="shared" si="2"/>
        <v>9.9129166666666659</v>
      </c>
      <c r="I36" s="41">
        <f t="shared" si="2"/>
        <v>4.6325000000000012</v>
      </c>
      <c r="J36" s="41">
        <f t="shared" si="2"/>
        <v>0.60083333333333322</v>
      </c>
      <c r="K36" s="41">
        <f t="shared" si="2"/>
        <v>120.15708333333333</v>
      </c>
      <c r="L36" s="41">
        <f t="shared" si="2"/>
        <v>29.820416666666663</v>
      </c>
      <c r="M36" s="41">
        <f t="shared" si="2"/>
        <v>86.453333333333319</v>
      </c>
      <c r="N36" s="41">
        <f t="shared" si="2"/>
        <v>214.64166666666665</v>
      </c>
      <c r="O36" s="41">
        <f t="shared" si="2"/>
        <v>0</v>
      </c>
      <c r="P36" s="41">
        <f t="shared" si="2"/>
        <v>0.62416666666666654</v>
      </c>
      <c r="Q36" s="41">
        <f t="shared" si="2"/>
        <v>4.5654166666666667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7.915413588853629</v>
      </c>
      <c r="C37" s="41">
        <f t="shared" ref="C37:Q37" si="3">STDEV(C9:C32)</f>
        <v>3.3316555650828574</v>
      </c>
      <c r="D37" s="41">
        <f t="shared" si="3"/>
        <v>7.699929371029385</v>
      </c>
      <c r="E37" s="41">
        <f t="shared" si="3"/>
        <v>2.4650765046774996</v>
      </c>
      <c r="F37" s="41">
        <f t="shared" si="3"/>
        <v>5.4290191817088216</v>
      </c>
      <c r="G37" s="41">
        <f t="shared" si="3"/>
        <v>8.3006949246363568</v>
      </c>
      <c r="H37" s="41">
        <f t="shared" si="3"/>
        <v>2.37803257952354</v>
      </c>
      <c r="I37" s="41">
        <f t="shared" si="3"/>
        <v>1.1225679024683404</v>
      </c>
      <c r="J37" s="41">
        <f t="shared" si="3"/>
        <v>0.35882558033318834</v>
      </c>
      <c r="K37" s="41">
        <f t="shared" si="3"/>
        <v>81.217678974960322</v>
      </c>
      <c r="L37" s="41">
        <f t="shared" si="3"/>
        <v>2.6171798282929308</v>
      </c>
      <c r="M37" s="41">
        <f t="shared" si="3"/>
        <v>14.384733352523039</v>
      </c>
      <c r="N37" s="41">
        <f t="shared" si="3"/>
        <v>326.70944798979582</v>
      </c>
      <c r="O37" s="41">
        <f t="shared" si="3"/>
        <v>0</v>
      </c>
      <c r="P37" s="41">
        <f t="shared" si="3"/>
        <v>0.11001646780553348</v>
      </c>
      <c r="Q37" s="41">
        <f t="shared" si="3"/>
        <v>0.39397615428466309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26/07/2023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656</v>
      </c>
      <c r="B9" s="51">
        <v>17.02</v>
      </c>
      <c r="C9" s="51">
        <v>27.92</v>
      </c>
      <c r="D9" s="51">
        <v>24.81</v>
      </c>
      <c r="E9" s="51">
        <v>7.51</v>
      </c>
      <c r="F9" s="51">
        <v>8.68</v>
      </c>
      <c r="G9" s="51">
        <v>26.02</v>
      </c>
      <c r="H9" s="51">
        <v>10.119999999999999</v>
      </c>
      <c r="I9" s="51">
        <v>4.18</v>
      </c>
      <c r="J9" s="51">
        <v>0.38</v>
      </c>
      <c r="K9" s="51">
        <v>235.93</v>
      </c>
      <c r="L9" s="51">
        <v>28.91</v>
      </c>
      <c r="M9" s="51">
        <v>95.62</v>
      </c>
      <c r="N9" s="51">
        <v>0.1</v>
      </c>
      <c r="O9" s="51">
        <v>1</v>
      </c>
      <c r="P9" s="51">
        <v>0.59</v>
      </c>
      <c r="Q9" s="51">
        <v>4.38</v>
      </c>
    </row>
    <row r="10" spans="1:21" customFormat="1">
      <c r="A10" s="50" t="s">
        <v>657</v>
      </c>
      <c r="B10" s="51">
        <v>17.399999999999999</v>
      </c>
      <c r="C10" s="51">
        <v>27.52</v>
      </c>
      <c r="D10" s="51">
        <v>27.02</v>
      </c>
      <c r="E10" s="51">
        <v>6.71</v>
      </c>
      <c r="F10" s="51">
        <v>5.09</v>
      </c>
      <c r="G10" s="51">
        <v>23.65</v>
      </c>
      <c r="H10" s="51">
        <v>9.06</v>
      </c>
      <c r="I10" s="51">
        <v>3.91</v>
      </c>
      <c r="J10" s="51">
        <v>0.21</v>
      </c>
      <c r="K10" s="51">
        <v>238.66</v>
      </c>
      <c r="L10" s="51">
        <v>26.95</v>
      </c>
      <c r="M10" s="51">
        <v>97.96</v>
      </c>
      <c r="N10" s="51">
        <v>0</v>
      </c>
      <c r="O10" s="51">
        <v>0</v>
      </c>
      <c r="P10" s="51">
        <v>0.55000000000000004</v>
      </c>
      <c r="Q10" s="51">
        <v>4.47</v>
      </c>
    </row>
    <row r="11" spans="1:21" customFormat="1">
      <c r="A11" s="50" t="s">
        <v>658</v>
      </c>
      <c r="B11" s="51">
        <v>22.96</v>
      </c>
      <c r="C11" s="51">
        <v>26.94</v>
      </c>
      <c r="D11" s="51">
        <v>30.13</v>
      </c>
      <c r="E11" s="51">
        <v>7.22</v>
      </c>
      <c r="F11" s="51">
        <v>3.55</v>
      </c>
      <c r="G11" s="51">
        <v>33.119999999999997</v>
      </c>
      <c r="H11" s="51">
        <v>9.06</v>
      </c>
      <c r="I11" s="51">
        <v>3.91</v>
      </c>
      <c r="J11" s="51">
        <v>0.22</v>
      </c>
      <c r="K11" s="51">
        <v>181.08</v>
      </c>
      <c r="L11" s="51">
        <v>26.93</v>
      </c>
      <c r="M11" s="51">
        <v>97.9</v>
      </c>
      <c r="N11" s="51">
        <v>0</v>
      </c>
      <c r="O11" s="51">
        <v>0</v>
      </c>
      <c r="P11" s="51">
        <v>0.55000000000000004</v>
      </c>
      <c r="Q11" s="51">
        <v>4.57</v>
      </c>
    </row>
    <row r="12" spans="1:21" customFormat="1">
      <c r="A12" s="50" t="s">
        <v>659</v>
      </c>
      <c r="B12" s="51">
        <v>20.48</v>
      </c>
      <c r="C12" s="51">
        <v>26.6</v>
      </c>
      <c r="D12" s="51">
        <v>29.28</v>
      </c>
      <c r="E12" s="51">
        <v>8.24</v>
      </c>
      <c r="F12" s="51">
        <v>4.24</v>
      </c>
      <c r="G12" s="51">
        <v>33.119999999999997</v>
      </c>
      <c r="H12" s="51">
        <v>9.19</v>
      </c>
      <c r="I12" s="51">
        <v>4.01</v>
      </c>
      <c r="J12" s="51">
        <v>0.25</v>
      </c>
      <c r="K12" s="51">
        <v>329.67</v>
      </c>
      <c r="L12" s="51">
        <v>27</v>
      </c>
      <c r="M12" s="51">
        <v>95.3</v>
      </c>
      <c r="N12" s="51">
        <v>0</v>
      </c>
      <c r="O12" s="51">
        <v>0</v>
      </c>
      <c r="P12" s="51">
        <v>0.6</v>
      </c>
      <c r="Q12" s="51">
        <v>4.71</v>
      </c>
    </row>
    <row r="13" spans="1:21" customFormat="1">
      <c r="A13" s="50" t="s">
        <v>660</v>
      </c>
      <c r="B13" s="51">
        <v>21.25</v>
      </c>
      <c r="C13" s="51">
        <v>28.18</v>
      </c>
      <c r="D13" s="51">
        <v>30.71</v>
      </c>
      <c r="E13" s="51">
        <v>9.18</v>
      </c>
      <c r="F13" s="51">
        <v>7.48</v>
      </c>
      <c r="G13" s="51">
        <v>46.89</v>
      </c>
      <c r="H13" s="51">
        <v>14.02</v>
      </c>
      <c r="I13" s="51">
        <v>4.63</v>
      </c>
      <c r="J13" s="51">
        <v>0.28000000000000003</v>
      </c>
      <c r="K13" s="51">
        <v>61.25</v>
      </c>
      <c r="L13" s="51">
        <v>27.06</v>
      </c>
      <c r="M13" s="51">
        <v>95.41</v>
      </c>
      <c r="N13" s="51">
        <v>0</v>
      </c>
      <c r="O13" s="51">
        <v>0</v>
      </c>
      <c r="P13" s="51">
        <v>0.59</v>
      </c>
      <c r="Q13" s="51">
        <v>4.8099999999999996</v>
      </c>
    </row>
    <row r="14" spans="1:21" customFormat="1">
      <c r="A14" s="50" t="s">
        <v>661</v>
      </c>
      <c r="B14" s="51">
        <v>22.24</v>
      </c>
      <c r="C14" s="51">
        <v>27.69</v>
      </c>
      <c r="D14" s="51">
        <v>31.26</v>
      </c>
      <c r="E14" s="51">
        <v>9.74</v>
      </c>
      <c r="F14" s="51">
        <v>7.44</v>
      </c>
      <c r="G14" s="51">
        <v>46.89</v>
      </c>
      <c r="H14" s="51">
        <v>17.12</v>
      </c>
      <c r="I14" s="51">
        <v>4.3899999999999997</v>
      </c>
      <c r="J14" s="51">
        <v>0.67</v>
      </c>
      <c r="K14" s="51">
        <v>46.7</v>
      </c>
      <c r="L14" s="51">
        <v>27.04</v>
      </c>
      <c r="M14" s="51">
        <v>96.18</v>
      </c>
      <c r="N14" s="51">
        <v>12.7</v>
      </c>
      <c r="O14" s="51">
        <v>0</v>
      </c>
      <c r="P14" s="51">
        <v>0.57999999999999996</v>
      </c>
      <c r="Q14" s="51">
        <v>4.7699999999999996</v>
      </c>
    </row>
    <row r="15" spans="1:21" customFormat="1">
      <c r="A15" s="50" t="s">
        <v>662</v>
      </c>
      <c r="B15" s="51">
        <v>21.77</v>
      </c>
      <c r="C15" s="51">
        <v>28.22</v>
      </c>
      <c r="D15" s="51">
        <v>31.15</v>
      </c>
      <c r="E15" s="51">
        <v>9.1300000000000008</v>
      </c>
      <c r="F15" s="51">
        <v>6.12</v>
      </c>
      <c r="G15" s="51">
        <v>45.48</v>
      </c>
      <c r="H15" s="51">
        <v>17.12</v>
      </c>
      <c r="I15" s="51">
        <v>4.4800000000000004</v>
      </c>
      <c r="J15" s="51">
        <v>0.56999999999999995</v>
      </c>
      <c r="K15" s="51">
        <v>72.61</v>
      </c>
      <c r="L15" s="51">
        <v>28.28</v>
      </c>
      <c r="M15" s="51">
        <v>94.21</v>
      </c>
      <c r="N15" s="51">
        <v>53.5</v>
      </c>
      <c r="O15" s="51">
        <v>0</v>
      </c>
      <c r="P15" s="51">
        <v>0.59</v>
      </c>
      <c r="Q15" s="51">
        <v>4.84</v>
      </c>
    </row>
    <row r="16" spans="1:21" customFormat="1">
      <c r="A16" s="50" t="s">
        <v>663</v>
      </c>
      <c r="B16" s="51">
        <v>22.74</v>
      </c>
      <c r="C16" s="51">
        <v>27.99</v>
      </c>
      <c r="D16" s="51">
        <v>31.74</v>
      </c>
      <c r="E16" s="51">
        <v>14.91</v>
      </c>
      <c r="F16" s="51">
        <v>4.7</v>
      </c>
      <c r="G16" s="51">
        <v>41.66</v>
      </c>
      <c r="H16" s="51">
        <v>13.41</v>
      </c>
      <c r="I16" s="51">
        <v>4.43</v>
      </c>
      <c r="J16" s="51">
        <v>0.98</v>
      </c>
      <c r="K16" s="51">
        <v>69.5</v>
      </c>
      <c r="L16" s="51">
        <v>29.46</v>
      </c>
      <c r="M16" s="51">
        <v>85.39</v>
      </c>
      <c r="N16" s="51">
        <v>101.7</v>
      </c>
      <c r="O16" s="51">
        <v>0</v>
      </c>
      <c r="P16" s="51">
        <v>0.56000000000000005</v>
      </c>
      <c r="Q16" s="51">
        <v>4.78</v>
      </c>
    </row>
    <row r="17" spans="1:17" customFormat="1">
      <c r="A17" s="50" t="s">
        <v>664</v>
      </c>
      <c r="B17" s="51">
        <v>22.97</v>
      </c>
      <c r="C17" s="51">
        <v>25.9</v>
      </c>
      <c r="D17" s="51">
        <v>30.91</v>
      </c>
      <c r="E17" s="51">
        <v>17.190000000000001</v>
      </c>
      <c r="F17" s="51">
        <v>5.3</v>
      </c>
      <c r="G17" s="51">
        <v>36.51</v>
      </c>
      <c r="H17" s="51">
        <v>11.72</v>
      </c>
      <c r="I17" s="51">
        <v>4.26</v>
      </c>
      <c r="J17" s="51">
        <v>1.1000000000000001</v>
      </c>
      <c r="K17" s="51">
        <v>58.6</v>
      </c>
      <c r="L17" s="51">
        <v>30.31</v>
      </c>
      <c r="M17" s="51">
        <v>75.7</v>
      </c>
      <c r="N17" s="51">
        <v>151.9</v>
      </c>
      <c r="O17" s="51">
        <v>0</v>
      </c>
      <c r="P17" s="51">
        <v>0.55000000000000004</v>
      </c>
      <c r="Q17" s="51">
        <v>4.75</v>
      </c>
    </row>
    <row r="18" spans="1:17" customFormat="1">
      <c r="A18" s="50" t="s">
        <v>665</v>
      </c>
      <c r="B18" s="51">
        <v>22.12</v>
      </c>
      <c r="C18" s="51">
        <v>26.08</v>
      </c>
      <c r="D18" s="51">
        <v>30.32</v>
      </c>
      <c r="E18" s="51">
        <v>11.92</v>
      </c>
      <c r="F18" s="51">
        <v>6.22</v>
      </c>
      <c r="G18" s="51">
        <v>31.34</v>
      </c>
      <c r="H18" s="51">
        <v>10.74</v>
      </c>
      <c r="I18" s="51">
        <v>4.07</v>
      </c>
      <c r="J18" s="51">
        <v>1.52</v>
      </c>
      <c r="K18" s="51">
        <v>61.55</v>
      </c>
      <c r="L18" s="51">
        <v>30.97</v>
      </c>
      <c r="M18" s="51">
        <v>73.510000000000005</v>
      </c>
      <c r="N18" s="51">
        <v>317.60000000000002</v>
      </c>
      <c r="O18" s="51">
        <v>0</v>
      </c>
      <c r="P18" s="51">
        <v>0.55000000000000004</v>
      </c>
      <c r="Q18" s="51">
        <v>4.75</v>
      </c>
    </row>
    <row r="19" spans="1:17" customFormat="1">
      <c r="A19" s="50" t="s">
        <v>666</v>
      </c>
      <c r="B19" s="51">
        <v>21.11</v>
      </c>
      <c r="C19" s="51">
        <v>23.2</v>
      </c>
      <c r="D19" s="51">
        <v>28.01</v>
      </c>
      <c r="E19" s="51">
        <v>6.95</v>
      </c>
      <c r="F19" s="51">
        <v>7.34</v>
      </c>
      <c r="G19" s="51">
        <v>28.16</v>
      </c>
      <c r="H19" s="51">
        <v>7.65</v>
      </c>
      <c r="I19" s="51">
        <v>3.94</v>
      </c>
      <c r="J19" s="51">
        <v>1.62</v>
      </c>
      <c r="K19" s="51">
        <v>47.96</v>
      </c>
      <c r="L19" s="51">
        <v>31.54</v>
      </c>
      <c r="M19" s="51">
        <v>73.73</v>
      </c>
      <c r="N19" s="51">
        <v>282.3</v>
      </c>
      <c r="O19" s="51">
        <v>0</v>
      </c>
      <c r="P19" s="51">
        <v>0.52</v>
      </c>
      <c r="Q19" s="51">
        <v>4.68</v>
      </c>
    </row>
    <row r="20" spans="1:17" customFormat="1">
      <c r="A20" s="50" t="s">
        <v>667</v>
      </c>
      <c r="B20" s="51">
        <v>18.18</v>
      </c>
      <c r="C20" s="51">
        <v>21.38</v>
      </c>
      <c r="D20" s="51">
        <v>24.71</v>
      </c>
      <c r="E20" s="51">
        <v>6.88</v>
      </c>
      <c r="F20" s="51">
        <v>9.0299999999999994</v>
      </c>
      <c r="G20" s="51">
        <v>29.05</v>
      </c>
      <c r="H20" s="51">
        <v>9.1</v>
      </c>
      <c r="I20" s="51">
        <v>4.17</v>
      </c>
      <c r="J20" s="51">
        <v>1.25</v>
      </c>
      <c r="K20" s="51">
        <v>59.89</v>
      </c>
      <c r="L20" s="51">
        <v>32.72</v>
      </c>
      <c r="M20" s="51">
        <v>75.680000000000007</v>
      </c>
      <c r="N20" s="51">
        <v>827.3</v>
      </c>
      <c r="O20" s="51">
        <v>0</v>
      </c>
      <c r="P20" s="51">
        <v>0.51</v>
      </c>
      <c r="Q20" s="51">
        <v>4.5199999999999996</v>
      </c>
    </row>
    <row r="21" spans="1:17" customFormat="1">
      <c r="A21" s="50" t="s">
        <v>668</v>
      </c>
      <c r="B21" s="51">
        <v>14.51</v>
      </c>
      <c r="C21" s="51">
        <v>21.05</v>
      </c>
      <c r="D21" s="51">
        <v>20.93</v>
      </c>
      <c r="E21" s="51">
        <v>5.77</v>
      </c>
      <c r="F21" s="51">
        <v>9.2200000000000006</v>
      </c>
      <c r="G21" s="51">
        <v>26.55</v>
      </c>
      <c r="H21" s="51">
        <v>6.49</v>
      </c>
      <c r="I21" s="51">
        <v>3.94</v>
      </c>
      <c r="J21" s="51">
        <v>1.37</v>
      </c>
      <c r="K21" s="51">
        <v>53.41</v>
      </c>
      <c r="L21" s="51">
        <v>32.94</v>
      </c>
      <c r="M21" s="51">
        <v>65.53</v>
      </c>
      <c r="N21" s="51">
        <v>1009.2</v>
      </c>
      <c r="O21" s="51">
        <v>0</v>
      </c>
      <c r="P21" s="51">
        <v>0.48</v>
      </c>
      <c r="Q21" s="51">
        <v>4.38</v>
      </c>
    </row>
    <row r="22" spans="1:17" customFormat="1">
      <c r="A22" s="50" t="s">
        <v>669</v>
      </c>
      <c r="B22" s="51">
        <v>10.36</v>
      </c>
      <c r="C22" s="51">
        <v>19.559999999999999</v>
      </c>
      <c r="D22" s="51">
        <v>17.09</v>
      </c>
      <c r="E22" s="51">
        <v>7.03</v>
      </c>
      <c r="F22" s="51">
        <v>13.21</v>
      </c>
      <c r="G22" s="51">
        <v>22.85</v>
      </c>
      <c r="H22" s="51">
        <v>4.5999999999999996</v>
      </c>
      <c r="I22" s="51">
        <v>3.55</v>
      </c>
      <c r="J22" s="51">
        <v>1.32</v>
      </c>
      <c r="K22" s="51">
        <v>51.68</v>
      </c>
      <c r="L22" s="51">
        <v>33.31</v>
      </c>
      <c r="M22" s="51">
        <v>68.319999999999993</v>
      </c>
      <c r="N22" s="51">
        <v>951.7</v>
      </c>
      <c r="O22" s="51">
        <v>0</v>
      </c>
      <c r="P22" s="51">
        <v>0.44</v>
      </c>
      <c r="Q22" s="51">
        <v>4.04</v>
      </c>
    </row>
    <row r="23" spans="1:17" customFormat="1">
      <c r="A23" s="50" t="s">
        <v>670</v>
      </c>
      <c r="B23" s="51">
        <v>4.6399999999999997</v>
      </c>
      <c r="C23" s="51">
        <v>22.04</v>
      </c>
      <c r="D23" s="51">
        <v>14.01</v>
      </c>
      <c r="E23" s="51">
        <v>8.33</v>
      </c>
      <c r="F23" s="51">
        <v>13.42</v>
      </c>
      <c r="G23" s="51">
        <v>22.09</v>
      </c>
      <c r="H23" s="51">
        <v>6.37</v>
      </c>
      <c r="I23" s="51">
        <v>2.84</v>
      </c>
      <c r="J23" s="51">
        <v>1.46</v>
      </c>
      <c r="K23" s="51">
        <v>49.79</v>
      </c>
      <c r="L23" s="51">
        <v>33.479999999999997</v>
      </c>
      <c r="M23" s="51">
        <v>76.819999999999993</v>
      </c>
      <c r="N23" s="51">
        <v>782.1</v>
      </c>
      <c r="O23" s="51">
        <v>0</v>
      </c>
      <c r="P23" s="51">
        <v>0.42</v>
      </c>
      <c r="Q23" s="51">
        <v>3.8</v>
      </c>
    </row>
    <row r="24" spans="1:17" customFormat="1">
      <c r="A24" s="50" t="s">
        <v>671</v>
      </c>
      <c r="B24" s="51">
        <v>8.57</v>
      </c>
      <c r="C24" s="51">
        <v>23.94</v>
      </c>
      <c r="D24" s="51">
        <v>17.75</v>
      </c>
      <c r="E24" s="51">
        <v>26.22</v>
      </c>
      <c r="F24" s="51">
        <v>15.93</v>
      </c>
      <c r="G24" s="51">
        <v>25.25</v>
      </c>
      <c r="H24" s="51">
        <v>6.37</v>
      </c>
      <c r="I24" s="51">
        <v>2.99</v>
      </c>
      <c r="J24" s="51">
        <v>1.43</v>
      </c>
      <c r="K24" s="51">
        <v>44.93</v>
      </c>
      <c r="L24" s="51">
        <v>33.700000000000003</v>
      </c>
      <c r="M24" s="51">
        <v>76.45</v>
      </c>
      <c r="N24" s="51">
        <v>595.29999999999995</v>
      </c>
      <c r="O24" s="51">
        <v>0</v>
      </c>
      <c r="P24" s="51">
        <v>0.42</v>
      </c>
      <c r="Q24" s="51">
        <v>3.97</v>
      </c>
    </row>
    <row r="25" spans="1:17" customFormat="1">
      <c r="A25" s="50" t="s">
        <v>672</v>
      </c>
      <c r="B25" s="51">
        <v>7.21</v>
      </c>
      <c r="C25" s="51">
        <v>24.21</v>
      </c>
      <c r="D25" s="51">
        <v>17.38</v>
      </c>
      <c r="E25" s="51">
        <v>24.27</v>
      </c>
      <c r="F25" s="51">
        <v>14.15</v>
      </c>
      <c r="G25" s="51">
        <v>26.07</v>
      </c>
      <c r="H25" s="51">
        <v>5.78</v>
      </c>
      <c r="I25" s="51">
        <v>2.62</v>
      </c>
      <c r="J25" s="51">
        <v>1.38</v>
      </c>
      <c r="K25" s="51">
        <v>56.47</v>
      </c>
      <c r="L25" s="51">
        <v>33.36</v>
      </c>
      <c r="M25" s="51">
        <v>73.7</v>
      </c>
      <c r="N25" s="51">
        <v>330.3</v>
      </c>
      <c r="O25" s="51">
        <v>0</v>
      </c>
      <c r="P25" s="51">
        <v>0.42</v>
      </c>
      <c r="Q25" s="51">
        <v>4.22</v>
      </c>
    </row>
    <row r="26" spans="1:17" customFormat="1">
      <c r="A26" s="50" t="s">
        <v>673</v>
      </c>
      <c r="B26" s="51">
        <v>7.63</v>
      </c>
      <c r="C26" s="51">
        <v>21.4</v>
      </c>
      <c r="D26" s="51">
        <v>15.78</v>
      </c>
      <c r="E26" s="51">
        <v>11.88</v>
      </c>
      <c r="F26" s="51">
        <v>12.29</v>
      </c>
      <c r="G26" s="51">
        <v>28.44</v>
      </c>
      <c r="H26" s="51">
        <v>7.69</v>
      </c>
      <c r="I26" s="51">
        <v>2.57</v>
      </c>
      <c r="J26" s="51">
        <v>1.17</v>
      </c>
      <c r="K26" s="51">
        <v>55.2</v>
      </c>
      <c r="L26" s="51">
        <v>33.130000000000003</v>
      </c>
      <c r="M26" s="51">
        <v>74.58</v>
      </c>
      <c r="N26" s="51">
        <v>133.80000000000001</v>
      </c>
      <c r="O26" s="51">
        <v>0</v>
      </c>
      <c r="P26" s="51">
        <v>0.46</v>
      </c>
      <c r="Q26" s="51">
        <v>3.9</v>
      </c>
    </row>
    <row r="27" spans="1:17" customFormat="1">
      <c r="A27" s="50" t="s">
        <v>674</v>
      </c>
      <c r="B27" s="51">
        <v>7.84</v>
      </c>
      <c r="C27" s="51">
        <v>21.51</v>
      </c>
      <c r="D27" s="51">
        <v>16.48</v>
      </c>
      <c r="E27" s="51">
        <v>11.19</v>
      </c>
      <c r="F27" s="51">
        <v>14.88</v>
      </c>
      <c r="G27" s="51">
        <v>30.74</v>
      </c>
      <c r="H27" s="51">
        <v>8.49</v>
      </c>
      <c r="I27" s="51">
        <v>2.54</v>
      </c>
      <c r="J27" s="51">
        <v>1</v>
      </c>
      <c r="K27" s="51">
        <v>94.6</v>
      </c>
      <c r="L27" s="51">
        <v>32.49</v>
      </c>
      <c r="M27" s="51">
        <v>90.2</v>
      </c>
      <c r="N27" s="51">
        <v>39.4</v>
      </c>
      <c r="O27" s="51">
        <v>6</v>
      </c>
      <c r="P27" s="51">
        <v>0.48</v>
      </c>
      <c r="Q27" s="51">
        <v>3.9</v>
      </c>
    </row>
    <row r="28" spans="1:17" customFormat="1">
      <c r="A28" s="50" t="s">
        <v>675</v>
      </c>
      <c r="B28" s="51">
        <v>7.19</v>
      </c>
      <c r="C28" s="51">
        <v>23.24</v>
      </c>
      <c r="D28" s="51">
        <v>16.75</v>
      </c>
      <c r="E28" s="51">
        <v>6.5</v>
      </c>
      <c r="F28" s="51">
        <v>7.25</v>
      </c>
      <c r="G28" s="51">
        <v>30.74</v>
      </c>
      <c r="H28" s="51">
        <v>8.49</v>
      </c>
      <c r="I28" s="51">
        <v>3.02</v>
      </c>
      <c r="J28" s="51">
        <v>1.0900000000000001</v>
      </c>
      <c r="K28" s="51">
        <v>186.1</v>
      </c>
      <c r="L28" s="51">
        <v>25.83</v>
      </c>
      <c r="M28" s="51">
        <v>106.26</v>
      </c>
      <c r="N28" s="51">
        <v>0.1</v>
      </c>
      <c r="O28" s="51">
        <v>5.2</v>
      </c>
      <c r="P28" s="51">
        <v>0.47</v>
      </c>
      <c r="Q28" s="51">
        <v>4.08</v>
      </c>
    </row>
    <row r="29" spans="1:17" customFormat="1">
      <c r="A29" s="50" t="s">
        <v>676</v>
      </c>
      <c r="B29" s="51">
        <v>10.26</v>
      </c>
      <c r="C29" s="51">
        <v>21.24</v>
      </c>
      <c r="D29" s="51">
        <v>18.059999999999999</v>
      </c>
      <c r="E29" s="51">
        <v>5.79</v>
      </c>
      <c r="F29" s="51">
        <v>7.54</v>
      </c>
      <c r="G29" s="51">
        <v>23.86</v>
      </c>
      <c r="H29" s="51">
        <v>6</v>
      </c>
      <c r="I29" s="51">
        <v>3.03</v>
      </c>
      <c r="J29" s="51">
        <v>0.61</v>
      </c>
      <c r="K29" s="51">
        <v>59.95</v>
      </c>
      <c r="L29" s="51">
        <v>26.13</v>
      </c>
      <c r="M29" s="51">
        <v>107.07</v>
      </c>
      <c r="N29" s="51">
        <v>0</v>
      </c>
      <c r="O29" s="51">
        <v>0.2</v>
      </c>
      <c r="P29" s="51">
        <v>0.49</v>
      </c>
      <c r="Q29" s="51">
        <v>4.05</v>
      </c>
    </row>
    <row r="30" spans="1:17" customFormat="1">
      <c r="A30" s="50" t="s">
        <v>677</v>
      </c>
      <c r="B30" s="51">
        <v>12.88</v>
      </c>
      <c r="C30" s="51">
        <v>22.12</v>
      </c>
      <c r="D30" s="51">
        <v>20.309999999999999</v>
      </c>
      <c r="E30" s="51">
        <v>6.03</v>
      </c>
      <c r="F30" s="51">
        <v>5.91</v>
      </c>
      <c r="G30" s="51">
        <v>28.7</v>
      </c>
      <c r="H30" s="51">
        <v>6.21</v>
      </c>
      <c r="I30" s="51">
        <v>3.18</v>
      </c>
      <c r="J30" s="51">
        <v>0.7</v>
      </c>
      <c r="K30" s="51">
        <v>40.28</v>
      </c>
      <c r="L30" s="51">
        <v>26.03</v>
      </c>
      <c r="M30" s="51">
        <v>104.03</v>
      </c>
      <c r="N30" s="51">
        <v>0</v>
      </c>
      <c r="O30" s="51">
        <v>0</v>
      </c>
      <c r="P30" s="51">
        <v>0.5</v>
      </c>
      <c r="Q30" s="51">
        <v>4.16</v>
      </c>
    </row>
    <row r="31" spans="1:17" customFormat="1">
      <c r="A31" s="50" t="s">
        <v>678</v>
      </c>
      <c r="B31" s="51">
        <v>14.14</v>
      </c>
      <c r="C31" s="51">
        <v>21.74</v>
      </c>
      <c r="D31" s="51">
        <v>21.23</v>
      </c>
      <c r="E31" s="51">
        <v>5.78</v>
      </c>
      <c r="F31" s="51">
        <v>6.18</v>
      </c>
      <c r="G31" s="51">
        <v>30.49</v>
      </c>
      <c r="H31" s="51">
        <v>6.21</v>
      </c>
      <c r="I31" s="51">
        <v>3.22</v>
      </c>
      <c r="J31" s="51">
        <v>0.86</v>
      </c>
      <c r="K31" s="51">
        <v>42.17</v>
      </c>
      <c r="L31" s="51">
        <v>26.41</v>
      </c>
      <c r="M31" s="51">
        <v>107.55</v>
      </c>
      <c r="N31" s="51">
        <v>0</v>
      </c>
      <c r="O31" s="51">
        <v>0</v>
      </c>
      <c r="P31" s="51">
        <v>0.49</v>
      </c>
      <c r="Q31" s="51">
        <v>4.26</v>
      </c>
    </row>
    <row r="32" spans="1:17" customFormat="1">
      <c r="A32" s="50" t="s">
        <v>679</v>
      </c>
      <c r="B32" s="51">
        <v>15.19</v>
      </c>
      <c r="C32" s="51">
        <v>22.06</v>
      </c>
      <c r="D32" s="51">
        <v>22.58</v>
      </c>
      <c r="E32" s="51">
        <v>5.92</v>
      </c>
      <c r="F32" s="51">
        <v>4.95</v>
      </c>
      <c r="G32" s="51">
        <v>30.49</v>
      </c>
      <c r="H32" s="51">
        <v>5.96</v>
      </c>
      <c r="I32" s="51">
        <v>3.16</v>
      </c>
      <c r="J32" s="51">
        <v>0.51</v>
      </c>
      <c r="K32" s="51">
        <v>71.3</v>
      </c>
      <c r="L32" s="51">
        <v>26.47</v>
      </c>
      <c r="M32" s="51">
        <v>101.01</v>
      </c>
      <c r="N32" s="51">
        <v>0</v>
      </c>
      <c r="O32" s="51">
        <v>0</v>
      </c>
      <c r="P32" s="51">
        <v>0.49</v>
      </c>
      <c r="Q32" s="51">
        <v>4.3899999999999997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4.6399999999999997</v>
      </c>
      <c r="C34" s="41">
        <f t="shared" si="0"/>
        <v>19.559999999999999</v>
      </c>
      <c r="D34" s="41">
        <f t="shared" si="0"/>
        <v>14.01</v>
      </c>
      <c r="E34" s="41">
        <f t="shared" si="0"/>
        <v>5.77</v>
      </c>
      <c r="F34" s="41">
        <f t="shared" si="0"/>
        <v>3.55</v>
      </c>
      <c r="G34" s="41">
        <f t="shared" si="0"/>
        <v>22.09</v>
      </c>
      <c r="H34" s="41">
        <f t="shared" si="0"/>
        <v>4.5999999999999996</v>
      </c>
      <c r="I34" s="41">
        <f t="shared" si="0"/>
        <v>2.54</v>
      </c>
      <c r="J34" s="41">
        <f t="shared" si="0"/>
        <v>0.21</v>
      </c>
      <c r="K34" s="41">
        <f t="shared" si="0"/>
        <v>40.28</v>
      </c>
      <c r="L34" s="41">
        <f t="shared" si="0"/>
        <v>25.83</v>
      </c>
      <c r="M34" s="41">
        <f t="shared" si="0"/>
        <v>65.53</v>
      </c>
      <c r="N34" s="41">
        <f t="shared" si="0"/>
        <v>0</v>
      </c>
      <c r="O34" s="41">
        <f t="shared" si="0"/>
        <v>0</v>
      </c>
      <c r="P34" s="41">
        <f t="shared" si="0"/>
        <v>0.42</v>
      </c>
      <c r="Q34" s="41">
        <f t="shared" si="0"/>
        <v>3.8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22.97</v>
      </c>
      <c r="C35" s="33">
        <f t="shared" si="1"/>
        <v>28.22</v>
      </c>
      <c r="D35" s="33">
        <f t="shared" si="1"/>
        <v>31.74</v>
      </c>
      <c r="E35" s="33">
        <f t="shared" si="1"/>
        <v>26.22</v>
      </c>
      <c r="F35" s="33">
        <f t="shared" si="1"/>
        <v>15.93</v>
      </c>
      <c r="G35" s="33">
        <f t="shared" si="1"/>
        <v>46.89</v>
      </c>
      <c r="H35" s="33">
        <f t="shared" si="1"/>
        <v>17.12</v>
      </c>
      <c r="I35" s="33">
        <f t="shared" si="1"/>
        <v>4.63</v>
      </c>
      <c r="J35" s="33">
        <f t="shared" si="1"/>
        <v>1.62</v>
      </c>
      <c r="K35" s="33">
        <f t="shared" si="1"/>
        <v>329.67</v>
      </c>
      <c r="L35" s="33">
        <f t="shared" si="1"/>
        <v>33.700000000000003</v>
      </c>
      <c r="M35" s="33">
        <f t="shared" si="1"/>
        <v>107.55</v>
      </c>
      <c r="N35" s="33">
        <f t="shared" si="1"/>
        <v>1009.2</v>
      </c>
      <c r="O35" s="33">
        <f t="shared" si="1"/>
        <v>6</v>
      </c>
      <c r="P35" s="33">
        <f t="shared" si="1"/>
        <v>0.6</v>
      </c>
      <c r="Q35" s="33">
        <f t="shared" si="1"/>
        <v>4.84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15.444166666666662</v>
      </c>
      <c r="C36" s="41">
        <f t="shared" si="2"/>
        <v>24.238749999999996</v>
      </c>
      <c r="D36" s="41">
        <f t="shared" si="2"/>
        <v>23.683333333333334</v>
      </c>
      <c r="E36" s="41">
        <f t="shared" si="2"/>
        <v>10.012083333333333</v>
      </c>
      <c r="F36" s="41">
        <f t="shared" si="2"/>
        <v>8.3383333333333329</v>
      </c>
      <c r="G36" s="41">
        <f t="shared" si="2"/>
        <v>31.173333333333343</v>
      </c>
      <c r="H36" s="41">
        <f t="shared" si="2"/>
        <v>9.040416666666669</v>
      </c>
      <c r="I36" s="41">
        <f t="shared" si="2"/>
        <v>3.6266666666666665</v>
      </c>
      <c r="J36" s="41">
        <f t="shared" si="2"/>
        <v>0.9145833333333333</v>
      </c>
      <c r="K36" s="41">
        <f t="shared" si="2"/>
        <v>94.553333333333356</v>
      </c>
      <c r="L36" s="41">
        <f t="shared" si="2"/>
        <v>29.602083333333329</v>
      </c>
      <c r="M36" s="41">
        <f t="shared" si="2"/>
        <v>87.837916666666672</v>
      </c>
      <c r="N36" s="41">
        <f t="shared" si="2"/>
        <v>232.87500000000003</v>
      </c>
      <c r="O36" s="41">
        <f t="shared" si="2"/>
        <v>0.51666666666666661</v>
      </c>
      <c r="P36" s="41">
        <f t="shared" si="2"/>
        <v>0.51250000000000007</v>
      </c>
      <c r="Q36" s="41">
        <f t="shared" si="2"/>
        <v>4.3825000000000003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6.1954491830463976</v>
      </c>
      <c r="C37" s="41">
        <f t="shared" ref="C37:Q37" si="3">STDEV(C9:C32)</f>
        <v>2.8583703360938033</v>
      </c>
      <c r="D37" s="41">
        <f t="shared" si="3"/>
        <v>6.1183684004853802</v>
      </c>
      <c r="E37" s="41">
        <f t="shared" si="3"/>
        <v>5.553046151255276</v>
      </c>
      <c r="F37" s="41">
        <f t="shared" si="3"/>
        <v>3.6671190761741839</v>
      </c>
      <c r="G37" s="41">
        <f t="shared" si="3"/>
        <v>7.3549265752647397</v>
      </c>
      <c r="H37" s="41">
        <f t="shared" si="3"/>
        <v>3.4637419815125843</v>
      </c>
      <c r="I37" s="41">
        <f t="shared" si="3"/>
        <v>0.66963109030379131</v>
      </c>
      <c r="J37" s="41">
        <f t="shared" si="3"/>
        <v>0.45982963921592662</v>
      </c>
      <c r="K37" s="41">
        <f t="shared" si="3"/>
        <v>78.182631378557204</v>
      </c>
      <c r="L37" s="41">
        <f t="shared" si="3"/>
        <v>2.9689699270178536</v>
      </c>
      <c r="M37" s="41">
        <f t="shared" si="3"/>
        <v>13.573212422673388</v>
      </c>
      <c r="N37" s="41">
        <f t="shared" si="3"/>
        <v>337.42779871822364</v>
      </c>
      <c r="O37" s="41">
        <f t="shared" si="3"/>
        <v>1.5835202025500208</v>
      </c>
      <c r="P37" s="41">
        <f t="shared" si="3"/>
        <v>5.8029228017851639E-2</v>
      </c>
      <c r="Q37" s="41">
        <f t="shared" si="3"/>
        <v>0.33707501422886355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27/07/2023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680</v>
      </c>
      <c r="B9" s="51">
        <v>19.739999999999998</v>
      </c>
      <c r="C9" s="51">
        <v>21.85</v>
      </c>
      <c r="D9" s="51">
        <v>25.5</v>
      </c>
      <c r="E9" s="51">
        <v>5.83</v>
      </c>
      <c r="F9" s="51">
        <v>4.99</v>
      </c>
      <c r="G9" s="51">
        <v>29.48</v>
      </c>
      <c r="H9" s="51">
        <v>4.51</v>
      </c>
      <c r="I9" s="51">
        <v>3.14</v>
      </c>
      <c r="J9" s="51">
        <v>0.66</v>
      </c>
      <c r="K9" s="51">
        <v>35.83</v>
      </c>
      <c r="L9" s="51">
        <v>26.5</v>
      </c>
      <c r="M9" s="51">
        <v>102.27</v>
      </c>
      <c r="N9" s="51">
        <v>0</v>
      </c>
      <c r="O9" s="51">
        <v>0</v>
      </c>
      <c r="P9" s="51">
        <v>0.49</v>
      </c>
      <c r="Q9" s="51">
        <v>4.41</v>
      </c>
    </row>
    <row r="10" spans="1:21" customFormat="1">
      <c r="A10" s="50" t="s">
        <v>681</v>
      </c>
      <c r="B10" s="51">
        <v>18.45</v>
      </c>
      <c r="C10" s="51">
        <v>22.39</v>
      </c>
      <c r="D10" s="51">
        <v>25.45</v>
      </c>
      <c r="E10" s="51">
        <v>6.27</v>
      </c>
      <c r="F10" s="51">
        <v>5.22</v>
      </c>
      <c r="G10" s="51">
        <v>26.02</v>
      </c>
      <c r="H10" s="51">
        <v>3.29</v>
      </c>
      <c r="I10" s="51">
        <v>3.27</v>
      </c>
      <c r="J10" s="51">
        <v>0.64</v>
      </c>
      <c r="K10" s="51">
        <v>110.33</v>
      </c>
      <c r="L10" s="51">
        <v>26.67</v>
      </c>
      <c r="M10" s="51">
        <v>101.35</v>
      </c>
      <c r="N10" s="51">
        <v>0</v>
      </c>
      <c r="O10" s="51">
        <v>0</v>
      </c>
      <c r="P10" s="51">
        <v>0.49</v>
      </c>
      <c r="Q10" s="51">
        <v>4.49</v>
      </c>
    </row>
    <row r="11" spans="1:21" customFormat="1">
      <c r="A11" s="50" t="s">
        <v>682</v>
      </c>
      <c r="B11" s="51">
        <v>18.63</v>
      </c>
      <c r="C11" s="51">
        <v>21.59</v>
      </c>
      <c r="D11" s="51">
        <v>25.04</v>
      </c>
      <c r="E11" s="51">
        <v>6.6</v>
      </c>
      <c r="F11" s="51">
        <v>4.96</v>
      </c>
      <c r="G11" s="51">
        <v>26.02</v>
      </c>
      <c r="H11" s="51">
        <v>3.14</v>
      </c>
      <c r="I11" s="51">
        <v>3.16</v>
      </c>
      <c r="J11" s="51">
        <v>0.36</v>
      </c>
      <c r="K11" s="51">
        <v>77.16</v>
      </c>
      <c r="L11" s="51">
        <v>26.39</v>
      </c>
      <c r="M11" s="51">
        <v>108.26</v>
      </c>
      <c r="N11" s="51">
        <v>0</v>
      </c>
      <c r="O11" s="51">
        <v>0</v>
      </c>
      <c r="P11" s="51">
        <v>0.48</v>
      </c>
      <c r="Q11" s="51">
        <v>4.53</v>
      </c>
    </row>
    <row r="12" spans="1:21" customFormat="1">
      <c r="A12" s="50" t="s">
        <v>683</v>
      </c>
      <c r="B12" s="51">
        <v>19.59</v>
      </c>
      <c r="C12" s="51">
        <v>22.53</v>
      </c>
      <c r="D12" s="51">
        <v>26.44</v>
      </c>
      <c r="E12" s="51">
        <v>7.28</v>
      </c>
      <c r="F12" s="51">
        <v>4.8499999999999996</v>
      </c>
      <c r="G12" s="51">
        <v>22.54</v>
      </c>
      <c r="H12" s="51">
        <v>5.07</v>
      </c>
      <c r="I12" s="51">
        <v>3.13</v>
      </c>
      <c r="J12" s="51">
        <v>0.4</v>
      </c>
      <c r="K12" s="51">
        <v>42.5</v>
      </c>
      <c r="L12" s="51">
        <v>26.29</v>
      </c>
      <c r="M12" s="51">
        <v>97.17</v>
      </c>
      <c r="N12" s="51">
        <v>0</v>
      </c>
      <c r="O12" s="51">
        <v>0</v>
      </c>
      <c r="P12" s="51">
        <v>0.48</v>
      </c>
      <c r="Q12" s="51">
        <v>4.55</v>
      </c>
    </row>
    <row r="13" spans="1:21" customFormat="1">
      <c r="A13" s="50" t="s">
        <v>684</v>
      </c>
      <c r="B13" s="51">
        <v>21.82</v>
      </c>
      <c r="C13" s="51">
        <v>23.65</v>
      </c>
      <c r="D13" s="51">
        <v>28.62</v>
      </c>
      <c r="E13" s="51">
        <v>7.64</v>
      </c>
      <c r="F13" s="51">
        <v>3.78</v>
      </c>
      <c r="G13" s="51">
        <v>23.28</v>
      </c>
      <c r="H13" s="51">
        <v>5.69</v>
      </c>
      <c r="I13" s="51">
        <v>3.2</v>
      </c>
      <c r="J13" s="51">
        <v>0.6</v>
      </c>
      <c r="K13" s="51">
        <v>34.5</v>
      </c>
      <c r="L13" s="51">
        <v>26.58</v>
      </c>
      <c r="M13" s="51">
        <v>96.37</v>
      </c>
      <c r="N13" s="51">
        <v>0</v>
      </c>
      <c r="O13" s="51">
        <v>0</v>
      </c>
      <c r="P13" s="51">
        <v>0.49</v>
      </c>
      <c r="Q13" s="51">
        <v>4.6399999999999997</v>
      </c>
    </row>
    <row r="14" spans="1:21" customFormat="1">
      <c r="A14" s="50" t="s">
        <v>685</v>
      </c>
      <c r="B14" s="51">
        <v>23.99</v>
      </c>
      <c r="C14" s="51">
        <v>23.62</v>
      </c>
      <c r="D14" s="51">
        <v>29.76</v>
      </c>
      <c r="E14" s="51">
        <v>7.18</v>
      </c>
      <c r="F14" s="51">
        <v>4.03</v>
      </c>
      <c r="G14" s="51">
        <v>29.19</v>
      </c>
      <c r="H14" s="51">
        <v>5.69</v>
      </c>
      <c r="I14" s="51">
        <v>3.33</v>
      </c>
      <c r="J14" s="51">
        <v>0.59</v>
      </c>
      <c r="K14" s="51">
        <v>42.9</v>
      </c>
      <c r="L14" s="51">
        <v>26.55</v>
      </c>
      <c r="M14" s="51">
        <v>96.61</v>
      </c>
      <c r="N14" s="51">
        <v>12.8</v>
      </c>
      <c r="O14" s="51">
        <v>0</v>
      </c>
      <c r="P14" s="51">
        <v>0.49</v>
      </c>
      <c r="Q14" s="51">
        <v>4.72</v>
      </c>
    </row>
    <row r="15" spans="1:21" customFormat="1">
      <c r="A15" s="50" t="s">
        <v>686</v>
      </c>
      <c r="B15" s="51">
        <v>24.57</v>
      </c>
      <c r="C15" s="51">
        <v>23.67</v>
      </c>
      <c r="D15" s="51">
        <v>31.02</v>
      </c>
      <c r="E15" s="51">
        <v>8.2100000000000009</v>
      </c>
      <c r="F15" s="51">
        <v>4.3</v>
      </c>
      <c r="G15" s="51">
        <v>29.19</v>
      </c>
      <c r="H15" s="51">
        <v>4.09</v>
      </c>
      <c r="I15" s="51">
        <v>3.42</v>
      </c>
      <c r="J15" s="51">
        <v>1.01</v>
      </c>
      <c r="K15" s="51">
        <v>44.15</v>
      </c>
      <c r="L15" s="51">
        <v>27.08</v>
      </c>
      <c r="M15" s="51">
        <v>91.53</v>
      </c>
      <c r="N15" s="51">
        <v>66.099999999999994</v>
      </c>
      <c r="O15" s="51">
        <v>0</v>
      </c>
      <c r="P15" s="51">
        <v>0.5</v>
      </c>
      <c r="Q15" s="51">
        <v>4.84</v>
      </c>
    </row>
    <row r="16" spans="1:21" customFormat="1">
      <c r="A16" s="50" t="s">
        <v>687</v>
      </c>
      <c r="B16" s="51">
        <v>24.56</v>
      </c>
      <c r="C16" s="51">
        <v>23.6</v>
      </c>
      <c r="D16" s="51">
        <v>30.98</v>
      </c>
      <c r="E16" s="51">
        <v>9.3800000000000008</v>
      </c>
      <c r="F16" s="51">
        <v>4.88</v>
      </c>
      <c r="G16" s="51">
        <v>26.93</v>
      </c>
      <c r="H16" s="51">
        <v>3.04</v>
      </c>
      <c r="I16" s="51">
        <v>3.48</v>
      </c>
      <c r="J16" s="51">
        <v>1.27</v>
      </c>
      <c r="K16" s="51">
        <v>48.41</v>
      </c>
      <c r="L16" s="51">
        <v>28.66</v>
      </c>
      <c r="M16" s="51">
        <v>87.38</v>
      </c>
      <c r="N16" s="51">
        <v>113.2</v>
      </c>
      <c r="O16" s="51">
        <v>0</v>
      </c>
      <c r="P16" s="51">
        <v>0.5</v>
      </c>
      <c r="Q16" s="51">
        <v>4.78</v>
      </c>
    </row>
    <row r="17" spans="1:17" customFormat="1">
      <c r="A17" s="50" t="s">
        <v>688</v>
      </c>
      <c r="B17" s="51">
        <v>23.55</v>
      </c>
      <c r="C17" s="51">
        <v>23.86</v>
      </c>
      <c r="D17" s="51">
        <v>29.98</v>
      </c>
      <c r="E17" s="51">
        <v>10.39</v>
      </c>
      <c r="F17" s="51">
        <v>5.77</v>
      </c>
      <c r="G17" s="51">
        <v>26.93</v>
      </c>
      <c r="H17" s="51">
        <v>4.25</v>
      </c>
      <c r="I17" s="51">
        <v>3.45</v>
      </c>
      <c r="J17" s="51">
        <v>1.1399999999999999</v>
      </c>
      <c r="K17" s="51">
        <v>54.67</v>
      </c>
      <c r="L17" s="51">
        <v>28.87</v>
      </c>
      <c r="M17" s="51">
        <v>81.47</v>
      </c>
      <c r="N17" s="51">
        <v>229.8</v>
      </c>
      <c r="O17" s="51">
        <v>0</v>
      </c>
      <c r="P17" s="51">
        <v>0.5</v>
      </c>
      <c r="Q17" s="51">
        <v>4.74</v>
      </c>
    </row>
    <row r="18" spans="1:17" customFormat="1">
      <c r="A18" s="50" t="s">
        <v>689</v>
      </c>
      <c r="B18" s="51">
        <v>23.34</v>
      </c>
      <c r="C18" s="51">
        <v>24.23</v>
      </c>
      <c r="D18" s="51">
        <v>30.33</v>
      </c>
      <c r="E18" s="51">
        <v>11.34</v>
      </c>
      <c r="F18" s="51">
        <v>5.57</v>
      </c>
      <c r="G18" s="51">
        <v>26.01</v>
      </c>
      <c r="H18" s="51">
        <v>4.78</v>
      </c>
      <c r="I18" s="51">
        <v>3.41</v>
      </c>
      <c r="J18" s="51">
        <v>0.99</v>
      </c>
      <c r="K18" s="51">
        <v>47.69</v>
      </c>
      <c r="L18" s="51">
        <v>29.72</v>
      </c>
      <c r="M18" s="51">
        <v>79.44</v>
      </c>
      <c r="N18" s="51">
        <v>291.39999999999998</v>
      </c>
      <c r="O18" s="51">
        <v>0</v>
      </c>
      <c r="P18" s="51">
        <v>0.52</v>
      </c>
      <c r="Q18" s="51">
        <v>4.67</v>
      </c>
    </row>
    <row r="19" spans="1:17" customFormat="1">
      <c r="A19" s="50" t="s">
        <v>690</v>
      </c>
      <c r="B19" s="51">
        <v>23.05</v>
      </c>
      <c r="C19" s="51">
        <v>23.14</v>
      </c>
      <c r="D19" s="51">
        <v>29.53</v>
      </c>
      <c r="E19" s="51">
        <v>11.22</v>
      </c>
      <c r="F19" s="51">
        <v>6.69</v>
      </c>
      <c r="G19" s="51">
        <v>27.1</v>
      </c>
      <c r="H19" s="51">
        <v>6.1</v>
      </c>
      <c r="I19" s="51">
        <v>3.77</v>
      </c>
      <c r="J19" s="51">
        <v>0.88</v>
      </c>
      <c r="K19" s="51">
        <v>48.8</v>
      </c>
      <c r="L19" s="51">
        <v>30.15</v>
      </c>
      <c r="M19" s="51">
        <v>78.349999999999994</v>
      </c>
      <c r="N19" s="51">
        <v>382.6</v>
      </c>
      <c r="O19" s="51">
        <v>0</v>
      </c>
      <c r="P19" s="51">
        <v>0.53</v>
      </c>
      <c r="Q19" s="51">
        <v>4.72</v>
      </c>
    </row>
    <row r="20" spans="1:17" customFormat="1">
      <c r="A20" s="50" t="s">
        <v>691</v>
      </c>
      <c r="B20" s="51">
        <v>24.02</v>
      </c>
      <c r="C20" s="51">
        <v>22.48</v>
      </c>
      <c r="D20" s="51">
        <v>29.16</v>
      </c>
      <c r="E20" s="51">
        <v>10.08</v>
      </c>
      <c r="F20" s="51">
        <v>8.14</v>
      </c>
      <c r="G20" s="51">
        <v>28.43</v>
      </c>
      <c r="H20" s="51">
        <v>7.71</v>
      </c>
      <c r="I20" s="51">
        <v>4.25</v>
      </c>
      <c r="J20" s="51">
        <v>1.05</v>
      </c>
      <c r="K20" s="51">
        <v>46.56</v>
      </c>
      <c r="L20" s="51">
        <v>31.78</v>
      </c>
      <c r="M20" s="51">
        <v>78.84</v>
      </c>
      <c r="N20" s="51">
        <v>785.5</v>
      </c>
      <c r="O20" s="51">
        <v>0</v>
      </c>
      <c r="P20" s="51">
        <v>0.55000000000000004</v>
      </c>
      <c r="Q20" s="51">
        <v>4.6900000000000004</v>
      </c>
    </row>
    <row r="21" spans="1:17" customFormat="1">
      <c r="A21" s="50" t="s">
        <v>692</v>
      </c>
      <c r="B21" s="51">
        <v>21.07</v>
      </c>
      <c r="C21" s="51">
        <v>22.03</v>
      </c>
      <c r="D21" s="51">
        <v>27.23</v>
      </c>
      <c r="E21" s="51">
        <v>11.05</v>
      </c>
      <c r="F21" s="51">
        <v>9.43</v>
      </c>
      <c r="G21" s="51">
        <v>28.43</v>
      </c>
      <c r="H21" s="51">
        <v>7.71</v>
      </c>
      <c r="I21" s="51">
        <v>4.21</v>
      </c>
      <c r="J21" s="51">
        <v>1.1000000000000001</v>
      </c>
      <c r="K21" s="51">
        <v>46.28</v>
      </c>
      <c r="L21" s="51">
        <v>32.1</v>
      </c>
      <c r="M21" s="51">
        <v>71.510000000000005</v>
      </c>
      <c r="N21" s="51">
        <v>917.1</v>
      </c>
      <c r="O21" s="51">
        <v>0</v>
      </c>
      <c r="P21" s="51">
        <v>0.52</v>
      </c>
      <c r="Q21" s="51">
        <v>4.63</v>
      </c>
    </row>
    <row r="22" spans="1:17" customFormat="1">
      <c r="A22" s="50" t="s">
        <v>693</v>
      </c>
      <c r="B22" s="51">
        <v>22.86</v>
      </c>
      <c r="C22" s="51">
        <v>23.28</v>
      </c>
      <c r="D22" s="51">
        <v>28.86</v>
      </c>
      <c r="E22" s="51">
        <v>20.059999999999999</v>
      </c>
      <c r="F22" s="51">
        <v>7.78</v>
      </c>
      <c r="G22" s="51">
        <v>26.63</v>
      </c>
      <c r="H22" s="51">
        <v>7.52</v>
      </c>
      <c r="I22" s="51">
        <v>4.12</v>
      </c>
      <c r="J22" s="51">
        <v>1.08</v>
      </c>
      <c r="K22" s="51">
        <v>47.57</v>
      </c>
      <c r="L22" s="51">
        <v>32.14</v>
      </c>
      <c r="M22" s="51">
        <v>76.760000000000005</v>
      </c>
      <c r="N22" s="51">
        <v>772.9</v>
      </c>
      <c r="O22" s="51">
        <v>0</v>
      </c>
      <c r="P22" s="51">
        <v>0.53</v>
      </c>
      <c r="Q22" s="51">
        <v>4.62</v>
      </c>
    </row>
    <row r="23" spans="1:17" customFormat="1">
      <c r="A23" s="50" t="s">
        <v>694</v>
      </c>
      <c r="B23" s="51">
        <v>21.42</v>
      </c>
      <c r="C23" s="51">
        <v>23.78</v>
      </c>
      <c r="D23" s="51">
        <v>28.42</v>
      </c>
      <c r="E23" s="51">
        <v>16.88</v>
      </c>
      <c r="F23" s="51">
        <v>10.84</v>
      </c>
      <c r="G23" s="51">
        <v>30.11</v>
      </c>
      <c r="H23" s="51">
        <v>7.39</v>
      </c>
      <c r="I23" s="51">
        <v>4.2699999999999996</v>
      </c>
      <c r="J23" s="51">
        <v>0.94</v>
      </c>
      <c r="K23" s="51">
        <v>51.38</v>
      </c>
      <c r="L23" s="51">
        <v>32.159999999999997</v>
      </c>
      <c r="M23" s="51">
        <v>73.02</v>
      </c>
      <c r="N23" s="51">
        <v>659.1</v>
      </c>
      <c r="O23" s="51">
        <v>0</v>
      </c>
      <c r="P23" s="51">
        <v>0.47</v>
      </c>
      <c r="Q23" s="51">
        <v>4.59</v>
      </c>
    </row>
    <row r="24" spans="1:17" customFormat="1">
      <c r="A24" s="50" t="s">
        <v>695</v>
      </c>
      <c r="B24" s="51">
        <v>18.350000000000001</v>
      </c>
      <c r="C24" s="51">
        <v>22.06</v>
      </c>
      <c r="D24" s="51">
        <v>25.13</v>
      </c>
      <c r="E24" s="51">
        <v>8.9700000000000006</v>
      </c>
      <c r="F24" s="51">
        <v>14.34</v>
      </c>
      <c r="G24" s="51">
        <v>30.11</v>
      </c>
      <c r="H24" s="51">
        <v>7.84</v>
      </c>
      <c r="I24" s="51">
        <v>3.98</v>
      </c>
      <c r="J24" s="51">
        <v>1.06</v>
      </c>
      <c r="K24" s="51">
        <v>41.4</v>
      </c>
      <c r="L24" s="51">
        <v>32.549999999999997</v>
      </c>
      <c r="M24" s="51">
        <v>68.83</v>
      </c>
      <c r="N24" s="51">
        <v>536.9</v>
      </c>
      <c r="O24" s="51">
        <v>0</v>
      </c>
      <c r="P24" s="51">
        <v>0.45</v>
      </c>
      <c r="Q24" s="51">
        <v>4.5599999999999996</v>
      </c>
    </row>
    <row r="25" spans="1:17" customFormat="1">
      <c r="A25" s="50" t="s">
        <v>696</v>
      </c>
      <c r="B25" s="51">
        <v>17.23</v>
      </c>
      <c r="C25" s="51">
        <v>25.37</v>
      </c>
      <c r="D25" s="51">
        <v>23.83</v>
      </c>
      <c r="E25" s="51">
        <v>8.65</v>
      </c>
      <c r="F25" s="51">
        <v>14.26</v>
      </c>
      <c r="G25" s="51">
        <v>30.98</v>
      </c>
      <c r="H25" s="51">
        <v>7.84</v>
      </c>
      <c r="I25" s="51">
        <v>3.71</v>
      </c>
      <c r="J25" s="51">
        <v>0.75</v>
      </c>
      <c r="K25" s="51">
        <v>52.77</v>
      </c>
      <c r="L25" s="51">
        <v>33.1</v>
      </c>
      <c r="M25" s="51">
        <v>66.989999999999995</v>
      </c>
      <c r="N25" s="51">
        <v>458.9</v>
      </c>
      <c r="O25" s="51">
        <v>0</v>
      </c>
      <c r="P25" s="51">
        <v>0.51</v>
      </c>
      <c r="Q25" s="51">
        <v>4.41</v>
      </c>
    </row>
    <row r="26" spans="1:17" customFormat="1">
      <c r="A26" s="50" t="s">
        <v>697</v>
      </c>
      <c r="B26" s="51">
        <v>6.59</v>
      </c>
      <c r="C26" s="51">
        <v>30.35</v>
      </c>
      <c r="D26" s="51">
        <v>19.8</v>
      </c>
      <c r="E26" s="51">
        <v>14.87</v>
      </c>
      <c r="F26" s="51">
        <v>14.89</v>
      </c>
      <c r="G26" s="51">
        <v>32.479999999999997</v>
      </c>
      <c r="H26" s="51">
        <v>6.71</v>
      </c>
      <c r="I26" s="51">
        <v>3.81</v>
      </c>
      <c r="J26" s="51">
        <v>0.41</v>
      </c>
      <c r="K26" s="51">
        <v>95.87</v>
      </c>
      <c r="L26" s="51">
        <v>32.24</v>
      </c>
      <c r="M26" s="51">
        <v>68.39</v>
      </c>
      <c r="N26" s="51">
        <v>75</v>
      </c>
      <c r="O26" s="51">
        <v>0</v>
      </c>
      <c r="P26" s="51">
        <v>0.56000000000000005</v>
      </c>
      <c r="Q26" s="51">
        <v>4.33</v>
      </c>
    </row>
    <row r="27" spans="1:17" customFormat="1">
      <c r="A27" s="50" t="s">
        <v>698</v>
      </c>
      <c r="B27" s="51">
        <v>6.12</v>
      </c>
      <c r="C27" s="51">
        <v>29.84</v>
      </c>
      <c r="D27" s="51">
        <v>19.239999999999998</v>
      </c>
      <c r="E27" s="51">
        <v>8.56</v>
      </c>
      <c r="F27" s="51">
        <v>13.72</v>
      </c>
      <c r="G27" s="51">
        <v>36.28</v>
      </c>
      <c r="H27" s="51">
        <v>7.64</v>
      </c>
      <c r="I27" s="51">
        <v>5.22</v>
      </c>
      <c r="J27" s="51">
        <v>0.23</v>
      </c>
      <c r="K27" s="51">
        <v>185.38</v>
      </c>
      <c r="L27" s="51">
        <v>31.26</v>
      </c>
      <c r="M27" s="51">
        <v>77.900000000000006</v>
      </c>
      <c r="N27" s="51">
        <v>13.2</v>
      </c>
      <c r="O27" s="51">
        <v>0</v>
      </c>
      <c r="P27" s="51">
        <v>0.48</v>
      </c>
      <c r="Q27" s="51">
        <v>4.01</v>
      </c>
    </row>
    <row r="28" spans="1:17" customFormat="1">
      <c r="A28" s="50" t="s">
        <v>699</v>
      </c>
      <c r="B28" s="51">
        <v>3.17</v>
      </c>
      <c r="C28" s="51">
        <v>22.46</v>
      </c>
      <c r="D28" s="51">
        <v>13.14</v>
      </c>
      <c r="E28" s="51">
        <v>7.01</v>
      </c>
      <c r="F28" s="51">
        <v>18.59</v>
      </c>
      <c r="G28" s="51">
        <v>36.659999999999997</v>
      </c>
      <c r="H28" s="51">
        <v>8.48</v>
      </c>
      <c r="I28" s="51">
        <v>4.76</v>
      </c>
      <c r="J28" s="51">
        <v>0.23</v>
      </c>
      <c r="K28" s="51">
        <v>193.29</v>
      </c>
      <c r="L28" s="51">
        <v>29.83</v>
      </c>
      <c r="M28" s="51">
        <v>85.39</v>
      </c>
      <c r="N28" s="51">
        <v>0</v>
      </c>
      <c r="O28" s="51">
        <v>0</v>
      </c>
      <c r="P28" s="51">
        <v>0.44</v>
      </c>
      <c r="Q28" s="51">
        <v>3.93</v>
      </c>
    </row>
    <row r="29" spans="1:17" customFormat="1">
      <c r="A29" s="50" t="s">
        <v>700</v>
      </c>
      <c r="B29" s="51">
        <v>4.0199999999999996</v>
      </c>
      <c r="C29" s="51">
        <v>18.52</v>
      </c>
      <c r="D29" s="51">
        <v>11.85</v>
      </c>
      <c r="E29" s="51">
        <v>6.45</v>
      </c>
      <c r="F29" s="51">
        <v>12.41</v>
      </c>
      <c r="G29" s="51">
        <v>36.659999999999997</v>
      </c>
      <c r="H29" s="51">
        <v>8.48</v>
      </c>
      <c r="I29" s="51">
        <v>4.72</v>
      </c>
      <c r="J29" s="51">
        <v>0.17</v>
      </c>
      <c r="K29" s="51">
        <v>247.84</v>
      </c>
      <c r="L29" s="51">
        <v>29.39</v>
      </c>
      <c r="M29" s="51">
        <v>89.74</v>
      </c>
      <c r="N29" s="51">
        <v>0</v>
      </c>
      <c r="O29" s="51">
        <v>0</v>
      </c>
      <c r="P29" s="51">
        <v>0.48</v>
      </c>
      <c r="Q29" s="51">
        <v>3.93</v>
      </c>
    </row>
    <row r="30" spans="1:17" customFormat="1">
      <c r="A30" s="50" t="s">
        <v>701</v>
      </c>
      <c r="B30" s="51">
        <v>5.23</v>
      </c>
      <c r="C30" s="51">
        <v>17.690000000000001</v>
      </c>
      <c r="D30" s="51">
        <v>12.3</v>
      </c>
      <c r="E30" s="51">
        <v>5.96</v>
      </c>
      <c r="F30" s="51">
        <v>12.66</v>
      </c>
      <c r="G30" s="51">
        <v>31.39</v>
      </c>
      <c r="H30" s="51">
        <v>9.5</v>
      </c>
      <c r="I30" s="51">
        <v>5.09</v>
      </c>
      <c r="J30" s="51">
        <v>0.16</v>
      </c>
      <c r="K30" s="51">
        <v>183.94</v>
      </c>
      <c r="L30" s="51">
        <v>28.99</v>
      </c>
      <c r="M30" s="51">
        <v>89.72</v>
      </c>
      <c r="N30" s="51">
        <v>0</v>
      </c>
      <c r="O30" s="51">
        <v>0</v>
      </c>
      <c r="P30" s="51">
        <v>0.52</v>
      </c>
      <c r="Q30" s="51">
        <v>3.9</v>
      </c>
    </row>
    <row r="31" spans="1:17" customFormat="1">
      <c r="A31" s="50" t="s">
        <v>702</v>
      </c>
      <c r="B31" s="51">
        <v>6.77</v>
      </c>
      <c r="C31" s="51">
        <v>21.56</v>
      </c>
      <c r="D31" s="51">
        <v>15.49</v>
      </c>
      <c r="E31" s="51">
        <v>6.05</v>
      </c>
      <c r="F31" s="51">
        <v>10.71</v>
      </c>
      <c r="G31" s="51">
        <v>31.4</v>
      </c>
      <c r="H31" s="51">
        <v>12.47</v>
      </c>
      <c r="I31" s="51">
        <v>5.64</v>
      </c>
      <c r="J31" s="51">
        <v>0.34</v>
      </c>
      <c r="K31" s="51">
        <v>224.9</v>
      </c>
      <c r="L31" s="51">
        <v>29.02</v>
      </c>
      <c r="M31" s="51">
        <v>88.89</v>
      </c>
      <c r="N31" s="51">
        <v>0</v>
      </c>
      <c r="O31" s="51">
        <v>0</v>
      </c>
      <c r="P31" s="51">
        <v>0.55000000000000004</v>
      </c>
      <c r="Q31" s="51">
        <v>3.93</v>
      </c>
    </row>
    <row r="32" spans="1:17" customFormat="1">
      <c r="A32" s="50" t="s">
        <v>703</v>
      </c>
      <c r="B32" s="51">
        <v>9.5399999999999991</v>
      </c>
      <c r="C32" s="51">
        <v>22.19</v>
      </c>
      <c r="D32" s="51">
        <v>17.66</v>
      </c>
      <c r="E32" s="51">
        <v>6.62</v>
      </c>
      <c r="F32" s="51">
        <v>8.1300000000000008</v>
      </c>
      <c r="G32" s="51">
        <v>31.4</v>
      </c>
      <c r="H32" s="51">
        <v>12.47</v>
      </c>
      <c r="I32" s="51">
        <v>4.91</v>
      </c>
      <c r="J32" s="51">
        <v>1.25</v>
      </c>
      <c r="K32" s="51">
        <v>56.45</v>
      </c>
      <c r="L32" s="51">
        <v>28.56</v>
      </c>
      <c r="M32" s="51">
        <v>89.2</v>
      </c>
      <c r="N32" s="51">
        <v>0</v>
      </c>
      <c r="O32" s="51">
        <v>0</v>
      </c>
      <c r="P32" s="51">
        <v>0.48</v>
      </c>
      <c r="Q32" s="51">
        <v>3.98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3.17</v>
      </c>
      <c r="C34" s="41">
        <f t="shared" si="0"/>
        <v>17.690000000000001</v>
      </c>
      <c r="D34" s="41">
        <f t="shared" si="0"/>
        <v>11.85</v>
      </c>
      <c r="E34" s="41">
        <f t="shared" si="0"/>
        <v>5.83</v>
      </c>
      <c r="F34" s="41">
        <f t="shared" si="0"/>
        <v>3.78</v>
      </c>
      <c r="G34" s="41">
        <f t="shared" si="0"/>
        <v>22.54</v>
      </c>
      <c r="H34" s="41">
        <f t="shared" si="0"/>
        <v>3.04</v>
      </c>
      <c r="I34" s="41">
        <f t="shared" si="0"/>
        <v>3.13</v>
      </c>
      <c r="J34" s="41">
        <f t="shared" si="0"/>
        <v>0.16</v>
      </c>
      <c r="K34" s="41">
        <f t="shared" si="0"/>
        <v>34.5</v>
      </c>
      <c r="L34" s="41">
        <f t="shared" si="0"/>
        <v>26.29</v>
      </c>
      <c r="M34" s="41">
        <f t="shared" si="0"/>
        <v>66.989999999999995</v>
      </c>
      <c r="N34" s="41">
        <f t="shared" si="0"/>
        <v>0</v>
      </c>
      <c r="O34" s="41">
        <f t="shared" si="0"/>
        <v>0</v>
      </c>
      <c r="P34" s="41">
        <f t="shared" si="0"/>
        <v>0.44</v>
      </c>
      <c r="Q34" s="41">
        <f t="shared" si="0"/>
        <v>3.9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24.57</v>
      </c>
      <c r="C35" s="33">
        <f t="shared" si="1"/>
        <v>30.35</v>
      </c>
      <c r="D35" s="33">
        <f t="shared" si="1"/>
        <v>31.02</v>
      </c>
      <c r="E35" s="33">
        <f t="shared" si="1"/>
        <v>20.059999999999999</v>
      </c>
      <c r="F35" s="33">
        <f t="shared" si="1"/>
        <v>18.59</v>
      </c>
      <c r="G35" s="33">
        <f t="shared" si="1"/>
        <v>36.659999999999997</v>
      </c>
      <c r="H35" s="33">
        <f t="shared" si="1"/>
        <v>12.47</v>
      </c>
      <c r="I35" s="33">
        <f t="shared" si="1"/>
        <v>5.64</v>
      </c>
      <c r="J35" s="33">
        <f t="shared" si="1"/>
        <v>1.27</v>
      </c>
      <c r="K35" s="33">
        <f t="shared" si="1"/>
        <v>247.84</v>
      </c>
      <c r="L35" s="33">
        <f t="shared" si="1"/>
        <v>33.1</v>
      </c>
      <c r="M35" s="33">
        <f t="shared" si="1"/>
        <v>108.26</v>
      </c>
      <c r="N35" s="33">
        <f t="shared" si="1"/>
        <v>917.1</v>
      </c>
      <c r="O35" s="33">
        <f t="shared" si="1"/>
        <v>0</v>
      </c>
      <c r="P35" s="33">
        <f t="shared" si="1"/>
        <v>0.56000000000000005</v>
      </c>
      <c r="Q35" s="33">
        <f t="shared" si="1"/>
        <v>4.84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16.986666666666668</v>
      </c>
      <c r="C36" s="41">
        <f t="shared" si="2"/>
        <v>23.15583333333333</v>
      </c>
      <c r="D36" s="41">
        <f t="shared" si="2"/>
        <v>24.364999999999998</v>
      </c>
      <c r="E36" s="41">
        <f t="shared" si="2"/>
        <v>9.2729166666666671</v>
      </c>
      <c r="F36" s="41">
        <f t="shared" si="2"/>
        <v>8.7891666666666683</v>
      </c>
      <c r="G36" s="41">
        <f t="shared" si="2"/>
        <v>29.318749999999998</v>
      </c>
      <c r="H36" s="41">
        <f t="shared" si="2"/>
        <v>6.7254166666666677</v>
      </c>
      <c r="I36" s="41">
        <f t="shared" si="2"/>
        <v>3.9770833333333333</v>
      </c>
      <c r="J36" s="41">
        <f t="shared" si="2"/>
        <v>0.72125000000000006</v>
      </c>
      <c r="K36" s="41">
        <f t="shared" si="2"/>
        <v>85.857083333333335</v>
      </c>
      <c r="L36" s="41">
        <f t="shared" si="2"/>
        <v>29.44083333333333</v>
      </c>
      <c r="M36" s="41">
        <f t="shared" si="2"/>
        <v>85.224166666666676</v>
      </c>
      <c r="N36" s="41">
        <f t="shared" si="2"/>
        <v>221.43749999999997</v>
      </c>
      <c r="O36" s="41">
        <f t="shared" si="2"/>
        <v>0</v>
      </c>
      <c r="P36" s="41">
        <f t="shared" si="2"/>
        <v>0.50041666666666673</v>
      </c>
      <c r="Q36" s="41">
        <f t="shared" si="2"/>
        <v>4.4416666666666682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7.6104857107561195</v>
      </c>
      <c r="C37" s="41">
        <f t="shared" ref="C37:Q37" si="3">STDEV(C9:C32)</f>
        <v>2.7002671633791007</v>
      </c>
      <c r="D37" s="41">
        <f t="shared" si="3"/>
        <v>6.2693491791760056</v>
      </c>
      <c r="E37" s="41">
        <f t="shared" si="3"/>
        <v>3.6195789800408575</v>
      </c>
      <c r="F37" s="41">
        <f t="shared" si="3"/>
        <v>4.2784514840593006</v>
      </c>
      <c r="G37" s="41">
        <f t="shared" si="3"/>
        <v>3.7505840849474099</v>
      </c>
      <c r="H37" s="41">
        <f t="shared" si="3"/>
        <v>2.5662542135193434</v>
      </c>
      <c r="I37" s="41">
        <f t="shared" si="3"/>
        <v>0.74385294927486989</v>
      </c>
      <c r="J37" s="41">
        <f t="shared" si="3"/>
        <v>0.36714305350793486</v>
      </c>
      <c r="K37" s="41">
        <f t="shared" si="3"/>
        <v>66.895122359339553</v>
      </c>
      <c r="L37" s="41">
        <f t="shared" si="3"/>
        <v>2.3024201193086475</v>
      </c>
      <c r="M37" s="41">
        <f t="shared" si="3"/>
        <v>11.561973246912364</v>
      </c>
      <c r="N37" s="41">
        <f t="shared" si="3"/>
        <v>303.54015537307924</v>
      </c>
      <c r="O37" s="41">
        <f t="shared" si="3"/>
        <v>0</v>
      </c>
      <c r="P37" s="41">
        <f t="shared" si="3"/>
        <v>3.0285477459131377E-2</v>
      </c>
      <c r="Q37" s="41">
        <f t="shared" si="3"/>
        <v>0.31541093508469681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28/07/2023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704</v>
      </c>
      <c r="B9" s="51">
        <v>11.04</v>
      </c>
      <c r="C9" s="51">
        <v>21.27</v>
      </c>
      <c r="D9" s="51">
        <v>18.62</v>
      </c>
      <c r="E9" s="51">
        <v>7.03</v>
      </c>
      <c r="F9" s="51">
        <v>6.12</v>
      </c>
      <c r="G9" s="51">
        <v>25.92</v>
      </c>
      <c r="H9" s="51">
        <v>8.8800000000000008</v>
      </c>
      <c r="I9" s="51">
        <v>4.84</v>
      </c>
      <c r="J9" s="51">
        <v>0.38</v>
      </c>
      <c r="K9" s="51">
        <v>311.95999999999998</v>
      </c>
      <c r="L9" s="51">
        <v>27.66</v>
      </c>
      <c r="M9" s="51">
        <v>88.65</v>
      </c>
      <c r="N9" s="51">
        <v>0</v>
      </c>
      <c r="O9" s="51">
        <v>0</v>
      </c>
      <c r="P9" s="51">
        <v>0.47</v>
      </c>
      <c r="Q9" s="51">
        <v>4.03</v>
      </c>
    </row>
    <row r="10" spans="1:21" customFormat="1">
      <c r="A10" s="50" t="s">
        <v>705</v>
      </c>
      <c r="B10" s="51">
        <v>12.43</v>
      </c>
      <c r="C10" s="51">
        <v>22.15</v>
      </c>
      <c r="D10" s="51">
        <v>20.49</v>
      </c>
      <c r="E10" s="51">
        <v>5.56</v>
      </c>
      <c r="F10" s="51">
        <v>5.27</v>
      </c>
      <c r="G10" s="51">
        <v>19.98</v>
      </c>
      <c r="H10" s="51">
        <v>6.47</v>
      </c>
      <c r="I10" s="51">
        <v>4.7699999999999996</v>
      </c>
      <c r="J10" s="51">
        <v>0.3</v>
      </c>
      <c r="K10" s="51">
        <v>262.31</v>
      </c>
      <c r="L10" s="51">
        <v>26.5</v>
      </c>
      <c r="M10" s="51">
        <v>97.85</v>
      </c>
      <c r="N10" s="51">
        <v>0</v>
      </c>
      <c r="O10" s="51">
        <v>6.4</v>
      </c>
      <c r="P10" s="51">
        <v>0.48</v>
      </c>
      <c r="Q10" s="51">
        <v>4.07</v>
      </c>
    </row>
    <row r="11" spans="1:21" customFormat="1">
      <c r="A11" s="50" t="s">
        <v>706</v>
      </c>
      <c r="B11" s="51">
        <v>13.59</v>
      </c>
      <c r="C11" s="51">
        <v>21.91</v>
      </c>
      <c r="D11" s="51">
        <v>21.28</v>
      </c>
      <c r="E11" s="51">
        <v>7.49</v>
      </c>
      <c r="F11" s="51">
        <v>4.71</v>
      </c>
      <c r="G11" s="51">
        <v>17.86</v>
      </c>
      <c r="H11" s="51">
        <v>6.21</v>
      </c>
      <c r="I11" s="51">
        <v>4.6900000000000004</v>
      </c>
      <c r="J11" s="51">
        <v>0.78</v>
      </c>
      <c r="K11" s="51">
        <v>270.36</v>
      </c>
      <c r="L11" s="51">
        <v>25.72</v>
      </c>
      <c r="M11" s="51">
        <v>99.03</v>
      </c>
      <c r="N11" s="51">
        <v>0</v>
      </c>
      <c r="O11" s="51">
        <v>13</v>
      </c>
      <c r="P11" s="51">
        <v>0.46</v>
      </c>
      <c r="Q11" s="51">
        <v>4.1500000000000004</v>
      </c>
    </row>
    <row r="12" spans="1:21" customFormat="1">
      <c r="A12" s="50" t="s">
        <v>707</v>
      </c>
      <c r="B12" s="51">
        <v>14.76</v>
      </c>
      <c r="C12" s="51">
        <v>23.21</v>
      </c>
      <c r="D12" s="51">
        <v>22.92</v>
      </c>
      <c r="E12" s="51">
        <v>7.26</v>
      </c>
      <c r="F12" s="51">
        <v>5.01</v>
      </c>
      <c r="G12" s="51">
        <v>18.510000000000002</v>
      </c>
      <c r="H12" s="51">
        <v>6.79</v>
      </c>
      <c r="I12" s="51">
        <v>4.54</v>
      </c>
      <c r="J12" s="51">
        <v>0.41</v>
      </c>
      <c r="K12" s="51">
        <v>244.39</v>
      </c>
      <c r="L12" s="51">
        <v>25.74</v>
      </c>
      <c r="M12" s="51">
        <v>99.39</v>
      </c>
      <c r="N12" s="51">
        <v>0</v>
      </c>
      <c r="O12" s="51">
        <v>2</v>
      </c>
      <c r="P12" s="51">
        <v>0.51</v>
      </c>
      <c r="Q12" s="51">
        <v>4.21</v>
      </c>
    </row>
    <row r="13" spans="1:21" customFormat="1">
      <c r="A13" s="50" t="s">
        <v>708</v>
      </c>
      <c r="B13" s="51">
        <v>16.489999999999998</v>
      </c>
      <c r="C13" s="51">
        <v>23.56</v>
      </c>
      <c r="D13" s="51">
        <v>24.49</v>
      </c>
      <c r="E13" s="51">
        <v>7.2</v>
      </c>
      <c r="F13" s="51">
        <v>4.3600000000000003</v>
      </c>
      <c r="G13" s="51">
        <v>18.73</v>
      </c>
      <c r="H13" s="51">
        <v>10.16</v>
      </c>
      <c r="I13" s="51">
        <v>4.42</v>
      </c>
      <c r="J13" s="51">
        <v>0.35</v>
      </c>
      <c r="K13" s="51">
        <v>359.32</v>
      </c>
      <c r="L13" s="51">
        <v>25.65</v>
      </c>
      <c r="M13" s="51">
        <v>99.54</v>
      </c>
      <c r="N13" s="51">
        <v>0</v>
      </c>
      <c r="O13" s="51">
        <v>0</v>
      </c>
      <c r="P13" s="51">
        <v>0.49</v>
      </c>
      <c r="Q13" s="51">
        <v>4.3</v>
      </c>
    </row>
    <row r="14" spans="1:21" customFormat="1">
      <c r="A14" s="50" t="s">
        <v>709</v>
      </c>
      <c r="B14" s="51">
        <v>18.010000000000002</v>
      </c>
      <c r="C14" s="51">
        <v>24.46</v>
      </c>
      <c r="D14" s="51">
        <v>26.07</v>
      </c>
      <c r="E14" s="51">
        <v>7</v>
      </c>
      <c r="F14" s="51">
        <v>4.09</v>
      </c>
      <c r="G14" s="51">
        <v>21.36</v>
      </c>
      <c r="H14" s="51">
        <v>10.85</v>
      </c>
      <c r="I14" s="51">
        <v>4.41</v>
      </c>
      <c r="J14" s="51">
        <v>0.33</v>
      </c>
      <c r="K14" s="51">
        <v>321.14999999999998</v>
      </c>
      <c r="L14" s="51">
        <v>25.48</v>
      </c>
      <c r="M14" s="51">
        <v>99.53</v>
      </c>
      <c r="N14" s="51">
        <v>2.2999999999999998</v>
      </c>
      <c r="O14" s="51">
        <v>0.2</v>
      </c>
      <c r="P14" s="51">
        <v>0.5</v>
      </c>
      <c r="Q14" s="51">
        <v>4.38</v>
      </c>
    </row>
    <row r="15" spans="1:21" customFormat="1">
      <c r="A15" s="50" t="s">
        <v>710</v>
      </c>
      <c r="B15" s="51">
        <v>19.73</v>
      </c>
      <c r="C15" s="51">
        <v>24.3</v>
      </c>
      <c r="D15" s="51">
        <v>27.28</v>
      </c>
      <c r="E15" s="51">
        <v>7.39</v>
      </c>
      <c r="F15" s="51">
        <v>4.16</v>
      </c>
      <c r="G15" s="51">
        <v>22.49</v>
      </c>
      <c r="H15" s="51">
        <v>12.28</v>
      </c>
      <c r="I15" s="51">
        <v>4.42</v>
      </c>
      <c r="J15" s="51">
        <v>0.63</v>
      </c>
      <c r="K15" s="51">
        <v>265.22000000000003</v>
      </c>
      <c r="L15" s="51">
        <v>25.94</v>
      </c>
      <c r="M15" s="51">
        <v>99.52</v>
      </c>
      <c r="N15" s="51">
        <v>76.599999999999994</v>
      </c>
      <c r="O15" s="51">
        <v>0</v>
      </c>
      <c r="P15" s="51">
        <v>0.51</v>
      </c>
      <c r="Q15" s="51">
        <v>4.49</v>
      </c>
    </row>
    <row r="16" spans="1:21" customFormat="1">
      <c r="A16" s="50" t="s">
        <v>711</v>
      </c>
      <c r="B16" s="51">
        <v>21.66</v>
      </c>
      <c r="C16" s="51">
        <v>24.64</v>
      </c>
      <c r="D16" s="51">
        <v>29.14</v>
      </c>
      <c r="E16" s="51">
        <v>7.74</v>
      </c>
      <c r="F16" s="51">
        <v>4.51</v>
      </c>
      <c r="G16" s="51">
        <v>34.979999999999997</v>
      </c>
      <c r="H16" s="51">
        <v>13.86</v>
      </c>
      <c r="I16" s="51">
        <v>4.4400000000000004</v>
      </c>
      <c r="J16" s="51">
        <v>0.43</v>
      </c>
      <c r="K16" s="51">
        <v>345.07</v>
      </c>
      <c r="L16" s="51">
        <v>27.12</v>
      </c>
      <c r="M16" s="51">
        <v>99.51</v>
      </c>
      <c r="N16" s="51">
        <v>96.7</v>
      </c>
      <c r="O16" s="51">
        <v>0</v>
      </c>
      <c r="P16" s="51">
        <v>0.53</v>
      </c>
      <c r="Q16" s="51">
        <v>4.55</v>
      </c>
    </row>
    <row r="17" spans="1:17" customFormat="1">
      <c r="A17" s="50" t="s">
        <v>712</v>
      </c>
      <c r="B17" s="51">
        <v>21.79</v>
      </c>
      <c r="C17" s="51">
        <v>24.58</v>
      </c>
      <c r="D17" s="51">
        <v>28.69</v>
      </c>
      <c r="E17" s="51">
        <v>7.76</v>
      </c>
      <c r="F17" s="51">
        <v>4.21</v>
      </c>
      <c r="G17" s="51">
        <v>34.979999999999997</v>
      </c>
      <c r="H17" s="51">
        <v>13.86</v>
      </c>
      <c r="I17" s="51">
        <v>4.51</v>
      </c>
      <c r="J17" s="51">
        <v>0.64</v>
      </c>
      <c r="K17" s="51">
        <v>280.16000000000003</v>
      </c>
      <c r="L17" s="51">
        <v>27.5</v>
      </c>
      <c r="M17" s="51">
        <v>99.48</v>
      </c>
      <c r="N17" s="51">
        <v>169.6</v>
      </c>
      <c r="O17" s="51">
        <v>0</v>
      </c>
      <c r="P17" s="51">
        <v>0.56000000000000005</v>
      </c>
      <c r="Q17" s="51">
        <v>4.58</v>
      </c>
    </row>
    <row r="18" spans="1:17" customFormat="1">
      <c r="A18" s="50" t="s">
        <v>713</v>
      </c>
      <c r="B18" s="51">
        <v>20.21</v>
      </c>
      <c r="C18" s="51">
        <v>22.81</v>
      </c>
      <c r="D18" s="51">
        <v>27.08</v>
      </c>
      <c r="E18" s="51">
        <v>7.96</v>
      </c>
      <c r="F18" s="51">
        <v>6.18</v>
      </c>
      <c r="G18" s="51">
        <v>32.479999999999997</v>
      </c>
      <c r="H18" s="51">
        <v>12.01</v>
      </c>
      <c r="I18" s="51">
        <v>5.38</v>
      </c>
      <c r="J18" s="51">
        <v>0.68</v>
      </c>
      <c r="K18" s="51">
        <v>310.88</v>
      </c>
      <c r="L18" s="51">
        <v>28.6</v>
      </c>
      <c r="M18" s="51">
        <v>89.27</v>
      </c>
      <c r="N18" s="51">
        <v>203.9</v>
      </c>
      <c r="O18" s="51">
        <v>0</v>
      </c>
      <c r="P18" s="51">
        <v>0.59</v>
      </c>
      <c r="Q18" s="51">
        <v>4.47</v>
      </c>
    </row>
    <row r="19" spans="1:17" customFormat="1">
      <c r="A19" s="50" t="s">
        <v>714</v>
      </c>
      <c r="B19" s="51">
        <v>18.84</v>
      </c>
      <c r="C19" s="51">
        <v>24.81</v>
      </c>
      <c r="D19" s="51">
        <v>27.03</v>
      </c>
      <c r="E19" s="51">
        <v>8.75</v>
      </c>
      <c r="F19" s="51">
        <v>8.19</v>
      </c>
      <c r="G19" s="51">
        <v>34.770000000000003</v>
      </c>
      <c r="H19" s="51">
        <v>12.23</v>
      </c>
      <c r="I19" s="51">
        <v>5.5</v>
      </c>
      <c r="J19" s="51">
        <v>0.7</v>
      </c>
      <c r="K19" s="51">
        <v>286.58</v>
      </c>
      <c r="L19" s="51">
        <v>29.6</v>
      </c>
      <c r="M19" s="51">
        <v>86.23</v>
      </c>
      <c r="N19" s="51">
        <v>311.60000000000002</v>
      </c>
      <c r="O19" s="51">
        <v>0</v>
      </c>
      <c r="P19" s="51">
        <v>0.64</v>
      </c>
      <c r="Q19" s="51">
        <v>4.4800000000000004</v>
      </c>
    </row>
    <row r="20" spans="1:17" customFormat="1">
      <c r="A20" s="50" t="s">
        <v>715</v>
      </c>
      <c r="B20" s="51">
        <v>17.45</v>
      </c>
      <c r="C20" s="51">
        <v>22.49</v>
      </c>
      <c r="D20" s="51">
        <v>24.48</v>
      </c>
      <c r="E20" s="51">
        <v>8.8699999999999992</v>
      </c>
      <c r="F20" s="51">
        <v>7.56</v>
      </c>
      <c r="G20" s="51">
        <v>37.28</v>
      </c>
      <c r="H20" s="51">
        <v>13.5</v>
      </c>
      <c r="I20" s="51">
        <v>5.59</v>
      </c>
      <c r="J20" s="51">
        <v>1.02</v>
      </c>
      <c r="K20" s="51">
        <v>277.93</v>
      </c>
      <c r="L20" s="51">
        <v>30.55</v>
      </c>
      <c r="M20" s="51">
        <v>82.28</v>
      </c>
      <c r="N20" s="51">
        <v>709</v>
      </c>
      <c r="O20" s="51">
        <v>0</v>
      </c>
      <c r="P20" s="51">
        <v>0.65</v>
      </c>
      <c r="Q20" s="51">
        <v>4.3600000000000003</v>
      </c>
    </row>
    <row r="21" spans="1:17" customFormat="1">
      <c r="A21" s="50" t="s">
        <v>716</v>
      </c>
      <c r="B21" s="51">
        <v>15.77</v>
      </c>
      <c r="C21" s="51">
        <v>24.43</v>
      </c>
      <c r="D21" s="51">
        <v>24.36</v>
      </c>
      <c r="E21" s="51">
        <v>9.32</v>
      </c>
      <c r="F21" s="51">
        <v>8.0399999999999991</v>
      </c>
      <c r="G21" s="51">
        <v>37.28</v>
      </c>
      <c r="H21" s="51">
        <v>13.5</v>
      </c>
      <c r="I21" s="51">
        <v>5.91</v>
      </c>
      <c r="J21" s="51">
        <v>1.28</v>
      </c>
      <c r="K21" s="51">
        <v>296.43</v>
      </c>
      <c r="L21" s="51">
        <v>31.16</v>
      </c>
      <c r="M21" s="51">
        <v>77.540000000000006</v>
      </c>
      <c r="N21" s="51">
        <v>841.3</v>
      </c>
      <c r="O21" s="51">
        <v>0</v>
      </c>
      <c r="P21" s="51">
        <v>0.72</v>
      </c>
      <c r="Q21" s="51">
        <v>4.3600000000000003</v>
      </c>
    </row>
    <row r="22" spans="1:17" customFormat="1">
      <c r="A22" s="50" t="s">
        <v>717</v>
      </c>
      <c r="B22" s="51">
        <v>13.06</v>
      </c>
      <c r="C22" s="51">
        <v>23.79</v>
      </c>
      <c r="D22" s="51">
        <v>20.63</v>
      </c>
      <c r="E22" s="51">
        <v>7.55</v>
      </c>
      <c r="F22" s="51">
        <v>7.24</v>
      </c>
      <c r="G22" s="51">
        <v>34.78</v>
      </c>
      <c r="H22" s="51">
        <v>13.37</v>
      </c>
      <c r="I22" s="51">
        <v>5.85</v>
      </c>
      <c r="J22" s="51">
        <v>1.37</v>
      </c>
      <c r="K22" s="51">
        <v>269.73</v>
      </c>
      <c r="L22" s="51">
        <v>31.56</v>
      </c>
      <c r="M22" s="51">
        <v>73.72</v>
      </c>
      <c r="N22" s="51">
        <v>880.5</v>
      </c>
      <c r="O22" s="51">
        <v>0</v>
      </c>
      <c r="P22" s="51">
        <v>0.73</v>
      </c>
      <c r="Q22" s="51">
        <v>4.09</v>
      </c>
    </row>
    <row r="23" spans="1:17" customFormat="1">
      <c r="A23" s="50" t="s">
        <v>718</v>
      </c>
      <c r="B23" s="51">
        <v>9.9700000000000006</v>
      </c>
      <c r="C23" s="51">
        <v>24.4</v>
      </c>
      <c r="D23" s="51">
        <v>19.7</v>
      </c>
      <c r="E23" s="51">
        <v>7.89</v>
      </c>
      <c r="F23" s="51">
        <v>9.93</v>
      </c>
      <c r="G23" s="51">
        <v>31.5</v>
      </c>
      <c r="H23" s="51">
        <v>13.37</v>
      </c>
      <c r="I23" s="51">
        <v>6.23</v>
      </c>
      <c r="J23" s="51">
        <v>1.1200000000000001</v>
      </c>
      <c r="K23" s="51">
        <v>298.95999999999998</v>
      </c>
      <c r="L23" s="51">
        <v>31.95</v>
      </c>
      <c r="M23" s="51">
        <v>74.05</v>
      </c>
      <c r="N23" s="51">
        <v>709.6</v>
      </c>
      <c r="O23" s="51">
        <v>0</v>
      </c>
      <c r="P23" s="51">
        <v>0.73</v>
      </c>
      <c r="Q23" s="51">
        <v>4.08</v>
      </c>
    </row>
    <row r="24" spans="1:17" customFormat="1">
      <c r="A24" s="50" t="s">
        <v>719</v>
      </c>
      <c r="B24" s="51">
        <v>8.65</v>
      </c>
      <c r="C24" s="51">
        <v>20.47</v>
      </c>
      <c r="D24" s="51">
        <v>16.59</v>
      </c>
      <c r="E24" s="51">
        <v>6.76</v>
      </c>
      <c r="F24" s="51">
        <v>11.89</v>
      </c>
      <c r="G24" s="51">
        <v>30.81</v>
      </c>
      <c r="H24" s="51">
        <v>11.15</v>
      </c>
      <c r="I24" s="51">
        <v>5.51</v>
      </c>
      <c r="J24" s="51">
        <v>1.06</v>
      </c>
      <c r="K24" s="51">
        <v>299.42</v>
      </c>
      <c r="L24" s="51">
        <v>31.93</v>
      </c>
      <c r="M24" s="51">
        <v>75.489999999999995</v>
      </c>
      <c r="N24" s="51">
        <v>486.3</v>
      </c>
      <c r="O24" s="51">
        <v>0</v>
      </c>
      <c r="P24" s="51">
        <v>0.61</v>
      </c>
      <c r="Q24" s="51">
        <v>3.85</v>
      </c>
    </row>
    <row r="25" spans="1:17" customFormat="1">
      <c r="A25" s="50" t="s">
        <v>720</v>
      </c>
      <c r="B25" s="51">
        <v>9.61</v>
      </c>
      <c r="C25" s="51">
        <v>20.81</v>
      </c>
      <c r="D25" s="51">
        <v>17.53</v>
      </c>
      <c r="E25" s="51">
        <v>8.68</v>
      </c>
      <c r="F25" s="51">
        <v>10.99</v>
      </c>
      <c r="G25" s="51">
        <v>28.7</v>
      </c>
      <c r="H25" s="51">
        <v>13.02</v>
      </c>
      <c r="I25" s="51">
        <v>4.8</v>
      </c>
      <c r="J25" s="51">
        <v>0.62</v>
      </c>
      <c r="K25" s="51">
        <v>332.84</v>
      </c>
      <c r="L25" s="51">
        <v>30.89</v>
      </c>
      <c r="M25" s="51">
        <v>78.64</v>
      </c>
      <c r="N25" s="51">
        <v>93.2</v>
      </c>
      <c r="O25" s="51">
        <v>0</v>
      </c>
      <c r="P25" s="51">
        <v>0.6</v>
      </c>
      <c r="Q25" s="51">
        <v>3.82</v>
      </c>
    </row>
    <row r="26" spans="1:17" customFormat="1">
      <c r="A26" s="50" t="s">
        <v>721</v>
      </c>
      <c r="B26" s="51">
        <v>12.47</v>
      </c>
      <c r="C26" s="51">
        <v>21.5</v>
      </c>
      <c r="D26" s="51">
        <v>20.190000000000001</v>
      </c>
      <c r="E26" s="51">
        <v>8.92</v>
      </c>
      <c r="F26" s="51">
        <v>12.28</v>
      </c>
      <c r="G26" s="51">
        <v>31.69</v>
      </c>
      <c r="H26" s="51">
        <v>13.02</v>
      </c>
      <c r="I26" s="51">
        <v>4.67</v>
      </c>
      <c r="J26" s="51">
        <v>0.44</v>
      </c>
      <c r="K26" s="51">
        <v>331.3</v>
      </c>
      <c r="L26" s="51">
        <v>30.59</v>
      </c>
      <c r="M26" s="51">
        <v>80.11</v>
      </c>
      <c r="N26" s="51">
        <v>70.3</v>
      </c>
      <c r="O26" s="51">
        <v>0</v>
      </c>
      <c r="P26" s="51">
        <v>0.65</v>
      </c>
      <c r="Q26" s="51">
        <v>3.93</v>
      </c>
    </row>
    <row r="27" spans="1:17" customFormat="1">
      <c r="A27" s="50" t="s">
        <v>722</v>
      </c>
      <c r="B27" s="51">
        <v>11.85</v>
      </c>
      <c r="C27" s="51">
        <v>24.27</v>
      </c>
      <c r="D27" s="51">
        <v>20.68</v>
      </c>
      <c r="E27" s="51">
        <v>5.16</v>
      </c>
      <c r="F27" s="51">
        <v>10.38</v>
      </c>
      <c r="G27" s="51">
        <v>32.47</v>
      </c>
      <c r="H27" s="51">
        <v>9.26</v>
      </c>
      <c r="I27" s="51">
        <v>4.62</v>
      </c>
      <c r="J27" s="51">
        <v>0.9</v>
      </c>
      <c r="K27" s="51">
        <v>297.94</v>
      </c>
      <c r="L27" s="51">
        <v>30.29</v>
      </c>
      <c r="M27" s="51">
        <v>80.14</v>
      </c>
      <c r="N27" s="51">
        <v>7.8</v>
      </c>
      <c r="O27" s="51">
        <v>0</v>
      </c>
      <c r="P27" s="51">
        <v>0.67</v>
      </c>
      <c r="Q27" s="51">
        <v>4.07</v>
      </c>
    </row>
    <row r="28" spans="1:17" customFormat="1">
      <c r="A28" s="50" t="s">
        <v>723</v>
      </c>
      <c r="B28" s="51">
        <v>11.38</v>
      </c>
      <c r="C28" s="51">
        <v>26.53</v>
      </c>
      <c r="D28" s="51">
        <v>21.95</v>
      </c>
      <c r="E28" s="51">
        <v>5.25</v>
      </c>
      <c r="F28" s="51">
        <v>11.2</v>
      </c>
      <c r="G28" s="51">
        <v>32.47</v>
      </c>
      <c r="H28" s="51">
        <v>6.87</v>
      </c>
      <c r="I28" s="51">
        <v>5.07</v>
      </c>
      <c r="J28" s="51">
        <v>0.97</v>
      </c>
      <c r="K28" s="51">
        <v>287.10000000000002</v>
      </c>
      <c r="L28" s="51">
        <v>29.55</v>
      </c>
      <c r="M28" s="51">
        <v>79.849999999999994</v>
      </c>
      <c r="N28" s="51">
        <v>0</v>
      </c>
      <c r="O28" s="51">
        <v>0</v>
      </c>
      <c r="P28" s="51">
        <v>0.7</v>
      </c>
      <c r="Q28" s="51">
        <v>4.1900000000000004</v>
      </c>
    </row>
    <row r="29" spans="1:17" customFormat="1">
      <c r="A29" s="50" t="s">
        <v>724</v>
      </c>
      <c r="B29" s="51">
        <v>11.73</v>
      </c>
      <c r="C29" s="51">
        <v>24</v>
      </c>
      <c r="D29" s="51">
        <v>20.02</v>
      </c>
      <c r="E29" s="51">
        <v>5.25</v>
      </c>
      <c r="F29" s="51">
        <v>9.7899999999999991</v>
      </c>
      <c r="G29" s="51">
        <v>34.46</v>
      </c>
      <c r="H29" s="51">
        <v>9.9</v>
      </c>
      <c r="I29" s="51">
        <v>4.43</v>
      </c>
      <c r="J29" s="51">
        <v>0.79</v>
      </c>
      <c r="K29" s="51">
        <v>273.35000000000002</v>
      </c>
      <c r="L29" s="51">
        <v>29.29</v>
      </c>
      <c r="M29" s="51">
        <v>83.02</v>
      </c>
      <c r="N29" s="51">
        <v>0</v>
      </c>
      <c r="O29" s="51">
        <v>0</v>
      </c>
      <c r="P29" s="51">
        <v>0.64</v>
      </c>
      <c r="Q29" s="51">
        <v>4.04</v>
      </c>
    </row>
    <row r="30" spans="1:17" customFormat="1">
      <c r="A30" s="50" t="s">
        <v>725</v>
      </c>
      <c r="B30" s="51">
        <v>10.34</v>
      </c>
      <c r="C30" s="51">
        <v>21.75</v>
      </c>
      <c r="D30" s="51">
        <v>18.61</v>
      </c>
      <c r="E30" s="51">
        <v>8.59</v>
      </c>
      <c r="F30" s="51">
        <v>10.93</v>
      </c>
      <c r="G30" s="51">
        <v>34.46</v>
      </c>
      <c r="H30" s="51">
        <v>11.3</v>
      </c>
      <c r="I30" s="51">
        <v>4.83</v>
      </c>
      <c r="J30" s="51">
        <v>0.92</v>
      </c>
      <c r="K30" s="51">
        <v>267</v>
      </c>
      <c r="L30" s="51">
        <v>29.03</v>
      </c>
      <c r="M30" s="51">
        <v>85.56</v>
      </c>
      <c r="N30" s="51">
        <v>0</v>
      </c>
      <c r="O30" s="51">
        <v>0</v>
      </c>
      <c r="P30" s="51">
        <v>0.63</v>
      </c>
      <c r="Q30" s="51">
        <v>4.07</v>
      </c>
    </row>
    <row r="31" spans="1:17" customFormat="1">
      <c r="A31" s="50" t="s">
        <v>726</v>
      </c>
      <c r="B31" s="51">
        <v>10.87</v>
      </c>
      <c r="C31" s="51">
        <v>21.83</v>
      </c>
      <c r="D31" s="51">
        <v>18.66</v>
      </c>
      <c r="E31" s="51">
        <v>6.53</v>
      </c>
      <c r="F31" s="51">
        <v>6.43</v>
      </c>
      <c r="G31" s="51">
        <v>31.3</v>
      </c>
      <c r="H31" s="51">
        <v>11.3</v>
      </c>
      <c r="I31" s="51">
        <v>4.7300000000000004</v>
      </c>
      <c r="J31" s="51">
        <v>1.1499999999999999</v>
      </c>
      <c r="K31" s="51">
        <v>309.5</v>
      </c>
      <c r="L31" s="51">
        <v>28.85</v>
      </c>
      <c r="M31" s="51">
        <v>97.8</v>
      </c>
      <c r="N31" s="51">
        <v>0.5</v>
      </c>
      <c r="O31" s="51">
        <v>12</v>
      </c>
      <c r="P31" s="51">
        <v>0.63</v>
      </c>
      <c r="Q31" s="51">
        <v>4</v>
      </c>
    </row>
    <row r="32" spans="1:17" customFormat="1">
      <c r="A32" s="50" t="s">
        <v>727</v>
      </c>
      <c r="B32" s="51">
        <v>11.79</v>
      </c>
      <c r="C32" s="51">
        <v>23.32</v>
      </c>
      <c r="D32" s="51">
        <v>20.6</v>
      </c>
      <c r="E32" s="51">
        <v>4.8499999999999996</v>
      </c>
      <c r="F32" s="51">
        <v>6.64</v>
      </c>
      <c r="G32" s="51">
        <v>26.83</v>
      </c>
      <c r="H32" s="51">
        <v>8.2799999999999994</v>
      </c>
      <c r="I32" s="51">
        <v>4.9400000000000004</v>
      </c>
      <c r="J32" s="51">
        <v>1.37</v>
      </c>
      <c r="K32" s="51">
        <v>351.37</v>
      </c>
      <c r="L32" s="51">
        <v>24.73</v>
      </c>
      <c r="M32" s="51">
        <v>98.96</v>
      </c>
      <c r="N32" s="51">
        <v>0</v>
      </c>
      <c r="O32" s="51">
        <v>11.4</v>
      </c>
      <c r="P32" s="51">
        <v>0.62</v>
      </c>
      <c r="Q32" s="51">
        <v>4.0199999999999996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8.65</v>
      </c>
      <c r="C34" s="41">
        <f t="shared" si="0"/>
        <v>20.47</v>
      </c>
      <c r="D34" s="41">
        <f t="shared" si="0"/>
        <v>16.59</v>
      </c>
      <c r="E34" s="41">
        <f t="shared" si="0"/>
        <v>4.8499999999999996</v>
      </c>
      <c r="F34" s="41">
        <f t="shared" si="0"/>
        <v>4.09</v>
      </c>
      <c r="G34" s="41">
        <f t="shared" si="0"/>
        <v>17.86</v>
      </c>
      <c r="H34" s="41">
        <f t="shared" si="0"/>
        <v>6.21</v>
      </c>
      <c r="I34" s="41">
        <f t="shared" si="0"/>
        <v>4.41</v>
      </c>
      <c r="J34" s="41">
        <f t="shared" si="0"/>
        <v>0.3</v>
      </c>
      <c r="K34" s="41">
        <f t="shared" si="0"/>
        <v>244.39</v>
      </c>
      <c r="L34" s="41">
        <f t="shared" si="0"/>
        <v>24.73</v>
      </c>
      <c r="M34" s="41">
        <f t="shared" si="0"/>
        <v>73.72</v>
      </c>
      <c r="N34" s="41">
        <f t="shared" si="0"/>
        <v>0</v>
      </c>
      <c r="O34" s="41">
        <f t="shared" si="0"/>
        <v>0</v>
      </c>
      <c r="P34" s="41">
        <f t="shared" si="0"/>
        <v>0.46</v>
      </c>
      <c r="Q34" s="41">
        <f t="shared" si="0"/>
        <v>3.82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21.79</v>
      </c>
      <c r="C35" s="33">
        <f t="shared" si="1"/>
        <v>26.53</v>
      </c>
      <c r="D35" s="33">
        <f t="shared" si="1"/>
        <v>29.14</v>
      </c>
      <c r="E35" s="33">
        <f t="shared" si="1"/>
        <v>9.32</v>
      </c>
      <c r="F35" s="33">
        <f t="shared" si="1"/>
        <v>12.28</v>
      </c>
      <c r="G35" s="33">
        <f t="shared" si="1"/>
        <v>37.28</v>
      </c>
      <c r="H35" s="33">
        <f t="shared" si="1"/>
        <v>13.86</v>
      </c>
      <c r="I35" s="33">
        <f t="shared" si="1"/>
        <v>6.23</v>
      </c>
      <c r="J35" s="33">
        <f t="shared" si="1"/>
        <v>1.37</v>
      </c>
      <c r="K35" s="33">
        <f t="shared" si="1"/>
        <v>359.32</v>
      </c>
      <c r="L35" s="33">
        <f t="shared" si="1"/>
        <v>31.95</v>
      </c>
      <c r="M35" s="33">
        <f t="shared" si="1"/>
        <v>99.54</v>
      </c>
      <c r="N35" s="33">
        <f t="shared" si="1"/>
        <v>880.5</v>
      </c>
      <c r="O35" s="33">
        <f t="shared" si="1"/>
        <v>13</v>
      </c>
      <c r="P35" s="33">
        <f t="shared" si="1"/>
        <v>0.73</v>
      </c>
      <c r="Q35" s="33">
        <f t="shared" si="1"/>
        <v>4.58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14.312083333333335</v>
      </c>
      <c r="C36" s="41">
        <f t="shared" si="2"/>
        <v>23.220416666666669</v>
      </c>
      <c r="D36" s="41">
        <f t="shared" si="2"/>
        <v>22.37875</v>
      </c>
      <c r="E36" s="41">
        <f t="shared" si="2"/>
        <v>7.2816666666666663</v>
      </c>
      <c r="F36" s="41">
        <f t="shared" si="2"/>
        <v>7.5045833333333318</v>
      </c>
      <c r="G36" s="41">
        <f t="shared" si="2"/>
        <v>29.420416666666672</v>
      </c>
      <c r="H36" s="41">
        <f t="shared" si="2"/>
        <v>10.893333333333336</v>
      </c>
      <c r="I36" s="41">
        <f t="shared" si="2"/>
        <v>4.9624999999999995</v>
      </c>
      <c r="J36" s="41">
        <f t="shared" si="2"/>
        <v>0.77666666666666684</v>
      </c>
      <c r="K36" s="41">
        <f t="shared" si="2"/>
        <v>297.9279166666667</v>
      </c>
      <c r="L36" s="41">
        <f t="shared" si="2"/>
        <v>28.57833333333333</v>
      </c>
      <c r="M36" s="41">
        <f t="shared" si="2"/>
        <v>88.548333333333332</v>
      </c>
      <c r="N36" s="41">
        <f t="shared" si="2"/>
        <v>194.13333333333333</v>
      </c>
      <c r="O36" s="41">
        <f t="shared" si="2"/>
        <v>1.8749999999999998</v>
      </c>
      <c r="P36" s="41">
        <f t="shared" si="2"/>
        <v>0.59666666666666668</v>
      </c>
      <c r="Q36" s="41">
        <f t="shared" si="2"/>
        <v>4.1912499999999993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4.0282102824592059</v>
      </c>
      <c r="C37" s="41">
        <f t="shared" ref="C37:Q37" si="3">STDEV(C9:C32)</f>
        <v>1.5159829044769593</v>
      </c>
      <c r="D37" s="41">
        <f t="shared" si="3"/>
        <v>3.6759965374682175</v>
      </c>
      <c r="E37" s="41">
        <f t="shared" si="3"/>
        <v>1.3055389247578901</v>
      </c>
      <c r="F37" s="41">
        <f t="shared" si="3"/>
        <v>2.7735802935786018</v>
      </c>
      <c r="G37" s="41">
        <f t="shared" si="3"/>
        <v>6.3416240404973641</v>
      </c>
      <c r="H37" s="41">
        <f t="shared" si="3"/>
        <v>2.532047919504409</v>
      </c>
      <c r="I37" s="41">
        <f t="shared" si="3"/>
        <v>0.54059749553055747</v>
      </c>
      <c r="J37" s="41">
        <f t="shared" si="3"/>
        <v>0.33889419493747397</v>
      </c>
      <c r="K37" s="41">
        <f t="shared" si="3"/>
        <v>30.578088628405691</v>
      </c>
      <c r="L37" s="41">
        <f t="shared" si="3"/>
        <v>2.3008649917249127</v>
      </c>
      <c r="M37" s="41">
        <f t="shared" si="3"/>
        <v>9.8501633915677065</v>
      </c>
      <c r="N37" s="41">
        <f t="shared" si="3"/>
        <v>296.1791359628665</v>
      </c>
      <c r="O37" s="41">
        <f t="shared" si="3"/>
        <v>4.1889346990665155</v>
      </c>
      <c r="P37" s="41">
        <f t="shared" si="3"/>
        <v>8.5753269257829348E-2</v>
      </c>
      <c r="Q37" s="41">
        <f t="shared" si="3"/>
        <v>0.2226971525169073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abSelected="1" topLeftCell="A13" workbookViewId="0">
      <selection activeCell="B38" sqref="B38:Q38"/>
    </sheetView>
  </sheetViews>
  <sheetFormatPr defaultColWidth="9" defaultRowHeight="15"/>
  <cols>
    <col min="1" max="1" width="15.71093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 t="str">
        <f>$A$9</f>
        <v>29/07/2023 01:00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0" t="s">
        <v>728</v>
      </c>
      <c r="B9" s="51">
        <v>9.64</v>
      </c>
      <c r="C9" s="51">
        <v>23.13</v>
      </c>
      <c r="D9" s="51">
        <v>18.399999999999999</v>
      </c>
      <c r="E9" s="51">
        <v>4.7</v>
      </c>
      <c r="F9" s="51">
        <v>6.42</v>
      </c>
      <c r="G9" s="51">
        <v>17.440000000000001</v>
      </c>
      <c r="H9" s="51">
        <v>6.96</v>
      </c>
      <c r="I9" s="51">
        <v>4.72</v>
      </c>
      <c r="J9" s="51">
        <v>1</v>
      </c>
      <c r="K9" s="51">
        <v>319.43</v>
      </c>
      <c r="L9" s="51">
        <v>24.66</v>
      </c>
      <c r="M9" s="51">
        <v>99.24</v>
      </c>
      <c r="N9" s="51">
        <v>0</v>
      </c>
      <c r="O9" s="51">
        <v>7.8</v>
      </c>
      <c r="P9" s="51">
        <v>0.62</v>
      </c>
      <c r="Q9" s="51">
        <v>4.04</v>
      </c>
    </row>
    <row r="10" spans="1:21">
      <c r="A10" s="50" t="s">
        <v>729</v>
      </c>
      <c r="B10" s="51">
        <v>8.8699999999999992</v>
      </c>
      <c r="C10" s="51">
        <v>24.48</v>
      </c>
      <c r="D10" s="51">
        <v>18.649999999999999</v>
      </c>
      <c r="E10" s="51">
        <v>4.0199999999999996</v>
      </c>
      <c r="F10" s="51">
        <v>5.5</v>
      </c>
      <c r="G10" s="51">
        <v>12.5</v>
      </c>
      <c r="H10" s="51">
        <v>5.44</v>
      </c>
      <c r="I10" s="51">
        <v>4.21</v>
      </c>
      <c r="J10" s="51">
        <v>0.8</v>
      </c>
      <c r="K10" s="51">
        <v>318.68</v>
      </c>
      <c r="L10" s="51">
        <v>24.52</v>
      </c>
      <c r="M10" s="51">
        <v>99.25</v>
      </c>
      <c r="N10" s="51">
        <v>0</v>
      </c>
      <c r="O10" s="51">
        <v>1.2</v>
      </c>
      <c r="P10" s="51">
        <v>0.56000000000000005</v>
      </c>
      <c r="Q10" s="51">
        <v>4.04</v>
      </c>
    </row>
    <row r="11" spans="1:21">
      <c r="A11" s="50" t="s">
        <v>730</v>
      </c>
      <c r="B11" s="51">
        <v>9.8800000000000008</v>
      </c>
      <c r="C11" s="51">
        <v>24.19</v>
      </c>
      <c r="D11" s="51">
        <v>19.510000000000002</v>
      </c>
      <c r="E11" s="51">
        <v>4.54</v>
      </c>
      <c r="F11" s="51">
        <v>5.5</v>
      </c>
      <c r="G11" s="51">
        <v>12.5</v>
      </c>
      <c r="H11" s="51">
        <v>7.52</v>
      </c>
      <c r="I11" s="51">
        <v>4.04</v>
      </c>
      <c r="J11" s="51">
        <v>0.62</v>
      </c>
      <c r="K11" s="51">
        <v>342.76</v>
      </c>
      <c r="L11" s="51">
        <v>25.1</v>
      </c>
      <c r="M11" s="51">
        <v>99.28</v>
      </c>
      <c r="N11" s="51">
        <v>0</v>
      </c>
      <c r="O11" s="51">
        <v>1.2</v>
      </c>
      <c r="P11" s="51">
        <v>0.54</v>
      </c>
      <c r="Q11" s="51">
        <v>4.08</v>
      </c>
    </row>
    <row r="12" spans="1:21">
      <c r="A12" s="50" t="s">
        <v>731</v>
      </c>
      <c r="B12" s="51">
        <v>11.18</v>
      </c>
      <c r="C12" s="51">
        <v>23.75</v>
      </c>
      <c r="D12" s="51">
        <v>20.07</v>
      </c>
      <c r="E12" s="51">
        <v>4.84</v>
      </c>
      <c r="F12" s="51">
        <v>4.6399999999999997</v>
      </c>
      <c r="G12" s="51">
        <v>13.55</v>
      </c>
      <c r="H12" s="51">
        <v>7.52</v>
      </c>
      <c r="I12" s="51">
        <v>3.97</v>
      </c>
      <c r="J12" s="51">
        <v>0.48</v>
      </c>
      <c r="K12" s="51">
        <v>303.47000000000003</v>
      </c>
      <c r="L12" s="51">
        <v>25.18</v>
      </c>
      <c r="M12" s="51">
        <v>99.27</v>
      </c>
      <c r="N12" s="51">
        <v>0</v>
      </c>
      <c r="O12" s="51">
        <v>0.2</v>
      </c>
      <c r="P12" s="51">
        <v>0.53</v>
      </c>
      <c r="Q12" s="51">
        <v>4.13</v>
      </c>
    </row>
    <row r="13" spans="1:21">
      <c r="A13" s="50" t="s">
        <v>732</v>
      </c>
      <c r="B13" s="51">
        <v>11.9</v>
      </c>
      <c r="C13" s="51">
        <v>23.54</v>
      </c>
      <c r="D13" s="51">
        <v>20.47</v>
      </c>
      <c r="E13" s="51">
        <v>4.24</v>
      </c>
      <c r="F13" s="51">
        <v>4.7699999999999996</v>
      </c>
      <c r="G13" s="51">
        <v>13.55</v>
      </c>
      <c r="H13" s="51">
        <v>6.1</v>
      </c>
      <c r="I13" s="51">
        <v>3.9</v>
      </c>
      <c r="J13" s="51">
        <v>0.75</v>
      </c>
      <c r="K13" s="51">
        <v>268.92</v>
      </c>
      <c r="L13" s="51">
        <v>25.52</v>
      </c>
      <c r="M13" s="51">
        <v>99.25</v>
      </c>
      <c r="N13" s="51">
        <v>0</v>
      </c>
      <c r="O13" s="51">
        <v>0</v>
      </c>
      <c r="P13" s="51">
        <v>0.51</v>
      </c>
      <c r="Q13" s="51">
        <v>4.16</v>
      </c>
    </row>
    <row r="14" spans="1:21">
      <c r="A14" s="50" t="s">
        <v>733</v>
      </c>
      <c r="B14" s="51">
        <v>12.47</v>
      </c>
      <c r="C14" s="51">
        <v>27.37</v>
      </c>
      <c r="D14" s="51">
        <v>23.03</v>
      </c>
      <c r="E14" s="51">
        <v>5.22</v>
      </c>
      <c r="F14" s="51">
        <v>3.8</v>
      </c>
      <c r="G14" s="51">
        <v>11.41</v>
      </c>
      <c r="H14" s="51">
        <v>6.1</v>
      </c>
      <c r="I14" s="51">
        <v>3.94</v>
      </c>
      <c r="J14" s="51">
        <v>0.66</v>
      </c>
      <c r="K14" s="51">
        <v>287.05</v>
      </c>
      <c r="L14" s="51">
        <v>25.63</v>
      </c>
      <c r="M14" s="51">
        <v>99.25</v>
      </c>
      <c r="N14" s="51">
        <v>0</v>
      </c>
      <c r="O14" s="51">
        <v>0</v>
      </c>
      <c r="P14" s="51">
        <v>0.56000000000000005</v>
      </c>
      <c r="Q14" s="51">
        <v>4.32</v>
      </c>
    </row>
    <row r="15" spans="1:21">
      <c r="A15" s="50" t="s">
        <v>734</v>
      </c>
      <c r="B15" s="51">
        <v>13.5</v>
      </c>
      <c r="C15" s="51">
        <v>24.96</v>
      </c>
      <c r="D15" s="51">
        <v>22.83</v>
      </c>
      <c r="E15" s="51">
        <v>4.42</v>
      </c>
      <c r="F15" s="51">
        <v>3.86</v>
      </c>
      <c r="G15" s="51">
        <v>12.08</v>
      </c>
      <c r="H15" s="51">
        <v>6.04</v>
      </c>
      <c r="I15" s="51">
        <v>4.3600000000000003</v>
      </c>
      <c r="J15" s="51">
        <v>0.86</v>
      </c>
      <c r="K15" s="51">
        <v>264.44</v>
      </c>
      <c r="L15" s="51">
        <v>25.59</v>
      </c>
      <c r="M15" s="51">
        <v>99.23</v>
      </c>
      <c r="N15" s="51">
        <v>14.3</v>
      </c>
      <c r="O15" s="51">
        <v>1</v>
      </c>
      <c r="P15" s="51">
        <v>0.56000000000000005</v>
      </c>
      <c r="Q15" s="51">
        <v>4.28</v>
      </c>
    </row>
    <row r="16" spans="1:21">
      <c r="A16" s="50" t="s">
        <v>735</v>
      </c>
      <c r="B16" s="51">
        <v>14.59</v>
      </c>
      <c r="C16" s="51">
        <v>24.2</v>
      </c>
      <c r="D16" s="51">
        <v>23.25</v>
      </c>
      <c r="E16" s="51">
        <v>5.01</v>
      </c>
      <c r="F16" s="51">
        <v>3.62</v>
      </c>
      <c r="G16" s="51">
        <v>14.52</v>
      </c>
      <c r="H16" s="51">
        <v>5.91</v>
      </c>
      <c r="I16" s="51">
        <v>4.8600000000000003</v>
      </c>
      <c r="J16" s="51">
        <v>0.99</v>
      </c>
      <c r="K16" s="51">
        <v>264.52999999999997</v>
      </c>
      <c r="L16" s="51">
        <v>25.73</v>
      </c>
      <c r="M16" s="51">
        <v>99.19</v>
      </c>
      <c r="N16" s="51">
        <v>52</v>
      </c>
      <c r="O16" s="51">
        <v>2.2000000000000002</v>
      </c>
      <c r="P16" s="51">
        <v>0.59</v>
      </c>
      <c r="Q16" s="51">
        <v>4.32</v>
      </c>
    </row>
    <row r="17" spans="1:17">
      <c r="A17" s="50" t="s">
        <v>736</v>
      </c>
      <c r="B17" s="51">
        <v>15.94</v>
      </c>
      <c r="C17" s="51">
        <v>24.09</v>
      </c>
      <c r="D17" s="51">
        <v>23.83</v>
      </c>
      <c r="E17" s="51">
        <v>4.42</v>
      </c>
      <c r="F17" s="51">
        <v>3.33</v>
      </c>
      <c r="G17" s="51">
        <v>16.38</v>
      </c>
      <c r="H17" s="51">
        <v>6.83</v>
      </c>
      <c r="I17" s="51">
        <v>5.54</v>
      </c>
      <c r="J17" s="51">
        <v>0.59</v>
      </c>
      <c r="K17" s="51">
        <v>269.52</v>
      </c>
      <c r="L17" s="51">
        <v>26.43</v>
      </c>
      <c r="M17" s="51">
        <v>98.71</v>
      </c>
      <c r="N17" s="51">
        <v>80.900000000000006</v>
      </c>
      <c r="O17" s="51">
        <v>0</v>
      </c>
      <c r="P17" s="51">
        <v>0.66</v>
      </c>
      <c r="Q17" s="51">
        <v>4.3099999999999996</v>
      </c>
    </row>
    <row r="18" spans="1:17">
      <c r="A18" s="50" t="s">
        <v>737</v>
      </c>
      <c r="B18" s="51">
        <v>17.670000000000002</v>
      </c>
      <c r="C18" s="51">
        <v>24.27</v>
      </c>
      <c r="D18" s="51">
        <v>24.93</v>
      </c>
      <c r="E18" s="51">
        <v>4.93</v>
      </c>
      <c r="F18" s="51">
        <v>4.97</v>
      </c>
      <c r="G18" s="51">
        <v>21.82</v>
      </c>
      <c r="H18" s="51">
        <v>9.0299999999999994</v>
      </c>
      <c r="I18" s="51">
        <v>5.68</v>
      </c>
      <c r="J18" s="51">
        <v>1.05</v>
      </c>
      <c r="K18" s="51">
        <v>300.17</v>
      </c>
      <c r="L18" s="51">
        <v>28.29</v>
      </c>
      <c r="M18" s="51">
        <v>94.97</v>
      </c>
      <c r="N18" s="51">
        <v>345.6</v>
      </c>
      <c r="O18" s="51">
        <v>0</v>
      </c>
      <c r="P18" s="51">
        <v>0.66</v>
      </c>
      <c r="Q18" s="51">
        <v>4.4000000000000004</v>
      </c>
    </row>
    <row r="19" spans="1:17">
      <c r="A19" s="50" t="s">
        <v>738</v>
      </c>
      <c r="B19" s="51">
        <v>17.38</v>
      </c>
      <c r="C19" s="51">
        <v>23.77</v>
      </c>
      <c r="D19" s="51">
        <v>25.22</v>
      </c>
      <c r="E19" s="51">
        <v>4.25</v>
      </c>
      <c r="F19" s="51">
        <v>4.3</v>
      </c>
      <c r="G19" s="51">
        <v>21.82</v>
      </c>
      <c r="H19" s="51">
        <v>9.0299999999999994</v>
      </c>
      <c r="I19" s="51">
        <v>5.45</v>
      </c>
      <c r="J19" s="51">
        <v>1.49</v>
      </c>
      <c r="K19" s="51">
        <v>304.98</v>
      </c>
      <c r="L19" s="51">
        <v>28.96</v>
      </c>
      <c r="M19" s="51">
        <v>84.21</v>
      </c>
      <c r="N19" s="51">
        <v>401.2</v>
      </c>
      <c r="O19" s="51">
        <v>0</v>
      </c>
      <c r="P19" s="51">
        <v>0.67</v>
      </c>
      <c r="Q19" s="51">
        <v>4.45</v>
      </c>
    </row>
    <row r="20" spans="1:17">
      <c r="A20" s="50" t="s">
        <v>739</v>
      </c>
      <c r="B20" s="51">
        <v>9.6</v>
      </c>
      <c r="C20" s="51">
        <v>19.12</v>
      </c>
      <c r="D20" s="51">
        <v>15.82</v>
      </c>
      <c r="E20" s="51">
        <v>8.0500000000000007</v>
      </c>
      <c r="F20" s="51">
        <v>10.72</v>
      </c>
      <c r="G20" s="51">
        <v>20.34</v>
      </c>
      <c r="H20" s="51">
        <v>7.89</v>
      </c>
      <c r="I20" s="51">
        <v>4.0199999999999996</v>
      </c>
      <c r="J20" s="51">
        <v>1.22</v>
      </c>
      <c r="K20" s="51">
        <v>315.54000000000002</v>
      </c>
      <c r="L20" s="51">
        <v>27.31</v>
      </c>
      <c r="M20" s="51">
        <v>95.79</v>
      </c>
      <c r="N20" s="51">
        <v>258.60000000000002</v>
      </c>
      <c r="O20" s="51">
        <v>0.6</v>
      </c>
      <c r="P20" s="51">
        <v>0.54</v>
      </c>
      <c r="Q20" s="51">
        <v>4.37</v>
      </c>
    </row>
    <row r="21" spans="1:17">
      <c r="A21" s="50" t="s">
        <v>740</v>
      </c>
      <c r="B21" s="51">
        <v>3.99</v>
      </c>
      <c r="C21" s="51">
        <v>18.170000000000002</v>
      </c>
      <c r="D21" s="51">
        <v>11.65</v>
      </c>
      <c r="E21" s="51">
        <v>4.63</v>
      </c>
      <c r="F21" s="51">
        <v>11.42</v>
      </c>
      <c r="G21" s="51">
        <v>16.21</v>
      </c>
      <c r="H21" s="51">
        <v>7.89</v>
      </c>
      <c r="I21" s="51">
        <v>3.36</v>
      </c>
      <c r="J21" s="51">
        <v>0.9</v>
      </c>
      <c r="K21" s="51">
        <v>300.7</v>
      </c>
      <c r="L21" s="51">
        <v>26.39</v>
      </c>
      <c r="M21" s="51">
        <v>94.46</v>
      </c>
      <c r="N21" s="51">
        <v>231</v>
      </c>
      <c r="O21" s="51">
        <v>0.2</v>
      </c>
      <c r="P21" s="51">
        <v>0.45</v>
      </c>
      <c r="Q21" s="51">
        <v>4.24</v>
      </c>
    </row>
    <row r="22" spans="1:17">
      <c r="A22" s="50" t="s">
        <v>741</v>
      </c>
      <c r="B22" s="51">
        <v>5.26</v>
      </c>
      <c r="C22" s="51">
        <v>18.309999999999999</v>
      </c>
      <c r="D22" s="51">
        <v>12.74</v>
      </c>
      <c r="E22" s="51">
        <v>8.1300000000000008</v>
      </c>
      <c r="F22" s="51">
        <v>4.5599999999999996</v>
      </c>
      <c r="G22" s="51">
        <v>12.08</v>
      </c>
      <c r="H22" s="51">
        <v>5.52</v>
      </c>
      <c r="I22" s="51">
        <v>0.77</v>
      </c>
      <c r="J22" s="51">
        <v>1.03</v>
      </c>
      <c r="K22" s="51">
        <v>292.27999999999997</v>
      </c>
      <c r="L22" s="51">
        <v>28.38</v>
      </c>
      <c r="M22" s="51">
        <v>90.6</v>
      </c>
      <c r="N22" s="51">
        <v>568.1</v>
      </c>
      <c r="O22" s="51">
        <v>0</v>
      </c>
      <c r="P22" s="51">
        <v>0.57999999999999996</v>
      </c>
      <c r="Q22" s="51">
        <v>4.6900000000000004</v>
      </c>
    </row>
    <row r="23" spans="1:17">
      <c r="A23" s="50" t="s">
        <v>742</v>
      </c>
      <c r="B23" s="9" t="s">
        <v>4</v>
      </c>
      <c r="C23" s="9" t="s">
        <v>4</v>
      </c>
      <c r="D23" s="9" t="s">
        <v>4</v>
      </c>
      <c r="E23" s="9" t="s">
        <v>4</v>
      </c>
      <c r="F23" s="9" t="s">
        <v>4</v>
      </c>
      <c r="G23" s="9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9" t="s">
        <v>4</v>
      </c>
      <c r="N23" s="9" t="s">
        <v>4</v>
      </c>
      <c r="O23" s="9" t="s">
        <v>4</v>
      </c>
      <c r="P23" s="9" t="s">
        <v>4</v>
      </c>
      <c r="Q23" s="9" t="s">
        <v>4</v>
      </c>
    </row>
    <row r="24" spans="1:17">
      <c r="A24" s="50" t="s">
        <v>743</v>
      </c>
      <c r="B24" s="9" t="s">
        <v>4</v>
      </c>
      <c r="C24" s="9" t="s">
        <v>4</v>
      </c>
      <c r="D24" s="9" t="s">
        <v>4</v>
      </c>
      <c r="E24" s="9" t="s">
        <v>4</v>
      </c>
      <c r="F24" s="9" t="s">
        <v>4</v>
      </c>
      <c r="G24" s="9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9" t="s">
        <v>4</v>
      </c>
      <c r="N24" s="9" t="s">
        <v>4</v>
      </c>
      <c r="O24" s="9" t="s">
        <v>4</v>
      </c>
      <c r="P24" s="9" t="s">
        <v>4</v>
      </c>
      <c r="Q24" s="9" t="s">
        <v>4</v>
      </c>
    </row>
    <row r="25" spans="1:17">
      <c r="A25" s="50" t="s">
        <v>744</v>
      </c>
      <c r="B25" s="9" t="s">
        <v>4</v>
      </c>
      <c r="C25" s="9" t="s">
        <v>4</v>
      </c>
      <c r="D25" s="9" t="s">
        <v>4</v>
      </c>
      <c r="E25" s="9" t="s">
        <v>4</v>
      </c>
      <c r="F25" s="9" t="s">
        <v>4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</row>
    <row r="26" spans="1:17">
      <c r="A26" s="50" t="s">
        <v>745</v>
      </c>
      <c r="B26" s="9" t="s">
        <v>4</v>
      </c>
      <c r="C26" s="9" t="s">
        <v>4</v>
      </c>
      <c r="D26" s="9" t="s">
        <v>4</v>
      </c>
      <c r="E26" s="9" t="s">
        <v>4</v>
      </c>
      <c r="F26" s="9" t="s">
        <v>4</v>
      </c>
      <c r="G26" s="9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9" t="s">
        <v>4</v>
      </c>
      <c r="N26" s="9" t="s">
        <v>4</v>
      </c>
      <c r="O26" s="9" t="s">
        <v>4</v>
      </c>
      <c r="P26" s="9" t="s">
        <v>4</v>
      </c>
      <c r="Q26" s="9" t="s">
        <v>4</v>
      </c>
    </row>
    <row r="27" spans="1:17">
      <c r="A27" s="50" t="s">
        <v>746</v>
      </c>
      <c r="B27" s="9" t="s">
        <v>4</v>
      </c>
      <c r="C27" s="9" t="s">
        <v>4</v>
      </c>
      <c r="D27" s="9" t="s">
        <v>4</v>
      </c>
      <c r="E27" s="9" t="s">
        <v>4</v>
      </c>
      <c r="F27" s="9" t="s">
        <v>4</v>
      </c>
      <c r="G27" s="9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9" t="s">
        <v>4</v>
      </c>
      <c r="N27" s="9" t="s">
        <v>4</v>
      </c>
      <c r="O27" s="9" t="s">
        <v>4</v>
      </c>
      <c r="P27" s="9" t="s">
        <v>4</v>
      </c>
      <c r="Q27" s="9" t="s">
        <v>4</v>
      </c>
    </row>
    <row r="28" spans="1:17">
      <c r="A28" s="50" t="s">
        <v>747</v>
      </c>
      <c r="B28" s="9" t="s">
        <v>4</v>
      </c>
      <c r="C28" s="9" t="s">
        <v>4</v>
      </c>
      <c r="D28" s="9" t="s">
        <v>4</v>
      </c>
      <c r="E28" s="9" t="s">
        <v>4</v>
      </c>
      <c r="F28" s="9" t="s">
        <v>4</v>
      </c>
      <c r="G28" s="9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9" t="s">
        <v>4</v>
      </c>
      <c r="N28" s="9" t="s">
        <v>4</v>
      </c>
      <c r="O28" s="9" t="s">
        <v>4</v>
      </c>
      <c r="P28" s="9" t="s">
        <v>4</v>
      </c>
      <c r="Q28" s="9" t="s">
        <v>4</v>
      </c>
    </row>
    <row r="29" spans="1:17">
      <c r="A29" s="50" t="s">
        <v>748</v>
      </c>
      <c r="B29" s="9" t="s">
        <v>4</v>
      </c>
      <c r="C29" s="9" t="s">
        <v>4</v>
      </c>
      <c r="D29" s="9" t="s">
        <v>4</v>
      </c>
      <c r="E29" s="9" t="s">
        <v>4</v>
      </c>
      <c r="F29" s="9" t="s">
        <v>4</v>
      </c>
      <c r="G29" s="9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9" t="s">
        <v>4</v>
      </c>
      <c r="N29" s="9" t="s">
        <v>4</v>
      </c>
      <c r="O29" s="9" t="s">
        <v>4</v>
      </c>
      <c r="P29" s="9" t="s">
        <v>4</v>
      </c>
      <c r="Q29" s="9" t="s">
        <v>4</v>
      </c>
    </row>
    <row r="30" spans="1:17">
      <c r="A30" s="50" t="s">
        <v>749</v>
      </c>
      <c r="B30" s="9" t="s">
        <v>4</v>
      </c>
      <c r="C30" s="9" t="s">
        <v>4</v>
      </c>
      <c r="D30" s="9" t="s">
        <v>4</v>
      </c>
      <c r="E30" s="9" t="s">
        <v>4</v>
      </c>
      <c r="F30" s="9" t="s">
        <v>4</v>
      </c>
      <c r="G30" s="9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9" t="s">
        <v>4</v>
      </c>
      <c r="N30" s="9" t="s">
        <v>4</v>
      </c>
      <c r="O30" s="9" t="s">
        <v>4</v>
      </c>
      <c r="P30" s="9" t="s">
        <v>4</v>
      </c>
      <c r="Q30" s="9" t="s">
        <v>4</v>
      </c>
    </row>
    <row r="31" spans="1:17">
      <c r="A31" s="50" t="s">
        <v>750</v>
      </c>
      <c r="B31" s="9" t="s">
        <v>4</v>
      </c>
      <c r="C31" s="9" t="s">
        <v>4</v>
      </c>
      <c r="D31" s="9" t="s">
        <v>4</v>
      </c>
      <c r="E31" s="9" t="s">
        <v>4</v>
      </c>
      <c r="F31" s="9" t="s">
        <v>4</v>
      </c>
      <c r="G31" s="9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9" t="s">
        <v>4</v>
      </c>
      <c r="N31" s="9" t="s">
        <v>4</v>
      </c>
      <c r="O31" s="9" t="s">
        <v>4</v>
      </c>
      <c r="P31" s="9" t="s">
        <v>4</v>
      </c>
      <c r="Q31" s="9" t="s">
        <v>4</v>
      </c>
    </row>
    <row r="32" spans="1:17">
      <c r="A32" s="50" t="s">
        <v>751</v>
      </c>
      <c r="B32" s="9" t="s">
        <v>4</v>
      </c>
      <c r="C32" s="9" t="s">
        <v>4</v>
      </c>
      <c r="D32" s="9" t="s">
        <v>4</v>
      </c>
      <c r="E32" s="9" t="s">
        <v>4</v>
      </c>
      <c r="F32" s="9" t="s">
        <v>4</v>
      </c>
      <c r="G32" s="9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9" t="s">
        <v>4</v>
      </c>
      <c r="N32" s="9" t="s">
        <v>4</v>
      </c>
      <c r="O32" s="9" t="s">
        <v>4</v>
      </c>
      <c r="P32" s="9" t="s">
        <v>4</v>
      </c>
      <c r="Q32" s="9" t="s">
        <v>4</v>
      </c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3.99</v>
      </c>
      <c r="C34" s="41">
        <f t="shared" si="0"/>
        <v>18.170000000000002</v>
      </c>
      <c r="D34" s="41">
        <f t="shared" si="0"/>
        <v>11.65</v>
      </c>
      <c r="E34" s="41">
        <f t="shared" si="0"/>
        <v>4.0199999999999996</v>
      </c>
      <c r="F34" s="41">
        <f t="shared" si="0"/>
        <v>3.33</v>
      </c>
      <c r="G34" s="41">
        <f t="shared" si="0"/>
        <v>11.41</v>
      </c>
      <c r="H34" s="41">
        <f t="shared" si="0"/>
        <v>5.44</v>
      </c>
      <c r="I34" s="41">
        <f t="shared" si="0"/>
        <v>0.77</v>
      </c>
      <c r="J34" s="41">
        <f t="shared" si="0"/>
        <v>0.48</v>
      </c>
      <c r="K34" s="41">
        <f t="shared" si="0"/>
        <v>264.44</v>
      </c>
      <c r="L34" s="41">
        <f t="shared" si="0"/>
        <v>24.52</v>
      </c>
      <c r="M34" s="41">
        <f t="shared" si="0"/>
        <v>84.21</v>
      </c>
      <c r="N34" s="41">
        <f t="shared" si="0"/>
        <v>0</v>
      </c>
      <c r="O34" s="41">
        <f t="shared" si="0"/>
        <v>0</v>
      </c>
      <c r="P34" s="41">
        <f t="shared" si="0"/>
        <v>0.45</v>
      </c>
      <c r="Q34" s="41">
        <f t="shared" si="0"/>
        <v>4.04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17.670000000000002</v>
      </c>
      <c r="C35" s="33">
        <f t="shared" si="1"/>
        <v>27.37</v>
      </c>
      <c r="D35" s="33">
        <f t="shared" si="1"/>
        <v>25.22</v>
      </c>
      <c r="E35" s="33">
        <f t="shared" si="1"/>
        <v>8.1300000000000008</v>
      </c>
      <c r="F35" s="33">
        <f t="shared" si="1"/>
        <v>11.42</v>
      </c>
      <c r="G35" s="33">
        <f t="shared" si="1"/>
        <v>21.82</v>
      </c>
      <c r="H35" s="33">
        <f t="shared" si="1"/>
        <v>9.0299999999999994</v>
      </c>
      <c r="I35" s="33">
        <f t="shared" si="1"/>
        <v>5.68</v>
      </c>
      <c r="J35" s="33">
        <f t="shared" si="1"/>
        <v>1.49</v>
      </c>
      <c r="K35" s="33">
        <f t="shared" si="1"/>
        <v>342.76</v>
      </c>
      <c r="L35" s="33">
        <f t="shared" si="1"/>
        <v>28.96</v>
      </c>
      <c r="M35" s="33">
        <f t="shared" si="1"/>
        <v>99.28</v>
      </c>
      <c r="N35" s="33">
        <f t="shared" si="1"/>
        <v>568.1</v>
      </c>
      <c r="O35" s="33">
        <f t="shared" si="1"/>
        <v>7.8</v>
      </c>
      <c r="P35" s="33">
        <f t="shared" si="1"/>
        <v>0.67</v>
      </c>
      <c r="Q35" s="33">
        <f t="shared" si="1"/>
        <v>4.6900000000000004</v>
      </c>
      <c r="R35" s="33"/>
      <c r="S35" s="33"/>
      <c r="T35" s="33"/>
      <c r="U35" s="33"/>
    </row>
    <row r="36" spans="1:21">
      <c r="A36" s="32" t="s">
        <v>50</v>
      </c>
      <c r="B36" s="41">
        <f t="shared" ref="B36:Q36" si="2">AVERAGE(B9:B32)</f>
        <v>11.562142857142858</v>
      </c>
      <c r="C36" s="41">
        <f t="shared" si="2"/>
        <v>23.096428571428572</v>
      </c>
      <c r="D36" s="41">
        <f t="shared" si="2"/>
        <v>20.028571428571428</v>
      </c>
      <c r="E36" s="41">
        <f t="shared" si="2"/>
        <v>5.1000000000000005</v>
      </c>
      <c r="F36" s="41">
        <f t="shared" si="2"/>
        <v>5.5292857142857139</v>
      </c>
      <c r="G36" s="41">
        <f t="shared" si="2"/>
        <v>15.442857142857141</v>
      </c>
      <c r="H36" s="41">
        <f t="shared" si="2"/>
        <v>6.984285714285714</v>
      </c>
      <c r="I36" s="41">
        <f t="shared" si="2"/>
        <v>4.2014285714285711</v>
      </c>
      <c r="J36" s="41">
        <f t="shared" si="2"/>
        <v>0.88857142857142857</v>
      </c>
      <c r="K36" s="41">
        <f t="shared" si="2"/>
        <v>296.60499999999996</v>
      </c>
      <c r="L36" s="41">
        <f t="shared" si="2"/>
        <v>26.263571428571428</v>
      </c>
      <c r="M36" s="41">
        <f t="shared" si="2"/>
        <v>96.621428571428581</v>
      </c>
      <c r="N36" s="41">
        <f t="shared" si="2"/>
        <v>139.40714285714284</v>
      </c>
      <c r="O36" s="41">
        <f t="shared" si="2"/>
        <v>1.0285714285714282</v>
      </c>
      <c r="P36" s="41">
        <f t="shared" si="2"/>
        <v>0.57357142857142851</v>
      </c>
      <c r="Q36" s="41">
        <f t="shared" si="2"/>
        <v>4.2735714285714286</v>
      </c>
      <c r="R36" s="41"/>
      <c r="S36" s="41"/>
      <c r="T36" s="41"/>
      <c r="U36" s="41"/>
    </row>
    <row r="37" spans="1:21">
      <c r="A37" s="32" t="s">
        <v>51</v>
      </c>
      <c r="B37" s="41">
        <f>STDEV(B9:B32)</f>
        <v>4.1044332103253911</v>
      </c>
      <c r="C37" s="41">
        <f t="shared" ref="C37:Q37" si="3">STDEV(C9:C32)</f>
        <v>2.6674551604416896</v>
      </c>
      <c r="D37" s="41">
        <f t="shared" si="3"/>
        <v>4.2851619790637061</v>
      </c>
      <c r="E37" s="41">
        <f t="shared" si="3"/>
        <v>1.3082636760813326</v>
      </c>
      <c r="F37" s="41">
        <f t="shared" si="3"/>
        <v>2.4935160972956498</v>
      </c>
      <c r="G37" s="41">
        <f t="shared" si="3"/>
        <v>3.6689244464020567</v>
      </c>
      <c r="H37" s="41">
        <f t="shared" si="3"/>
        <v>1.2008824594100305</v>
      </c>
      <c r="I37" s="41">
        <f t="shared" si="3"/>
        <v>1.209550820268906</v>
      </c>
      <c r="J37" s="41">
        <f t="shared" si="3"/>
        <v>0.27015258203914655</v>
      </c>
      <c r="K37" s="41">
        <f t="shared" si="3"/>
        <v>23.724872618609918</v>
      </c>
      <c r="L37" s="41">
        <f t="shared" si="3"/>
        <v>1.4365375421095241</v>
      </c>
      <c r="M37" s="41">
        <f t="shared" si="3"/>
        <v>4.4533804915139745</v>
      </c>
      <c r="N37" s="41">
        <f t="shared" si="3"/>
        <v>188.2604066560086</v>
      </c>
      <c r="O37" s="41">
        <f t="shared" si="3"/>
        <v>2.0604064466203571</v>
      </c>
      <c r="P37" s="41">
        <f t="shared" si="3"/>
        <v>6.2463175965110869E-2</v>
      </c>
      <c r="Q37" s="41">
        <f t="shared" si="3"/>
        <v>0.17904048286768226</v>
      </c>
      <c r="R37" s="41"/>
      <c r="S37" s="41"/>
      <c r="T37" s="41"/>
      <c r="U37" s="41"/>
    </row>
    <row r="38" spans="1:2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  <c r="R41" s="49"/>
      <c r="S41" s="49"/>
      <c r="T41" s="49"/>
      <c r="U41" s="49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topLeftCell="A20" zoomScale="85" zoomScaleNormal="85" workbookViewId="0">
      <selection activeCell="B38" sqref="B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30/07/2023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752</v>
      </c>
      <c r="B9" s="9" t="s">
        <v>4</v>
      </c>
      <c r="C9" s="9" t="s">
        <v>4</v>
      </c>
      <c r="D9" s="9" t="s">
        <v>4</v>
      </c>
      <c r="E9" s="9" t="s">
        <v>4</v>
      </c>
      <c r="F9" s="9" t="s">
        <v>4</v>
      </c>
      <c r="G9" s="9" t="s">
        <v>4</v>
      </c>
      <c r="H9" s="9" t="s">
        <v>4</v>
      </c>
      <c r="I9" s="9" t="s">
        <v>4</v>
      </c>
      <c r="J9" s="9" t="s">
        <v>4</v>
      </c>
      <c r="K9" s="9" t="s">
        <v>4</v>
      </c>
      <c r="L9" s="9" t="s">
        <v>4</v>
      </c>
      <c r="M9" s="9" t="s">
        <v>4</v>
      </c>
      <c r="N9" s="9" t="s">
        <v>4</v>
      </c>
      <c r="O9" s="9" t="s">
        <v>4</v>
      </c>
      <c r="P9" s="9" t="s">
        <v>4</v>
      </c>
      <c r="Q9" s="9" t="s">
        <v>4</v>
      </c>
    </row>
    <row r="10" spans="1:21" customFormat="1">
      <c r="A10" s="50" t="s">
        <v>753</v>
      </c>
      <c r="B10" s="9" t="s">
        <v>4</v>
      </c>
      <c r="C10" s="9" t="s">
        <v>4</v>
      </c>
      <c r="D10" s="9" t="s">
        <v>4</v>
      </c>
      <c r="E10" s="9" t="s">
        <v>4</v>
      </c>
      <c r="F10" s="9" t="s">
        <v>4</v>
      </c>
      <c r="G10" s="9" t="s">
        <v>4</v>
      </c>
      <c r="H10" s="9" t="s">
        <v>4</v>
      </c>
      <c r="I10" s="9" t="s">
        <v>4</v>
      </c>
      <c r="J10" s="9" t="s">
        <v>4</v>
      </c>
      <c r="K10" s="9" t="s">
        <v>4</v>
      </c>
      <c r="L10" s="9" t="s">
        <v>4</v>
      </c>
      <c r="M10" s="9" t="s">
        <v>4</v>
      </c>
      <c r="N10" s="9" t="s">
        <v>4</v>
      </c>
      <c r="O10" s="9" t="s">
        <v>4</v>
      </c>
      <c r="P10" s="9" t="s">
        <v>4</v>
      </c>
      <c r="Q10" s="9" t="s">
        <v>4</v>
      </c>
    </row>
    <row r="11" spans="1:21" customFormat="1">
      <c r="A11" s="50" t="s">
        <v>754</v>
      </c>
      <c r="B11" s="9" t="s">
        <v>4</v>
      </c>
      <c r="C11" s="9" t="s">
        <v>4</v>
      </c>
      <c r="D11" s="9" t="s">
        <v>4</v>
      </c>
      <c r="E11" s="9" t="s">
        <v>4</v>
      </c>
      <c r="F11" s="9" t="s">
        <v>4</v>
      </c>
      <c r="G11" s="9" t="s">
        <v>4</v>
      </c>
      <c r="H11" s="9" t="s">
        <v>4</v>
      </c>
      <c r="I11" s="9" t="s">
        <v>4</v>
      </c>
      <c r="J11" s="9" t="s">
        <v>4</v>
      </c>
      <c r="K11" s="9" t="s">
        <v>4</v>
      </c>
      <c r="L11" s="9" t="s">
        <v>4</v>
      </c>
      <c r="M11" s="9" t="s">
        <v>4</v>
      </c>
      <c r="N11" s="9" t="s">
        <v>4</v>
      </c>
      <c r="O11" s="9" t="s">
        <v>4</v>
      </c>
      <c r="P11" s="9" t="s">
        <v>4</v>
      </c>
      <c r="Q11" s="9" t="s">
        <v>4</v>
      </c>
    </row>
    <row r="12" spans="1:21" customFormat="1">
      <c r="A12" s="50" t="s">
        <v>755</v>
      </c>
      <c r="B12" s="9" t="s">
        <v>4</v>
      </c>
      <c r="C12" s="9" t="s">
        <v>4</v>
      </c>
      <c r="D12" s="9" t="s">
        <v>4</v>
      </c>
      <c r="E12" s="9" t="s">
        <v>4</v>
      </c>
      <c r="F12" s="9" t="s">
        <v>4</v>
      </c>
      <c r="G12" s="9" t="s">
        <v>4</v>
      </c>
      <c r="H12" s="9" t="s">
        <v>4</v>
      </c>
      <c r="I12" s="9" t="s">
        <v>4</v>
      </c>
      <c r="J12" s="9" t="s">
        <v>4</v>
      </c>
      <c r="K12" s="9" t="s">
        <v>4</v>
      </c>
      <c r="L12" s="9" t="s">
        <v>4</v>
      </c>
      <c r="M12" s="9" t="s">
        <v>4</v>
      </c>
      <c r="N12" s="9" t="s">
        <v>4</v>
      </c>
      <c r="O12" s="9" t="s">
        <v>4</v>
      </c>
      <c r="P12" s="9" t="s">
        <v>4</v>
      </c>
      <c r="Q12" s="9" t="s">
        <v>4</v>
      </c>
    </row>
    <row r="13" spans="1:21" customFormat="1">
      <c r="A13" s="50" t="s">
        <v>756</v>
      </c>
      <c r="B13" s="9" t="s">
        <v>4</v>
      </c>
      <c r="C13" s="9" t="s">
        <v>4</v>
      </c>
      <c r="D13" s="9" t="s">
        <v>4</v>
      </c>
      <c r="E13" s="9" t="s">
        <v>4</v>
      </c>
      <c r="F13" s="9" t="s">
        <v>4</v>
      </c>
      <c r="G13" s="9" t="s">
        <v>4</v>
      </c>
      <c r="H13" s="9" t="s">
        <v>4</v>
      </c>
      <c r="I13" s="9" t="s">
        <v>4</v>
      </c>
      <c r="J13" s="9" t="s">
        <v>4</v>
      </c>
      <c r="K13" s="9" t="s">
        <v>4</v>
      </c>
      <c r="L13" s="9" t="s">
        <v>4</v>
      </c>
      <c r="M13" s="9" t="s">
        <v>4</v>
      </c>
      <c r="N13" s="9" t="s">
        <v>4</v>
      </c>
      <c r="O13" s="9" t="s">
        <v>4</v>
      </c>
      <c r="P13" s="9" t="s">
        <v>4</v>
      </c>
      <c r="Q13" s="9" t="s">
        <v>4</v>
      </c>
    </row>
    <row r="14" spans="1:21" customFormat="1">
      <c r="A14" s="50" t="s">
        <v>757</v>
      </c>
      <c r="B14" s="9" t="s">
        <v>4</v>
      </c>
      <c r="C14" s="9" t="s">
        <v>4</v>
      </c>
      <c r="D14" s="9" t="s">
        <v>4</v>
      </c>
      <c r="E14" s="9" t="s">
        <v>4</v>
      </c>
      <c r="F14" s="9" t="s">
        <v>4</v>
      </c>
      <c r="G14" s="9" t="s">
        <v>4</v>
      </c>
      <c r="H14" s="9" t="s">
        <v>4</v>
      </c>
      <c r="I14" s="9" t="s">
        <v>4</v>
      </c>
      <c r="J14" s="9" t="s">
        <v>4</v>
      </c>
      <c r="K14" s="9" t="s">
        <v>4</v>
      </c>
      <c r="L14" s="9" t="s">
        <v>4</v>
      </c>
      <c r="M14" s="9" t="s">
        <v>4</v>
      </c>
      <c r="N14" s="9" t="s">
        <v>4</v>
      </c>
      <c r="O14" s="9" t="s">
        <v>4</v>
      </c>
      <c r="P14" s="9" t="s">
        <v>4</v>
      </c>
      <c r="Q14" s="9" t="s">
        <v>4</v>
      </c>
    </row>
    <row r="15" spans="1:21" customFormat="1">
      <c r="A15" s="50" t="s">
        <v>758</v>
      </c>
      <c r="B15" s="9" t="s">
        <v>4</v>
      </c>
      <c r="C15" s="9" t="s">
        <v>4</v>
      </c>
      <c r="D15" s="9" t="s">
        <v>4</v>
      </c>
      <c r="E15" s="9" t="s">
        <v>4</v>
      </c>
      <c r="F15" s="9" t="s">
        <v>4</v>
      </c>
      <c r="G15" s="9" t="s">
        <v>4</v>
      </c>
      <c r="H15" s="9" t="s">
        <v>4</v>
      </c>
      <c r="I15" s="9" t="s">
        <v>4</v>
      </c>
      <c r="J15" s="9" t="s">
        <v>4</v>
      </c>
      <c r="K15" s="9" t="s">
        <v>4</v>
      </c>
      <c r="L15" s="9" t="s">
        <v>4</v>
      </c>
      <c r="M15" s="9" t="s">
        <v>4</v>
      </c>
      <c r="N15" s="9" t="s">
        <v>4</v>
      </c>
      <c r="O15" s="9" t="s">
        <v>4</v>
      </c>
      <c r="P15" s="9" t="s">
        <v>4</v>
      </c>
      <c r="Q15" s="9" t="s">
        <v>4</v>
      </c>
    </row>
    <row r="16" spans="1:21" customFormat="1">
      <c r="A16" s="50" t="s">
        <v>759</v>
      </c>
      <c r="B16" s="9" t="s">
        <v>4</v>
      </c>
      <c r="C16" s="9" t="s">
        <v>4</v>
      </c>
      <c r="D16" s="9" t="s">
        <v>4</v>
      </c>
      <c r="E16" s="9" t="s">
        <v>4</v>
      </c>
      <c r="F16" s="9" t="s">
        <v>4</v>
      </c>
      <c r="G16" s="9" t="s">
        <v>4</v>
      </c>
      <c r="H16" s="9" t="s">
        <v>4</v>
      </c>
      <c r="I16" s="9" t="s">
        <v>4</v>
      </c>
      <c r="J16" s="9" t="s">
        <v>4</v>
      </c>
      <c r="K16" s="9" t="s">
        <v>4</v>
      </c>
      <c r="L16" s="9" t="s">
        <v>4</v>
      </c>
      <c r="M16" s="9" t="s">
        <v>4</v>
      </c>
      <c r="N16" s="9" t="s">
        <v>4</v>
      </c>
      <c r="O16" s="9" t="s">
        <v>4</v>
      </c>
      <c r="P16" s="9" t="s">
        <v>4</v>
      </c>
      <c r="Q16" s="9" t="s">
        <v>4</v>
      </c>
    </row>
    <row r="17" spans="1:17" customFormat="1">
      <c r="A17" s="50" t="s">
        <v>760</v>
      </c>
      <c r="B17" s="9" t="s">
        <v>4</v>
      </c>
      <c r="C17" s="9" t="s">
        <v>4</v>
      </c>
      <c r="D17" s="9" t="s">
        <v>4</v>
      </c>
      <c r="E17" s="9" t="s">
        <v>4</v>
      </c>
      <c r="F17" s="9" t="s">
        <v>4</v>
      </c>
      <c r="G17" s="9" t="s">
        <v>4</v>
      </c>
      <c r="H17" s="9" t="s">
        <v>4</v>
      </c>
      <c r="I17" s="9" t="s">
        <v>4</v>
      </c>
      <c r="J17" s="9" t="s">
        <v>4</v>
      </c>
      <c r="K17" s="9" t="s">
        <v>4</v>
      </c>
      <c r="L17" s="9" t="s">
        <v>4</v>
      </c>
      <c r="M17" s="9" t="s">
        <v>4</v>
      </c>
      <c r="N17" s="9" t="s">
        <v>4</v>
      </c>
      <c r="O17" s="9" t="s">
        <v>4</v>
      </c>
      <c r="P17" s="9" t="s">
        <v>4</v>
      </c>
      <c r="Q17" s="9" t="s">
        <v>4</v>
      </c>
    </row>
    <row r="18" spans="1:17" customFormat="1">
      <c r="A18" s="50" t="s">
        <v>761</v>
      </c>
      <c r="B18" s="9" t="s">
        <v>4</v>
      </c>
      <c r="C18" s="9" t="s">
        <v>4</v>
      </c>
      <c r="D18" s="9" t="s">
        <v>4</v>
      </c>
      <c r="E18" s="9" t="s">
        <v>4</v>
      </c>
      <c r="F18" s="9" t="s">
        <v>4</v>
      </c>
      <c r="G18" s="9" t="s">
        <v>4</v>
      </c>
      <c r="H18" s="9" t="s">
        <v>4</v>
      </c>
      <c r="I18" s="9" t="s">
        <v>4</v>
      </c>
      <c r="J18" s="9" t="s">
        <v>4</v>
      </c>
      <c r="K18" s="9" t="s">
        <v>4</v>
      </c>
      <c r="L18" s="9" t="s">
        <v>4</v>
      </c>
      <c r="M18" s="9" t="s">
        <v>4</v>
      </c>
      <c r="N18" s="9" t="s">
        <v>4</v>
      </c>
      <c r="O18" s="9" t="s">
        <v>4</v>
      </c>
      <c r="P18" s="9" t="s">
        <v>4</v>
      </c>
      <c r="Q18" s="9" t="s">
        <v>4</v>
      </c>
    </row>
    <row r="19" spans="1:17" customFormat="1">
      <c r="A19" s="50" t="s">
        <v>762</v>
      </c>
      <c r="B19" s="9" t="s">
        <v>4</v>
      </c>
      <c r="C19" s="9" t="s">
        <v>4</v>
      </c>
      <c r="D19" s="9" t="s">
        <v>4</v>
      </c>
      <c r="E19" s="9" t="s">
        <v>4</v>
      </c>
      <c r="F19" s="9" t="s">
        <v>4</v>
      </c>
      <c r="G19" s="9" t="s">
        <v>4</v>
      </c>
      <c r="H19" s="9" t="s">
        <v>4</v>
      </c>
      <c r="I19" s="9" t="s">
        <v>4</v>
      </c>
      <c r="J19" s="9" t="s">
        <v>4</v>
      </c>
      <c r="K19" s="9" t="s">
        <v>4</v>
      </c>
      <c r="L19" s="9" t="s">
        <v>4</v>
      </c>
      <c r="M19" s="9" t="s">
        <v>4</v>
      </c>
      <c r="N19" s="9" t="s">
        <v>4</v>
      </c>
      <c r="O19" s="9" t="s">
        <v>4</v>
      </c>
      <c r="P19" s="9" t="s">
        <v>4</v>
      </c>
      <c r="Q19" s="9" t="s">
        <v>4</v>
      </c>
    </row>
    <row r="20" spans="1:17" customFormat="1">
      <c r="A20" s="50" t="s">
        <v>763</v>
      </c>
      <c r="B20" s="9" t="s">
        <v>4</v>
      </c>
      <c r="C20" s="9" t="s">
        <v>4</v>
      </c>
      <c r="D20" s="9" t="s">
        <v>4</v>
      </c>
      <c r="E20" s="9" t="s">
        <v>4</v>
      </c>
      <c r="F20" s="9" t="s">
        <v>4</v>
      </c>
      <c r="G20" s="9" t="s">
        <v>4</v>
      </c>
      <c r="H20" s="9" t="s">
        <v>4</v>
      </c>
      <c r="I20" s="9" t="s">
        <v>4</v>
      </c>
      <c r="J20" s="9" t="s">
        <v>4</v>
      </c>
      <c r="K20" s="9" t="s">
        <v>4</v>
      </c>
      <c r="L20" s="9" t="s">
        <v>4</v>
      </c>
      <c r="M20" s="9" t="s">
        <v>4</v>
      </c>
      <c r="N20" s="9" t="s">
        <v>4</v>
      </c>
      <c r="O20" s="9" t="s">
        <v>4</v>
      </c>
      <c r="P20" s="9" t="s">
        <v>4</v>
      </c>
      <c r="Q20" s="9" t="s">
        <v>4</v>
      </c>
    </row>
    <row r="21" spans="1:17" customFormat="1">
      <c r="A21" s="50" t="s">
        <v>764</v>
      </c>
      <c r="B21" s="9" t="s">
        <v>4</v>
      </c>
      <c r="C21" s="9" t="s">
        <v>4</v>
      </c>
      <c r="D21" s="9" t="s">
        <v>4</v>
      </c>
      <c r="E21" s="9" t="s">
        <v>4</v>
      </c>
      <c r="F21" s="9" t="s">
        <v>4</v>
      </c>
      <c r="G21" s="9" t="s">
        <v>4</v>
      </c>
      <c r="H21" s="9" t="s">
        <v>4</v>
      </c>
      <c r="I21" s="9" t="s">
        <v>4</v>
      </c>
      <c r="J21" s="9" t="s">
        <v>4</v>
      </c>
      <c r="K21" s="9" t="s">
        <v>4</v>
      </c>
      <c r="L21" s="9" t="s">
        <v>4</v>
      </c>
      <c r="M21" s="9" t="s">
        <v>4</v>
      </c>
      <c r="N21" s="9" t="s">
        <v>4</v>
      </c>
      <c r="O21" s="9" t="s">
        <v>4</v>
      </c>
      <c r="P21" s="9" t="s">
        <v>4</v>
      </c>
      <c r="Q21" s="9" t="s">
        <v>4</v>
      </c>
    </row>
    <row r="22" spans="1:17" customFormat="1">
      <c r="A22" s="50" t="s">
        <v>765</v>
      </c>
      <c r="B22" s="9" t="s">
        <v>4</v>
      </c>
      <c r="C22" s="9" t="s">
        <v>4</v>
      </c>
      <c r="D22" s="9" t="s">
        <v>4</v>
      </c>
      <c r="E22" s="9" t="s">
        <v>4</v>
      </c>
      <c r="F22" s="9" t="s">
        <v>4</v>
      </c>
      <c r="G22" s="9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9" t="s">
        <v>4</v>
      </c>
      <c r="N22" s="9" t="s">
        <v>4</v>
      </c>
      <c r="O22" s="9" t="s">
        <v>4</v>
      </c>
      <c r="P22" s="9" t="s">
        <v>4</v>
      </c>
      <c r="Q22" s="9" t="s">
        <v>4</v>
      </c>
    </row>
    <row r="23" spans="1:17" customFormat="1">
      <c r="A23" s="50" t="s">
        <v>766</v>
      </c>
      <c r="B23" s="9" t="s">
        <v>4</v>
      </c>
      <c r="C23" s="9" t="s">
        <v>4</v>
      </c>
      <c r="D23" s="9" t="s">
        <v>4</v>
      </c>
      <c r="E23" s="9" t="s">
        <v>4</v>
      </c>
      <c r="F23" s="9" t="s">
        <v>4</v>
      </c>
      <c r="G23" s="9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9" t="s">
        <v>4</v>
      </c>
      <c r="N23" s="9" t="s">
        <v>4</v>
      </c>
      <c r="O23" s="9" t="s">
        <v>4</v>
      </c>
      <c r="P23" s="9" t="s">
        <v>4</v>
      </c>
      <c r="Q23" s="9" t="s">
        <v>4</v>
      </c>
    </row>
    <row r="24" spans="1:17" customFormat="1">
      <c r="A24" s="50" t="s">
        <v>767</v>
      </c>
      <c r="B24" s="9" t="s">
        <v>4</v>
      </c>
      <c r="C24" s="9" t="s">
        <v>4</v>
      </c>
      <c r="D24" s="9" t="s">
        <v>4</v>
      </c>
      <c r="E24" s="9" t="s">
        <v>4</v>
      </c>
      <c r="F24" s="9" t="s">
        <v>4</v>
      </c>
      <c r="G24" s="9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9" t="s">
        <v>4</v>
      </c>
      <c r="N24" s="9" t="s">
        <v>4</v>
      </c>
      <c r="O24" s="9" t="s">
        <v>4</v>
      </c>
      <c r="P24" s="9" t="s">
        <v>4</v>
      </c>
      <c r="Q24" s="9" t="s">
        <v>4</v>
      </c>
    </row>
    <row r="25" spans="1:17" customFormat="1">
      <c r="A25" s="50" t="s">
        <v>768</v>
      </c>
      <c r="B25" s="9" t="s">
        <v>4</v>
      </c>
      <c r="C25" s="9" t="s">
        <v>4</v>
      </c>
      <c r="D25" s="9" t="s">
        <v>4</v>
      </c>
      <c r="E25" s="9" t="s">
        <v>4</v>
      </c>
      <c r="F25" s="9" t="s">
        <v>4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</row>
    <row r="26" spans="1:17" customFormat="1">
      <c r="A26" s="50" t="s">
        <v>769</v>
      </c>
      <c r="B26" s="9" t="s">
        <v>4</v>
      </c>
      <c r="C26" s="9" t="s">
        <v>4</v>
      </c>
      <c r="D26" s="9" t="s">
        <v>4</v>
      </c>
      <c r="E26" s="9" t="s">
        <v>4</v>
      </c>
      <c r="F26" s="9" t="s">
        <v>4</v>
      </c>
      <c r="G26" s="9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9" t="s">
        <v>4</v>
      </c>
      <c r="N26" s="9" t="s">
        <v>4</v>
      </c>
      <c r="O26" s="9" t="s">
        <v>4</v>
      </c>
      <c r="P26" s="9" t="s">
        <v>4</v>
      </c>
      <c r="Q26" s="9" t="s">
        <v>4</v>
      </c>
    </row>
    <row r="27" spans="1:17" customFormat="1">
      <c r="A27" s="50" t="s">
        <v>770</v>
      </c>
      <c r="B27" s="9" t="s">
        <v>4</v>
      </c>
      <c r="C27" s="9" t="s">
        <v>4</v>
      </c>
      <c r="D27" s="9" t="s">
        <v>4</v>
      </c>
      <c r="E27" s="9" t="s">
        <v>4</v>
      </c>
      <c r="F27" s="9" t="s">
        <v>4</v>
      </c>
      <c r="G27" s="9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9" t="s">
        <v>4</v>
      </c>
      <c r="N27" s="9" t="s">
        <v>4</v>
      </c>
      <c r="O27" s="9" t="s">
        <v>4</v>
      </c>
      <c r="P27" s="9" t="s">
        <v>4</v>
      </c>
      <c r="Q27" s="9" t="s">
        <v>4</v>
      </c>
    </row>
    <row r="28" spans="1:17" customFormat="1">
      <c r="A28" s="50" t="s">
        <v>771</v>
      </c>
      <c r="B28" s="9" t="s">
        <v>4</v>
      </c>
      <c r="C28" s="9" t="s">
        <v>4</v>
      </c>
      <c r="D28" s="9" t="s">
        <v>4</v>
      </c>
      <c r="E28" s="9" t="s">
        <v>4</v>
      </c>
      <c r="F28" s="9" t="s">
        <v>4</v>
      </c>
      <c r="G28" s="9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9" t="s">
        <v>4</v>
      </c>
      <c r="N28" s="9" t="s">
        <v>4</v>
      </c>
      <c r="O28" s="9" t="s">
        <v>4</v>
      </c>
      <c r="P28" s="9" t="s">
        <v>4</v>
      </c>
      <c r="Q28" s="9" t="s">
        <v>4</v>
      </c>
    </row>
    <row r="29" spans="1:17" customFormat="1">
      <c r="A29" s="50" t="s">
        <v>772</v>
      </c>
      <c r="B29" s="9" t="s">
        <v>4</v>
      </c>
      <c r="C29" s="9" t="s">
        <v>4</v>
      </c>
      <c r="D29" s="9" t="s">
        <v>4</v>
      </c>
      <c r="E29" s="9" t="s">
        <v>4</v>
      </c>
      <c r="F29" s="9" t="s">
        <v>4</v>
      </c>
      <c r="G29" s="9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9" t="s">
        <v>4</v>
      </c>
      <c r="N29" s="9" t="s">
        <v>4</v>
      </c>
      <c r="O29" s="9" t="s">
        <v>4</v>
      </c>
      <c r="P29" s="9" t="s">
        <v>4</v>
      </c>
      <c r="Q29" s="9" t="s">
        <v>4</v>
      </c>
    </row>
    <row r="30" spans="1:17" customFormat="1">
      <c r="A30" s="50" t="s">
        <v>773</v>
      </c>
      <c r="B30" s="9" t="s">
        <v>4</v>
      </c>
      <c r="C30" s="9" t="s">
        <v>4</v>
      </c>
      <c r="D30" s="9" t="s">
        <v>4</v>
      </c>
      <c r="E30" s="9" t="s">
        <v>4</v>
      </c>
      <c r="F30" s="9" t="s">
        <v>4</v>
      </c>
      <c r="G30" s="9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9" t="s">
        <v>4</v>
      </c>
      <c r="N30" s="9" t="s">
        <v>4</v>
      </c>
      <c r="O30" s="9" t="s">
        <v>4</v>
      </c>
      <c r="P30" s="9" t="s">
        <v>4</v>
      </c>
      <c r="Q30" s="9" t="s">
        <v>4</v>
      </c>
    </row>
    <row r="31" spans="1:17" customFormat="1">
      <c r="A31" s="50" t="s">
        <v>774</v>
      </c>
      <c r="B31" s="9" t="s">
        <v>4</v>
      </c>
      <c r="C31" s="9" t="s">
        <v>4</v>
      </c>
      <c r="D31" s="9" t="s">
        <v>4</v>
      </c>
      <c r="E31" s="9" t="s">
        <v>4</v>
      </c>
      <c r="F31" s="9" t="s">
        <v>4</v>
      </c>
      <c r="G31" s="9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9" t="s">
        <v>4</v>
      </c>
      <c r="N31" s="9" t="s">
        <v>4</v>
      </c>
      <c r="O31" s="9" t="s">
        <v>4</v>
      </c>
      <c r="P31" s="9" t="s">
        <v>4</v>
      </c>
      <c r="Q31" s="9" t="s">
        <v>4</v>
      </c>
    </row>
    <row r="32" spans="1:17" customFormat="1">
      <c r="A32" s="50" t="s">
        <v>775</v>
      </c>
      <c r="B32" s="9" t="s">
        <v>4</v>
      </c>
      <c r="C32" s="9" t="s">
        <v>4</v>
      </c>
      <c r="D32" s="9" t="s">
        <v>4</v>
      </c>
      <c r="E32" s="9" t="s">
        <v>4</v>
      </c>
      <c r="F32" s="9" t="s">
        <v>4</v>
      </c>
      <c r="G32" s="9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9" t="s">
        <v>4</v>
      </c>
      <c r="N32" s="9" t="s">
        <v>4</v>
      </c>
      <c r="O32" s="9" t="s">
        <v>4</v>
      </c>
      <c r="P32" s="9" t="s">
        <v>4</v>
      </c>
      <c r="Q32" s="9" t="s">
        <v>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9" t="s">
        <v>4</v>
      </c>
      <c r="C36" s="9" t="s">
        <v>4</v>
      </c>
      <c r="D36" s="9" t="s">
        <v>4</v>
      </c>
      <c r="E36" s="9" t="s">
        <v>4</v>
      </c>
      <c r="F36" s="9" t="s">
        <v>4</v>
      </c>
      <c r="G36" s="9" t="s">
        <v>4</v>
      </c>
      <c r="H36" s="9" t="s">
        <v>4</v>
      </c>
      <c r="I36" s="9" t="s">
        <v>4</v>
      </c>
      <c r="J36" s="9" t="s">
        <v>4</v>
      </c>
      <c r="K36" s="9" t="s">
        <v>4</v>
      </c>
      <c r="L36" s="9" t="s">
        <v>4</v>
      </c>
      <c r="M36" s="9" t="s">
        <v>4</v>
      </c>
      <c r="N36" s="9" t="s">
        <v>4</v>
      </c>
      <c r="O36" s="9" t="s">
        <v>4</v>
      </c>
      <c r="P36" s="9" t="s">
        <v>4</v>
      </c>
      <c r="Q36" s="9" t="s">
        <v>4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2">STDEV(C9:C32)</f>
        <v>#DIV/0!</v>
      </c>
      <c r="D37" s="41" t="e">
        <f t="shared" si="2"/>
        <v>#DIV/0!</v>
      </c>
      <c r="E37" s="41" t="e">
        <f t="shared" si="2"/>
        <v>#DIV/0!</v>
      </c>
      <c r="F37" s="41" t="e">
        <f t="shared" si="2"/>
        <v>#DIV/0!</v>
      </c>
      <c r="G37" s="41" t="e">
        <f t="shared" si="2"/>
        <v>#DIV/0!</v>
      </c>
      <c r="H37" s="41" t="e">
        <f t="shared" si="2"/>
        <v>#DIV/0!</v>
      </c>
      <c r="I37" s="41" t="e">
        <f t="shared" si="2"/>
        <v>#DIV/0!</v>
      </c>
      <c r="J37" s="41" t="e">
        <f t="shared" si="2"/>
        <v>#DIV/0!</v>
      </c>
      <c r="K37" s="41" t="e">
        <f t="shared" si="2"/>
        <v>#DIV/0!</v>
      </c>
      <c r="L37" s="41" t="e">
        <f t="shared" si="2"/>
        <v>#DIV/0!</v>
      </c>
      <c r="M37" s="41" t="e">
        <f t="shared" si="2"/>
        <v>#DIV/0!</v>
      </c>
      <c r="N37" s="41" t="e">
        <f t="shared" si="2"/>
        <v>#DIV/0!</v>
      </c>
      <c r="O37" s="41" t="e">
        <f t="shared" si="2"/>
        <v>#DIV/0!</v>
      </c>
      <c r="P37" s="41" t="e">
        <f t="shared" si="2"/>
        <v>#DIV/0!</v>
      </c>
      <c r="Q37" s="41" t="e">
        <f t="shared" si="2"/>
        <v>#DIV/0!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3">IF(C38&gt;=22,"&gt;90%",IF(C38&lt;=22,"&lt;90%"))</f>
        <v>&gt;90%</v>
      </c>
      <c r="D39" s="33" t="str">
        <f t="shared" si="3"/>
        <v>&gt;90%</v>
      </c>
      <c r="E39" s="33" t="str">
        <f t="shared" si="3"/>
        <v>&gt;90%</v>
      </c>
      <c r="F39" s="33" t="str">
        <f t="shared" si="3"/>
        <v>&gt;90%</v>
      </c>
      <c r="G39" s="33" t="str">
        <f t="shared" si="3"/>
        <v>&gt;90%</v>
      </c>
      <c r="H39" s="33" t="str">
        <f t="shared" si="3"/>
        <v>&gt;90%</v>
      </c>
      <c r="I39" s="33" t="str">
        <f t="shared" si="3"/>
        <v>&gt;90%</v>
      </c>
      <c r="J39" s="33" t="str">
        <f t="shared" si="3"/>
        <v>&gt;90%</v>
      </c>
      <c r="K39" s="33" t="str">
        <f t="shared" si="3"/>
        <v>&gt;90%</v>
      </c>
      <c r="L39" s="33" t="str">
        <f t="shared" si="3"/>
        <v>&gt;90%</v>
      </c>
      <c r="M39" s="33" t="str">
        <f t="shared" si="3"/>
        <v>&gt;90%</v>
      </c>
      <c r="N39" s="33" t="str">
        <f t="shared" si="3"/>
        <v>&gt;90%</v>
      </c>
      <c r="O39" s="33" t="str">
        <f t="shared" si="3"/>
        <v>&gt;90%</v>
      </c>
      <c r="P39" s="33" t="str">
        <f t="shared" si="3"/>
        <v>&gt;90%</v>
      </c>
      <c r="Q39" s="33" t="str">
        <f t="shared" si="3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4">IF(C38&gt;=22,"OK",IF(C38&lt;=22,"LESS"))</f>
        <v>OK</v>
      </c>
      <c r="D40" s="33" t="str">
        <f t="shared" si="4"/>
        <v>OK</v>
      </c>
      <c r="E40" s="33" t="str">
        <f t="shared" si="4"/>
        <v>OK</v>
      </c>
      <c r="F40" s="33" t="str">
        <f t="shared" si="4"/>
        <v>OK</v>
      </c>
      <c r="G40" s="33" t="str">
        <f t="shared" si="4"/>
        <v>OK</v>
      </c>
      <c r="H40" s="33" t="str">
        <f t="shared" si="4"/>
        <v>OK</v>
      </c>
      <c r="I40" s="33" t="str">
        <f t="shared" si="4"/>
        <v>OK</v>
      </c>
      <c r="J40" s="33" t="str">
        <f t="shared" si="4"/>
        <v>OK</v>
      </c>
      <c r="K40" s="33" t="str">
        <f t="shared" si="4"/>
        <v>OK</v>
      </c>
      <c r="L40" s="33" t="str">
        <f t="shared" si="4"/>
        <v>OK</v>
      </c>
      <c r="M40" s="33" t="str">
        <f t="shared" si="4"/>
        <v>OK</v>
      </c>
      <c r="N40" s="33" t="str">
        <f t="shared" si="4"/>
        <v>OK</v>
      </c>
      <c r="O40" s="33" t="str">
        <f t="shared" si="4"/>
        <v>OK</v>
      </c>
      <c r="P40" s="33" t="str">
        <f t="shared" si="4"/>
        <v>OK</v>
      </c>
      <c r="Q40" s="33" t="str">
        <f t="shared" si="4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topLeftCell="A17" zoomScale="85" zoomScaleNormal="85" workbookViewId="0">
      <selection activeCell="B36" sqref="B36:Q36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31/07/2023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776</v>
      </c>
      <c r="B9" s="9" t="s">
        <v>4</v>
      </c>
      <c r="C9" s="9" t="s">
        <v>4</v>
      </c>
      <c r="D9" s="9" t="s">
        <v>4</v>
      </c>
      <c r="E9" s="9" t="s">
        <v>4</v>
      </c>
      <c r="F9" s="9" t="s">
        <v>4</v>
      </c>
      <c r="G9" s="9" t="s">
        <v>4</v>
      </c>
      <c r="H9" s="9" t="s">
        <v>4</v>
      </c>
      <c r="I9" s="9" t="s">
        <v>4</v>
      </c>
      <c r="J9" s="9" t="s">
        <v>4</v>
      </c>
      <c r="K9" s="9" t="s">
        <v>4</v>
      </c>
      <c r="L9" s="9" t="s">
        <v>4</v>
      </c>
      <c r="M9" s="9" t="s">
        <v>4</v>
      </c>
      <c r="N9" s="9" t="s">
        <v>4</v>
      </c>
      <c r="O9" s="9" t="s">
        <v>4</v>
      </c>
      <c r="P9" s="9" t="s">
        <v>4</v>
      </c>
      <c r="Q9" s="9" t="s">
        <v>4</v>
      </c>
    </row>
    <row r="10" spans="1:21" customFormat="1">
      <c r="A10" s="50" t="s">
        <v>777</v>
      </c>
      <c r="B10" s="9" t="s">
        <v>4</v>
      </c>
      <c r="C10" s="9" t="s">
        <v>4</v>
      </c>
      <c r="D10" s="9" t="s">
        <v>4</v>
      </c>
      <c r="E10" s="9" t="s">
        <v>4</v>
      </c>
      <c r="F10" s="9" t="s">
        <v>4</v>
      </c>
      <c r="G10" s="9" t="s">
        <v>4</v>
      </c>
      <c r="H10" s="9" t="s">
        <v>4</v>
      </c>
      <c r="I10" s="9" t="s">
        <v>4</v>
      </c>
      <c r="J10" s="9" t="s">
        <v>4</v>
      </c>
      <c r="K10" s="9" t="s">
        <v>4</v>
      </c>
      <c r="L10" s="9" t="s">
        <v>4</v>
      </c>
      <c r="M10" s="9" t="s">
        <v>4</v>
      </c>
      <c r="N10" s="9" t="s">
        <v>4</v>
      </c>
      <c r="O10" s="9" t="s">
        <v>4</v>
      </c>
      <c r="P10" s="9" t="s">
        <v>4</v>
      </c>
      <c r="Q10" s="9" t="s">
        <v>4</v>
      </c>
    </row>
    <row r="11" spans="1:21" customFormat="1">
      <c r="A11" s="50" t="s">
        <v>778</v>
      </c>
      <c r="B11" s="9" t="s">
        <v>4</v>
      </c>
      <c r="C11" s="9" t="s">
        <v>4</v>
      </c>
      <c r="D11" s="9" t="s">
        <v>4</v>
      </c>
      <c r="E11" s="9" t="s">
        <v>4</v>
      </c>
      <c r="F11" s="9" t="s">
        <v>4</v>
      </c>
      <c r="G11" s="9" t="s">
        <v>4</v>
      </c>
      <c r="H11" s="9" t="s">
        <v>4</v>
      </c>
      <c r="I11" s="9" t="s">
        <v>4</v>
      </c>
      <c r="J11" s="9" t="s">
        <v>4</v>
      </c>
      <c r="K11" s="9" t="s">
        <v>4</v>
      </c>
      <c r="L11" s="9" t="s">
        <v>4</v>
      </c>
      <c r="M11" s="9" t="s">
        <v>4</v>
      </c>
      <c r="N11" s="9" t="s">
        <v>4</v>
      </c>
      <c r="O11" s="9" t="s">
        <v>4</v>
      </c>
      <c r="P11" s="9" t="s">
        <v>4</v>
      </c>
      <c r="Q11" s="9" t="s">
        <v>4</v>
      </c>
    </row>
    <row r="12" spans="1:21" customFormat="1">
      <c r="A12" s="50" t="s">
        <v>779</v>
      </c>
      <c r="B12" s="9" t="s">
        <v>4</v>
      </c>
      <c r="C12" s="9" t="s">
        <v>4</v>
      </c>
      <c r="D12" s="9" t="s">
        <v>4</v>
      </c>
      <c r="E12" s="9" t="s">
        <v>4</v>
      </c>
      <c r="F12" s="9" t="s">
        <v>4</v>
      </c>
      <c r="G12" s="9" t="s">
        <v>4</v>
      </c>
      <c r="H12" s="9" t="s">
        <v>4</v>
      </c>
      <c r="I12" s="9" t="s">
        <v>4</v>
      </c>
      <c r="J12" s="9" t="s">
        <v>4</v>
      </c>
      <c r="K12" s="9" t="s">
        <v>4</v>
      </c>
      <c r="L12" s="9" t="s">
        <v>4</v>
      </c>
      <c r="M12" s="9" t="s">
        <v>4</v>
      </c>
      <c r="N12" s="9" t="s">
        <v>4</v>
      </c>
      <c r="O12" s="9" t="s">
        <v>4</v>
      </c>
      <c r="P12" s="9" t="s">
        <v>4</v>
      </c>
      <c r="Q12" s="9" t="s">
        <v>4</v>
      </c>
    </row>
    <row r="13" spans="1:21" customFormat="1">
      <c r="A13" s="50" t="s">
        <v>780</v>
      </c>
      <c r="B13" s="9" t="s">
        <v>4</v>
      </c>
      <c r="C13" s="9" t="s">
        <v>4</v>
      </c>
      <c r="D13" s="9" t="s">
        <v>4</v>
      </c>
      <c r="E13" s="9" t="s">
        <v>4</v>
      </c>
      <c r="F13" s="9" t="s">
        <v>4</v>
      </c>
      <c r="G13" s="9" t="s">
        <v>4</v>
      </c>
      <c r="H13" s="9" t="s">
        <v>4</v>
      </c>
      <c r="I13" s="9" t="s">
        <v>4</v>
      </c>
      <c r="J13" s="9" t="s">
        <v>4</v>
      </c>
      <c r="K13" s="9" t="s">
        <v>4</v>
      </c>
      <c r="L13" s="9" t="s">
        <v>4</v>
      </c>
      <c r="M13" s="9" t="s">
        <v>4</v>
      </c>
      <c r="N13" s="9" t="s">
        <v>4</v>
      </c>
      <c r="O13" s="9" t="s">
        <v>4</v>
      </c>
      <c r="P13" s="9" t="s">
        <v>4</v>
      </c>
      <c r="Q13" s="9" t="s">
        <v>4</v>
      </c>
    </row>
    <row r="14" spans="1:21" customFormat="1">
      <c r="A14" s="50" t="s">
        <v>781</v>
      </c>
      <c r="B14" s="9" t="s">
        <v>4</v>
      </c>
      <c r="C14" s="9" t="s">
        <v>4</v>
      </c>
      <c r="D14" s="9" t="s">
        <v>4</v>
      </c>
      <c r="E14" s="9" t="s">
        <v>4</v>
      </c>
      <c r="F14" s="9" t="s">
        <v>4</v>
      </c>
      <c r="G14" s="9" t="s">
        <v>4</v>
      </c>
      <c r="H14" s="9" t="s">
        <v>4</v>
      </c>
      <c r="I14" s="9" t="s">
        <v>4</v>
      </c>
      <c r="J14" s="9" t="s">
        <v>4</v>
      </c>
      <c r="K14" s="9" t="s">
        <v>4</v>
      </c>
      <c r="L14" s="9" t="s">
        <v>4</v>
      </c>
      <c r="M14" s="9" t="s">
        <v>4</v>
      </c>
      <c r="N14" s="9" t="s">
        <v>4</v>
      </c>
      <c r="O14" s="9" t="s">
        <v>4</v>
      </c>
      <c r="P14" s="9" t="s">
        <v>4</v>
      </c>
      <c r="Q14" s="9" t="s">
        <v>4</v>
      </c>
    </row>
    <row r="15" spans="1:21" customFormat="1">
      <c r="A15" s="50" t="s">
        <v>782</v>
      </c>
      <c r="B15" s="9" t="s">
        <v>4</v>
      </c>
      <c r="C15" s="9" t="s">
        <v>4</v>
      </c>
      <c r="D15" s="9" t="s">
        <v>4</v>
      </c>
      <c r="E15" s="9" t="s">
        <v>4</v>
      </c>
      <c r="F15" s="9" t="s">
        <v>4</v>
      </c>
      <c r="G15" s="9" t="s">
        <v>4</v>
      </c>
      <c r="H15" s="9" t="s">
        <v>4</v>
      </c>
      <c r="I15" s="9" t="s">
        <v>4</v>
      </c>
      <c r="J15" s="9" t="s">
        <v>4</v>
      </c>
      <c r="K15" s="9" t="s">
        <v>4</v>
      </c>
      <c r="L15" s="9" t="s">
        <v>4</v>
      </c>
      <c r="M15" s="9" t="s">
        <v>4</v>
      </c>
      <c r="N15" s="9" t="s">
        <v>4</v>
      </c>
      <c r="O15" s="9" t="s">
        <v>4</v>
      </c>
      <c r="P15" s="9" t="s">
        <v>4</v>
      </c>
      <c r="Q15" s="9" t="s">
        <v>4</v>
      </c>
    </row>
    <row r="16" spans="1:21" customFormat="1">
      <c r="A16" s="50" t="s">
        <v>783</v>
      </c>
      <c r="B16" s="9" t="s">
        <v>4</v>
      </c>
      <c r="C16" s="9" t="s">
        <v>4</v>
      </c>
      <c r="D16" s="9" t="s">
        <v>4</v>
      </c>
      <c r="E16" s="9" t="s">
        <v>4</v>
      </c>
      <c r="F16" s="9" t="s">
        <v>4</v>
      </c>
      <c r="G16" s="9" t="s">
        <v>4</v>
      </c>
      <c r="H16" s="9" t="s">
        <v>4</v>
      </c>
      <c r="I16" s="9" t="s">
        <v>4</v>
      </c>
      <c r="J16" s="9" t="s">
        <v>4</v>
      </c>
      <c r="K16" s="9" t="s">
        <v>4</v>
      </c>
      <c r="L16" s="9" t="s">
        <v>4</v>
      </c>
      <c r="M16" s="9" t="s">
        <v>4</v>
      </c>
      <c r="N16" s="9" t="s">
        <v>4</v>
      </c>
      <c r="O16" s="9" t="s">
        <v>4</v>
      </c>
      <c r="P16" s="9" t="s">
        <v>4</v>
      </c>
      <c r="Q16" s="9" t="s">
        <v>4</v>
      </c>
    </row>
    <row r="17" spans="1:17" customFormat="1">
      <c r="A17" s="50" t="s">
        <v>784</v>
      </c>
      <c r="B17" s="9" t="s">
        <v>4</v>
      </c>
      <c r="C17" s="9" t="s">
        <v>4</v>
      </c>
      <c r="D17" s="9" t="s">
        <v>4</v>
      </c>
      <c r="E17" s="9" t="s">
        <v>4</v>
      </c>
      <c r="F17" s="9" t="s">
        <v>4</v>
      </c>
      <c r="G17" s="9" t="s">
        <v>4</v>
      </c>
      <c r="H17" s="9" t="s">
        <v>4</v>
      </c>
      <c r="I17" s="9" t="s">
        <v>4</v>
      </c>
      <c r="J17" s="9" t="s">
        <v>4</v>
      </c>
      <c r="K17" s="9" t="s">
        <v>4</v>
      </c>
      <c r="L17" s="9" t="s">
        <v>4</v>
      </c>
      <c r="M17" s="9" t="s">
        <v>4</v>
      </c>
      <c r="N17" s="9" t="s">
        <v>4</v>
      </c>
      <c r="O17" s="9" t="s">
        <v>4</v>
      </c>
      <c r="P17" s="9" t="s">
        <v>4</v>
      </c>
      <c r="Q17" s="9" t="s">
        <v>4</v>
      </c>
    </row>
    <row r="18" spans="1:17" customFormat="1">
      <c r="A18" s="50" t="s">
        <v>785</v>
      </c>
      <c r="B18" s="9" t="s">
        <v>4</v>
      </c>
      <c r="C18" s="9" t="s">
        <v>4</v>
      </c>
      <c r="D18" s="9" t="s">
        <v>4</v>
      </c>
      <c r="E18" s="9" t="s">
        <v>4</v>
      </c>
      <c r="F18" s="9" t="s">
        <v>4</v>
      </c>
      <c r="G18" s="9" t="s">
        <v>4</v>
      </c>
      <c r="H18" s="9" t="s">
        <v>4</v>
      </c>
      <c r="I18" s="9" t="s">
        <v>4</v>
      </c>
      <c r="J18" s="9" t="s">
        <v>4</v>
      </c>
      <c r="K18" s="9" t="s">
        <v>4</v>
      </c>
      <c r="L18" s="9" t="s">
        <v>4</v>
      </c>
      <c r="M18" s="9" t="s">
        <v>4</v>
      </c>
      <c r="N18" s="9" t="s">
        <v>4</v>
      </c>
      <c r="O18" s="9" t="s">
        <v>4</v>
      </c>
      <c r="P18" s="9" t="s">
        <v>4</v>
      </c>
      <c r="Q18" s="9" t="s">
        <v>4</v>
      </c>
    </row>
    <row r="19" spans="1:17" customFormat="1">
      <c r="A19" s="50" t="s">
        <v>786</v>
      </c>
      <c r="B19" s="9" t="s">
        <v>4</v>
      </c>
      <c r="C19" s="9" t="s">
        <v>4</v>
      </c>
      <c r="D19" s="9" t="s">
        <v>4</v>
      </c>
      <c r="E19" s="9" t="s">
        <v>4</v>
      </c>
      <c r="F19" s="9" t="s">
        <v>4</v>
      </c>
      <c r="G19" s="9" t="s">
        <v>4</v>
      </c>
      <c r="H19" s="9" t="s">
        <v>4</v>
      </c>
      <c r="I19" s="9" t="s">
        <v>4</v>
      </c>
      <c r="J19" s="9" t="s">
        <v>4</v>
      </c>
      <c r="K19" s="9" t="s">
        <v>4</v>
      </c>
      <c r="L19" s="9" t="s">
        <v>4</v>
      </c>
      <c r="M19" s="9" t="s">
        <v>4</v>
      </c>
      <c r="N19" s="9" t="s">
        <v>4</v>
      </c>
      <c r="O19" s="9" t="s">
        <v>4</v>
      </c>
      <c r="P19" s="9" t="s">
        <v>4</v>
      </c>
      <c r="Q19" s="9" t="s">
        <v>4</v>
      </c>
    </row>
    <row r="20" spans="1:17" customFormat="1">
      <c r="A20" s="50" t="s">
        <v>787</v>
      </c>
      <c r="B20" s="9" t="s">
        <v>4</v>
      </c>
      <c r="C20" s="9" t="s">
        <v>4</v>
      </c>
      <c r="D20" s="9" t="s">
        <v>4</v>
      </c>
      <c r="E20" s="9" t="s">
        <v>4</v>
      </c>
      <c r="F20" s="9" t="s">
        <v>4</v>
      </c>
      <c r="G20" s="9" t="s">
        <v>4</v>
      </c>
      <c r="H20" s="9" t="s">
        <v>4</v>
      </c>
      <c r="I20" s="9" t="s">
        <v>4</v>
      </c>
      <c r="J20" s="9" t="s">
        <v>4</v>
      </c>
      <c r="K20" s="9" t="s">
        <v>4</v>
      </c>
      <c r="L20" s="9" t="s">
        <v>4</v>
      </c>
      <c r="M20" s="9" t="s">
        <v>4</v>
      </c>
      <c r="N20" s="9" t="s">
        <v>4</v>
      </c>
      <c r="O20" s="9" t="s">
        <v>4</v>
      </c>
      <c r="P20" s="9" t="s">
        <v>4</v>
      </c>
      <c r="Q20" s="9" t="s">
        <v>4</v>
      </c>
    </row>
    <row r="21" spans="1:17" customFormat="1">
      <c r="A21" s="50" t="s">
        <v>788</v>
      </c>
      <c r="B21" s="9" t="s">
        <v>4</v>
      </c>
      <c r="C21" s="9" t="s">
        <v>4</v>
      </c>
      <c r="D21" s="9" t="s">
        <v>4</v>
      </c>
      <c r="E21" s="9" t="s">
        <v>4</v>
      </c>
      <c r="F21" s="9" t="s">
        <v>4</v>
      </c>
      <c r="G21" s="9" t="s">
        <v>4</v>
      </c>
      <c r="H21" s="9" t="s">
        <v>4</v>
      </c>
      <c r="I21" s="9" t="s">
        <v>4</v>
      </c>
      <c r="J21" s="9" t="s">
        <v>4</v>
      </c>
      <c r="K21" s="9" t="s">
        <v>4</v>
      </c>
      <c r="L21" s="9" t="s">
        <v>4</v>
      </c>
      <c r="M21" s="9" t="s">
        <v>4</v>
      </c>
      <c r="N21" s="9" t="s">
        <v>4</v>
      </c>
      <c r="O21" s="9" t="s">
        <v>4</v>
      </c>
      <c r="P21" s="9" t="s">
        <v>4</v>
      </c>
      <c r="Q21" s="9" t="s">
        <v>4</v>
      </c>
    </row>
    <row r="22" spans="1:17" customFormat="1">
      <c r="A22" s="50" t="s">
        <v>789</v>
      </c>
      <c r="B22" s="9" t="s">
        <v>4</v>
      </c>
      <c r="C22" s="9" t="s">
        <v>4</v>
      </c>
      <c r="D22" s="9" t="s">
        <v>4</v>
      </c>
      <c r="E22" s="9" t="s">
        <v>4</v>
      </c>
      <c r="F22" s="9" t="s">
        <v>4</v>
      </c>
      <c r="G22" s="9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9" t="s">
        <v>4</v>
      </c>
      <c r="N22" s="9" t="s">
        <v>4</v>
      </c>
      <c r="O22" s="9" t="s">
        <v>4</v>
      </c>
      <c r="P22" s="9" t="s">
        <v>4</v>
      </c>
      <c r="Q22" s="9" t="s">
        <v>4</v>
      </c>
    </row>
    <row r="23" spans="1:17" customFormat="1">
      <c r="A23" s="50" t="s">
        <v>790</v>
      </c>
      <c r="B23" s="9" t="s">
        <v>4</v>
      </c>
      <c r="C23" s="9" t="s">
        <v>4</v>
      </c>
      <c r="D23" s="9" t="s">
        <v>4</v>
      </c>
      <c r="E23" s="9" t="s">
        <v>4</v>
      </c>
      <c r="F23" s="9" t="s">
        <v>4</v>
      </c>
      <c r="G23" s="9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9" t="s">
        <v>4</v>
      </c>
      <c r="N23" s="9" t="s">
        <v>4</v>
      </c>
      <c r="O23" s="9" t="s">
        <v>4</v>
      </c>
      <c r="P23" s="9" t="s">
        <v>4</v>
      </c>
      <c r="Q23" s="9" t="s">
        <v>4</v>
      </c>
    </row>
    <row r="24" spans="1:17" customFormat="1">
      <c r="A24" s="50" t="s">
        <v>791</v>
      </c>
      <c r="B24" s="9" t="s">
        <v>4</v>
      </c>
      <c r="C24" s="9" t="s">
        <v>4</v>
      </c>
      <c r="D24" s="9" t="s">
        <v>4</v>
      </c>
      <c r="E24" s="9" t="s">
        <v>4</v>
      </c>
      <c r="F24" s="9" t="s">
        <v>4</v>
      </c>
      <c r="G24" s="9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9" t="s">
        <v>4</v>
      </c>
      <c r="N24" s="9" t="s">
        <v>4</v>
      </c>
      <c r="O24" s="9" t="s">
        <v>4</v>
      </c>
      <c r="P24" s="9" t="s">
        <v>4</v>
      </c>
      <c r="Q24" s="9" t="s">
        <v>4</v>
      </c>
    </row>
    <row r="25" spans="1:17" customFormat="1">
      <c r="A25" s="50" t="s">
        <v>792</v>
      </c>
      <c r="B25" s="9" t="s">
        <v>4</v>
      </c>
      <c r="C25" s="9" t="s">
        <v>4</v>
      </c>
      <c r="D25" s="9" t="s">
        <v>4</v>
      </c>
      <c r="E25" s="9" t="s">
        <v>4</v>
      </c>
      <c r="F25" s="9" t="s">
        <v>4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</row>
    <row r="26" spans="1:17" customFormat="1">
      <c r="A26" s="50" t="s">
        <v>793</v>
      </c>
      <c r="B26" s="9" t="s">
        <v>4</v>
      </c>
      <c r="C26" s="9" t="s">
        <v>4</v>
      </c>
      <c r="D26" s="9" t="s">
        <v>4</v>
      </c>
      <c r="E26" s="9" t="s">
        <v>4</v>
      </c>
      <c r="F26" s="9" t="s">
        <v>4</v>
      </c>
      <c r="G26" s="9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9" t="s">
        <v>4</v>
      </c>
      <c r="N26" s="9" t="s">
        <v>4</v>
      </c>
      <c r="O26" s="9" t="s">
        <v>4</v>
      </c>
      <c r="P26" s="9" t="s">
        <v>4</v>
      </c>
      <c r="Q26" s="9" t="s">
        <v>4</v>
      </c>
    </row>
    <row r="27" spans="1:17" customFormat="1">
      <c r="A27" s="50" t="s">
        <v>794</v>
      </c>
      <c r="B27" s="9" t="s">
        <v>4</v>
      </c>
      <c r="C27" s="9" t="s">
        <v>4</v>
      </c>
      <c r="D27" s="9" t="s">
        <v>4</v>
      </c>
      <c r="E27" s="9" t="s">
        <v>4</v>
      </c>
      <c r="F27" s="9" t="s">
        <v>4</v>
      </c>
      <c r="G27" s="9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9" t="s">
        <v>4</v>
      </c>
      <c r="N27" s="9" t="s">
        <v>4</v>
      </c>
      <c r="O27" s="9" t="s">
        <v>4</v>
      </c>
      <c r="P27" s="9" t="s">
        <v>4</v>
      </c>
      <c r="Q27" s="9" t="s">
        <v>4</v>
      </c>
    </row>
    <row r="28" spans="1:17" customFormat="1">
      <c r="A28" s="50" t="s">
        <v>795</v>
      </c>
      <c r="B28" s="9" t="s">
        <v>4</v>
      </c>
      <c r="C28" s="9" t="s">
        <v>4</v>
      </c>
      <c r="D28" s="9" t="s">
        <v>4</v>
      </c>
      <c r="E28" s="9" t="s">
        <v>4</v>
      </c>
      <c r="F28" s="9" t="s">
        <v>4</v>
      </c>
      <c r="G28" s="9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9" t="s">
        <v>4</v>
      </c>
      <c r="N28" s="9" t="s">
        <v>4</v>
      </c>
      <c r="O28" s="9" t="s">
        <v>4</v>
      </c>
      <c r="P28" s="9" t="s">
        <v>4</v>
      </c>
      <c r="Q28" s="9" t="s">
        <v>4</v>
      </c>
    </row>
    <row r="29" spans="1:17" customFormat="1">
      <c r="A29" s="50" t="s">
        <v>796</v>
      </c>
      <c r="B29" s="9" t="s">
        <v>4</v>
      </c>
      <c r="C29" s="9" t="s">
        <v>4</v>
      </c>
      <c r="D29" s="9" t="s">
        <v>4</v>
      </c>
      <c r="E29" s="9" t="s">
        <v>4</v>
      </c>
      <c r="F29" s="9" t="s">
        <v>4</v>
      </c>
      <c r="G29" s="9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9" t="s">
        <v>4</v>
      </c>
      <c r="N29" s="9" t="s">
        <v>4</v>
      </c>
      <c r="O29" s="9" t="s">
        <v>4</v>
      </c>
      <c r="P29" s="9" t="s">
        <v>4</v>
      </c>
      <c r="Q29" s="9" t="s">
        <v>4</v>
      </c>
    </row>
    <row r="30" spans="1:17" customFormat="1">
      <c r="A30" s="50" t="s">
        <v>797</v>
      </c>
      <c r="B30" s="9" t="s">
        <v>4</v>
      </c>
      <c r="C30" s="9" t="s">
        <v>4</v>
      </c>
      <c r="D30" s="9" t="s">
        <v>4</v>
      </c>
      <c r="E30" s="9" t="s">
        <v>4</v>
      </c>
      <c r="F30" s="9" t="s">
        <v>4</v>
      </c>
      <c r="G30" s="9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9" t="s">
        <v>4</v>
      </c>
      <c r="N30" s="9" t="s">
        <v>4</v>
      </c>
      <c r="O30" s="9" t="s">
        <v>4</v>
      </c>
      <c r="P30" s="9" t="s">
        <v>4</v>
      </c>
      <c r="Q30" s="9" t="s">
        <v>4</v>
      </c>
    </row>
    <row r="31" spans="1:17" customFormat="1">
      <c r="A31" s="50" t="s">
        <v>798</v>
      </c>
      <c r="B31" s="9" t="s">
        <v>4</v>
      </c>
      <c r="C31" s="9" t="s">
        <v>4</v>
      </c>
      <c r="D31" s="9" t="s">
        <v>4</v>
      </c>
      <c r="E31" s="9" t="s">
        <v>4</v>
      </c>
      <c r="F31" s="9" t="s">
        <v>4</v>
      </c>
      <c r="G31" s="9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9" t="s">
        <v>4</v>
      </c>
      <c r="N31" s="9" t="s">
        <v>4</v>
      </c>
      <c r="O31" s="9" t="s">
        <v>4</v>
      </c>
      <c r="P31" s="9" t="s">
        <v>4</v>
      </c>
      <c r="Q31" s="9" t="s">
        <v>4</v>
      </c>
    </row>
    <row r="32" spans="1:17" customFormat="1">
      <c r="A32" s="50" t="s">
        <v>799</v>
      </c>
      <c r="B32" s="9" t="s">
        <v>4</v>
      </c>
      <c r="C32" s="9" t="s">
        <v>4</v>
      </c>
      <c r="D32" s="9" t="s">
        <v>4</v>
      </c>
      <c r="E32" s="9" t="s">
        <v>4</v>
      </c>
      <c r="F32" s="9" t="s">
        <v>4</v>
      </c>
      <c r="G32" s="9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9" t="s">
        <v>4</v>
      </c>
      <c r="N32" s="9" t="s">
        <v>4</v>
      </c>
      <c r="O32" s="9" t="s">
        <v>4</v>
      </c>
      <c r="P32" s="9" t="s">
        <v>4</v>
      </c>
      <c r="Q32" s="9" t="s">
        <v>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9" t="s">
        <v>4</v>
      </c>
      <c r="C36" s="9" t="s">
        <v>4</v>
      </c>
      <c r="D36" s="9" t="s">
        <v>4</v>
      </c>
      <c r="E36" s="9" t="s">
        <v>4</v>
      </c>
      <c r="F36" s="9" t="s">
        <v>4</v>
      </c>
      <c r="G36" s="9" t="s">
        <v>4</v>
      </c>
      <c r="H36" s="9" t="s">
        <v>4</v>
      </c>
      <c r="I36" s="9" t="s">
        <v>4</v>
      </c>
      <c r="J36" s="9" t="s">
        <v>4</v>
      </c>
      <c r="K36" s="9" t="s">
        <v>4</v>
      </c>
      <c r="L36" s="9" t="s">
        <v>4</v>
      </c>
      <c r="M36" s="9" t="s">
        <v>4</v>
      </c>
      <c r="N36" s="9" t="s">
        <v>4</v>
      </c>
      <c r="O36" s="9" t="s">
        <v>4</v>
      </c>
      <c r="P36" s="9" t="s">
        <v>4</v>
      </c>
      <c r="Q36" s="9" t="s">
        <v>4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2">STDEV(C9:C32)</f>
        <v>#DIV/0!</v>
      </c>
      <c r="D37" s="41" t="e">
        <f t="shared" si="2"/>
        <v>#DIV/0!</v>
      </c>
      <c r="E37" s="41" t="e">
        <f t="shared" si="2"/>
        <v>#DIV/0!</v>
      </c>
      <c r="F37" s="41" t="e">
        <f t="shared" si="2"/>
        <v>#DIV/0!</v>
      </c>
      <c r="G37" s="41" t="e">
        <f t="shared" si="2"/>
        <v>#DIV/0!</v>
      </c>
      <c r="H37" s="41" t="e">
        <f t="shared" si="2"/>
        <v>#DIV/0!</v>
      </c>
      <c r="I37" s="41" t="e">
        <f t="shared" si="2"/>
        <v>#DIV/0!</v>
      </c>
      <c r="J37" s="41" t="e">
        <f t="shared" si="2"/>
        <v>#DIV/0!</v>
      </c>
      <c r="K37" s="41" t="e">
        <f t="shared" si="2"/>
        <v>#DIV/0!</v>
      </c>
      <c r="L37" s="41" t="e">
        <f t="shared" si="2"/>
        <v>#DIV/0!</v>
      </c>
      <c r="M37" s="41" t="e">
        <f t="shared" si="2"/>
        <v>#DIV/0!</v>
      </c>
      <c r="N37" s="41" t="e">
        <f t="shared" si="2"/>
        <v>#DIV/0!</v>
      </c>
      <c r="O37" s="41" t="e">
        <f t="shared" si="2"/>
        <v>#DIV/0!</v>
      </c>
      <c r="P37" s="41" t="e">
        <f t="shared" si="2"/>
        <v>#DIV/0!</v>
      </c>
      <c r="Q37" s="41" t="e">
        <f t="shared" si="2"/>
        <v>#DIV/0!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3">IF(C38&gt;=22,"&gt;90%",IF(C38&lt;=22,"&lt;90%"))</f>
        <v>&gt;90%</v>
      </c>
      <c r="D39" s="33" t="str">
        <f t="shared" si="3"/>
        <v>&gt;90%</v>
      </c>
      <c r="E39" s="33" t="str">
        <f t="shared" si="3"/>
        <v>&gt;90%</v>
      </c>
      <c r="F39" s="33" t="str">
        <f t="shared" si="3"/>
        <v>&gt;90%</v>
      </c>
      <c r="G39" s="33" t="str">
        <f t="shared" si="3"/>
        <v>&gt;90%</v>
      </c>
      <c r="H39" s="33" t="str">
        <f t="shared" si="3"/>
        <v>&gt;90%</v>
      </c>
      <c r="I39" s="33" t="str">
        <f t="shared" si="3"/>
        <v>&gt;90%</v>
      </c>
      <c r="J39" s="33" t="str">
        <f t="shared" si="3"/>
        <v>&gt;90%</v>
      </c>
      <c r="K39" s="33" t="str">
        <f t="shared" si="3"/>
        <v>&gt;90%</v>
      </c>
      <c r="L39" s="33" t="str">
        <f t="shared" si="3"/>
        <v>&gt;90%</v>
      </c>
      <c r="M39" s="33" t="str">
        <f t="shared" si="3"/>
        <v>&gt;90%</v>
      </c>
      <c r="N39" s="33" t="str">
        <f t="shared" si="3"/>
        <v>&gt;90%</v>
      </c>
      <c r="O39" s="33" t="str">
        <f t="shared" si="3"/>
        <v>&gt;90%</v>
      </c>
      <c r="P39" s="33" t="str">
        <f t="shared" si="3"/>
        <v>&gt;90%</v>
      </c>
      <c r="Q39" s="33" t="str">
        <f t="shared" si="3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4">IF(C38&gt;=22,"OK",IF(C38&lt;=22,"LESS"))</f>
        <v>OK</v>
      </c>
      <c r="D40" s="33" t="str">
        <f t="shared" si="4"/>
        <v>OK</v>
      </c>
      <c r="E40" s="33" t="str">
        <f t="shared" si="4"/>
        <v>OK</v>
      </c>
      <c r="F40" s="33" t="str">
        <f t="shared" si="4"/>
        <v>OK</v>
      </c>
      <c r="G40" s="33" t="str">
        <f t="shared" si="4"/>
        <v>OK</v>
      </c>
      <c r="H40" s="33" t="str">
        <f t="shared" si="4"/>
        <v>OK</v>
      </c>
      <c r="I40" s="33" t="str">
        <f t="shared" si="4"/>
        <v>OK</v>
      </c>
      <c r="J40" s="33" t="str">
        <f t="shared" si="4"/>
        <v>OK</v>
      </c>
      <c r="K40" s="33" t="str">
        <f t="shared" si="4"/>
        <v>OK</v>
      </c>
      <c r="L40" s="33" t="str">
        <f t="shared" si="4"/>
        <v>OK</v>
      </c>
      <c r="M40" s="33" t="str">
        <f t="shared" si="4"/>
        <v>OK</v>
      </c>
      <c r="N40" s="33" t="str">
        <f t="shared" si="4"/>
        <v>OK</v>
      </c>
      <c r="O40" s="33" t="str">
        <f t="shared" si="4"/>
        <v>OK</v>
      </c>
      <c r="P40" s="33" t="str">
        <f t="shared" si="4"/>
        <v>OK</v>
      </c>
      <c r="Q40" s="33" t="str">
        <f t="shared" si="4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5" sqref="B45:Q45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01/07/2023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 t="str">
        <f>'01'!$B$2</f>
        <v>01/07/2023 01:00</v>
      </c>
      <c r="B9" s="17">
        <f>'01'!B36</f>
        <v>7.5404166666666663</v>
      </c>
      <c r="C9" s="17">
        <f>'01'!C36</f>
        <v>32.265000000000001</v>
      </c>
      <c r="D9" s="17">
        <f>'01'!D36</f>
        <v>21.704166666666669</v>
      </c>
      <c r="E9" s="17">
        <f>'01'!E36</f>
        <v>5.3999999999999995</v>
      </c>
      <c r="F9" s="17">
        <f>'01'!F36</f>
        <v>8.3120833333333337</v>
      </c>
      <c r="G9" s="17">
        <f>'01'!G36</f>
        <v>12.639166666666668</v>
      </c>
      <c r="H9" s="17">
        <f>'01'!H36</f>
        <v>4.6866666666666674</v>
      </c>
      <c r="I9" s="17">
        <f>'01'!I36</f>
        <v>2.9012500000000006</v>
      </c>
      <c r="J9" s="17">
        <f>'01'!J36</f>
        <v>0.82041666666666668</v>
      </c>
      <c r="K9" s="17">
        <f>'01'!K36</f>
        <v>254.56833333333336</v>
      </c>
      <c r="L9" s="17">
        <f>'01'!L36</f>
        <v>30.025833333333324</v>
      </c>
      <c r="M9" s="17">
        <f>'01'!M36</f>
        <v>70.63</v>
      </c>
      <c r="N9" s="17">
        <f>'01'!N36</f>
        <v>206.75833333333333</v>
      </c>
      <c r="O9" s="17">
        <f>'01'!O36</f>
        <v>0</v>
      </c>
      <c r="P9" s="17">
        <f>'01'!P36</f>
        <v>0.36916666666666681</v>
      </c>
      <c r="Q9" s="17">
        <f>'01'!Q36</f>
        <v>4.2645833333333334</v>
      </c>
      <c r="R9" s="34"/>
      <c r="S9" s="34"/>
      <c r="T9" s="34"/>
      <c r="U9" s="35"/>
    </row>
    <row r="10" spans="1:21" s="2" customFormat="1">
      <c r="A10" s="16" t="str">
        <f>'02'!$B$2</f>
        <v>02/07/2023 01:00</v>
      </c>
      <c r="B10" s="17">
        <f>'02'!B36</f>
        <v>9.7312500000000028</v>
      </c>
      <c r="C10" s="17">
        <f>'02'!C36</f>
        <v>33.082916666666669</v>
      </c>
      <c r="D10" s="17">
        <f>'02'!D36</f>
        <v>23.921249999999997</v>
      </c>
      <c r="E10" s="17">
        <f>'02'!E36</f>
        <v>6.78125</v>
      </c>
      <c r="F10" s="17">
        <f>'02'!F36</f>
        <v>9.6729166666666639</v>
      </c>
      <c r="G10" s="17">
        <f>'02'!G36</f>
        <v>14.543333333333331</v>
      </c>
      <c r="H10" s="17">
        <f>'02'!H36</f>
        <v>5.2275</v>
      </c>
      <c r="I10" s="17">
        <f>'02'!I36</f>
        <v>3.0595833333333324</v>
      </c>
      <c r="J10" s="17">
        <f>'02'!J36</f>
        <v>0.68541666666666645</v>
      </c>
      <c r="K10" s="17">
        <f>'02'!K36</f>
        <v>255.00999999999996</v>
      </c>
      <c r="L10" s="17">
        <f>'02'!L36</f>
        <v>29.670833333333334</v>
      </c>
      <c r="M10" s="17">
        <f>'02'!M36</f>
        <v>71.802916666666661</v>
      </c>
      <c r="N10" s="17">
        <f>'02'!N36</f>
        <v>156.53749999999999</v>
      </c>
      <c r="O10" s="17">
        <f>'02'!O36</f>
        <v>0</v>
      </c>
      <c r="P10" s="17">
        <f>'02'!P36</f>
        <v>0.40416666666666679</v>
      </c>
      <c r="Q10" s="17">
        <f>'02'!Q36</f>
        <v>4.3637500000000005</v>
      </c>
      <c r="R10" s="36"/>
      <c r="S10" s="36"/>
      <c r="T10" s="36"/>
      <c r="U10" s="36"/>
    </row>
    <row r="11" spans="1:21" s="2" customFormat="1">
      <c r="A11" s="16" t="str">
        <f>'03'!$B$2</f>
        <v>03/07/2023 01:00</v>
      </c>
      <c r="B11" s="17">
        <f>'03'!B36</f>
        <v>9.3558333333333312</v>
      </c>
      <c r="C11" s="17">
        <f>'03'!C36</f>
        <v>30.640833333333333</v>
      </c>
      <c r="D11" s="17">
        <f>'03'!D36</f>
        <v>22.389999999999997</v>
      </c>
      <c r="E11" s="17">
        <f>'03'!E36</f>
        <v>10.335416666666665</v>
      </c>
      <c r="F11" s="17">
        <f>'03'!F36</f>
        <v>18.860833333333336</v>
      </c>
      <c r="G11" s="17">
        <f>'03'!G36</f>
        <v>24.90958333333333</v>
      </c>
      <c r="H11" s="17">
        <f>'03'!H36</f>
        <v>9.3741666666666656</v>
      </c>
      <c r="I11" s="17">
        <f>'03'!I36</f>
        <v>3.8387500000000006</v>
      </c>
      <c r="J11" s="17">
        <f>'03'!J36</f>
        <v>0.31666666666666671</v>
      </c>
      <c r="K11" s="17">
        <f>'03'!K36</f>
        <v>232.68791666666664</v>
      </c>
      <c r="L11" s="17">
        <f>'03'!L36</f>
        <v>30.775416666666661</v>
      </c>
      <c r="M11" s="17">
        <f>'03'!M36</f>
        <v>74.293333333333337</v>
      </c>
      <c r="N11" s="17">
        <f>'03'!N36</f>
        <v>184.66250000000002</v>
      </c>
      <c r="O11" s="17">
        <f>'03'!O36</f>
        <v>0</v>
      </c>
      <c r="P11" s="17">
        <f>'03'!P36</f>
        <v>0.50416666666666676</v>
      </c>
      <c r="Q11" s="17">
        <f>'03'!Q36</f>
        <v>4.41</v>
      </c>
      <c r="R11" s="36"/>
      <c r="S11" s="36"/>
      <c r="T11" s="36"/>
      <c r="U11" s="36"/>
    </row>
    <row r="12" spans="1:21" s="2" customFormat="1">
      <c r="A12" s="16" t="str">
        <f>'04'!$B$2</f>
        <v>04/07/2023 01:00</v>
      </c>
      <c r="B12" s="17">
        <f>'04'!B36</f>
        <v>7.1320833333333313</v>
      </c>
      <c r="C12" s="17">
        <f>'04'!C36</f>
        <v>29.851250000000004</v>
      </c>
      <c r="D12" s="17">
        <f>'04'!D36</f>
        <v>20.130416666666669</v>
      </c>
      <c r="E12" s="17">
        <f>'04'!E36</f>
        <v>7.8266666666666653</v>
      </c>
      <c r="F12" s="17">
        <f>'04'!F36</f>
        <v>21.874166666666667</v>
      </c>
      <c r="G12" s="17">
        <f>'04'!G36</f>
        <v>29.640000000000004</v>
      </c>
      <c r="H12" s="17">
        <f>'04'!H36</f>
        <v>12.026666666666671</v>
      </c>
      <c r="I12" s="17">
        <f>'04'!I36</f>
        <v>4.1991666666666667</v>
      </c>
      <c r="J12" s="17">
        <f>'04'!J36</f>
        <v>0.32500000000000001</v>
      </c>
      <c r="K12" s="17">
        <f>'04'!K36</f>
        <v>244.77750000000003</v>
      </c>
      <c r="L12" s="17">
        <f>'04'!L36</f>
        <v>30.726250000000004</v>
      </c>
      <c r="M12" s="17">
        <f>'04'!M36</f>
        <v>78.34708333333333</v>
      </c>
      <c r="N12" s="17">
        <f>'04'!N36</f>
        <v>139.92916666666665</v>
      </c>
      <c r="O12" s="17">
        <f>'04'!O36</f>
        <v>0.22500000000000001</v>
      </c>
      <c r="P12" s="17">
        <f>'04'!P36</f>
        <v>0.57125000000000004</v>
      </c>
      <c r="Q12" s="17">
        <f>'04'!Q36</f>
        <v>4.2604166666666679</v>
      </c>
      <c r="R12" s="36"/>
      <c r="S12" s="36"/>
      <c r="T12" s="36"/>
      <c r="U12" s="36"/>
    </row>
    <row r="13" spans="1:21" s="2" customFormat="1">
      <c r="A13" s="16" t="str">
        <f>'05'!$B$2</f>
        <v>05/07/2023 01:00</v>
      </c>
      <c r="B13" s="17">
        <f>'05'!B36</f>
        <v>9.8266666666666662</v>
      </c>
      <c r="C13" s="17">
        <f>'05'!C36</f>
        <v>33.183750000000011</v>
      </c>
      <c r="D13" s="17">
        <f>'05'!D36</f>
        <v>24.023750000000007</v>
      </c>
      <c r="E13" s="17">
        <f>'05'!E36</f>
        <v>5.7700000000000022</v>
      </c>
      <c r="F13" s="17">
        <f>'05'!F36</f>
        <v>15.192500000000003</v>
      </c>
      <c r="G13" s="17">
        <f>'05'!G36</f>
        <v>14.263333333333334</v>
      </c>
      <c r="H13" s="17">
        <f>'05'!H36</f>
        <v>4.8983333333333334</v>
      </c>
      <c r="I13" s="17">
        <f>'05'!I36</f>
        <v>3.89</v>
      </c>
      <c r="J13" s="17">
        <f>'05'!J36</f>
        <v>0.5195833333333334</v>
      </c>
      <c r="K13" s="17">
        <f>'05'!K36</f>
        <v>260.76958333333334</v>
      </c>
      <c r="L13" s="17">
        <f>'05'!L36</f>
        <v>29.152083333333337</v>
      </c>
      <c r="M13" s="17">
        <f>'05'!M36</f>
        <v>81.412916666666675</v>
      </c>
      <c r="N13" s="17">
        <f>'05'!N36</f>
        <v>220.30833333333331</v>
      </c>
      <c r="O13" s="17">
        <f>'05'!O36</f>
        <v>1.5666666666666667</v>
      </c>
      <c r="P13" s="17">
        <f>'05'!P36</f>
        <v>0.54625000000000001</v>
      </c>
      <c r="Q13" s="17">
        <f>'05'!Q36</f>
        <v>4.3937499999999998</v>
      </c>
      <c r="R13" s="36"/>
      <c r="S13" s="36"/>
      <c r="T13" s="36"/>
      <c r="U13" s="36"/>
    </row>
    <row r="14" spans="1:21" s="2" customFormat="1">
      <c r="A14" s="16" t="str">
        <f>'06'!$B$2</f>
        <v>06/07/2023 01:00</v>
      </c>
      <c r="B14" s="18">
        <f>'06'!B36</f>
        <v>12.950833333333334</v>
      </c>
      <c r="C14" s="18">
        <f>'06'!C36</f>
        <v>34.674166666666679</v>
      </c>
      <c r="D14" s="18">
        <f>'06'!D36</f>
        <v>27.22583333333333</v>
      </c>
      <c r="E14" s="18">
        <f>'06'!E36</f>
        <v>7.0195833333333333</v>
      </c>
      <c r="F14" s="18">
        <f>'06'!F36</f>
        <v>6.4229166666666666</v>
      </c>
      <c r="G14" s="18">
        <f>'06'!G36</f>
        <v>18.65666666666667</v>
      </c>
      <c r="H14" s="18">
        <f>'06'!H36</f>
        <v>6.3970833333333337</v>
      </c>
      <c r="I14" s="18">
        <f>'06'!I36</f>
        <v>3.5949999999999993</v>
      </c>
      <c r="J14" s="18">
        <f>'06'!J36</f>
        <v>0.48041666666666677</v>
      </c>
      <c r="K14" s="18">
        <f>'06'!K36</f>
        <v>250.75291666666672</v>
      </c>
      <c r="L14" s="18">
        <f>'06'!L36</f>
        <v>27.043749999999999</v>
      </c>
      <c r="M14" s="18">
        <f>'06'!M36</f>
        <v>89.8</v>
      </c>
      <c r="N14" s="18">
        <f>'06'!N36</f>
        <v>106.91666666666667</v>
      </c>
      <c r="O14" s="18">
        <f>'06'!O36</f>
        <v>5.000000000000001E-2</v>
      </c>
      <c r="P14" s="18">
        <f>'06'!P36</f>
        <v>0.41625000000000001</v>
      </c>
      <c r="Q14" s="18">
        <f>'06'!Q36</f>
        <v>4.6112500000000001</v>
      </c>
      <c r="R14" s="36"/>
      <c r="S14" s="36"/>
      <c r="T14" s="36"/>
      <c r="U14" s="36"/>
    </row>
    <row r="15" spans="1:21" s="2" customFormat="1">
      <c r="A15" s="16" t="str">
        <f>'07'!$B$2</f>
        <v>07/07/2023 01:00</v>
      </c>
      <c r="B15" s="18">
        <f>'07'!B36</f>
        <v>12.722499999999998</v>
      </c>
      <c r="C15" s="18">
        <f>'07'!C36</f>
        <v>34.173333333333339</v>
      </c>
      <c r="D15" s="18">
        <f>'07'!D36</f>
        <v>26.891249999999999</v>
      </c>
      <c r="E15" s="18">
        <f>'07'!E36</f>
        <v>5.7983333333333329</v>
      </c>
      <c r="F15" s="18">
        <f>'07'!F36</f>
        <v>4.7112500000000006</v>
      </c>
      <c r="G15" s="18">
        <f>'07'!G36</f>
        <v>4.5549999999999997</v>
      </c>
      <c r="H15" s="18">
        <f>'07'!H36</f>
        <v>2.9737499999999994</v>
      </c>
      <c r="I15" s="18">
        <f>'07'!I36</f>
        <v>2.6091666666666669</v>
      </c>
      <c r="J15" s="18">
        <f>'07'!J36</f>
        <v>0.65083333333333349</v>
      </c>
      <c r="K15" s="18">
        <f>'07'!K36</f>
        <v>256.20791666666673</v>
      </c>
      <c r="L15" s="18">
        <f>'07'!L36</f>
        <v>25.864583333333332</v>
      </c>
      <c r="M15" s="18">
        <f>'07'!M36</f>
        <v>91.924166666666665</v>
      </c>
      <c r="N15" s="18">
        <f>'07'!N36</f>
        <v>67.208333333333329</v>
      </c>
      <c r="O15" s="18">
        <f>'07'!O36</f>
        <v>0.80833333333333324</v>
      </c>
      <c r="P15" s="18">
        <f>'07'!P36</f>
        <v>0.28625000000000006</v>
      </c>
      <c r="Q15" s="18">
        <f>'07'!Q36</f>
        <v>4.5412500000000007</v>
      </c>
      <c r="R15" s="36"/>
      <c r="S15" s="36"/>
      <c r="T15" s="36"/>
      <c r="U15" s="36"/>
    </row>
    <row r="16" spans="1:21" s="2" customFormat="1">
      <c r="A16" s="16" t="str">
        <f>'08'!$B$2</f>
        <v>08/07/2023 01:00</v>
      </c>
      <c r="B16" s="18">
        <f>'08'!B36</f>
        <v>13.331666666666663</v>
      </c>
      <c r="C16" s="18">
        <f>'08'!C36</f>
        <v>33.741666666666667</v>
      </c>
      <c r="D16" s="18">
        <f>'08'!D36</f>
        <v>27.177916666666665</v>
      </c>
      <c r="E16" s="18">
        <f>'08'!E36</f>
        <v>6.4483333333333333</v>
      </c>
      <c r="F16" s="18">
        <f>'08'!F36</f>
        <v>5.2995833333333335</v>
      </c>
      <c r="G16" s="18">
        <f>'08'!G36</f>
        <v>6.8362499999999997</v>
      </c>
      <c r="H16" s="18">
        <f>'08'!H36</f>
        <v>2.8470833333333334</v>
      </c>
      <c r="I16" s="18">
        <f>'08'!I36</f>
        <v>2.4733333333333332</v>
      </c>
      <c r="J16" s="18">
        <f>'08'!J36</f>
        <v>0.55208333333333337</v>
      </c>
      <c r="K16" s="18">
        <f>'08'!K36</f>
        <v>250.16958333333335</v>
      </c>
      <c r="L16" s="18">
        <f>'08'!L36</f>
        <v>26.305833333333336</v>
      </c>
      <c r="M16" s="18">
        <f>'08'!M36</f>
        <v>90.004999999999995</v>
      </c>
      <c r="N16" s="18">
        <f>'08'!N36</f>
        <v>90.966666666666683</v>
      </c>
      <c r="O16" s="18">
        <f>'08'!O36</f>
        <v>7.4999999999999997E-2</v>
      </c>
      <c r="P16" s="18">
        <f>'08'!P36</f>
        <v>0.36791666666666667</v>
      </c>
      <c r="Q16" s="18">
        <f>'08'!Q36</f>
        <v>4.5733333333333333</v>
      </c>
      <c r="R16" s="36"/>
      <c r="S16" s="36"/>
      <c r="T16" s="36"/>
      <c r="U16" s="36"/>
    </row>
    <row r="17" spans="1:24" s="2" customFormat="1">
      <c r="A17" s="16" t="str">
        <f>'09'!$B$2</f>
        <v>09/07/2023 01:00</v>
      </c>
      <c r="B17" s="18">
        <f>'09'!B36</f>
        <v>11.030416666666666</v>
      </c>
      <c r="C17" s="18">
        <f>'09'!C36</f>
        <v>34.009166666666665</v>
      </c>
      <c r="D17" s="18">
        <f>'09'!D36</f>
        <v>25.371250000000003</v>
      </c>
      <c r="E17" s="18">
        <f>'09'!E36</f>
        <v>6.38</v>
      </c>
      <c r="F17" s="18">
        <f>'09'!F36</f>
        <v>5.0737500000000004</v>
      </c>
      <c r="G17" s="18">
        <f>'09'!G36</f>
        <v>17.540833333333335</v>
      </c>
      <c r="H17" s="18">
        <f>'09'!H36</f>
        <v>4.7525000000000004</v>
      </c>
      <c r="I17" s="18">
        <f>'09'!I36</f>
        <v>3.2041666666666671</v>
      </c>
      <c r="J17" s="18">
        <f>'09'!J36</f>
        <v>0.91</v>
      </c>
      <c r="K17" s="18">
        <f>'09'!K36</f>
        <v>260.12249999999995</v>
      </c>
      <c r="L17" s="18">
        <f>'09'!L36</f>
        <v>27.627916666666664</v>
      </c>
      <c r="M17" s="18">
        <f>'09'!M36</f>
        <v>79.561666666666653</v>
      </c>
      <c r="N17" s="18">
        <f>'09'!N36</f>
        <v>197.0916666666667</v>
      </c>
      <c r="O17" s="18">
        <f>'09'!O36</f>
        <v>3.3333333333333333E-2</v>
      </c>
      <c r="P17" s="18">
        <f>'09'!P36</f>
        <v>0.49375000000000008</v>
      </c>
      <c r="Q17" s="18">
        <f>'09'!Q36</f>
        <v>4.42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 t="str">
        <f>'10'!$B$2</f>
        <v>10/07/2023 01:00</v>
      </c>
      <c r="B18" s="18">
        <f>'10'!B36</f>
        <v>14.169583333333334</v>
      </c>
      <c r="C18" s="18">
        <f>'10'!C36</f>
        <v>31.64083333333333</v>
      </c>
      <c r="D18" s="18">
        <f>'10'!D36</f>
        <v>26.660416666666674</v>
      </c>
      <c r="E18" s="18">
        <f>'10'!E36</f>
        <v>7.165</v>
      </c>
      <c r="F18" s="18">
        <f>'10'!F36</f>
        <v>8.649166666666666</v>
      </c>
      <c r="G18" s="18">
        <f>'10'!G36</f>
        <v>28.627391304347828</v>
      </c>
      <c r="H18" s="18">
        <f>'10'!H36</f>
        <v>7.5399999999999983</v>
      </c>
      <c r="I18" s="18">
        <f>'10'!I36</f>
        <v>18.05875</v>
      </c>
      <c r="J18" s="18">
        <f>'10'!J36</f>
        <v>0.47166666666666662</v>
      </c>
      <c r="K18" s="18">
        <f>'10'!K36</f>
        <v>241.13749999999996</v>
      </c>
      <c r="L18" s="18">
        <f>'10'!L36</f>
        <v>28.742499999999996</v>
      </c>
      <c r="M18" s="18">
        <f>'10'!M36</f>
        <v>82.635416666666671</v>
      </c>
      <c r="N18" s="18">
        <f>'10'!N36</f>
        <v>170.37083333333334</v>
      </c>
      <c r="O18" s="18">
        <f>'10'!O36</f>
        <v>1.6666666666666666E-2</v>
      </c>
      <c r="P18" s="18">
        <f>'10'!P36</f>
        <v>0.56125000000000003</v>
      </c>
      <c r="Q18" s="18">
        <f>'10'!Q36</f>
        <v>4.5612499999999985</v>
      </c>
      <c r="R18" s="36"/>
      <c r="S18" s="36"/>
      <c r="T18" s="36"/>
      <c r="U18" s="36"/>
    </row>
    <row r="19" spans="1:24" s="2" customFormat="1">
      <c r="A19" s="16" t="str">
        <f>'11'!$B$2</f>
        <v>11/07/2023 01:00</v>
      </c>
      <c r="B19" s="18">
        <f>'11'!B36</f>
        <v>13.134166666666664</v>
      </c>
      <c r="C19" s="18">
        <f>'11'!C36</f>
        <v>32.706666666666656</v>
      </c>
      <c r="D19" s="18">
        <f>'11'!D36</f>
        <v>26.376666666666662</v>
      </c>
      <c r="E19" s="18">
        <f>'11'!E36</f>
        <v>6.010416666666667</v>
      </c>
      <c r="F19" s="18">
        <f>'11'!F36</f>
        <v>5.4362500000000002</v>
      </c>
      <c r="G19" s="18">
        <f>'11'!G36</f>
        <v>11.830833333333333</v>
      </c>
      <c r="H19" s="18">
        <f>'11'!H36</f>
        <v>4.4108333333333327</v>
      </c>
      <c r="I19" s="18">
        <f>'11'!I36</f>
        <v>12.991249999999999</v>
      </c>
      <c r="J19" s="18">
        <f>'11'!J36</f>
        <v>0.74958333333333338</v>
      </c>
      <c r="K19" s="18">
        <f>'11'!K36</f>
        <v>263.49583333333328</v>
      </c>
      <c r="L19" s="18">
        <f>'11'!L36</f>
        <v>26.939166666666665</v>
      </c>
      <c r="M19" s="18">
        <f>'11'!M36</f>
        <v>89.262083333333337</v>
      </c>
      <c r="N19" s="18">
        <f>'11'!N36</f>
        <v>151.07083333333333</v>
      </c>
      <c r="O19" s="18">
        <f>'11'!O36</f>
        <v>0.52500000000000002</v>
      </c>
      <c r="P19" s="18">
        <f>'11'!P36</f>
        <v>0.39625000000000005</v>
      </c>
      <c r="Q19" s="18">
        <f>'11'!Q36</f>
        <v>4.4870833333333335</v>
      </c>
      <c r="R19" s="36"/>
      <c r="S19" s="36"/>
      <c r="T19" s="36"/>
      <c r="U19" s="36"/>
    </row>
    <row r="20" spans="1:24" s="2" customFormat="1">
      <c r="A20" s="16" t="str">
        <f>'12'!$B$2</f>
        <v>12/07/2023 01:00</v>
      </c>
      <c r="B20" s="18">
        <f>'12'!B36</f>
        <v>10.78</v>
      </c>
      <c r="C20" s="18">
        <f>'12'!C36</f>
        <v>30.352083333333329</v>
      </c>
      <c r="D20" s="18">
        <f>'12'!D36</f>
        <v>23.292083333333338</v>
      </c>
      <c r="E20" s="18">
        <f>'12'!E36</f>
        <v>7.0604166666666659</v>
      </c>
      <c r="F20" s="18">
        <f>'12'!F36</f>
        <v>6.204583333333332</v>
      </c>
      <c r="G20" s="18">
        <f>'12'!G36</f>
        <v>7.9108333333333354</v>
      </c>
      <c r="H20" s="18">
        <f>'12'!H36</f>
        <v>3.1637500000000003</v>
      </c>
      <c r="I20" s="18">
        <f>'12'!I36</f>
        <v>7.2883333333333349</v>
      </c>
      <c r="J20" s="18">
        <f>'12'!J36</f>
        <v>0.55291666666666672</v>
      </c>
      <c r="K20" s="18">
        <f>'12'!K36</f>
        <v>256.93416666666661</v>
      </c>
      <c r="L20" s="18">
        <f>'12'!L36</f>
        <v>27.999583333333337</v>
      </c>
      <c r="M20" s="18">
        <f>'12'!M36</f>
        <v>83.552916666666661</v>
      </c>
      <c r="N20" s="18">
        <f>'12'!N36</f>
        <v>209.41666666666671</v>
      </c>
      <c r="O20" s="18">
        <f>'12'!O36</f>
        <v>0</v>
      </c>
      <c r="P20" s="18">
        <f>'12'!P36</f>
        <v>0.34416666666666657</v>
      </c>
      <c r="Q20" s="18">
        <f>'12'!Q36</f>
        <v>4.3591666666666677</v>
      </c>
      <c r="R20" s="36"/>
      <c r="S20" s="36"/>
      <c r="T20" s="36"/>
      <c r="U20" s="36"/>
    </row>
    <row r="21" spans="1:24" s="2" customFormat="1">
      <c r="A21" s="16" t="str">
        <f>'13'!$B$2</f>
        <v>13/07/2023 01:00</v>
      </c>
      <c r="B21" s="18">
        <f>'13'!B36</f>
        <v>11.65875</v>
      </c>
      <c r="C21" s="18">
        <f>'13'!C36</f>
        <v>25.717916666666664</v>
      </c>
      <c r="D21" s="18">
        <f>'13'!D36</f>
        <v>21.597499999999997</v>
      </c>
      <c r="E21" s="18">
        <f>'13'!E36</f>
        <v>6.5925000000000011</v>
      </c>
      <c r="F21" s="18">
        <f>'13'!F36</f>
        <v>7.3120833333333346</v>
      </c>
      <c r="G21" s="18">
        <f>'13'!G36</f>
        <v>12.37</v>
      </c>
      <c r="H21" s="18">
        <f>'13'!H36</f>
        <v>5.4275000000000011</v>
      </c>
      <c r="I21" s="18">
        <f>'13'!I36</f>
        <v>5.5691666666666668</v>
      </c>
      <c r="J21" s="18">
        <f>'13'!J36</f>
        <v>0.49125000000000002</v>
      </c>
      <c r="K21" s="18">
        <f>'13'!K36</f>
        <v>256.58333333333331</v>
      </c>
      <c r="L21" s="18">
        <f>'13'!L36</f>
        <v>28.537916666666661</v>
      </c>
      <c r="M21" s="18">
        <f>'13'!M36</f>
        <v>81.694166666666661</v>
      </c>
      <c r="N21" s="18">
        <f>'13'!N36</f>
        <v>195.98333333333335</v>
      </c>
      <c r="O21" s="18">
        <f>'13'!O36</f>
        <v>0</v>
      </c>
      <c r="P21" s="18">
        <f>'13'!P36</f>
        <v>0.38041666666666668</v>
      </c>
      <c r="Q21" s="18">
        <f>'13'!Q36</f>
        <v>4.2087500000000011</v>
      </c>
      <c r="R21" s="36"/>
      <c r="S21" s="36"/>
      <c r="T21" s="36"/>
      <c r="U21" s="36"/>
    </row>
    <row r="22" spans="1:24" s="2" customFormat="1">
      <c r="A22" s="16" t="str">
        <f>'14'!$B$2</f>
        <v>14/07/2023 01:00</v>
      </c>
      <c r="B22" s="18">
        <f>'14'!B36</f>
        <v>9.2783333333333342</v>
      </c>
      <c r="C22" s="18">
        <f>'14'!C36</f>
        <v>23.400416666666668</v>
      </c>
      <c r="D22" s="18">
        <f>'14'!D36</f>
        <v>18.592916666666667</v>
      </c>
      <c r="E22" s="18">
        <f>'14'!E36</f>
        <v>5.8441666666666672</v>
      </c>
      <c r="F22" s="18">
        <f>'14'!F36</f>
        <v>9.3254166666666674</v>
      </c>
      <c r="G22" s="18">
        <f>'14'!G36</f>
        <v>15.927500000000004</v>
      </c>
      <c r="H22" s="18">
        <f>'14'!H36</f>
        <v>7.3087500000000007</v>
      </c>
      <c r="I22" s="18">
        <f>'14'!I36</f>
        <v>4.4333333333333336</v>
      </c>
      <c r="J22" s="18">
        <f>'14'!J36</f>
        <v>0.61416666666666664</v>
      </c>
      <c r="K22" s="18">
        <f>'14'!K36</f>
        <v>252.97249999999997</v>
      </c>
      <c r="L22" s="18">
        <f>'14'!L36</f>
        <v>29.540833333333328</v>
      </c>
      <c r="M22" s="18">
        <f>'14'!M36</f>
        <v>78.660000000000011</v>
      </c>
      <c r="N22" s="18">
        <f>'14'!N36</f>
        <v>157.73750000000001</v>
      </c>
      <c r="O22" s="18">
        <f>'14'!O36</f>
        <v>8.3333333333333332E-3</v>
      </c>
      <c r="P22" s="18">
        <f>'14'!P36</f>
        <v>0.37083333333333329</v>
      </c>
      <c r="Q22" s="18">
        <f>'14'!Q36</f>
        <v>4.078333333333334</v>
      </c>
      <c r="R22" s="38"/>
      <c r="S22" s="38"/>
      <c r="T22" s="38"/>
      <c r="U22" s="38"/>
    </row>
    <row r="23" spans="1:24" s="2" customFormat="1">
      <c r="A23" s="16" t="str">
        <f>'15'!$B$2</f>
        <v>15/07/2023 01:00</v>
      </c>
      <c r="B23" s="19">
        <f>'15'!B36</f>
        <v>9.7916666666666661</v>
      </c>
      <c r="C23" s="19">
        <f>'15'!C36</f>
        <v>25.083333333333329</v>
      </c>
      <c r="D23" s="19">
        <f>'15'!D36</f>
        <v>19.765416666666667</v>
      </c>
      <c r="E23" s="19">
        <f>'15'!E36</f>
        <v>6.5787499999999994</v>
      </c>
      <c r="F23" s="19">
        <f>'15'!F36</f>
        <v>5.0337499999999995</v>
      </c>
      <c r="G23" s="19">
        <f>'15'!G36</f>
        <v>16</v>
      </c>
      <c r="H23" s="19">
        <f>'15'!H36</f>
        <v>6.5012500000000015</v>
      </c>
      <c r="I23" s="19">
        <f>'15'!I36</f>
        <v>4.6108333333333347</v>
      </c>
      <c r="J23" s="19">
        <f>'15'!J36</f>
        <v>0.71916666666666662</v>
      </c>
      <c r="K23" s="19">
        <f>'15'!K36</f>
        <v>269.42041666666671</v>
      </c>
      <c r="L23" s="19">
        <f>'15'!L36</f>
        <v>26.750416666666666</v>
      </c>
      <c r="M23" s="19">
        <f>'15'!M36</f>
        <v>89.746249999999989</v>
      </c>
      <c r="N23" s="19">
        <f>'15'!N36</f>
        <v>112.9875</v>
      </c>
      <c r="O23" s="19">
        <f>'15'!O36</f>
        <v>0.54999999999999993</v>
      </c>
      <c r="P23" s="19">
        <f>'15'!P36</f>
        <v>0.45</v>
      </c>
      <c r="Q23" s="19">
        <f>'15'!Q36</f>
        <v>4.1066666666666665</v>
      </c>
      <c r="R23" s="38"/>
      <c r="S23" s="38"/>
      <c r="T23" s="38"/>
      <c r="U23" s="36"/>
    </row>
    <row r="24" spans="1:24" s="2" customFormat="1">
      <c r="A24" s="16" t="str">
        <f>'16'!$B$2</f>
        <v>16/07/2023 01:00</v>
      </c>
      <c r="B24" s="18">
        <f>'16'!B36</f>
        <v>13.851666666666661</v>
      </c>
      <c r="C24" s="18">
        <f>'16'!C36</f>
        <v>26.589166666666667</v>
      </c>
      <c r="D24" s="18">
        <f>'16'!D36</f>
        <v>23.857083333333335</v>
      </c>
      <c r="E24" s="18">
        <f>'16'!E36</f>
        <v>5.8554166666666667</v>
      </c>
      <c r="F24" s="18">
        <f>'16'!F36</f>
        <v>4.484583333333334</v>
      </c>
      <c r="G24" s="18">
        <f>'16'!G36</f>
        <v>14.619166666666665</v>
      </c>
      <c r="H24" s="18">
        <f>'16'!H36</f>
        <v>5.1575000000000015</v>
      </c>
      <c r="I24" s="18">
        <f>'16'!I36</f>
        <v>5.7883333333333331</v>
      </c>
      <c r="J24" s="18">
        <f>'16'!J36</f>
        <v>0.82374999999999998</v>
      </c>
      <c r="K24" s="18">
        <f>'16'!K36</f>
        <v>265.11375000000004</v>
      </c>
      <c r="L24" s="18">
        <f>'16'!L36</f>
        <v>26.627083333333331</v>
      </c>
      <c r="M24" s="18">
        <f>'16'!M36</f>
        <v>90.66583333333331</v>
      </c>
      <c r="N24" s="18">
        <f>'16'!N36</f>
        <v>101.29583333333336</v>
      </c>
      <c r="O24" s="18">
        <f>'16'!O36</f>
        <v>0.16666666666666666</v>
      </c>
      <c r="P24" s="18">
        <f>'16'!P36</f>
        <v>0.59</v>
      </c>
      <c r="Q24" s="18">
        <f>'16'!Q36</f>
        <v>4.2833333333333323</v>
      </c>
      <c r="R24" s="38"/>
      <c r="S24" s="38"/>
      <c r="T24" s="38"/>
      <c r="U24" s="36"/>
    </row>
    <row r="25" spans="1:24" s="2" customFormat="1">
      <c r="A25" s="16" t="str">
        <f>'17'!$B$2</f>
        <v>17/07/2023 01:00</v>
      </c>
      <c r="B25" s="18">
        <f>'17'!B36</f>
        <v>12.546250000000001</v>
      </c>
      <c r="C25" s="18">
        <f>'17'!C36</f>
        <v>25.264166666666668</v>
      </c>
      <c r="D25" s="18">
        <f>'17'!D36</f>
        <v>22.054166666666671</v>
      </c>
      <c r="E25" s="18">
        <f>'17'!E36</f>
        <v>5.6458333333333321</v>
      </c>
      <c r="F25" s="18">
        <f>'17'!F36</f>
        <v>3.1741666666666664</v>
      </c>
      <c r="G25" s="18">
        <f>'17'!G36</f>
        <v>10.434583333333332</v>
      </c>
      <c r="H25" s="18">
        <f>'17'!H36</f>
        <v>6.5200000000000022</v>
      </c>
      <c r="I25" s="18">
        <f>'17'!I36</f>
        <v>5.2395833333333321</v>
      </c>
      <c r="J25" s="18">
        <f>'17'!J36</f>
        <v>1.0512500000000002</v>
      </c>
      <c r="K25" s="18">
        <f>'17'!K36</f>
        <v>271.42749999999995</v>
      </c>
      <c r="L25" s="18">
        <f>'17'!L36</f>
        <v>25.857500000000005</v>
      </c>
      <c r="M25" s="18">
        <f>'17'!M36</f>
        <v>95.501666666666665</v>
      </c>
      <c r="N25" s="18">
        <f>'17'!N36</f>
        <v>101.8125</v>
      </c>
      <c r="O25" s="18">
        <f>'17'!O36</f>
        <v>1.4916666666666665</v>
      </c>
      <c r="P25" s="18">
        <f>'17'!P36</f>
        <v>0.57166666666666677</v>
      </c>
      <c r="Q25" s="18">
        <f>'17'!Q36</f>
        <v>4.2608333333333333</v>
      </c>
      <c r="R25" s="38"/>
      <c r="S25" s="38"/>
      <c r="T25" s="38"/>
      <c r="U25" s="36"/>
    </row>
    <row r="26" spans="1:24" s="2" customFormat="1">
      <c r="A26" s="16" t="str">
        <f>'18'!$B$2</f>
        <v>18/07/2023 01:00</v>
      </c>
      <c r="B26" s="18">
        <f>'18'!B36</f>
        <v>14.842500000000001</v>
      </c>
      <c r="C26" s="18">
        <f>'18'!C36</f>
        <v>26.611666666666668</v>
      </c>
      <c r="D26" s="18">
        <f>'18'!D36</f>
        <v>24.461250000000003</v>
      </c>
      <c r="E26" s="18">
        <f>'18'!E36</f>
        <v>9.4595833333333328</v>
      </c>
      <c r="F26" s="18">
        <f>'18'!F36</f>
        <v>7.3083333333333336</v>
      </c>
      <c r="G26" s="18">
        <f>'18'!G36</f>
        <v>23.705416666666661</v>
      </c>
      <c r="H26" s="18">
        <f>'18'!H36</f>
        <v>8.6795833333333334</v>
      </c>
      <c r="I26" s="18">
        <f>'18'!I36</f>
        <v>4.5133333333333345</v>
      </c>
      <c r="J26" s="18">
        <f>'18'!J36</f>
        <v>0.60124999999999995</v>
      </c>
      <c r="K26" s="18">
        <f>'18'!K36</f>
        <v>141.47208333333333</v>
      </c>
      <c r="L26" s="18">
        <f>'18'!L36</f>
        <v>27.98416666666667</v>
      </c>
      <c r="M26" s="18">
        <f>'18'!M36</f>
        <v>87.540416666666673</v>
      </c>
      <c r="N26" s="18">
        <f>'18'!N36</f>
        <v>169.69166666666663</v>
      </c>
      <c r="O26" s="18">
        <f>'18'!O36</f>
        <v>0</v>
      </c>
      <c r="P26" s="18">
        <f>'18'!P36</f>
        <v>0.52</v>
      </c>
      <c r="Q26" s="18">
        <f>'18'!Q36</f>
        <v>4.4591666666666674</v>
      </c>
      <c r="R26" s="38"/>
      <c r="S26" s="38"/>
      <c r="T26" s="38"/>
      <c r="U26" s="36"/>
    </row>
    <row r="27" spans="1:24" s="2" customFormat="1">
      <c r="A27" s="16" t="str">
        <f>'19'!$B$2</f>
        <v>19/07/2023 01:00</v>
      </c>
      <c r="B27" s="18">
        <f>'19'!B36</f>
        <v>19.605833333333333</v>
      </c>
      <c r="C27" s="18">
        <f>'19'!C36</f>
        <v>28.26958333333334</v>
      </c>
      <c r="D27" s="18">
        <f>'19'!D36</f>
        <v>29.183333333333337</v>
      </c>
      <c r="E27" s="18">
        <f>'19'!E36</f>
        <v>7.4850000000000021</v>
      </c>
      <c r="F27" s="18">
        <f>'19'!F36</f>
        <v>5.5129166666666665</v>
      </c>
      <c r="G27" s="18">
        <f>'19'!G36</f>
        <v>33.365833333333335</v>
      </c>
      <c r="H27" s="18">
        <f>'19'!H36</f>
        <v>10.910416666666668</v>
      </c>
      <c r="I27" s="18">
        <f>'19'!I36</f>
        <v>4.6570833333333335</v>
      </c>
      <c r="J27" s="18">
        <f>'19'!J36</f>
        <v>0.60875000000000001</v>
      </c>
      <c r="K27" s="18">
        <f>'19'!K36</f>
        <v>115.49624999999999</v>
      </c>
      <c r="L27" s="18">
        <f>'19'!L36</f>
        <v>28.122916666666665</v>
      </c>
      <c r="M27" s="18">
        <f>'19'!M36</f>
        <v>90.818333333333328</v>
      </c>
      <c r="N27" s="18">
        <f>'19'!N36</f>
        <v>140.17500000000001</v>
      </c>
      <c r="O27" s="18">
        <f>'19'!O36</f>
        <v>0.17500000000000002</v>
      </c>
      <c r="P27" s="18">
        <f>'19'!P36</f>
        <v>0.56083333333333341</v>
      </c>
      <c r="Q27" s="18">
        <f>'19'!Q36</f>
        <v>4.6933333333333325</v>
      </c>
      <c r="R27" s="38"/>
      <c r="S27" s="38"/>
      <c r="T27" s="38"/>
      <c r="U27" s="36"/>
    </row>
    <row r="28" spans="1:24" s="2" customFormat="1">
      <c r="A28" s="16" t="str">
        <f>'20'!$B$2</f>
        <v>20/07/2023 01:00</v>
      </c>
      <c r="B28" s="18">
        <f>'20'!B36</f>
        <v>20.202083333333334</v>
      </c>
      <c r="C28" s="18">
        <f>'20'!C36</f>
        <v>26.75</v>
      </c>
      <c r="D28" s="18">
        <f>'20'!D36</f>
        <v>28.990833333333327</v>
      </c>
      <c r="E28" s="18">
        <f>'20'!E36</f>
        <v>8.6616666666666688</v>
      </c>
      <c r="F28" s="18">
        <f>'20'!F36</f>
        <v>10.100416666666666</v>
      </c>
      <c r="G28" s="18">
        <f>'20'!G36</f>
        <v>34.618749999999999</v>
      </c>
      <c r="H28" s="18">
        <f>'20'!H36</f>
        <v>10.621666666666664</v>
      </c>
      <c r="I28" s="18">
        <f>'20'!I36</f>
        <v>4.8629166666666679</v>
      </c>
      <c r="J28" s="18">
        <f>'20'!J36</f>
        <v>0.57499999999999996</v>
      </c>
      <c r="K28" s="18">
        <f>'20'!K36</f>
        <v>126.49124999999999</v>
      </c>
      <c r="L28" s="18">
        <f>'20'!L36</f>
        <v>29.623333333333335</v>
      </c>
      <c r="M28" s="18">
        <f>'20'!M36</f>
        <v>84.277500000000003</v>
      </c>
      <c r="N28" s="18">
        <f>'20'!N36</f>
        <v>177.77499999999998</v>
      </c>
      <c r="O28" s="18">
        <f>'20'!O36</f>
        <v>8.3333333333333332E-3</v>
      </c>
      <c r="P28" s="18">
        <f>'20'!P36</f>
        <v>0.54708333333333337</v>
      </c>
      <c r="Q28" s="18">
        <f>'20'!Q36</f>
        <v>4.6883333333333344</v>
      </c>
      <c r="R28" s="38"/>
      <c r="S28" s="38"/>
      <c r="T28" s="38"/>
      <c r="U28" s="36"/>
    </row>
    <row r="29" spans="1:24" s="2" customFormat="1">
      <c r="A29" s="16" t="str">
        <f>'21'!$B$2</f>
        <v>21/07/2023 01:00</v>
      </c>
      <c r="B29" s="18">
        <f>'21'!B36</f>
        <v>14.64875</v>
      </c>
      <c r="C29" s="18">
        <f>'21'!C36</f>
        <v>26.052083333333329</v>
      </c>
      <c r="D29" s="18">
        <f>'21'!D36</f>
        <v>24.087083333333336</v>
      </c>
      <c r="E29" s="18">
        <f>'21'!E36</f>
        <v>7.3549999999999995</v>
      </c>
      <c r="F29" s="18">
        <f>'21'!F36</f>
        <v>6.3891666666666671</v>
      </c>
      <c r="G29" s="18">
        <f>'21'!G36</f>
        <v>20.912083333333328</v>
      </c>
      <c r="H29" s="18">
        <f>'21'!H36</f>
        <v>6.1366666666666676</v>
      </c>
      <c r="I29" s="18">
        <f>'21'!I36</f>
        <v>4.3591666666666669</v>
      </c>
      <c r="J29" s="18">
        <f>'21'!J36</f>
        <v>0.54833333333333323</v>
      </c>
      <c r="K29" s="18">
        <f>'21'!K36</f>
        <v>133.99166666666667</v>
      </c>
      <c r="L29" s="18">
        <f>'21'!L36</f>
        <v>28.147083333333327</v>
      </c>
      <c r="M29" s="18">
        <f>'21'!M36</f>
        <v>90.647916666666674</v>
      </c>
      <c r="N29" s="18">
        <f>'21'!N36</f>
        <v>154.47916666666666</v>
      </c>
      <c r="O29" s="18">
        <f>'21'!O36</f>
        <v>0.27500000000000002</v>
      </c>
      <c r="P29" s="18">
        <f>'21'!P36</f>
        <v>0.47000000000000003</v>
      </c>
      <c r="Q29" s="18">
        <f>'21'!Q36</f>
        <v>4.3899999999999997</v>
      </c>
      <c r="R29" s="38"/>
      <c r="S29" s="38"/>
      <c r="T29" s="38"/>
      <c r="U29" s="36"/>
    </row>
    <row r="30" spans="1:24" s="2" customFormat="1">
      <c r="A30" s="16">
        <f>'22'!$B$2</f>
        <v>45129.041666666664</v>
      </c>
      <c r="B30" s="18">
        <f>'22'!B36</f>
        <v>14.516666666666666</v>
      </c>
      <c r="C30" s="18">
        <f>'22'!C36</f>
        <v>24.670416666666668</v>
      </c>
      <c r="D30" s="18">
        <f>'22'!D36</f>
        <v>23.325416666666669</v>
      </c>
      <c r="E30" s="18">
        <f>'22'!E36</f>
        <v>6.3179166666666662</v>
      </c>
      <c r="F30" s="18">
        <f>'22'!F36</f>
        <v>6.4229166666666657</v>
      </c>
      <c r="G30" s="18">
        <f>'22'!G36</f>
        <v>7.7504166666666663</v>
      </c>
      <c r="H30" s="18">
        <f>'22'!H36</f>
        <v>2.0334782608695652</v>
      </c>
      <c r="I30" s="18">
        <f>'22'!I36</f>
        <v>3.4717391304347824</v>
      </c>
      <c r="J30" s="18">
        <f>'22'!J36</f>
        <v>0.28624999999999995</v>
      </c>
      <c r="K30" s="18">
        <f>'22'!K36</f>
        <v>192.69083333333333</v>
      </c>
      <c r="L30" s="18">
        <f>'22'!L36</f>
        <v>28.158749999999994</v>
      </c>
      <c r="M30" s="18">
        <f>'22'!M36</f>
        <v>93.334583333333299</v>
      </c>
      <c r="N30" s="18">
        <f>'22'!N36</f>
        <v>202.85416666666666</v>
      </c>
      <c r="O30" s="18">
        <f>'22'!O36</f>
        <v>0.95833333333333304</v>
      </c>
      <c r="P30" s="18">
        <f>'22'!P36</f>
        <v>0.39791666666666686</v>
      </c>
      <c r="Q30" s="18">
        <f>'22'!Q36</f>
        <v>4.3337499999999993</v>
      </c>
      <c r="R30" s="38"/>
      <c r="S30" s="36"/>
      <c r="T30" s="36"/>
      <c r="U30" s="36"/>
    </row>
    <row r="31" spans="1:24" s="2" customFormat="1">
      <c r="A31" s="16" t="str">
        <f>'23'!$B$2</f>
        <v>23/07/2023 01:00</v>
      </c>
      <c r="B31" s="18">
        <f>'23'!B36</f>
        <v>16.094583333333336</v>
      </c>
      <c r="C31" s="18">
        <f>'23'!C36</f>
        <v>25.029166666666658</v>
      </c>
      <c r="D31" s="18">
        <f>'23'!D36</f>
        <v>24.89</v>
      </c>
      <c r="E31" s="18">
        <f>'23'!E36</f>
        <v>6.9304166666666651</v>
      </c>
      <c r="F31" s="18">
        <f>'23'!F36</f>
        <v>6.2883333333333331</v>
      </c>
      <c r="G31" s="18">
        <f>'23'!G36</f>
        <v>6.9016666666666664</v>
      </c>
      <c r="H31" s="18">
        <f>'23'!H36</f>
        <v>2.8141666666666669</v>
      </c>
      <c r="I31" s="18">
        <f>'23'!I36</f>
        <v>3.2754166666666666</v>
      </c>
      <c r="J31" s="18">
        <f>'23'!J36</f>
        <v>0.32416666666666671</v>
      </c>
      <c r="K31" s="18">
        <f>'23'!K36</f>
        <v>222.3495833333333</v>
      </c>
      <c r="L31" s="18">
        <f>'23'!L36</f>
        <v>27.162916666666671</v>
      </c>
      <c r="M31" s="18">
        <f>'23'!M36</f>
        <v>94.847916666666663</v>
      </c>
      <c r="N31" s="18">
        <f>'23'!N36</f>
        <v>109.02083333333333</v>
      </c>
      <c r="O31" s="18">
        <f>'23'!O36</f>
        <v>0.41666666666666674</v>
      </c>
      <c r="P31" s="18">
        <f>'23'!P36</f>
        <v>0.4308333333333334</v>
      </c>
      <c r="Q31" s="18">
        <f>'23'!Q36</f>
        <v>4.388749999999999</v>
      </c>
      <c r="R31" s="36"/>
      <c r="S31" s="36"/>
      <c r="T31" s="36"/>
      <c r="U31" s="36"/>
    </row>
    <row r="32" spans="1:24" s="2" customFormat="1">
      <c r="A32" s="16" t="str">
        <f>'24'!$B$2</f>
        <v>24/07/2023 01:00</v>
      </c>
      <c r="B32" s="18">
        <f>'24'!B36</f>
        <v>16.300833333333333</v>
      </c>
      <c r="C32" s="18">
        <f>'24'!C36</f>
        <v>25.487083333333331</v>
      </c>
      <c r="D32" s="18">
        <f>'24'!D36</f>
        <v>25.129166666666663</v>
      </c>
      <c r="E32" s="18">
        <f>'24'!E36</f>
        <v>7.8049999999999997</v>
      </c>
      <c r="F32" s="18">
        <f>'24'!F36</f>
        <v>6.515416666666666</v>
      </c>
      <c r="G32" s="18">
        <f>'24'!G36</f>
        <v>18.047083333333333</v>
      </c>
      <c r="H32" s="18">
        <f>'24'!H36</f>
        <v>5.3862500000000004</v>
      </c>
      <c r="I32" s="18">
        <f>'24'!I36</f>
        <v>3.789166666666667</v>
      </c>
      <c r="J32" s="18">
        <f>'24'!J36</f>
        <v>0.3370833333333334</v>
      </c>
      <c r="K32" s="18">
        <f>'24'!K36</f>
        <v>205.69125</v>
      </c>
      <c r="L32" s="18">
        <f>'24'!L36</f>
        <v>27.751250000000002</v>
      </c>
      <c r="M32" s="18">
        <f>'24'!M36</f>
        <v>95.844583333333333</v>
      </c>
      <c r="N32" s="18">
        <f>'24'!N36</f>
        <v>173.5</v>
      </c>
      <c r="O32" s="18">
        <f>'24'!O36</f>
        <v>0.25</v>
      </c>
      <c r="P32" s="18">
        <f>'24'!P36</f>
        <v>0.505</v>
      </c>
      <c r="Q32" s="18">
        <f>'24'!Q36</f>
        <v>4.4566666666666661</v>
      </c>
      <c r="R32" s="36"/>
      <c r="S32" s="36"/>
      <c r="T32" s="36"/>
      <c r="U32" s="36"/>
    </row>
    <row r="33" spans="1:21" s="2" customFormat="1">
      <c r="A33" s="16" t="str">
        <f>'25'!$B$2</f>
        <v>25/07/2023 01:00</v>
      </c>
      <c r="B33" s="18">
        <f>'25'!B36</f>
        <v>19.18375</v>
      </c>
      <c r="C33" s="18">
        <f>'25'!C36</f>
        <v>24.993750000000002</v>
      </c>
      <c r="D33" s="18">
        <f>'25'!D36</f>
        <v>27.090833333333325</v>
      </c>
      <c r="E33" s="18">
        <f>'25'!E36</f>
        <v>7.8225000000000007</v>
      </c>
      <c r="F33" s="18">
        <f>'25'!F36</f>
        <v>9.4283333333333328</v>
      </c>
      <c r="G33" s="18">
        <f>'25'!G36</f>
        <v>33.06333333333334</v>
      </c>
      <c r="H33" s="18">
        <f>'25'!H36</f>
        <v>9.9129166666666659</v>
      </c>
      <c r="I33" s="18">
        <f>'25'!I36</f>
        <v>4.6325000000000012</v>
      </c>
      <c r="J33" s="18">
        <f>'25'!J36</f>
        <v>0.60083333333333322</v>
      </c>
      <c r="K33" s="18">
        <f>'25'!K36</f>
        <v>120.15708333333333</v>
      </c>
      <c r="L33" s="18">
        <f>'25'!L36</f>
        <v>29.820416666666663</v>
      </c>
      <c r="M33" s="18">
        <f>'25'!M36</f>
        <v>86.453333333333319</v>
      </c>
      <c r="N33" s="18">
        <f>'25'!N36</f>
        <v>214.64166666666665</v>
      </c>
      <c r="O33" s="18">
        <f>'25'!O36</f>
        <v>0</v>
      </c>
      <c r="P33" s="18">
        <f>'25'!P36</f>
        <v>0.62416666666666654</v>
      </c>
      <c r="Q33" s="18">
        <f>'25'!Q36</f>
        <v>4.5654166666666667</v>
      </c>
      <c r="R33" s="36"/>
      <c r="S33" s="36"/>
      <c r="T33" s="36"/>
      <c r="U33" s="36"/>
    </row>
    <row r="34" spans="1:21" s="2" customFormat="1">
      <c r="A34" s="16" t="str">
        <f>'26'!$B$2</f>
        <v>26/07/2023 01:00</v>
      </c>
      <c r="B34" s="18">
        <f>'26'!B36</f>
        <v>15.444166666666662</v>
      </c>
      <c r="C34" s="18">
        <f>'26'!C36</f>
        <v>24.238749999999996</v>
      </c>
      <c r="D34" s="18">
        <f>'26'!D36</f>
        <v>23.683333333333334</v>
      </c>
      <c r="E34" s="18">
        <f>'26'!E36</f>
        <v>10.012083333333333</v>
      </c>
      <c r="F34" s="18">
        <f>'26'!F36</f>
        <v>8.3383333333333329</v>
      </c>
      <c r="G34" s="18">
        <f>'26'!G36</f>
        <v>31.173333333333343</v>
      </c>
      <c r="H34" s="18">
        <f>'26'!H36</f>
        <v>9.040416666666669</v>
      </c>
      <c r="I34" s="18">
        <f>'26'!I36</f>
        <v>3.6266666666666665</v>
      </c>
      <c r="J34" s="18">
        <f>'26'!J36</f>
        <v>0.9145833333333333</v>
      </c>
      <c r="K34" s="18">
        <f>'26'!K36</f>
        <v>94.553333333333356</v>
      </c>
      <c r="L34" s="18">
        <f>'26'!L36</f>
        <v>29.602083333333329</v>
      </c>
      <c r="M34" s="18">
        <f>'26'!M36</f>
        <v>87.837916666666672</v>
      </c>
      <c r="N34" s="18">
        <f>'26'!N36</f>
        <v>232.87500000000003</v>
      </c>
      <c r="O34" s="18">
        <f>'26'!O36</f>
        <v>0.51666666666666661</v>
      </c>
      <c r="P34" s="18">
        <f>'26'!P36</f>
        <v>0.51250000000000007</v>
      </c>
      <c r="Q34" s="18">
        <f>'26'!Q36</f>
        <v>4.3825000000000003</v>
      </c>
      <c r="R34" s="36"/>
      <c r="S34" s="36"/>
      <c r="T34" s="36"/>
      <c r="U34" s="36"/>
    </row>
    <row r="35" spans="1:21" s="2" customFormat="1">
      <c r="A35" s="16" t="str">
        <f>'27'!$B$2</f>
        <v>27/07/2023 01:00</v>
      </c>
      <c r="B35" s="18">
        <f>'27'!B36</f>
        <v>16.986666666666668</v>
      </c>
      <c r="C35" s="18">
        <f>'27'!C36</f>
        <v>23.15583333333333</v>
      </c>
      <c r="D35" s="18">
        <f>'27'!D36</f>
        <v>24.364999999999998</v>
      </c>
      <c r="E35" s="18">
        <f>'27'!E36</f>
        <v>9.2729166666666671</v>
      </c>
      <c r="F35" s="18">
        <f>'27'!F36</f>
        <v>8.7891666666666683</v>
      </c>
      <c r="G35" s="18">
        <f>'27'!G36</f>
        <v>29.318749999999998</v>
      </c>
      <c r="H35" s="18">
        <f>'27'!H36</f>
        <v>6.7254166666666677</v>
      </c>
      <c r="I35" s="18">
        <f>'27'!I36</f>
        <v>3.9770833333333333</v>
      </c>
      <c r="J35" s="18">
        <f>'27'!J36</f>
        <v>0.72125000000000006</v>
      </c>
      <c r="K35" s="18">
        <f>'27'!K36</f>
        <v>85.857083333333335</v>
      </c>
      <c r="L35" s="18">
        <f>'27'!L36</f>
        <v>29.44083333333333</v>
      </c>
      <c r="M35" s="18">
        <f>'27'!M36</f>
        <v>85.224166666666676</v>
      </c>
      <c r="N35" s="18">
        <f>'27'!N36</f>
        <v>221.43749999999997</v>
      </c>
      <c r="O35" s="18">
        <f>'27'!O36</f>
        <v>0</v>
      </c>
      <c r="P35" s="18">
        <f>'27'!P36</f>
        <v>0.50041666666666673</v>
      </c>
      <c r="Q35" s="18">
        <f>'27'!Q36</f>
        <v>4.4416666666666682</v>
      </c>
      <c r="R35" s="36"/>
      <c r="S35" s="36"/>
      <c r="T35" s="36"/>
      <c r="U35" s="36"/>
    </row>
    <row r="36" spans="1:21" s="2" customFormat="1">
      <c r="A36" s="16" t="str">
        <f>'28'!$B$2</f>
        <v>28/07/2023 01:00</v>
      </c>
      <c r="B36" s="18">
        <f>'28'!B36</f>
        <v>14.312083333333335</v>
      </c>
      <c r="C36" s="18">
        <f>'28'!C36</f>
        <v>23.220416666666669</v>
      </c>
      <c r="D36" s="18">
        <f>'28'!D36</f>
        <v>22.37875</v>
      </c>
      <c r="E36" s="18">
        <f>'28'!E36</f>
        <v>7.2816666666666663</v>
      </c>
      <c r="F36" s="18">
        <f>'28'!F36</f>
        <v>7.5045833333333318</v>
      </c>
      <c r="G36" s="18">
        <f>'28'!G36</f>
        <v>29.420416666666672</v>
      </c>
      <c r="H36" s="18">
        <f>'28'!H36</f>
        <v>10.893333333333336</v>
      </c>
      <c r="I36" s="18">
        <f>'28'!I36</f>
        <v>4.9624999999999995</v>
      </c>
      <c r="J36" s="18">
        <f>'28'!J36</f>
        <v>0.77666666666666684</v>
      </c>
      <c r="K36" s="18">
        <f>'28'!K36</f>
        <v>297.9279166666667</v>
      </c>
      <c r="L36" s="18">
        <f>'28'!L36</f>
        <v>28.57833333333333</v>
      </c>
      <c r="M36" s="18">
        <f>'28'!M36</f>
        <v>88.548333333333332</v>
      </c>
      <c r="N36" s="18">
        <f>'28'!N36</f>
        <v>194.13333333333333</v>
      </c>
      <c r="O36" s="18">
        <f>'28'!O36</f>
        <v>1.8749999999999998</v>
      </c>
      <c r="P36" s="18">
        <f>'28'!P36</f>
        <v>0.59666666666666668</v>
      </c>
      <c r="Q36" s="18">
        <f>'28'!Q36</f>
        <v>4.1912499999999993</v>
      </c>
      <c r="R36" s="36"/>
      <c r="S36" s="36"/>
      <c r="T36" s="36"/>
      <c r="U36" s="36"/>
    </row>
    <row r="37" spans="1:21" s="2" customFormat="1">
      <c r="A37" s="16" t="str">
        <f>'29'!$B$2</f>
        <v>29/07/2023 01:00</v>
      </c>
      <c r="B37" s="18">
        <f>'29'!B36</f>
        <v>11.562142857142858</v>
      </c>
      <c r="C37" s="18">
        <f>'29'!C36</f>
        <v>23.096428571428572</v>
      </c>
      <c r="D37" s="18">
        <f>'29'!D36</f>
        <v>20.028571428571428</v>
      </c>
      <c r="E37" s="18">
        <f>'29'!E36</f>
        <v>5.1000000000000005</v>
      </c>
      <c r="F37" s="18">
        <f>'29'!F36</f>
        <v>5.5292857142857139</v>
      </c>
      <c r="G37" s="18">
        <f>'29'!G36</f>
        <v>15.442857142857141</v>
      </c>
      <c r="H37" s="18">
        <f>'29'!H36</f>
        <v>6.984285714285714</v>
      </c>
      <c r="I37" s="18">
        <f>'29'!I36</f>
        <v>4.2014285714285711</v>
      </c>
      <c r="J37" s="18">
        <f>'29'!J36</f>
        <v>0.88857142857142857</v>
      </c>
      <c r="K37" s="18">
        <f>'29'!K36</f>
        <v>296.60499999999996</v>
      </c>
      <c r="L37" s="18">
        <f>'29'!L36</f>
        <v>26.263571428571428</v>
      </c>
      <c r="M37" s="18">
        <f>'29'!M36</f>
        <v>96.621428571428581</v>
      </c>
      <c r="N37" s="18">
        <f>'29'!N36</f>
        <v>139.40714285714284</v>
      </c>
      <c r="O37" s="18">
        <f>'29'!O36</f>
        <v>1.0285714285714282</v>
      </c>
      <c r="P37" s="18">
        <f>'29'!P36</f>
        <v>0.57357142857142851</v>
      </c>
      <c r="Q37" s="18">
        <f>'29'!Q36</f>
        <v>4.2735714285714286</v>
      </c>
      <c r="R37" s="36"/>
      <c r="S37" s="36"/>
      <c r="T37" s="36"/>
      <c r="U37" s="36"/>
    </row>
    <row r="38" spans="1:21" s="2" customFormat="1">
      <c r="A38" s="16" t="str">
        <f>'30'!$B$2</f>
        <v>30/07/2023 01:00</v>
      </c>
      <c r="B38" s="9" t="s">
        <v>4</v>
      </c>
      <c r="C38" s="9" t="s">
        <v>4</v>
      </c>
      <c r="D38" s="9" t="s">
        <v>4</v>
      </c>
      <c r="E38" s="9" t="s">
        <v>4</v>
      </c>
      <c r="F38" s="9" t="s">
        <v>4</v>
      </c>
      <c r="G38" s="9" t="s">
        <v>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36"/>
      <c r="S38" s="36"/>
      <c r="T38" s="36"/>
      <c r="U38" s="36"/>
    </row>
    <row r="39" spans="1:21">
      <c r="A39" s="16" t="str">
        <f>'31'!$B$2</f>
        <v>31/07/2023 01:00</v>
      </c>
      <c r="B39" s="9" t="s">
        <v>4</v>
      </c>
      <c r="C39" s="9" t="s">
        <v>4</v>
      </c>
      <c r="D39" s="9" t="s">
        <v>4</v>
      </c>
      <c r="E39" s="9" t="s">
        <v>4</v>
      </c>
      <c r="F39" s="9" t="s">
        <v>4</v>
      </c>
      <c r="G39" s="9" t="s">
        <v>4</v>
      </c>
      <c r="H39" s="9" t="s">
        <v>4</v>
      </c>
      <c r="I39" s="9" t="s">
        <v>4</v>
      </c>
      <c r="J39" s="9" t="s">
        <v>4</v>
      </c>
      <c r="K39" s="9" t="s">
        <v>4</v>
      </c>
      <c r="L39" s="9" t="s">
        <v>4</v>
      </c>
      <c r="M39" s="9" t="s">
        <v>4</v>
      </c>
      <c r="N39" s="9" t="s">
        <v>4</v>
      </c>
      <c r="O39" s="9" t="s">
        <v>4</v>
      </c>
      <c r="P39" s="9" t="s">
        <v>4</v>
      </c>
      <c r="Q39" s="9" t="s">
        <v>4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>
        <f t="shared" ref="B41:Q41" si="0">MIN(B9:B38)</f>
        <v>7.1320833333333313</v>
      </c>
      <c r="C41" s="20">
        <f t="shared" si="0"/>
        <v>23.096428571428572</v>
      </c>
      <c r="D41" s="20">
        <f t="shared" si="0"/>
        <v>18.592916666666667</v>
      </c>
      <c r="E41" s="20">
        <f t="shared" si="0"/>
        <v>5.1000000000000005</v>
      </c>
      <c r="F41" s="20">
        <f t="shared" si="0"/>
        <v>3.1741666666666664</v>
      </c>
      <c r="G41" s="20">
        <f t="shared" si="0"/>
        <v>4.5549999999999997</v>
      </c>
      <c r="H41" s="20">
        <f t="shared" si="0"/>
        <v>2.0334782608695652</v>
      </c>
      <c r="I41" s="20">
        <f t="shared" si="0"/>
        <v>2.4733333333333332</v>
      </c>
      <c r="J41" s="20">
        <f t="shared" si="0"/>
        <v>0.28624999999999995</v>
      </c>
      <c r="K41" s="20">
        <f t="shared" si="0"/>
        <v>85.857083333333335</v>
      </c>
      <c r="L41" s="20">
        <f t="shared" si="0"/>
        <v>25.857500000000005</v>
      </c>
      <c r="M41" s="20">
        <f t="shared" si="0"/>
        <v>70.63</v>
      </c>
      <c r="N41" s="20">
        <f t="shared" si="0"/>
        <v>67.208333333333329</v>
      </c>
      <c r="O41" s="20">
        <f t="shared" si="0"/>
        <v>0</v>
      </c>
      <c r="P41" s="20">
        <f t="shared" si="0"/>
        <v>0.28625000000000006</v>
      </c>
      <c r="Q41" s="20">
        <f t="shared" si="0"/>
        <v>4.078333333333334</v>
      </c>
      <c r="R41" s="41"/>
      <c r="S41" s="41"/>
      <c r="T41" s="41"/>
      <c r="U41" s="41"/>
    </row>
    <row r="42" spans="1:21" s="1" customFormat="1">
      <c r="A42" s="3" t="s">
        <v>49</v>
      </c>
      <c r="B42" s="20">
        <f t="shared" ref="B42:Q42" si="1">MAX(B9:B38)</f>
        <v>20.202083333333334</v>
      </c>
      <c r="C42" s="20">
        <f t="shared" si="1"/>
        <v>34.674166666666679</v>
      </c>
      <c r="D42" s="20">
        <f t="shared" si="1"/>
        <v>29.183333333333337</v>
      </c>
      <c r="E42" s="20">
        <f t="shared" si="1"/>
        <v>10.335416666666665</v>
      </c>
      <c r="F42" s="20">
        <f t="shared" si="1"/>
        <v>21.874166666666667</v>
      </c>
      <c r="G42" s="20">
        <f t="shared" si="1"/>
        <v>34.618749999999999</v>
      </c>
      <c r="H42" s="20">
        <f t="shared" si="1"/>
        <v>12.026666666666671</v>
      </c>
      <c r="I42" s="20">
        <f t="shared" si="1"/>
        <v>18.05875</v>
      </c>
      <c r="J42" s="20">
        <f t="shared" si="1"/>
        <v>1.0512500000000002</v>
      </c>
      <c r="K42" s="20">
        <f t="shared" si="1"/>
        <v>297.9279166666667</v>
      </c>
      <c r="L42" s="20">
        <f t="shared" si="1"/>
        <v>30.775416666666661</v>
      </c>
      <c r="M42" s="20">
        <f t="shared" si="1"/>
        <v>96.621428571428581</v>
      </c>
      <c r="N42" s="20">
        <f t="shared" si="1"/>
        <v>232.87500000000003</v>
      </c>
      <c r="O42" s="20">
        <f t="shared" si="1"/>
        <v>1.8749999999999998</v>
      </c>
      <c r="P42" s="20">
        <f t="shared" si="1"/>
        <v>0.62416666666666654</v>
      </c>
      <c r="Q42" s="20">
        <f t="shared" si="1"/>
        <v>4.6933333333333325</v>
      </c>
      <c r="R42" s="41"/>
      <c r="S42" s="41"/>
      <c r="T42" s="41"/>
      <c r="U42" s="41"/>
    </row>
    <row r="43" spans="1:21" s="1" customFormat="1">
      <c r="A43" s="3" t="s">
        <v>50</v>
      </c>
      <c r="B43" s="20">
        <f t="shared" ref="B43:Q43" si="2">AVERAGE(B9:B38)</f>
        <v>13.19076354679803</v>
      </c>
      <c r="C43" s="20">
        <f t="shared" si="2"/>
        <v>28.205236042692942</v>
      </c>
      <c r="D43" s="20">
        <f t="shared" si="2"/>
        <v>24.091229474548438</v>
      </c>
      <c r="E43" s="20">
        <f t="shared" si="2"/>
        <v>7.1039942528735631</v>
      </c>
      <c r="F43" s="20">
        <f t="shared" si="2"/>
        <v>8.0402483579638755</v>
      </c>
      <c r="G43" s="20">
        <f t="shared" si="2"/>
        <v>18.793945348754196</v>
      </c>
      <c r="H43" s="20">
        <f t="shared" si="2"/>
        <v>6.5293769186835142</v>
      </c>
      <c r="I43" s="20">
        <f t="shared" si="2"/>
        <v>4.9682414150067835</v>
      </c>
      <c r="J43" s="20">
        <f t="shared" si="2"/>
        <v>0.61782430213464701</v>
      </c>
      <c r="K43" s="20">
        <f t="shared" si="2"/>
        <v>219.84257183908045</v>
      </c>
      <c r="L43" s="20">
        <f t="shared" si="2"/>
        <v>28.235970853858788</v>
      </c>
      <c r="M43" s="20">
        <f t="shared" si="2"/>
        <v>86.258339490968822</v>
      </c>
      <c r="N43" s="20">
        <f t="shared" si="2"/>
        <v>162.10498768472908</v>
      </c>
      <c r="O43" s="20">
        <f t="shared" si="2"/>
        <v>0.38000821018062397</v>
      </c>
      <c r="P43" s="20">
        <f t="shared" si="2"/>
        <v>0.47802545155993442</v>
      </c>
      <c r="Q43" s="20">
        <f t="shared" si="2"/>
        <v>4.3947639573070605</v>
      </c>
      <c r="R43" s="41"/>
      <c r="S43" s="41"/>
      <c r="T43" s="41"/>
      <c r="U43" s="41"/>
    </row>
    <row r="44" spans="1:21" s="1" customFormat="1">
      <c r="A44" s="3" t="s">
        <v>51</v>
      </c>
      <c r="B44" s="20">
        <f t="shared" ref="B44:Q44" si="3">STDEV(B9:B38)</f>
        <v>3.3951853889490784</v>
      </c>
      <c r="C44" s="20">
        <f t="shared" si="3"/>
        <v>3.9830851557166596</v>
      </c>
      <c r="D44" s="20">
        <f t="shared" si="3"/>
        <v>2.7125805916820718</v>
      </c>
      <c r="E44" s="20">
        <f t="shared" si="3"/>
        <v>1.3690031997327397</v>
      </c>
      <c r="F44" s="20">
        <f t="shared" si="3"/>
        <v>4.1468641959508012</v>
      </c>
      <c r="G44" s="20">
        <f t="shared" si="3"/>
        <v>9.1303313477652246</v>
      </c>
      <c r="H44" s="20">
        <f t="shared" si="3"/>
        <v>2.7325132320930128</v>
      </c>
      <c r="I44" s="20">
        <f t="shared" si="3"/>
        <v>3.168094675680948</v>
      </c>
      <c r="J44" s="20">
        <f t="shared" si="3"/>
        <v>0.20004162537695624</v>
      </c>
      <c r="K44" s="20">
        <f t="shared" si="3"/>
        <v>63.445834217480055</v>
      </c>
      <c r="L44" s="20">
        <f t="shared" si="3"/>
        <v>1.4314045366979491</v>
      </c>
      <c r="M44" s="20">
        <f t="shared" si="3"/>
        <v>7.042330621776812</v>
      </c>
      <c r="N44" s="20">
        <f t="shared" si="3"/>
        <v>44.86888413031506</v>
      </c>
      <c r="O44" s="20">
        <f t="shared" si="3"/>
        <v>0.53159493121082813</v>
      </c>
      <c r="P44" s="20">
        <f t="shared" si="3"/>
        <v>9.0241253204984884E-2</v>
      </c>
      <c r="Q44" s="20">
        <f t="shared" si="3"/>
        <v>0.15780830686359676</v>
      </c>
      <c r="R44" s="33"/>
      <c r="S44" s="33"/>
      <c r="T44" s="33"/>
      <c r="U44" s="33"/>
    </row>
    <row r="45" spans="1:21" s="1" customFormat="1">
      <c r="A45" s="3" t="s">
        <v>52</v>
      </c>
      <c r="B45" s="54">
        <f>COUNT(B9:B38)+2</f>
        <v>31</v>
      </c>
      <c r="C45" s="54">
        <f t="shared" ref="C45:Q45" si="4">COUNT(C9:C38)+2</f>
        <v>31</v>
      </c>
      <c r="D45" s="54">
        <f t="shared" si="4"/>
        <v>31</v>
      </c>
      <c r="E45" s="54">
        <f t="shared" si="4"/>
        <v>31</v>
      </c>
      <c r="F45" s="54">
        <f t="shared" si="4"/>
        <v>31</v>
      </c>
      <c r="G45" s="54">
        <f t="shared" si="4"/>
        <v>31</v>
      </c>
      <c r="H45" s="54">
        <f t="shared" si="4"/>
        <v>31</v>
      </c>
      <c r="I45" s="54">
        <f t="shared" si="4"/>
        <v>31</v>
      </c>
      <c r="J45" s="54">
        <f t="shared" si="4"/>
        <v>31</v>
      </c>
      <c r="K45" s="54">
        <f t="shared" si="4"/>
        <v>31</v>
      </c>
      <c r="L45" s="54">
        <f t="shared" si="4"/>
        <v>31</v>
      </c>
      <c r="M45" s="54">
        <f t="shared" si="4"/>
        <v>31</v>
      </c>
      <c r="N45" s="54">
        <f t="shared" si="4"/>
        <v>31</v>
      </c>
      <c r="O45" s="54">
        <f t="shared" si="4"/>
        <v>31</v>
      </c>
      <c r="P45" s="54">
        <f t="shared" si="4"/>
        <v>31</v>
      </c>
      <c r="Q45" s="54">
        <f t="shared" si="4"/>
        <v>31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&gt;90%</v>
      </c>
      <c r="C46" s="6" t="str">
        <f t="shared" ref="C46:Q46" si="5">IF(C45&gt;=28,"&gt;90%",IF(C45&lt;=28,"&lt;90%"))</f>
        <v>&gt;90%</v>
      </c>
      <c r="D46" s="6" t="str">
        <f t="shared" si="5"/>
        <v>&gt;90%</v>
      </c>
      <c r="E46" s="6" t="str">
        <f t="shared" si="5"/>
        <v>&gt;90%</v>
      </c>
      <c r="F46" s="6" t="str">
        <f t="shared" si="5"/>
        <v>&gt;90%</v>
      </c>
      <c r="G46" s="6" t="str">
        <f t="shared" si="5"/>
        <v>&gt;90%</v>
      </c>
      <c r="H46" s="6" t="str">
        <f t="shared" si="5"/>
        <v>&gt;90%</v>
      </c>
      <c r="I46" s="6" t="str">
        <f t="shared" si="5"/>
        <v>&gt;90%</v>
      </c>
      <c r="J46" s="6" t="str">
        <f t="shared" si="5"/>
        <v>&gt;90%</v>
      </c>
      <c r="K46" s="6" t="str">
        <f t="shared" si="5"/>
        <v>&gt;90%</v>
      </c>
      <c r="L46" s="6" t="str">
        <f t="shared" si="5"/>
        <v>&gt;90%</v>
      </c>
      <c r="M46" s="6" t="str">
        <f t="shared" si="5"/>
        <v>&gt;90%</v>
      </c>
      <c r="N46" s="6" t="str">
        <f t="shared" si="5"/>
        <v>&gt;90%</v>
      </c>
      <c r="O46" s="6" t="str">
        <f t="shared" si="5"/>
        <v>&gt;90%</v>
      </c>
      <c r="P46" s="6" t="str">
        <f t="shared" si="5"/>
        <v>&gt;90%</v>
      </c>
      <c r="Q46" s="6" t="str">
        <f t="shared" si="5"/>
        <v>&gt;90%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OK</v>
      </c>
      <c r="C47" s="6" t="str">
        <f t="shared" ref="C47:Q47" si="6">IF(C45&gt;=28,"OK",IF(C45&lt;=28,"LESS"))</f>
        <v>OK</v>
      </c>
      <c r="D47" s="6" t="str">
        <f t="shared" si="6"/>
        <v>OK</v>
      </c>
      <c r="E47" s="6" t="str">
        <f t="shared" si="6"/>
        <v>OK</v>
      </c>
      <c r="F47" s="6" t="str">
        <f t="shared" si="6"/>
        <v>OK</v>
      </c>
      <c r="G47" s="6" t="str">
        <f t="shared" si="6"/>
        <v>OK</v>
      </c>
      <c r="H47" s="6" t="str">
        <f t="shared" si="6"/>
        <v>OK</v>
      </c>
      <c r="I47" s="6" t="str">
        <f t="shared" si="6"/>
        <v>OK</v>
      </c>
      <c r="J47" s="6" t="str">
        <f t="shared" si="6"/>
        <v>OK</v>
      </c>
      <c r="K47" s="6" t="str">
        <f t="shared" si="6"/>
        <v>OK</v>
      </c>
      <c r="L47" s="6" t="str">
        <f t="shared" si="6"/>
        <v>OK</v>
      </c>
      <c r="M47" s="6" t="str">
        <f t="shared" si="6"/>
        <v>OK</v>
      </c>
      <c r="N47" s="6" t="str">
        <f t="shared" si="6"/>
        <v>OK</v>
      </c>
      <c r="O47" s="6" t="str">
        <f t="shared" si="6"/>
        <v>OK</v>
      </c>
      <c r="P47" s="6" t="str">
        <f t="shared" si="6"/>
        <v>OK</v>
      </c>
      <c r="Q47" s="6" t="str">
        <f t="shared" si="6"/>
        <v>OK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2023-08-02T11:57:36Z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