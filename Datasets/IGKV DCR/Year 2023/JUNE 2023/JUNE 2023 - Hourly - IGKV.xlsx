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27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MONTHLY 31" sheetId="39" r:id="rId31"/>
  </sheets>
  <calcPr calcId="124519"/>
</workbook>
</file>

<file path=xl/calcChain.xml><?xml version="1.0" encoding="utf-8"?>
<calcChain xmlns="http://schemas.openxmlformats.org/spreadsheetml/2006/main">
  <c r="B36" i="33"/>
  <c r="B36" i="39" s="1"/>
  <c r="C36" i="33"/>
  <c r="C36" i="39" s="1"/>
  <c r="D36" i="33"/>
  <c r="E36"/>
  <c r="F36"/>
  <c r="F36" i="39" s="1"/>
  <c r="G36" i="33"/>
  <c r="H36"/>
  <c r="I36"/>
  <c r="J36"/>
  <c r="K36"/>
  <c r="L36"/>
  <c r="M36"/>
  <c r="N36"/>
  <c r="O36"/>
  <c r="P36"/>
  <c r="Q36"/>
  <c r="Q38" i="39"/>
  <c r="P38"/>
  <c r="O38"/>
  <c r="J38"/>
  <c r="I38"/>
  <c r="H38"/>
  <c r="B38"/>
  <c r="A38"/>
  <c r="Q37"/>
  <c r="P37"/>
  <c r="O37"/>
  <c r="L37"/>
  <c r="J37"/>
  <c r="I37"/>
  <c r="G37"/>
  <c r="B37"/>
  <c r="A37"/>
  <c r="Q36"/>
  <c r="O36"/>
  <c r="K36"/>
  <c r="D36"/>
  <c r="Q35"/>
  <c r="L35"/>
  <c r="K35"/>
  <c r="I35"/>
  <c r="D35"/>
  <c r="C35"/>
  <c r="A35"/>
  <c r="O34"/>
  <c r="L34"/>
  <c r="F34"/>
  <c r="E34"/>
  <c r="D34"/>
  <c r="O32"/>
  <c r="N32"/>
  <c r="L32"/>
  <c r="F32"/>
  <c r="D32"/>
  <c r="Q30"/>
  <c r="K30"/>
  <c r="J30"/>
  <c r="I30"/>
  <c r="A30"/>
  <c r="K28"/>
  <c r="J28"/>
  <c r="C28"/>
  <c r="B28"/>
  <c r="L27"/>
  <c r="K27"/>
  <c r="D27"/>
  <c r="C27"/>
  <c r="P26"/>
  <c r="M26"/>
  <c r="G26"/>
  <c r="E26"/>
  <c r="N25"/>
  <c r="Q23"/>
  <c r="A23"/>
  <c r="Q21"/>
  <c r="I21"/>
  <c r="G21"/>
  <c r="B21"/>
  <c r="A21"/>
  <c r="K20"/>
  <c r="B20"/>
  <c r="P19"/>
  <c r="L19"/>
  <c r="I19"/>
  <c r="C19"/>
  <c r="M18"/>
  <c r="J18"/>
  <c r="N17"/>
  <c r="J17"/>
  <c r="F17"/>
  <c r="E17"/>
  <c r="B17"/>
  <c r="A17"/>
  <c r="N16"/>
  <c r="F16"/>
  <c r="O15"/>
  <c r="I15"/>
  <c r="G15"/>
  <c r="G13"/>
  <c r="D13"/>
  <c r="K11"/>
  <c r="D11"/>
  <c r="L10"/>
  <c r="G10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N38" i="39" s="1"/>
  <c r="M36" i="40"/>
  <c r="M38" i="39" s="1"/>
  <c r="L36" i="40"/>
  <c r="L38" i="39" s="1"/>
  <c r="K36" i="40"/>
  <c r="K38" i="39" s="1"/>
  <c r="J36" i="40"/>
  <c r="I36"/>
  <c r="H36"/>
  <c r="G36"/>
  <c r="G38" i="39" s="1"/>
  <c r="F36" i="40"/>
  <c r="F38" i="39" s="1"/>
  <c r="E36" i="40"/>
  <c r="E38" i="39" s="1"/>
  <c r="D36" i="40"/>
  <c r="D38" i="39" s="1"/>
  <c r="C36" i="40"/>
  <c r="C38" i="39" s="1"/>
  <c r="B36" i="4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4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N37" i="39" s="1"/>
  <c r="M36" i="43"/>
  <c r="M37" i="39" s="1"/>
  <c r="L36" i="43"/>
  <c r="K36"/>
  <c r="K37" i="39" s="1"/>
  <c r="J36" i="43"/>
  <c r="I36"/>
  <c r="H36"/>
  <c r="H37" i="39" s="1"/>
  <c r="G36" i="43"/>
  <c r="F36"/>
  <c r="F37" i="39" s="1"/>
  <c r="E36" i="43"/>
  <c r="E37" i="39" s="1"/>
  <c r="D36" i="43"/>
  <c r="D37" i="39" s="1"/>
  <c r="C36" i="43"/>
  <c r="C37" i="39" s="1"/>
  <c r="B36" i="43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P36" i="39"/>
  <c r="N36"/>
  <c r="M36"/>
  <c r="L36"/>
  <c r="J36"/>
  <c r="I36"/>
  <c r="H36"/>
  <c r="G36"/>
  <c r="E36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5" i="39" s="1"/>
  <c r="O36" i="32"/>
  <c r="O35" i="39" s="1"/>
  <c r="N36" i="32"/>
  <c r="N35" i="39" s="1"/>
  <c r="M36" i="32"/>
  <c r="M35" i="39" s="1"/>
  <c r="L36" i="32"/>
  <c r="K36"/>
  <c r="J36"/>
  <c r="J35" i="39" s="1"/>
  <c r="I36" i="32"/>
  <c r="H36"/>
  <c r="H35" i="39" s="1"/>
  <c r="G36" i="32"/>
  <c r="G35" i="39" s="1"/>
  <c r="F36" i="32"/>
  <c r="F35" i="39" s="1"/>
  <c r="E36" i="32"/>
  <c r="E35" i="39" s="1"/>
  <c r="D36" i="32"/>
  <c r="C36"/>
  <c r="B36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3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4" i="39" s="1"/>
  <c r="P36" i="31"/>
  <c r="P34" i="39" s="1"/>
  <c r="O36" i="31"/>
  <c r="N36"/>
  <c r="N34" i="39" s="1"/>
  <c r="M36" i="31"/>
  <c r="M34" i="39" s="1"/>
  <c r="L36" i="31"/>
  <c r="K36"/>
  <c r="K34" i="39" s="1"/>
  <c r="J36" i="31"/>
  <c r="J34" i="39" s="1"/>
  <c r="I36" i="31"/>
  <c r="I34" i="39" s="1"/>
  <c r="H36" i="31"/>
  <c r="H34" i="39" s="1"/>
  <c r="G36" i="31"/>
  <c r="G34" i="39" s="1"/>
  <c r="F36" i="31"/>
  <c r="E36"/>
  <c r="D36"/>
  <c r="C36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2" i="39" s="1"/>
  <c r="P36" i="29"/>
  <c r="P32" i="39" s="1"/>
  <c r="O36" i="29"/>
  <c r="N36"/>
  <c r="M36"/>
  <c r="M32" i="39" s="1"/>
  <c r="L36" i="29"/>
  <c r="K36"/>
  <c r="K32" i="39" s="1"/>
  <c r="J36" i="29"/>
  <c r="J32" i="39" s="1"/>
  <c r="I36" i="29"/>
  <c r="I32" i="39" s="1"/>
  <c r="H36" i="29"/>
  <c r="H32" i="39" s="1"/>
  <c r="G36" i="29"/>
  <c r="G32" i="39" s="1"/>
  <c r="F36" i="29"/>
  <c r="E36"/>
  <c r="E32" i="39" s="1"/>
  <c r="D36" i="29"/>
  <c r="C36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38" i="2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0" i="39" s="1"/>
  <c r="O36" i="27"/>
  <c r="O30" i="39" s="1"/>
  <c r="N36" i="27"/>
  <c r="N30" i="39" s="1"/>
  <c r="M36" i="27"/>
  <c r="M30" i="39" s="1"/>
  <c r="L36" i="27"/>
  <c r="L30" i="39" s="1"/>
  <c r="K36" i="27"/>
  <c r="J36"/>
  <c r="I36"/>
  <c r="H36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2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J36"/>
  <c r="I36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N27" i="39" s="1"/>
  <c r="M36" i="24"/>
  <c r="M27" i="39" s="1"/>
  <c r="L36" i="24"/>
  <c r="K36"/>
  <c r="J36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C36"/>
  <c r="B36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O36"/>
  <c r="O26" i="39" s="1"/>
  <c r="N36" i="23"/>
  <c r="N26" i="39" s="1"/>
  <c r="M36" i="23"/>
  <c r="L36"/>
  <c r="L26" i="39" s="1"/>
  <c r="K36" i="23"/>
  <c r="K26" i="39" s="1"/>
  <c r="J36" i="23"/>
  <c r="J26" i="39" s="1"/>
  <c r="I36" i="23"/>
  <c r="I26" i="39" s="1"/>
  <c r="H36" i="23"/>
  <c r="H26" i="39" s="1"/>
  <c r="G36" i="23"/>
  <c r="F36"/>
  <c r="F26" i="39" s="1"/>
  <c r="E36" i="23"/>
  <c r="D36"/>
  <c r="D26" i="39" s="1"/>
  <c r="C36" i="23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P25" i="39" s="1"/>
  <c r="O36" i="22"/>
  <c r="O25" i="39" s="1"/>
  <c r="N36" i="22"/>
  <c r="M36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39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1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39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H36"/>
  <c r="H21" i="39" s="1"/>
  <c r="G36" i="18"/>
  <c r="F36"/>
  <c r="F21" i="39" s="1"/>
  <c r="E36" i="18"/>
  <c r="E21" i="39" s="1"/>
  <c r="D36" i="18"/>
  <c r="D21" i="39" s="1"/>
  <c r="C36" i="18"/>
  <c r="C21" i="39" s="1"/>
  <c r="B36" i="18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1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J36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K40" i="16"/>
  <c r="H39"/>
  <c r="Q38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O36"/>
  <c r="O19" i="39" s="1"/>
  <c r="N36" i="16"/>
  <c r="N19" i="39" s="1"/>
  <c r="M36" i="16"/>
  <c r="M19" i="39" s="1"/>
  <c r="L36" i="16"/>
  <c r="K36"/>
  <c r="K19" i="39" s="1"/>
  <c r="J36" i="16"/>
  <c r="J19" i="39" s="1"/>
  <c r="I36" i="16"/>
  <c r="H36"/>
  <c r="H19" i="39" s="1"/>
  <c r="G36" i="16"/>
  <c r="G19" i="39" s="1"/>
  <c r="F36" i="16"/>
  <c r="F19" i="39" s="1"/>
  <c r="E36" i="16"/>
  <c r="E19" i="39" s="1"/>
  <c r="D36" i="16"/>
  <c r="D19" i="39" s="1"/>
  <c r="C36" i="16"/>
  <c r="B3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38" i="1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O18" i="39" s="1"/>
  <c r="N36" i="15"/>
  <c r="N18" i="39" s="1"/>
  <c r="M36" i="15"/>
  <c r="L36"/>
  <c r="L18" i="39" s="1"/>
  <c r="K36" i="15"/>
  <c r="K18" i="39" s="1"/>
  <c r="J36" i="15"/>
  <c r="I36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M36"/>
  <c r="M17" i="39" s="1"/>
  <c r="L36" i="14"/>
  <c r="L17" i="39" s="1"/>
  <c r="K36" i="14"/>
  <c r="K17" i="39" s="1"/>
  <c r="J36" i="14"/>
  <c r="I36"/>
  <c r="I17" i="39" s="1"/>
  <c r="H36" i="14"/>
  <c r="H17" i="39" s="1"/>
  <c r="G36" i="14"/>
  <c r="G17" i="39" s="1"/>
  <c r="F36" i="14"/>
  <c r="E36"/>
  <c r="D36"/>
  <c r="D17" i="39" s="1"/>
  <c r="C36" i="14"/>
  <c r="C17" i="39" s="1"/>
  <c r="B36" i="14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1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M36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E36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E39" i="12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N36"/>
  <c r="N15" i="39" s="1"/>
  <c r="M36" i="12"/>
  <c r="M15" i="39" s="1"/>
  <c r="L36" i="12"/>
  <c r="L15" i="39" s="1"/>
  <c r="K36" i="12"/>
  <c r="K15" i="39" s="1"/>
  <c r="J36" i="12"/>
  <c r="J15" i="39" s="1"/>
  <c r="I36" i="12"/>
  <c r="H36"/>
  <c r="H15" i="39" s="1"/>
  <c r="G36" i="12"/>
  <c r="F36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F36"/>
  <c r="F13" i="39" s="1"/>
  <c r="E36" i="10"/>
  <c r="E13" i="39" s="1"/>
  <c r="D36" i="10"/>
  <c r="C36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J36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C36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M10" i="39" s="1"/>
  <c r="L36" i="3"/>
  <c r="K36"/>
  <c r="K10" i="39" s="1"/>
  <c r="J36" i="3"/>
  <c r="J10" i="39" s="1"/>
  <c r="I36" i="3"/>
  <c r="I10" i="39" s="1"/>
  <c r="H36" i="3"/>
  <c r="H10" i="39" s="1"/>
  <c r="G36" i="3"/>
  <c r="F36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F39" i="40" l="1"/>
  <c r="E39"/>
  <c r="D39"/>
  <c r="C39"/>
  <c r="B39"/>
  <c r="Q39"/>
  <c r="P39"/>
  <c r="O39"/>
  <c r="N39"/>
  <c r="M39"/>
  <c r="L39"/>
  <c r="K39"/>
  <c r="J39"/>
  <c r="I39"/>
  <c r="H39"/>
  <c r="G39"/>
  <c r="O39" i="43"/>
  <c r="N39"/>
  <c r="M39"/>
  <c r="L39"/>
  <c r="K39"/>
  <c r="J39"/>
  <c r="I39"/>
  <c r="H39"/>
  <c r="G39"/>
  <c r="F39"/>
  <c r="E39"/>
  <c r="D39"/>
  <c r="C39"/>
  <c r="B39"/>
  <c r="Q39"/>
  <c r="P39"/>
  <c r="L39" i="33"/>
  <c r="K39"/>
  <c r="J39"/>
  <c r="I39"/>
  <c r="H39"/>
  <c r="G39"/>
  <c r="F39"/>
  <c r="E39"/>
  <c r="D39"/>
  <c r="C39"/>
  <c r="B39"/>
  <c r="Q39"/>
  <c r="P39"/>
  <c r="O39"/>
  <c r="N39"/>
  <c r="M39"/>
  <c r="G39" i="32"/>
  <c r="F39"/>
  <c r="E39"/>
  <c r="D39"/>
  <c r="C39"/>
  <c r="B39"/>
  <c r="Q39"/>
  <c r="P39"/>
  <c r="O39"/>
  <c r="N39"/>
  <c r="M39"/>
  <c r="L39"/>
  <c r="K39"/>
  <c r="J39"/>
  <c r="I39"/>
  <c r="H39"/>
  <c r="D39" i="31"/>
  <c r="C39"/>
  <c r="B39"/>
  <c r="Q39"/>
  <c r="P39"/>
  <c r="O39"/>
  <c r="N39"/>
  <c r="M39"/>
  <c r="L39"/>
  <c r="K39"/>
  <c r="J39"/>
  <c r="I39"/>
  <c r="H39"/>
  <c r="G39"/>
  <c r="F39"/>
  <c r="E39"/>
  <c r="F39" i="30"/>
  <c r="E39"/>
  <c r="D39"/>
  <c r="C39"/>
  <c r="B39"/>
  <c r="Q39"/>
  <c r="P39"/>
  <c r="O39"/>
  <c r="N39"/>
  <c r="M39"/>
  <c r="L39"/>
  <c r="K39"/>
  <c r="J39"/>
  <c r="I39"/>
  <c r="H39"/>
  <c r="G39"/>
  <c r="B39" i="29"/>
  <c r="Q39"/>
  <c r="P39"/>
  <c r="O39"/>
  <c r="N39"/>
  <c r="M39"/>
  <c r="L39"/>
  <c r="K39"/>
  <c r="J39"/>
  <c r="I39"/>
  <c r="H39"/>
  <c r="G39"/>
  <c r="F39"/>
  <c r="E39"/>
  <c r="D39"/>
  <c r="C39"/>
  <c r="D39" i="28"/>
  <c r="C39"/>
  <c r="B39"/>
  <c r="Q39"/>
  <c r="P39"/>
  <c r="O39"/>
  <c r="N39"/>
  <c r="M39"/>
  <c r="L39"/>
  <c r="K39"/>
  <c r="J39"/>
  <c r="I39"/>
  <c r="H39"/>
  <c r="G39"/>
  <c r="F39"/>
  <c r="E39"/>
  <c r="Q39" i="27"/>
  <c r="P39"/>
  <c r="O39"/>
  <c r="N39"/>
  <c r="M39"/>
  <c r="L39"/>
  <c r="K39"/>
  <c r="J39"/>
  <c r="I39"/>
  <c r="H39"/>
  <c r="G39"/>
  <c r="F39"/>
  <c r="E39"/>
  <c r="D39"/>
  <c r="C39"/>
  <c r="B39"/>
  <c r="C39" i="26"/>
  <c r="B39"/>
  <c r="Q39"/>
  <c r="P39"/>
  <c r="O39"/>
  <c r="N39"/>
  <c r="M39"/>
  <c r="L39"/>
  <c r="K39"/>
  <c r="J39"/>
  <c r="I39"/>
  <c r="H39"/>
  <c r="G39"/>
  <c r="F39"/>
  <c r="E39"/>
  <c r="D39"/>
  <c r="Q39" i="25"/>
  <c r="P39"/>
  <c r="O39"/>
  <c r="N39"/>
  <c r="M39"/>
  <c r="L39"/>
  <c r="K39"/>
  <c r="J39"/>
  <c r="I39"/>
  <c r="H39"/>
  <c r="G39"/>
  <c r="F39"/>
  <c r="E39"/>
  <c r="D39"/>
  <c r="C39"/>
  <c r="B39"/>
  <c r="O39" i="24"/>
  <c r="N39"/>
  <c r="M39"/>
  <c r="L39"/>
  <c r="K39"/>
  <c r="J39"/>
  <c r="I39"/>
  <c r="H39"/>
  <c r="G39"/>
  <c r="F39"/>
  <c r="E39"/>
  <c r="D39"/>
  <c r="C39"/>
  <c r="B39"/>
  <c r="Q39"/>
  <c r="P39"/>
  <c r="M39" i="23"/>
  <c r="L39"/>
  <c r="K39"/>
  <c r="J39"/>
  <c r="I39"/>
  <c r="H39"/>
  <c r="G39"/>
  <c r="F39"/>
  <c r="E39"/>
  <c r="D39"/>
  <c r="C39"/>
  <c r="B39"/>
  <c r="Q39"/>
  <c r="P39"/>
  <c r="O39"/>
  <c r="N39"/>
  <c r="N39" i="22"/>
  <c r="M39"/>
  <c r="L39"/>
  <c r="K39"/>
  <c r="J39"/>
  <c r="I39"/>
  <c r="H39"/>
  <c r="G39"/>
  <c r="F39"/>
  <c r="E39"/>
  <c r="D39"/>
  <c r="C39"/>
  <c r="B39"/>
  <c r="Q39"/>
  <c r="P39"/>
  <c r="O39"/>
  <c r="P39" i="21"/>
  <c r="O39"/>
  <c r="N39"/>
  <c r="M39"/>
  <c r="L39"/>
  <c r="K39"/>
  <c r="J39"/>
  <c r="I39"/>
  <c r="H39"/>
  <c r="G39"/>
  <c r="F39"/>
  <c r="D39"/>
  <c r="E40"/>
  <c r="C39"/>
  <c r="B39"/>
  <c r="Q39"/>
  <c r="P40" i="20"/>
  <c r="O39"/>
  <c r="N39"/>
  <c r="M39"/>
  <c r="L39"/>
  <c r="K39"/>
  <c r="J39"/>
  <c r="I39"/>
  <c r="H39"/>
  <c r="G39"/>
  <c r="F39"/>
  <c r="E39"/>
  <c r="D39"/>
  <c r="C39"/>
  <c r="B39"/>
  <c r="Q39"/>
  <c r="Q39" i="19"/>
  <c r="P39"/>
  <c r="O39"/>
  <c r="N39"/>
  <c r="M39"/>
  <c r="B40"/>
  <c r="L39"/>
  <c r="K39"/>
  <c r="J39"/>
  <c r="I39"/>
  <c r="H39"/>
  <c r="G39"/>
  <c r="F39"/>
  <c r="E39"/>
  <c r="D39"/>
  <c r="C39"/>
  <c r="O39" i="18"/>
  <c r="N39"/>
  <c r="M39"/>
  <c r="L39"/>
  <c r="K39"/>
  <c r="J39"/>
  <c r="I39"/>
  <c r="H39"/>
  <c r="G39"/>
  <c r="F39"/>
  <c r="E39"/>
  <c r="D39"/>
  <c r="C39"/>
  <c r="B39"/>
  <c r="Q39"/>
  <c r="P39"/>
  <c r="O39" i="17"/>
  <c r="N39"/>
  <c r="M39"/>
  <c r="L39"/>
  <c r="K39"/>
  <c r="J39"/>
  <c r="I39"/>
  <c r="H39"/>
  <c r="G39"/>
  <c r="F39"/>
  <c r="E39"/>
  <c r="D39"/>
  <c r="C39"/>
  <c r="B39"/>
  <c r="Q39"/>
  <c r="P39"/>
  <c r="M39" i="16"/>
  <c r="L39"/>
  <c r="J39"/>
  <c r="I39"/>
  <c r="G39"/>
  <c r="F39"/>
  <c r="E39"/>
  <c r="D39"/>
  <c r="C39"/>
  <c r="B39"/>
  <c r="Q39"/>
  <c r="P39"/>
  <c r="O39"/>
  <c r="N39"/>
  <c r="M39" i="15"/>
  <c r="Q39"/>
  <c r="L39"/>
  <c r="K39"/>
  <c r="J39"/>
  <c r="I39"/>
  <c r="H39"/>
  <c r="G39"/>
  <c r="F39"/>
  <c r="E39"/>
  <c r="D39"/>
  <c r="C39"/>
  <c r="B39"/>
  <c r="P39"/>
  <c r="O39"/>
  <c r="N39"/>
  <c r="I39" i="14"/>
  <c r="H39"/>
  <c r="G39"/>
  <c r="F39"/>
  <c r="E39"/>
  <c r="D39"/>
  <c r="C39"/>
  <c r="B39"/>
  <c r="Q39"/>
  <c r="P39"/>
  <c r="O39"/>
  <c r="N39"/>
  <c r="M39"/>
  <c r="L39"/>
  <c r="K39"/>
  <c r="J39"/>
  <c r="I39" i="13"/>
  <c r="H39"/>
  <c r="G40"/>
  <c r="F39"/>
  <c r="E39"/>
  <c r="D39"/>
  <c r="C39"/>
  <c r="B39"/>
  <c r="Q39"/>
  <c r="P39"/>
  <c r="O39"/>
  <c r="N39"/>
  <c r="M39"/>
  <c r="L39"/>
  <c r="K39"/>
  <c r="J39"/>
  <c r="H39" i="12"/>
  <c r="G39"/>
  <c r="F39"/>
  <c r="D39"/>
  <c r="C39"/>
  <c r="B39"/>
  <c r="Q39"/>
  <c r="P39"/>
  <c r="O39"/>
  <c r="N39"/>
  <c r="M39"/>
  <c r="L39"/>
  <c r="K39"/>
  <c r="J39"/>
  <c r="I39"/>
  <c r="J39" i="11"/>
  <c r="I39"/>
  <c r="H39"/>
  <c r="G39"/>
  <c r="F39"/>
  <c r="E39"/>
  <c r="D39"/>
  <c r="C39"/>
  <c r="B39"/>
  <c r="Q39"/>
  <c r="P39"/>
  <c r="O39"/>
  <c r="N39"/>
  <c r="M39"/>
  <c r="L39"/>
  <c r="K39"/>
  <c r="J39" i="10"/>
  <c r="I39"/>
  <c r="H39"/>
  <c r="G39"/>
  <c r="F39"/>
  <c r="E39"/>
  <c r="D39"/>
  <c r="C39"/>
  <c r="B39"/>
  <c r="Q39"/>
  <c r="P39"/>
  <c r="O39"/>
  <c r="N39"/>
  <c r="M39"/>
  <c r="L39"/>
  <c r="K39"/>
  <c r="L39" i="9"/>
  <c r="K39"/>
  <c r="J39"/>
  <c r="I39"/>
  <c r="H39"/>
  <c r="G39"/>
  <c r="F39"/>
  <c r="E39"/>
  <c r="D39"/>
  <c r="C39"/>
  <c r="B39"/>
  <c r="Q39"/>
  <c r="P39"/>
  <c r="O39"/>
  <c r="N39"/>
  <c r="M39"/>
  <c r="L39" i="8"/>
  <c r="K39"/>
  <c r="J39"/>
  <c r="I39"/>
  <c r="H39"/>
  <c r="G39"/>
  <c r="F39"/>
  <c r="G44" i="39"/>
  <c r="G45" s="1"/>
  <c r="E39" i="8"/>
  <c r="D39"/>
  <c r="C39"/>
  <c r="B39"/>
  <c r="Q39"/>
  <c r="P39"/>
  <c r="O39"/>
  <c r="N39"/>
  <c r="M39"/>
  <c r="B44" i="39"/>
  <c r="B45" s="1"/>
  <c r="M44"/>
  <c r="M46" s="1"/>
  <c r="L39" i="3"/>
  <c r="L44" i="39"/>
  <c r="L46" s="1"/>
  <c r="K39" i="3"/>
  <c r="K44" i="39"/>
  <c r="K45" s="1"/>
  <c r="J39" i="3"/>
  <c r="J44" i="39"/>
  <c r="J45" s="1"/>
  <c r="I39" i="3"/>
  <c r="H40"/>
  <c r="H44" i="39"/>
  <c r="H45" s="1"/>
  <c r="G39" i="3"/>
  <c r="I44" i="39"/>
  <c r="I45" s="1"/>
  <c r="F39" i="3"/>
  <c r="E39"/>
  <c r="E44" i="39"/>
  <c r="E45" s="1"/>
  <c r="D39" i="3"/>
  <c r="C39"/>
  <c r="C44" i="39"/>
  <c r="C45" s="1"/>
  <c r="B39" i="3"/>
  <c r="Q39"/>
  <c r="D44" i="39"/>
  <c r="D45" s="1"/>
  <c r="P39" i="3"/>
  <c r="F44" i="39"/>
  <c r="F46" s="1"/>
  <c r="P44"/>
  <c r="P45" s="1"/>
  <c r="O39" i="3"/>
  <c r="Q44" i="39"/>
  <c r="Q46" s="1"/>
  <c r="O44"/>
  <c r="O45" s="1"/>
  <c r="N39" i="3"/>
  <c r="N44" i="39"/>
  <c r="N46" s="1"/>
  <c r="M39" i="3"/>
  <c r="O39" i="2"/>
  <c r="N39"/>
  <c r="M39"/>
  <c r="L39"/>
  <c r="K39"/>
  <c r="J39"/>
  <c r="I39"/>
  <c r="H39"/>
  <c r="G39"/>
  <c r="F39"/>
  <c r="E39"/>
  <c r="D39"/>
  <c r="C39"/>
  <c r="B39"/>
  <c r="Q39"/>
  <c r="P39"/>
  <c r="Q40" i="39"/>
  <c r="Q41"/>
  <c r="Q42"/>
  <c r="Q43"/>
  <c r="P40"/>
  <c r="P41"/>
  <c r="P42"/>
  <c r="P43"/>
  <c r="O40"/>
  <c r="O41"/>
  <c r="O42"/>
  <c r="O43"/>
  <c r="N40"/>
  <c r="N41"/>
  <c r="N42"/>
  <c r="N43"/>
  <c r="M40"/>
  <c r="M41"/>
  <c r="M42"/>
  <c r="M43"/>
  <c r="L40"/>
  <c r="L41"/>
  <c r="L42"/>
  <c r="L43"/>
  <c r="K40"/>
  <c r="K41"/>
  <c r="K42"/>
  <c r="K43"/>
  <c r="J40"/>
  <c r="J41"/>
  <c r="J42"/>
  <c r="J43"/>
  <c r="I40"/>
  <c r="I41"/>
  <c r="I42"/>
  <c r="I43"/>
  <c r="H40"/>
  <c r="H41"/>
  <c r="H42"/>
  <c r="H43"/>
  <c r="G40"/>
  <c r="G41"/>
  <c r="G42"/>
  <c r="G43"/>
  <c r="F40"/>
  <c r="F41"/>
  <c r="F42"/>
  <c r="F43"/>
  <c r="E40"/>
  <c r="E41"/>
  <c r="E42"/>
  <c r="E43"/>
  <c r="D40"/>
  <c r="D41"/>
  <c r="D42"/>
  <c r="D43"/>
  <c r="C40"/>
  <c r="C41"/>
  <c r="C42"/>
  <c r="C43"/>
  <c r="B40"/>
  <c r="B41"/>
  <c r="B42"/>
  <c r="B43"/>
  <c r="E46" l="1"/>
  <c r="G46"/>
  <c r="M45"/>
  <c r="L45"/>
  <c r="N45"/>
  <c r="H46"/>
  <c r="Q45"/>
  <c r="P46"/>
  <c r="K46"/>
  <c r="D46"/>
  <c r="B46"/>
  <c r="F45"/>
  <c r="C46"/>
  <c r="J46"/>
  <c r="I46"/>
  <c r="O46"/>
</calcChain>
</file>

<file path=xl/sharedStrings.xml><?xml version="1.0" encoding="utf-8"?>
<sst xmlns="http://schemas.openxmlformats.org/spreadsheetml/2006/main" count="2775" uniqueCount="777">
  <si>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</si>
  <si>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</si>
  <si>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</si>
  <si>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</si>
  <si>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</si>
  <si>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</si>
  <si>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</si>
  <si>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</si>
  <si>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</si>
  <si>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</si>
  <si>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</si>
  <si>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</si>
  <si>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</si>
  <si>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</si>
  <si>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</si>
  <si>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</si>
  <si>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</si>
  <si>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</si>
  <si>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</si>
  <si>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</si>
  <si>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</si>
  <si>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</si>
  <si>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</si>
  <si>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</si>
  <si>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</si>
  <si>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</si>
  <si>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</si>
  <si>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</si>
  <si>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</si>
  <si>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</si>
  <si>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</si>
  <si>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</si>
  <si>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</si>
  <si>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</si>
  <si>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</si>
  <si>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</si>
  <si>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</si>
  <si>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</si>
  <si>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</si>
  <si>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</si>
  <si>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</si>
  <si>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</si>
  <si>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</si>
  <si>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</si>
  <si>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</si>
  <si>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</si>
  <si>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</si>
  <si>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</si>
  <si>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</si>
  <si>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</si>
  <si>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</si>
  <si>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</si>
  <si>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</si>
  <si>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</si>
  <si>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</si>
  <si>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</si>
  <si>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</si>
  <si>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</si>
  <si>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</si>
  <si>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</si>
  <si>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01/06/2023 02:00</t>
  </si>
  <si>
    <t>01/06/2023 03:00</t>
  </si>
  <si>
    <t>01/06/2023 04:00</t>
  </si>
  <si>
    <t>01/06/2023 05:00</t>
  </si>
  <si>
    <t>01/06/2023 06:00</t>
  </si>
  <si>
    <t>01/06/2023 07:00</t>
  </si>
  <si>
    <t>01/06/2023 08:00</t>
  </si>
  <si>
    <t>01/06/2023 09:00</t>
  </si>
  <si>
    <t>01/06/2023 10:00</t>
  </si>
  <si>
    <t>01/06/2023 11:00</t>
  </si>
  <si>
    <t>01/06/2023 12:00</t>
  </si>
  <si>
    <t>01/06/2023 13:00</t>
  </si>
  <si>
    <t>01/06/2023 14:00</t>
  </si>
  <si>
    <t>01/06/2023 15:00</t>
  </si>
  <si>
    <t>01/06/2023 16:00</t>
  </si>
  <si>
    <t>01/06/2023 17:00</t>
  </si>
  <si>
    <t>01/06/2023 18:00</t>
  </si>
  <si>
    <t>01/06/2023 19:00</t>
  </si>
  <si>
    <t>01/06/2023 20:00</t>
  </si>
  <si>
    <t>01/06/2023 21:00</t>
  </si>
  <si>
    <t>01/06/2023 22:00</t>
  </si>
  <si>
    <t>01/06/2023 23:00</t>
  </si>
  <si>
    <t>01/06/2023 24:00</t>
  </si>
  <si>
    <t>02/06/2023 01:00</t>
  </si>
  <si>
    <t>02/06/2023 02:00</t>
  </si>
  <si>
    <t>02/06/2023 03:00</t>
  </si>
  <si>
    <t>02/06/2023 04:00</t>
  </si>
  <si>
    <t>02/06/2023 05:00</t>
  </si>
  <si>
    <t>02/06/2023 06:00</t>
  </si>
  <si>
    <t>02/06/2023 07:00</t>
  </si>
  <si>
    <t>02/06/2023 08:00</t>
  </si>
  <si>
    <t>02/06/2023 09:00</t>
  </si>
  <si>
    <t>02/06/2023 10:00</t>
  </si>
  <si>
    <t>02/06/2023 11:00</t>
  </si>
  <si>
    <t>02/06/2023 12:00</t>
  </si>
  <si>
    <t>02/06/2023 13:00</t>
  </si>
  <si>
    <t>02/06/2023 14:00</t>
  </si>
  <si>
    <t>02/06/2023 15:00</t>
  </si>
  <si>
    <t>02/06/2023 16:00</t>
  </si>
  <si>
    <t>02/06/2023 17:00</t>
  </si>
  <si>
    <t>02/06/2023 18:00</t>
  </si>
  <si>
    <t>02/06/2023 19:00</t>
  </si>
  <si>
    <t>02/06/2023 20:00</t>
  </si>
  <si>
    <t>02/06/2023 21:00</t>
  </si>
  <si>
    <t>02/06/2023 22:00</t>
  </si>
  <si>
    <t>02/06/2023 23:00</t>
  </si>
  <si>
    <t>02/06/2023 24:00</t>
  </si>
  <si>
    <t>03/06/2023 01:00</t>
  </si>
  <si>
    <t>03/06/2023 02:00</t>
  </si>
  <si>
    <t>03/06/2023 03:00</t>
  </si>
  <si>
    <t>03/06/2023 04:00</t>
  </si>
  <si>
    <t>03/06/2023 05:00</t>
  </si>
  <si>
    <t>03/06/2023 06:00</t>
  </si>
  <si>
    <t>03/06/2023 07:00</t>
  </si>
  <si>
    <t>03/06/2023 08:00</t>
  </si>
  <si>
    <t>03/06/2023 09:00</t>
  </si>
  <si>
    <t>03/06/2023 10:00</t>
  </si>
  <si>
    <t>03/06/2023 11:00</t>
  </si>
  <si>
    <t>03/06/2023 12:00</t>
  </si>
  <si>
    <t>03/06/2023 13:00</t>
  </si>
  <si>
    <t>03/06/2023 14:00</t>
  </si>
  <si>
    <t>03/06/2023 15:00</t>
  </si>
  <si>
    <t>03/06/2023 16:00</t>
  </si>
  <si>
    <t>03/06/2023 17:00</t>
  </si>
  <si>
    <t>03/06/2023 18:00</t>
  </si>
  <si>
    <t>03/06/2023 19:00</t>
  </si>
  <si>
    <t>03/06/2023 20:00</t>
  </si>
  <si>
    <t>03/06/2023 21:00</t>
  </si>
  <si>
    <t>03/06/2023 22:00</t>
  </si>
  <si>
    <t>03/06/2023 23:00</t>
  </si>
  <si>
    <t>03/06/2023 24:00</t>
  </si>
  <si>
    <t>04/06/2023 01:00</t>
  </si>
  <si>
    <t>04/06/2023 02:00</t>
  </si>
  <si>
    <t>04/06/2023 03:00</t>
  </si>
  <si>
    <t>04/06/2023 04:00</t>
  </si>
  <si>
    <t>04/06/2023 05:00</t>
  </si>
  <si>
    <t>04/06/2023 06:00</t>
  </si>
  <si>
    <t>04/06/2023 07:00</t>
  </si>
  <si>
    <t>04/06/2023 08:00</t>
  </si>
  <si>
    <t>04/06/2023 09:00</t>
  </si>
  <si>
    <t>04/06/2023 10:00</t>
  </si>
  <si>
    <t>04/06/2023 11:00</t>
  </si>
  <si>
    <t>04/06/2023 12:00</t>
  </si>
  <si>
    <t>04/06/2023 13:00</t>
  </si>
  <si>
    <t>04/06/2023 14:00</t>
  </si>
  <si>
    <t>04/06/2023 15:00</t>
  </si>
  <si>
    <t>04/06/2023 16:00</t>
  </si>
  <si>
    <t>04/06/2023 17:00</t>
  </si>
  <si>
    <t>04/06/2023 18:00</t>
  </si>
  <si>
    <t>04/06/2023 19:00</t>
  </si>
  <si>
    <t>04/06/2023 20:00</t>
  </si>
  <si>
    <t>04/06/2023 21:00</t>
  </si>
  <si>
    <t>04/06/2023 22:00</t>
  </si>
  <si>
    <t>04/06/2023 23:00</t>
  </si>
  <si>
    <t>04/06/2023 24:00</t>
  </si>
  <si>
    <t>05/06/2023 01:00</t>
  </si>
  <si>
    <t>05/06/2023 02:00</t>
  </si>
  <si>
    <t>05/06/2023 03:00</t>
  </si>
  <si>
    <t>05/06/2023 04:00</t>
  </si>
  <si>
    <t>05/06/2023 05:00</t>
  </si>
  <si>
    <t>05/06/2023 06:00</t>
  </si>
  <si>
    <t>05/06/2023 07:00</t>
  </si>
  <si>
    <t>05/06/2023 08:00</t>
  </si>
  <si>
    <t>05/06/2023 09:00</t>
  </si>
  <si>
    <t>05/06/2023 10:00</t>
  </si>
  <si>
    <t>05/06/2023 11:00</t>
  </si>
  <si>
    <t>05/06/2023 12:00</t>
  </si>
  <si>
    <t>05/06/2023 13:00</t>
  </si>
  <si>
    <t>05/06/2023 14:00</t>
  </si>
  <si>
    <t>05/06/2023 15:00</t>
  </si>
  <si>
    <t>05/06/2023 16:00</t>
  </si>
  <si>
    <t>05/06/2023 17:00</t>
  </si>
  <si>
    <t>05/06/2023 18:00</t>
  </si>
  <si>
    <t>05/06/2023 19:00</t>
  </si>
  <si>
    <t>05/06/2023 20:00</t>
  </si>
  <si>
    <t>05/06/2023 21:00</t>
  </si>
  <si>
    <t>05/06/2023 22:00</t>
  </si>
  <si>
    <t>05/06/2023 23:00</t>
  </si>
  <si>
    <t>05/06/2023 24:00</t>
  </si>
  <si>
    <t>06/06/2023 01:00</t>
  </si>
  <si>
    <t>06/06/2023 02:00</t>
  </si>
  <si>
    <t>06/06/2023 03:00</t>
  </si>
  <si>
    <t>06/06/2023 04:00</t>
  </si>
  <si>
    <t>06/06/2023 05:00</t>
  </si>
  <si>
    <t>06/06/2023 06:00</t>
  </si>
  <si>
    <t>06/06/2023 07:00</t>
  </si>
  <si>
    <t>06/06/2023 08:00</t>
  </si>
  <si>
    <t>06/06/2023 09:00</t>
  </si>
  <si>
    <t>06/06/2023 10:00</t>
  </si>
  <si>
    <t>06/06/2023 11:00</t>
  </si>
  <si>
    <t>06/06/2023 12:00</t>
  </si>
  <si>
    <t>06/06/2023 13:00</t>
  </si>
  <si>
    <t>06/06/2023 14:00</t>
  </si>
  <si>
    <t>06/06/2023 15:00</t>
  </si>
  <si>
    <t>06/06/2023 16:00</t>
  </si>
  <si>
    <t>06/06/2023 17:00</t>
  </si>
  <si>
    <t>06/06/2023 18:00</t>
  </si>
  <si>
    <t>06/06/2023 19:00</t>
  </si>
  <si>
    <t>06/06/2023 20:00</t>
  </si>
  <si>
    <t>06/06/2023 21:00</t>
  </si>
  <si>
    <t>06/06/2023 22:00</t>
  </si>
  <si>
    <t>06/06/2023 23:00</t>
  </si>
  <si>
    <t>06/06/2023 24:00</t>
  </si>
  <si>
    <t>07/06/2023 01:00</t>
  </si>
  <si>
    <t>07/06/2023 02:00</t>
  </si>
  <si>
    <t>07/06/2023 03:00</t>
  </si>
  <si>
    <t>07/06/2023 04:00</t>
  </si>
  <si>
    <t>07/06/2023 05:00</t>
  </si>
  <si>
    <t>07/06/2023 06:00</t>
  </si>
  <si>
    <t>07/06/2023 07:00</t>
  </si>
  <si>
    <t>07/06/2023 08:00</t>
  </si>
  <si>
    <t>07/06/2023 09:00</t>
  </si>
  <si>
    <t>07/06/2023 10:00</t>
  </si>
  <si>
    <t>07/06/2023 11:00</t>
  </si>
  <si>
    <t>07/06/2023 12:00</t>
  </si>
  <si>
    <t>07/06/2023 13:00</t>
  </si>
  <si>
    <t>07/06/2023 14:00</t>
  </si>
  <si>
    <t>07/06/2023 15:00</t>
  </si>
  <si>
    <t>07/06/2023 16:00</t>
  </si>
  <si>
    <t>07/06/2023 17:00</t>
  </si>
  <si>
    <t>07/06/2023 18:00</t>
  </si>
  <si>
    <t>07/06/2023 19:00</t>
  </si>
  <si>
    <t>07/06/2023 20:00</t>
  </si>
  <si>
    <t>07/06/2023 21:00</t>
  </si>
  <si>
    <t>07/06/2023 22:00</t>
  </si>
  <si>
    <t>07/06/2023 23:00</t>
  </si>
  <si>
    <t>07/06/2023 24:00</t>
  </si>
  <si>
    <t>08/06/2023 01:00</t>
  </si>
  <si>
    <t>08/06/2023 02:00</t>
  </si>
  <si>
    <t>08/06/2023 03:00</t>
  </si>
  <si>
    <t>08/06/2023 04:00</t>
  </si>
  <si>
    <t>08/06/2023 05:00</t>
  </si>
  <si>
    <t>08/06/2023 06:00</t>
  </si>
  <si>
    <t>08/06/2023 07:00</t>
  </si>
  <si>
    <t>08/06/2023 08:00</t>
  </si>
  <si>
    <t>08/06/2023 09:00</t>
  </si>
  <si>
    <t>08/06/2023 10:00</t>
  </si>
  <si>
    <t>08/06/2023 11:00</t>
  </si>
  <si>
    <t>08/06/2023 12:00</t>
  </si>
  <si>
    <t>08/06/2023 13:00</t>
  </si>
  <si>
    <t>08/06/2023 14:00</t>
  </si>
  <si>
    <t>08/06/2023 15:00</t>
  </si>
  <si>
    <t>08/06/2023 16:00</t>
  </si>
  <si>
    <t>08/06/2023 17:00</t>
  </si>
  <si>
    <t>08/06/2023 18:00</t>
  </si>
  <si>
    <t>08/06/2023 19:00</t>
  </si>
  <si>
    <t>08/06/2023 20:00</t>
  </si>
  <si>
    <t>08/06/2023 21:00</t>
  </si>
  <si>
    <t>08/06/2023 22:00</t>
  </si>
  <si>
    <t>08/06/2023 23:00</t>
  </si>
  <si>
    <t>08/06/2023 24:00</t>
  </si>
  <si>
    <t>09/06/2023 01:00</t>
  </si>
  <si>
    <t>09/06/2023 02:00</t>
  </si>
  <si>
    <t>09/06/2023 03:00</t>
  </si>
  <si>
    <t>09/06/2023 04:00</t>
  </si>
  <si>
    <t>09/06/2023 05:00</t>
  </si>
  <si>
    <t>09/06/2023 06:00</t>
  </si>
  <si>
    <t>09/06/2023 07:00</t>
  </si>
  <si>
    <t>09/06/2023 08:00</t>
  </si>
  <si>
    <t>09/06/2023 09:00</t>
  </si>
  <si>
    <t>09/06/2023 10:00</t>
  </si>
  <si>
    <t>09/06/2023 11:00</t>
  </si>
  <si>
    <t>09/06/2023 12:00</t>
  </si>
  <si>
    <t>09/06/2023 13:00</t>
  </si>
  <si>
    <t>09/06/2023 14:00</t>
  </si>
  <si>
    <t>09/06/2023 15:00</t>
  </si>
  <si>
    <t>09/06/2023 16:00</t>
  </si>
  <si>
    <t>09/06/2023 17:00</t>
  </si>
  <si>
    <t>09/06/2023 18:00</t>
  </si>
  <si>
    <t>09/06/2023 19:00</t>
  </si>
  <si>
    <t>09/06/2023 20:00</t>
  </si>
  <si>
    <t>09/06/2023 21:00</t>
  </si>
  <si>
    <t>09/06/2023 22:00</t>
  </si>
  <si>
    <t>09/06/2023 23:00</t>
  </si>
  <si>
    <t>09/06/2023 24:00</t>
  </si>
  <si>
    <t>10/06/2023 01:00</t>
  </si>
  <si>
    <t>10/06/2023 02:00</t>
  </si>
  <si>
    <t>10/06/2023 03:00</t>
  </si>
  <si>
    <t>10/06/2023 04:00</t>
  </si>
  <si>
    <t>10/06/2023 05:00</t>
  </si>
  <si>
    <t>10/06/2023 06:00</t>
  </si>
  <si>
    <t>10/06/2023 07:00</t>
  </si>
  <si>
    <t>10/06/2023 08:00</t>
  </si>
  <si>
    <t>10/06/2023 09:00</t>
  </si>
  <si>
    <t>10/06/2023 10:00</t>
  </si>
  <si>
    <t>10/06/2023 11:00</t>
  </si>
  <si>
    <t>10/06/2023 12:00</t>
  </si>
  <si>
    <t>10/06/2023 13:00</t>
  </si>
  <si>
    <t>10/06/2023 14:00</t>
  </si>
  <si>
    <t>10/06/2023 15:00</t>
  </si>
  <si>
    <t>10/06/2023 16:00</t>
  </si>
  <si>
    <t>10/06/2023 17:00</t>
  </si>
  <si>
    <t>10/06/2023 18:00</t>
  </si>
  <si>
    <t>10/06/2023 19:00</t>
  </si>
  <si>
    <t>10/06/2023 20:00</t>
  </si>
  <si>
    <t>10/06/2023 21:00</t>
  </si>
  <si>
    <t>10/06/2023 22:00</t>
  </si>
  <si>
    <t>10/06/2023 23:00</t>
  </si>
  <si>
    <t>10/06/2023 24:00</t>
  </si>
  <si>
    <t>11/06/2023 01:00</t>
  </si>
  <si>
    <t>11/06/2023 02:00</t>
  </si>
  <si>
    <t>11/06/2023 03:00</t>
  </si>
  <si>
    <t>11/06/2023 04:00</t>
  </si>
  <si>
    <t>11/06/2023 05:00</t>
  </si>
  <si>
    <t>11/06/2023 06:00</t>
  </si>
  <si>
    <t>11/06/2023 07:00</t>
  </si>
  <si>
    <t>11/06/2023 08:00</t>
  </si>
  <si>
    <t>11/06/2023 09:00</t>
  </si>
  <si>
    <t>11/06/2023 10:00</t>
  </si>
  <si>
    <t>11/06/2023 11:00</t>
  </si>
  <si>
    <t>11/06/2023 12:00</t>
  </si>
  <si>
    <t>11/06/2023 13:00</t>
  </si>
  <si>
    <t>11/06/2023 14:00</t>
  </si>
  <si>
    <t>11/06/2023 15:00</t>
  </si>
  <si>
    <t>11/06/2023 16:00</t>
  </si>
  <si>
    <t>11/06/2023 17:00</t>
  </si>
  <si>
    <t>11/06/2023 18:00</t>
  </si>
  <si>
    <t>11/06/2023 19:00</t>
  </si>
  <si>
    <t>11/06/2023 20:00</t>
  </si>
  <si>
    <t>11/06/2023 21:00</t>
  </si>
  <si>
    <t>11/06/2023 22:00</t>
  </si>
  <si>
    <t>11/06/2023 23:00</t>
  </si>
  <si>
    <t>11/06/2023 24:00</t>
  </si>
  <si>
    <t>12/06/2023 01:00</t>
  </si>
  <si>
    <t>12/06/2023 02:00</t>
  </si>
  <si>
    <t>12/06/2023 03:00</t>
  </si>
  <si>
    <t>12/06/2023 04:00</t>
  </si>
  <si>
    <t>12/06/2023 05:00</t>
  </si>
  <si>
    <t>12/06/2023 06:00</t>
  </si>
  <si>
    <t>12/06/2023 07:00</t>
  </si>
  <si>
    <t>12/06/2023 08:00</t>
  </si>
  <si>
    <t>12/06/2023 09:00</t>
  </si>
  <si>
    <t>12/06/2023 10:00</t>
  </si>
  <si>
    <t>12/06/2023 11:00</t>
  </si>
  <si>
    <t>12/06/2023 12:00</t>
  </si>
  <si>
    <t>12/06/2023 13:00</t>
  </si>
  <si>
    <t>12/06/2023 14:00</t>
  </si>
  <si>
    <t>12/06/2023 15:00</t>
  </si>
  <si>
    <t>12/06/2023 16:00</t>
  </si>
  <si>
    <t>12/06/2023 17:00</t>
  </si>
  <si>
    <t>12/06/2023 18:00</t>
  </si>
  <si>
    <t>12/06/2023 19:00</t>
  </si>
  <si>
    <t>12/06/2023 20:00</t>
  </si>
  <si>
    <t>12/06/2023 21:00</t>
  </si>
  <si>
    <t>12/06/2023 22:00</t>
  </si>
  <si>
    <t>12/06/2023 23:00</t>
  </si>
  <si>
    <t>12/06/2023 24:00</t>
  </si>
  <si>
    <t>13/06/2023 01:00</t>
  </si>
  <si>
    <t>13/06/2023 02:00</t>
  </si>
  <si>
    <t>13/06/2023 03:00</t>
  </si>
  <si>
    <t>13/06/2023 04:00</t>
  </si>
  <si>
    <t>13/06/2023 05:00</t>
  </si>
  <si>
    <t>13/06/2023 06:00</t>
  </si>
  <si>
    <t>13/06/2023 07:00</t>
  </si>
  <si>
    <t>13/06/2023 08:00</t>
  </si>
  <si>
    <t>13/06/2023 09:00</t>
  </si>
  <si>
    <t>13/06/2023 10:00</t>
  </si>
  <si>
    <t>13/06/2023 11:00</t>
  </si>
  <si>
    <t>13/06/2023 12:00</t>
  </si>
  <si>
    <t>13/06/2023 13:00</t>
  </si>
  <si>
    <t>13/06/2023 14:00</t>
  </si>
  <si>
    <t>13/06/2023 15:00</t>
  </si>
  <si>
    <t>13/06/2023 16:00</t>
  </si>
  <si>
    <t>13/06/2023 17:00</t>
  </si>
  <si>
    <t>13/06/2023 18:00</t>
  </si>
  <si>
    <t>13/06/2023 19:00</t>
  </si>
  <si>
    <t>13/06/2023 20:00</t>
  </si>
  <si>
    <t>13/06/2023 21:00</t>
  </si>
  <si>
    <t>13/06/2023 22:00</t>
  </si>
  <si>
    <t>13/06/2023 23:00</t>
  </si>
  <si>
    <t>13/06/2023 24:00</t>
  </si>
  <si>
    <t>14/06/2023 01:00</t>
  </si>
  <si>
    <t>14/06/2023 02:00</t>
  </si>
  <si>
    <t>14/06/2023 03:00</t>
  </si>
  <si>
    <t>14/06/2023 04:00</t>
  </si>
  <si>
    <t>14/06/2023 05:00</t>
  </si>
  <si>
    <t>14/06/2023 06:00</t>
  </si>
  <si>
    <t>14/06/2023 07:00</t>
  </si>
  <si>
    <t>14/06/2023 08:00</t>
  </si>
  <si>
    <t>14/06/2023 09:00</t>
  </si>
  <si>
    <t>14/06/2023 10:00</t>
  </si>
  <si>
    <t>14/06/2023 11:00</t>
  </si>
  <si>
    <t>14/06/2023 12:00</t>
  </si>
  <si>
    <t>14/06/2023 13:00</t>
  </si>
  <si>
    <t>14/06/2023 14:00</t>
  </si>
  <si>
    <t>14/06/2023 15:00</t>
  </si>
  <si>
    <t>14/06/2023 16:00</t>
  </si>
  <si>
    <t>14/06/2023 17:00</t>
  </si>
  <si>
    <t>14/06/2023 18:00</t>
  </si>
  <si>
    <t>14/06/2023 19:00</t>
  </si>
  <si>
    <t>14/06/2023 20:00</t>
  </si>
  <si>
    <t>14/06/2023 21:00</t>
  </si>
  <si>
    <t>14/06/2023 22:00</t>
  </si>
  <si>
    <t>14/06/2023 23:00</t>
  </si>
  <si>
    <t>14/06/2023 24:00</t>
  </si>
  <si>
    <t>15/06/2023 01:00</t>
  </si>
  <si>
    <t>15/06/2023 02:00</t>
  </si>
  <si>
    <t>15/06/2023 03:00</t>
  </si>
  <si>
    <t>15/06/2023 04:00</t>
  </si>
  <si>
    <t>15/06/2023 05:00</t>
  </si>
  <si>
    <t>15/06/2023 06:00</t>
  </si>
  <si>
    <t>15/06/2023 07:00</t>
  </si>
  <si>
    <t>15/06/2023 08:00</t>
  </si>
  <si>
    <t>15/06/2023 09:00</t>
  </si>
  <si>
    <t>15/06/2023 10:00</t>
  </si>
  <si>
    <t>15/06/2023 11:00</t>
  </si>
  <si>
    <t>15/06/2023 12:00</t>
  </si>
  <si>
    <t>15/06/2023 13:00</t>
  </si>
  <si>
    <t>15/06/2023 14:00</t>
  </si>
  <si>
    <t>15/06/2023 15:00</t>
  </si>
  <si>
    <t>15/06/2023 16:00</t>
  </si>
  <si>
    <t>15/06/2023 17:00</t>
  </si>
  <si>
    <t>15/06/2023 18:00</t>
  </si>
  <si>
    <t>15/06/2023 19:00</t>
  </si>
  <si>
    <t>15/06/2023 20:00</t>
  </si>
  <si>
    <t>15/06/2023 21:00</t>
  </si>
  <si>
    <t>15/06/2023 22:00</t>
  </si>
  <si>
    <t>15/06/2023 23:00</t>
  </si>
  <si>
    <t>15/06/2023 24:00</t>
  </si>
  <si>
    <t>16/06/2023 01:00</t>
  </si>
  <si>
    <t>16/06/2023 02:00</t>
  </si>
  <si>
    <t>16/06/2023 03:00</t>
  </si>
  <si>
    <t>16/06/2023 04:00</t>
  </si>
  <si>
    <t>16/06/2023 05:00</t>
  </si>
  <si>
    <t>16/06/2023 06:00</t>
  </si>
  <si>
    <t>16/06/2023 07:00</t>
  </si>
  <si>
    <t>16/06/2023 08:00</t>
  </si>
  <si>
    <t>16/06/2023 09:00</t>
  </si>
  <si>
    <t>16/06/2023 10:00</t>
  </si>
  <si>
    <t>16/06/2023 11:00</t>
  </si>
  <si>
    <t>16/06/2023 12:00</t>
  </si>
  <si>
    <t>16/06/2023 13:00</t>
  </si>
  <si>
    <t>16/06/2023 14:00</t>
  </si>
  <si>
    <t>16/06/2023 15:00</t>
  </si>
  <si>
    <t>16/06/2023 16:00</t>
  </si>
  <si>
    <t>16/06/2023 17:00</t>
  </si>
  <si>
    <t>16/06/2023 18:00</t>
  </si>
  <si>
    <t>16/06/2023 19:00</t>
  </si>
  <si>
    <t>16/06/2023 20:00</t>
  </si>
  <si>
    <t>16/06/2023 21:00</t>
  </si>
  <si>
    <t>16/06/2023 22:00</t>
  </si>
  <si>
    <t>16/06/2023 23:00</t>
  </si>
  <si>
    <t>16/06/2023 24:00</t>
  </si>
  <si>
    <t>17/06/2023 01:00</t>
  </si>
  <si>
    <t>17/06/2023 02:00</t>
  </si>
  <si>
    <t>17/06/2023 03:00</t>
  </si>
  <si>
    <t>17/06/2023 04:00</t>
  </si>
  <si>
    <t>17/06/2023 05:00</t>
  </si>
  <si>
    <t>17/06/2023 06:00</t>
  </si>
  <si>
    <t>17/06/2023 07:00</t>
  </si>
  <si>
    <t>17/06/2023 08:00</t>
  </si>
  <si>
    <t>17/06/2023 09:00</t>
  </si>
  <si>
    <t>17/06/2023 10:00</t>
  </si>
  <si>
    <t>17/06/2023 11:00</t>
  </si>
  <si>
    <t>17/06/2023 12:00</t>
  </si>
  <si>
    <t>17/06/2023 13:00</t>
  </si>
  <si>
    <t>17/06/2023 14:00</t>
  </si>
  <si>
    <t>17/06/2023 15:00</t>
  </si>
  <si>
    <t>17/06/2023 16:00</t>
  </si>
  <si>
    <t>17/06/2023 17:00</t>
  </si>
  <si>
    <t>17/06/2023 18:00</t>
  </si>
  <si>
    <t>17/06/2023 19:00</t>
  </si>
  <si>
    <t>17/06/2023 20:00</t>
  </si>
  <si>
    <t>17/06/2023 21:00</t>
  </si>
  <si>
    <t>17/06/2023 22:00</t>
  </si>
  <si>
    <t>17/06/2023 23:00</t>
  </si>
  <si>
    <t>17/06/2023 24:00</t>
  </si>
  <si>
    <t>18/06/2023 01:00</t>
  </si>
  <si>
    <t>18/06/2023 02:00</t>
  </si>
  <si>
    <t>18/06/2023 03:00</t>
  </si>
  <si>
    <t>18/06/2023 04:00</t>
  </si>
  <si>
    <t>18/06/2023 05:00</t>
  </si>
  <si>
    <t>18/06/2023 06:00</t>
  </si>
  <si>
    <t>18/06/2023 07:00</t>
  </si>
  <si>
    <t>18/06/2023 08:00</t>
  </si>
  <si>
    <t>18/06/2023 09:00</t>
  </si>
  <si>
    <t>18/06/2023 10:00</t>
  </si>
  <si>
    <t>18/06/2023 11:00</t>
  </si>
  <si>
    <t>18/06/2023 12:00</t>
  </si>
  <si>
    <t>18/06/2023 13:00</t>
  </si>
  <si>
    <t>18/06/2023 14:00</t>
  </si>
  <si>
    <t>18/06/2023 15:00</t>
  </si>
  <si>
    <t>18/06/2023 16:00</t>
  </si>
  <si>
    <t>18/06/2023 17:00</t>
  </si>
  <si>
    <t>18/06/2023 18:00</t>
  </si>
  <si>
    <t>18/06/2023 19:00</t>
  </si>
  <si>
    <t>18/06/2023 20:00</t>
  </si>
  <si>
    <t>18/06/2023 21:00</t>
  </si>
  <si>
    <t>18/06/2023 22:00</t>
  </si>
  <si>
    <t>18/06/2023 23:00</t>
  </si>
  <si>
    <t>18/06/2023 24:00</t>
  </si>
  <si>
    <t>19/06/2023 01:00</t>
  </si>
  <si>
    <t>19/06/2023 02:00</t>
  </si>
  <si>
    <t>19/06/2023 03:00</t>
  </si>
  <si>
    <t>19/06/2023 04:00</t>
  </si>
  <si>
    <t>19/06/2023 05:00</t>
  </si>
  <si>
    <t>19/06/2023 06:00</t>
  </si>
  <si>
    <t>19/06/2023 07:00</t>
  </si>
  <si>
    <t>19/06/2023 08:00</t>
  </si>
  <si>
    <t>19/06/2023 09:00</t>
  </si>
  <si>
    <t>19/06/2023 10:00</t>
  </si>
  <si>
    <t>19/06/2023 11:00</t>
  </si>
  <si>
    <t>19/06/2023 12:00</t>
  </si>
  <si>
    <t>19/06/2023 13:00</t>
  </si>
  <si>
    <t>19/06/2023 14:00</t>
  </si>
  <si>
    <t>19/06/2023 15:00</t>
  </si>
  <si>
    <t>19/06/2023 16:00</t>
  </si>
  <si>
    <t>19/06/2023 17:00</t>
  </si>
  <si>
    <t>19/06/2023 18:00</t>
  </si>
  <si>
    <t>19/06/2023 19:00</t>
  </si>
  <si>
    <t>19/06/2023 20:00</t>
  </si>
  <si>
    <t>19/06/2023 21:00</t>
  </si>
  <si>
    <t>19/06/2023 22:00</t>
  </si>
  <si>
    <t>19/06/2023 23:00</t>
  </si>
  <si>
    <t>19/06/2023 24:00</t>
  </si>
  <si>
    <t>20/06/2023 01:00</t>
  </si>
  <si>
    <t>20/06/2023 02:00</t>
  </si>
  <si>
    <t>20/06/2023 03:00</t>
  </si>
  <si>
    <t>20/06/2023 04:00</t>
  </si>
  <si>
    <t>20/06/2023 05:00</t>
  </si>
  <si>
    <t>20/06/2023 06:00</t>
  </si>
  <si>
    <t>20/06/2023 07:00</t>
  </si>
  <si>
    <t>20/06/2023 08:00</t>
  </si>
  <si>
    <t>20/06/2023 09:00</t>
  </si>
  <si>
    <t>20/06/2023 10:00</t>
  </si>
  <si>
    <t>20/06/2023 11:00</t>
  </si>
  <si>
    <t>20/06/2023 12:00</t>
  </si>
  <si>
    <t>20/06/2023 13:00</t>
  </si>
  <si>
    <t>20/06/2023 14:00</t>
  </si>
  <si>
    <t>20/06/2023 15:00</t>
  </si>
  <si>
    <t>20/06/2023 16:00</t>
  </si>
  <si>
    <t>20/06/2023 17:00</t>
  </si>
  <si>
    <t>20/06/2023 18:00</t>
  </si>
  <si>
    <t>20/06/2023 19:00</t>
  </si>
  <si>
    <t>20/06/2023 20:00</t>
  </si>
  <si>
    <t>20/06/2023 21:00</t>
  </si>
  <si>
    <t>20/06/2023 22:00</t>
  </si>
  <si>
    <t>20/06/2023 23:00</t>
  </si>
  <si>
    <t>20/06/2023 24:00</t>
  </si>
  <si>
    <t>21/06/2023 01:00</t>
  </si>
  <si>
    <t>21/06/2023 02:00</t>
  </si>
  <si>
    <t>21/06/2023 03:00</t>
  </si>
  <si>
    <t>21/06/2023 04:00</t>
  </si>
  <si>
    <t>21/06/2023 05:00</t>
  </si>
  <si>
    <t>21/06/2023 06:00</t>
  </si>
  <si>
    <t>21/06/2023 07:00</t>
  </si>
  <si>
    <t>21/06/2023 08:00</t>
  </si>
  <si>
    <t>21/06/2023 09:00</t>
  </si>
  <si>
    <t>21/06/2023 10:00</t>
  </si>
  <si>
    <t>21/06/2023 11:00</t>
  </si>
  <si>
    <t>21/06/2023 12:00</t>
  </si>
  <si>
    <t>21/06/2023 13:00</t>
  </si>
  <si>
    <t>21/06/2023 14:00</t>
  </si>
  <si>
    <t>21/06/2023 15:00</t>
  </si>
  <si>
    <t>21/06/2023 16:00</t>
  </si>
  <si>
    <t>21/06/2023 17:00</t>
  </si>
  <si>
    <t>21/06/2023 18:00</t>
  </si>
  <si>
    <t>21/06/2023 19:00</t>
  </si>
  <si>
    <t>21/06/2023 20:00</t>
  </si>
  <si>
    <t>21/06/2023 21:00</t>
  </si>
  <si>
    <t>21/06/2023 22:00</t>
  </si>
  <si>
    <t>21/06/2023 23:00</t>
  </si>
  <si>
    <t>21/06/2023 24:00</t>
  </si>
  <si>
    <t>22/06/2023 01:00</t>
  </si>
  <si>
    <t>22/06/2023 02:00</t>
  </si>
  <si>
    <t>22/06/2023 03:00</t>
  </si>
  <si>
    <t>22/06/2023 04:00</t>
  </si>
  <si>
    <t>22/06/2023 05:00</t>
  </si>
  <si>
    <t>22/06/2023 06:00</t>
  </si>
  <si>
    <t>22/06/2023 07:00</t>
  </si>
  <si>
    <t>22/06/2023 08:00</t>
  </si>
  <si>
    <t>22/06/2023 09:00</t>
  </si>
  <si>
    <t>22/06/2023 10:00</t>
  </si>
  <si>
    <t>22/06/2023 11:00</t>
  </si>
  <si>
    <t>22/06/2023 12:00</t>
  </si>
  <si>
    <t>22/06/2023 14:00</t>
  </si>
  <si>
    <t>22/06/2023 15:00</t>
  </si>
  <si>
    <t>22/06/2023 16:00</t>
  </si>
  <si>
    <t>22/06/2023 17:00</t>
  </si>
  <si>
    <t>22/06/2023 18:00</t>
  </si>
  <si>
    <t>22/06/2023 19:00</t>
  </si>
  <si>
    <t>22/06/2023 20:00</t>
  </si>
  <si>
    <t>22/06/2023 21:00</t>
  </si>
  <si>
    <t>22/06/2023 22:00</t>
  </si>
  <si>
    <t>22/06/2023 23:00</t>
  </si>
  <si>
    <t>22/06/2023 24:00</t>
  </si>
  <si>
    <t>23/06/2023 01:00</t>
  </si>
  <si>
    <t>23/06/2023 03:00</t>
  </si>
  <si>
    <t>23/06/2023 04:00</t>
  </si>
  <si>
    <t>23/06/2023 05:00</t>
  </si>
  <si>
    <t>23/06/2023 06:00</t>
  </si>
  <si>
    <t>23/06/2023 07:00</t>
  </si>
  <si>
    <t>23/06/2023 08:00</t>
  </si>
  <si>
    <t>23/06/2023 09:00</t>
  </si>
  <si>
    <t>23/06/2023 10:00</t>
  </si>
  <si>
    <t>23/06/2023 11:00</t>
  </si>
  <si>
    <t>23/06/2023 12:00</t>
  </si>
  <si>
    <t>23/06/2023 13:00</t>
  </si>
  <si>
    <t>23/06/2023 14:00</t>
  </si>
  <si>
    <t>23/06/2023 15:00</t>
  </si>
  <si>
    <t>23/06/2023 16:00</t>
  </si>
  <si>
    <t>23/06/2023 17:00</t>
  </si>
  <si>
    <t>23/06/2023 18:00</t>
  </si>
  <si>
    <t>23/06/2023 19:00</t>
  </si>
  <si>
    <t>23/06/2023 20:00</t>
  </si>
  <si>
    <t>23/06/2023 21:00</t>
  </si>
  <si>
    <t>23/06/2023 22:00</t>
  </si>
  <si>
    <t>23/06/2023 23:00</t>
  </si>
  <si>
    <t>23/06/2023 24:00</t>
  </si>
  <si>
    <t>24/06/2023 01:00</t>
  </si>
  <si>
    <t>24/06/2023 02:00</t>
  </si>
  <si>
    <t>24/06/2023 03:00</t>
  </si>
  <si>
    <t>24/06/2023 04:00</t>
  </si>
  <si>
    <t>24/06/2023 05:00</t>
  </si>
  <si>
    <t>24/06/2023 06:00</t>
  </si>
  <si>
    <t>24/06/2023 07:00</t>
  </si>
  <si>
    <t>24/06/2023 08:00</t>
  </si>
  <si>
    <t>24/06/2023 09:00</t>
  </si>
  <si>
    <t>24/06/2023 10:00</t>
  </si>
  <si>
    <t>24/06/2023 11:00</t>
  </si>
  <si>
    <t>24/06/2023 12:00</t>
  </si>
  <si>
    <t>24/06/2023 13:00</t>
  </si>
  <si>
    <t>24/06/2023 14:00</t>
  </si>
  <si>
    <t>24/06/2023 15:00</t>
  </si>
  <si>
    <t>24/06/2023 16:00</t>
  </si>
  <si>
    <t>24/06/2023 17:00</t>
  </si>
  <si>
    <t>24/06/2023 18:00</t>
  </si>
  <si>
    <t>24/06/2023 19:00</t>
  </si>
  <si>
    <t>24/06/2023 20:00</t>
  </si>
  <si>
    <t>24/06/2023 21:00</t>
  </si>
  <si>
    <t>24/06/2023 22:00</t>
  </si>
  <si>
    <t>24/06/2023 23:00</t>
  </si>
  <si>
    <t>24/06/2023 24:00</t>
  </si>
  <si>
    <t>25/06/2023 24:00</t>
  </si>
  <si>
    <t>25/06/2023 23:00</t>
  </si>
  <si>
    <t>25/06/2023 22:00</t>
  </si>
  <si>
    <t>25/06/2023 21:00</t>
  </si>
  <si>
    <t>25/06/2023 20:00</t>
  </si>
  <si>
    <t>25/06/2023 19:00</t>
  </si>
  <si>
    <t>25/06/2023 18:00</t>
  </si>
  <si>
    <t>25/06/2023 17:00</t>
  </si>
  <si>
    <t>25/06/2023 16:00</t>
  </si>
  <si>
    <t>25/06/2023 15:00</t>
  </si>
  <si>
    <t>25/06/2023 14:00</t>
  </si>
  <si>
    <t>25/06/2023 13:00</t>
  </si>
  <si>
    <t>25/06/2023 12:00</t>
  </si>
  <si>
    <t>25/06/2023 11:00</t>
  </si>
  <si>
    <t>25/06/2023 10:00</t>
  </si>
  <si>
    <t>25/06/2023 09:00</t>
  </si>
  <si>
    <t>25/06/2023 08:00</t>
  </si>
  <si>
    <t>25/06/2023 07:00</t>
  </si>
  <si>
    <t>25/06/2023 06:00</t>
  </si>
  <si>
    <t>25/06/2023 05:00</t>
  </si>
  <si>
    <t>25/06/2023 04:00</t>
  </si>
  <si>
    <t>25/06/2023 03:00</t>
  </si>
  <si>
    <t>25/06/2023 02:00</t>
  </si>
  <si>
    <t>25/06/2023 01:00</t>
  </si>
  <si>
    <t>26/06/2023 01:00</t>
  </si>
  <si>
    <t>26/06/2023 02:00</t>
  </si>
  <si>
    <t>26/06/2023 03:00</t>
  </si>
  <si>
    <t>26/06/2023 04:00</t>
  </si>
  <si>
    <t>26/06/2023 05:00</t>
  </si>
  <si>
    <t>26/06/2023 06:00</t>
  </si>
  <si>
    <t>26/06/2023 07:00</t>
  </si>
  <si>
    <t>26/06/2023 08:00</t>
  </si>
  <si>
    <t>26/06/2023 09:00</t>
  </si>
  <si>
    <t>26/06/2023 10:00</t>
  </si>
  <si>
    <t>26/06/2023 11:00</t>
  </si>
  <si>
    <t>26/06/2023 12:00</t>
  </si>
  <si>
    <t>26/06/2023 13:00</t>
  </si>
  <si>
    <t>26/06/2023 14:00</t>
  </si>
  <si>
    <t>26/06/2023 15:00</t>
  </si>
  <si>
    <t>26/06/2023 16:00</t>
  </si>
  <si>
    <t>26/06/2023 17:00</t>
  </si>
  <si>
    <t>26/06/2023 18:00</t>
  </si>
  <si>
    <t>26/06/2023 19:00</t>
  </si>
  <si>
    <t>26/06/2023 20:00</t>
  </si>
  <si>
    <t>26/06/2023 21:00</t>
  </si>
  <si>
    <t>26/06/2023 22:00</t>
  </si>
  <si>
    <t>26/06/2023 23:00</t>
  </si>
  <si>
    <t>26/06/2023 24:00</t>
  </si>
  <si>
    <t>27/06/2023 01:00</t>
  </si>
  <si>
    <t>27/06/2023 02:00</t>
  </si>
  <si>
    <t>27/06/2023 03:00</t>
  </si>
  <si>
    <t>27/06/2023 04:00</t>
  </si>
  <si>
    <t>27/06/2023 05:00</t>
  </si>
  <si>
    <t>27/06/2023 06:00</t>
  </si>
  <si>
    <t>27/06/2023 07:00</t>
  </si>
  <si>
    <t>27/06/2023 08:00</t>
  </si>
  <si>
    <t>27/06/2023 09:00</t>
  </si>
  <si>
    <t>27/06/2023 10:00</t>
  </si>
  <si>
    <t>27/06/2023 11:00</t>
  </si>
  <si>
    <t>27/06/2023 12:00</t>
  </si>
  <si>
    <t>27/06/2023 13:00</t>
  </si>
  <si>
    <t>27/06/2023 14:00</t>
  </si>
  <si>
    <t>27/06/2023 15:00</t>
  </si>
  <si>
    <t>27/06/2023 16:00</t>
  </si>
  <si>
    <t>27/06/2023 17:00</t>
  </si>
  <si>
    <t>27/06/2023 18:00</t>
  </si>
  <si>
    <t>27/06/2023 19:00</t>
  </si>
  <si>
    <t>27/06/2023 20:00</t>
  </si>
  <si>
    <t>27/06/2023 21:00</t>
  </si>
  <si>
    <t>27/06/2023 22:00</t>
  </si>
  <si>
    <t>27/06/2023 23:00</t>
  </si>
  <si>
    <t>27/06/2023 24:00</t>
  </si>
  <si>
    <t>28/06/2023 01:00</t>
  </si>
  <si>
    <t>28/06/2023 02:00</t>
  </si>
  <si>
    <t>28/06/2023 03:00</t>
  </si>
  <si>
    <t>28/06/2023 04:00</t>
  </si>
  <si>
    <t>28/06/2023 05:00</t>
  </si>
  <si>
    <t>28/06/2023 06:00</t>
  </si>
  <si>
    <t>28/06/2023 07:00</t>
  </si>
  <si>
    <t>28/06/2023 08:00</t>
  </si>
  <si>
    <t>28/06/2023 09:00</t>
  </si>
  <si>
    <t>28/06/2023 10:00</t>
  </si>
  <si>
    <t>28/06/2023 11:00</t>
  </si>
  <si>
    <t>28/06/2023 12:00</t>
  </si>
  <si>
    <t>28/06/2023 13:00</t>
  </si>
  <si>
    <t>28/06/2023 14:00</t>
  </si>
  <si>
    <t>28/06/2023 15:00</t>
  </si>
  <si>
    <t>28/06/2023 16:00</t>
  </si>
  <si>
    <t>28/06/2023 17:00</t>
  </si>
  <si>
    <t>28/06/2023 18:00</t>
  </si>
  <si>
    <t>28/06/2023 19:00</t>
  </si>
  <si>
    <t>28/06/2023 20:00</t>
  </si>
  <si>
    <t>28/06/2023 21:00</t>
  </si>
  <si>
    <t>28/06/2023 22:00</t>
  </si>
  <si>
    <t>28/06/2023 23:00</t>
  </si>
  <si>
    <t>28/06/2023 24:00</t>
  </si>
  <si>
    <t>29/06/2023 01:00</t>
  </si>
  <si>
    <t>29/06/2023 02:00</t>
  </si>
  <si>
    <t>29/06/2023 03:00</t>
  </si>
  <si>
    <t>29/06/2023 04:00</t>
  </si>
  <si>
    <t>29/06/2023 05:00</t>
  </si>
  <si>
    <t>29/06/2023 06:00</t>
  </si>
  <si>
    <t>29/06/2023 07:00</t>
  </si>
  <si>
    <t>29/06/2023 08:00</t>
  </si>
  <si>
    <t>29/06/2023 09:00</t>
  </si>
  <si>
    <t>29/06/2023 10:00</t>
  </si>
  <si>
    <t>29/06/2023 11:00</t>
  </si>
  <si>
    <t>29/06/2023 12:00</t>
  </si>
  <si>
    <t>29/06/2023 13:00</t>
  </si>
  <si>
    <t>29/06/2023 14:00</t>
  </si>
  <si>
    <t>29/06/2023 15:00</t>
  </si>
  <si>
    <t>29/06/2023 16:00</t>
  </si>
  <si>
    <t>29/06/2023 17:00</t>
  </si>
  <si>
    <t>29/06/2023 18:00</t>
  </si>
  <si>
    <t>29/06/2023 19:00</t>
  </si>
  <si>
    <t>29/06/2023 20:00</t>
  </si>
  <si>
    <t>29/06/2023 21:00</t>
  </si>
  <si>
    <t>29/06/2023 22:00</t>
  </si>
  <si>
    <t>29/06/2023 23:00</t>
  </si>
  <si>
    <t>29/06/2023 24:00</t>
  </si>
  <si>
    <t>30/06/2023 01:00</t>
  </si>
  <si>
    <t>30/06/2023 02:00</t>
  </si>
  <si>
    <t>30/06/2023 03:00</t>
  </si>
  <si>
    <t>30/06/2023 04:00</t>
  </si>
  <si>
    <t>30/06/2023 05:00</t>
  </si>
  <si>
    <t>30/06/2023 06:00</t>
  </si>
  <si>
    <t>30/06/2023 07:00</t>
  </si>
  <si>
    <t>30/06/2023 08:00</t>
  </si>
  <si>
    <t>30/06/2023 09:00</t>
  </si>
  <si>
    <t>30/06/2023 10:00</t>
  </si>
  <si>
    <t>30/06/2023 11:00</t>
  </si>
  <si>
    <t>30/06/2023 12:00</t>
  </si>
  <si>
    <t>30/06/2023 13:00</t>
  </si>
  <si>
    <t>30/06/2023 14:00</t>
  </si>
  <si>
    <t>30/06/2023 15:00</t>
  </si>
  <si>
    <t>30/06/2023 16:00</t>
  </si>
  <si>
    <t>30/06/2023 17:00</t>
  </si>
  <si>
    <t>30/06/2023 18:00</t>
  </si>
  <si>
    <t>30/06/2023 19:00</t>
  </si>
  <si>
    <t>30/06/2023 20:00</t>
  </si>
  <si>
    <t>30/06/2023 21:00</t>
  </si>
  <si>
    <t>30/06/2023 22:00</t>
  </si>
  <si>
    <t>30/06/2023 23:00</t>
  </si>
  <si>
    <t>30/06/2023 24:00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</si>
</sst>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A9" sqref="A9:XFD32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45078.041666666664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>
        <v>45078.041666666664</v>
      </c>
      <c r="B9" s="52">
        <v>47.45</v>
      </c>
      <c r="C9" s="52">
        <v>68.260000000000005</v>
      </c>
      <c r="D9" s="52">
        <v>72.67</v>
      </c>
      <c r="E9" s="52">
        <v>6.68</v>
      </c>
      <c r="F9" s="52">
        <v>4.95</v>
      </c>
      <c r="G9" s="52">
        <v>100.58</v>
      </c>
      <c r="H9" s="52">
        <v>31.4</v>
      </c>
      <c r="I9" s="52">
        <v>7.12</v>
      </c>
      <c r="J9" s="52">
        <v>0.27</v>
      </c>
      <c r="K9" s="52">
        <v>248.6</v>
      </c>
      <c r="L9" s="52">
        <v>30.52</v>
      </c>
      <c r="M9" s="52">
        <v>44.63</v>
      </c>
      <c r="N9" s="52">
        <v>0</v>
      </c>
      <c r="O9" s="52">
        <v>0</v>
      </c>
      <c r="P9" s="52">
        <v>0.89</v>
      </c>
      <c r="Q9" s="52">
        <v>6.05</v>
      </c>
    </row>
    <row r="10" spans="1:21" customFormat="1">
      <c r="A10" s="53" t="s">
        <v>60</v>
      </c>
      <c r="B10" s="52">
        <v>30.63</v>
      </c>
      <c r="C10" s="52">
        <v>63.59</v>
      </c>
      <c r="D10" s="52">
        <v>55.72</v>
      </c>
      <c r="E10" s="52">
        <v>7.33</v>
      </c>
      <c r="F10" s="52">
        <v>5.13</v>
      </c>
      <c r="G10" s="52">
        <v>112.38</v>
      </c>
      <c r="H10" s="52">
        <v>32.99</v>
      </c>
      <c r="I10" s="52">
        <v>7.52</v>
      </c>
      <c r="J10" s="52">
        <v>0.25</v>
      </c>
      <c r="K10" s="52">
        <v>205.32</v>
      </c>
      <c r="L10" s="52">
        <v>30.65</v>
      </c>
      <c r="M10" s="52">
        <v>47.63</v>
      </c>
      <c r="N10" s="52">
        <v>0</v>
      </c>
      <c r="O10" s="52">
        <v>0</v>
      </c>
      <c r="P10" s="52">
        <v>0.85</v>
      </c>
      <c r="Q10" s="52">
        <v>6.31</v>
      </c>
    </row>
    <row r="11" spans="1:21" customFormat="1">
      <c r="A11" s="53" t="s">
        <v>61</v>
      </c>
      <c r="B11" s="52">
        <v>35.51</v>
      </c>
      <c r="C11" s="52">
        <v>62.32</v>
      </c>
      <c r="D11" s="52">
        <v>59.11</v>
      </c>
      <c r="E11" s="52">
        <v>15.82</v>
      </c>
      <c r="F11" s="52">
        <v>6.59</v>
      </c>
      <c r="G11" s="52">
        <v>112.38</v>
      </c>
      <c r="H11" s="52">
        <v>32.99</v>
      </c>
      <c r="I11" s="52">
        <v>8.9700000000000006</v>
      </c>
      <c r="J11" s="52">
        <v>0.55000000000000004</v>
      </c>
      <c r="K11" s="52">
        <v>175.87</v>
      </c>
      <c r="L11" s="52">
        <v>30.27</v>
      </c>
      <c r="M11" s="52">
        <v>48.77</v>
      </c>
      <c r="N11" s="52">
        <v>0</v>
      </c>
      <c r="O11" s="52">
        <v>0</v>
      </c>
      <c r="P11" s="52">
        <v>0.87</v>
      </c>
      <c r="Q11" s="52">
        <v>6.46</v>
      </c>
    </row>
    <row r="12" spans="1:21" customFormat="1">
      <c r="A12" s="53" t="s">
        <v>62</v>
      </c>
      <c r="B12" s="52">
        <v>38.42</v>
      </c>
      <c r="C12" s="52">
        <v>61.93</v>
      </c>
      <c r="D12" s="52">
        <v>62.12</v>
      </c>
      <c r="E12" s="52">
        <v>18.11</v>
      </c>
      <c r="F12" s="52">
        <v>6.2</v>
      </c>
      <c r="G12" s="52">
        <v>104.24</v>
      </c>
      <c r="H12" s="52">
        <v>32.56</v>
      </c>
      <c r="I12" s="52">
        <v>9.32</v>
      </c>
      <c r="J12" s="52">
        <v>0.51</v>
      </c>
      <c r="K12" s="52">
        <v>72.34</v>
      </c>
      <c r="L12" s="52">
        <v>30.16</v>
      </c>
      <c r="M12" s="52">
        <v>41.45</v>
      </c>
      <c r="N12" s="52">
        <v>0</v>
      </c>
      <c r="O12" s="52">
        <v>0</v>
      </c>
      <c r="P12" s="52">
        <v>0.85</v>
      </c>
      <c r="Q12" s="52">
        <v>6.58</v>
      </c>
    </row>
    <row r="13" spans="1:21" customFormat="1">
      <c r="A13" s="53" t="s">
        <v>63</v>
      </c>
      <c r="B13" s="52">
        <v>42.5</v>
      </c>
      <c r="C13" s="52">
        <v>64.069999999999993</v>
      </c>
      <c r="D13" s="52">
        <v>66.510000000000005</v>
      </c>
      <c r="E13" s="52">
        <v>9.69</v>
      </c>
      <c r="F13" s="52">
        <v>4.28</v>
      </c>
      <c r="G13" s="52">
        <v>104.24</v>
      </c>
      <c r="H13" s="52">
        <v>31.86</v>
      </c>
      <c r="I13" s="52">
        <v>8.1199999999999992</v>
      </c>
      <c r="J13" s="52">
        <v>0.2</v>
      </c>
      <c r="K13" s="52">
        <v>168.61</v>
      </c>
      <c r="L13" s="52">
        <v>28.58</v>
      </c>
      <c r="M13" s="52">
        <v>49.66</v>
      </c>
      <c r="N13" s="52">
        <v>0</v>
      </c>
      <c r="O13" s="52">
        <v>0</v>
      </c>
      <c r="P13" s="52">
        <v>0.85</v>
      </c>
      <c r="Q13" s="52">
        <v>6.68</v>
      </c>
    </row>
    <row r="14" spans="1:21" customFormat="1">
      <c r="A14" s="53" t="s">
        <v>64</v>
      </c>
      <c r="B14" s="52">
        <v>47</v>
      </c>
      <c r="C14" s="52">
        <v>65.31</v>
      </c>
      <c r="D14" s="52">
        <v>70.77</v>
      </c>
      <c r="E14" s="52">
        <v>9.01</v>
      </c>
      <c r="F14" s="52">
        <v>3.8</v>
      </c>
      <c r="G14" s="52">
        <v>99.78</v>
      </c>
      <c r="H14" s="52">
        <v>31.11</v>
      </c>
      <c r="I14" s="52">
        <v>8.33</v>
      </c>
      <c r="J14" s="52">
        <v>0.27</v>
      </c>
      <c r="K14" s="52">
        <v>167.93</v>
      </c>
      <c r="L14" s="52">
        <v>27.89</v>
      </c>
      <c r="M14" s="52">
        <v>51.6</v>
      </c>
      <c r="N14" s="52">
        <v>22.3</v>
      </c>
      <c r="O14" s="52">
        <v>0</v>
      </c>
      <c r="P14" s="52">
        <v>0.85</v>
      </c>
      <c r="Q14" s="52">
        <v>6.89</v>
      </c>
    </row>
    <row r="15" spans="1:21" customFormat="1">
      <c r="A15" s="53" t="s">
        <v>65</v>
      </c>
      <c r="B15" s="52">
        <v>47.95</v>
      </c>
      <c r="C15" s="52">
        <v>66.150000000000006</v>
      </c>
      <c r="D15" s="52">
        <v>71.97</v>
      </c>
      <c r="E15" s="52">
        <v>15.39</v>
      </c>
      <c r="F15" s="52">
        <v>6.69</v>
      </c>
      <c r="G15" s="52">
        <v>104.72</v>
      </c>
      <c r="H15" s="52">
        <v>33.369999999999997</v>
      </c>
      <c r="I15" s="52">
        <v>8.66</v>
      </c>
      <c r="J15" s="52">
        <v>0.32</v>
      </c>
      <c r="K15" s="52">
        <v>340.83</v>
      </c>
      <c r="L15" s="52">
        <v>30.75</v>
      </c>
      <c r="M15" s="52">
        <v>50.13</v>
      </c>
      <c r="N15" s="52">
        <v>62.9</v>
      </c>
      <c r="O15" s="52">
        <v>0</v>
      </c>
      <c r="P15" s="52">
        <v>0.93</v>
      </c>
      <c r="Q15" s="52">
        <v>7.04</v>
      </c>
    </row>
    <row r="16" spans="1:21" customFormat="1">
      <c r="A16" s="53" t="s">
        <v>66</v>
      </c>
      <c r="B16" s="52">
        <v>41.3</v>
      </c>
      <c r="C16" s="52">
        <v>62.79</v>
      </c>
      <c r="D16" s="52">
        <v>63.4</v>
      </c>
      <c r="E16" s="52">
        <v>19.53</v>
      </c>
      <c r="F16" s="52">
        <v>17.75</v>
      </c>
      <c r="G16" s="52">
        <v>123.82</v>
      </c>
      <c r="H16" s="52">
        <v>37.78</v>
      </c>
      <c r="I16" s="52">
        <v>9.2799999999999994</v>
      </c>
      <c r="J16" s="52">
        <v>0.72</v>
      </c>
      <c r="K16" s="52">
        <v>27.5</v>
      </c>
      <c r="L16" s="52">
        <v>34.21</v>
      </c>
      <c r="M16" s="52">
        <v>39.18</v>
      </c>
      <c r="N16" s="52">
        <v>92.3</v>
      </c>
      <c r="O16" s="52">
        <v>0</v>
      </c>
      <c r="P16" s="52">
        <v>0.97</v>
      </c>
      <c r="Q16" s="52">
        <v>7.01</v>
      </c>
    </row>
    <row r="17" spans="1:17" customFormat="1">
      <c r="A17" s="53" t="s">
        <v>67</v>
      </c>
      <c r="B17" s="52">
        <v>34.51</v>
      </c>
      <c r="C17" s="52">
        <v>63.45</v>
      </c>
      <c r="D17" s="52">
        <v>58.02</v>
      </c>
      <c r="E17" s="52">
        <v>22.1</v>
      </c>
      <c r="F17" s="52">
        <v>27.09</v>
      </c>
      <c r="G17" s="52">
        <v>123.82</v>
      </c>
      <c r="H17" s="52">
        <v>37.78</v>
      </c>
      <c r="I17" s="52">
        <v>9.08</v>
      </c>
      <c r="J17" s="52">
        <v>1.39</v>
      </c>
      <c r="K17" s="52">
        <v>47.31</v>
      </c>
      <c r="L17" s="52">
        <v>36.65</v>
      </c>
      <c r="M17" s="52">
        <v>32.06</v>
      </c>
      <c r="N17" s="52">
        <v>133.9</v>
      </c>
      <c r="O17" s="52">
        <v>0</v>
      </c>
      <c r="P17" s="52">
        <v>0.9</v>
      </c>
      <c r="Q17" s="52">
        <v>6.77</v>
      </c>
    </row>
    <row r="18" spans="1:17" customFormat="1">
      <c r="A18" s="53" t="s">
        <v>68</v>
      </c>
      <c r="B18" s="52">
        <v>25.12</v>
      </c>
      <c r="C18" s="52">
        <v>58.97</v>
      </c>
      <c r="D18" s="52">
        <v>48.31</v>
      </c>
      <c r="E18" s="52">
        <v>16.600000000000001</v>
      </c>
      <c r="F18" s="52">
        <v>26.89</v>
      </c>
      <c r="G18" s="52">
        <v>109.24</v>
      </c>
      <c r="H18" s="52">
        <v>35.46</v>
      </c>
      <c r="I18" s="52">
        <v>7.93</v>
      </c>
      <c r="J18" s="52">
        <v>1.41</v>
      </c>
      <c r="K18" s="52">
        <v>42.73</v>
      </c>
      <c r="L18" s="52">
        <v>38.369999999999997</v>
      </c>
      <c r="M18" s="52">
        <v>25.29</v>
      </c>
      <c r="N18" s="52">
        <v>173</v>
      </c>
      <c r="O18" s="52">
        <v>0</v>
      </c>
      <c r="P18" s="52">
        <v>0.84</v>
      </c>
      <c r="Q18" s="52">
        <v>6.31</v>
      </c>
    </row>
    <row r="19" spans="1:17" customFormat="1">
      <c r="A19" s="53" t="s">
        <v>69</v>
      </c>
      <c r="B19" s="52">
        <v>18.59</v>
      </c>
      <c r="C19" s="52">
        <v>56.18</v>
      </c>
      <c r="D19" s="52">
        <v>43.22</v>
      </c>
      <c r="E19" s="52">
        <v>13.59</v>
      </c>
      <c r="F19" s="52">
        <v>27.72</v>
      </c>
      <c r="G19" s="52">
        <v>101.61</v>
      </c>
      <c r="H19" s="52">
        <v>35.270000000000003</v>
      </c>
      <c r="I19" s="52">
        <v>7.64</v>
      </c>
      <c r="J19" s="52">
        <v>1.47</v>
      </c>
      <c r="K19" s="52">
        <v>40.07</v>
      </c>
      <c r="L19" s="52">
        <v>39.369999999999997</v>
      </c>
      <c r="M19" s="52">
        <v>19.57</v>
      </c>
      <c r="N19" s="52">
        <v>213.4</v>
      </c>
      <c r="O19" s="52">
        <v>0</v>
      </c>
      <c r="P19" s="52">
        <v>0.78</v>
      </c>
      <c r="Q19" s="52">
        <v>5.89</v>
      </c>
    </row>
    <row r="20" spans="1:17" customFormat="1">
      <c r="A20" s="53" t="s">
        <v>70</v>
      </c>
      <c r="B20" s="52">
        <v>13.96</v>
      </c>
      <c r="C20" s="52">
        <v>50.88</v>
      </c>
      <c r="D20" s="52">
        <v>36.340000000000003</v>
      </c>
      <c r="E20" s="52">
        <v>13.37</v>
      </c>
      <c r="F20" s="52">
        <v>32.53</v>
      </c>
      <c r="G20" s="52">
        <v>91.87</v>
      </c>
      <c r="H20" s="52">
        <v>32.340000000000003</v>
      </c>
      <c r="I20" s="52">
        <v>6.82</v>
      </c>
      <c r="J20" s="52">
        <v>1.31</v>
      </c>
      <c r="K20" s="52">
        <v>53.61</v>
      </c>
      <c r="L20" s="52">
        <v>40.590000000000003</v>
      </c>
      <c r="M20" s="52">
        <v>15.75</v>
      </c>
      <c r="N20" s="52">
        <v>756.2</v>
      </c>
      <c r="O20" s="52">
        <v>0</v>
      </c>
      <c r="P20" s="52">
        <v>0.72</v>
      </c>
      <c r="Q20" s="52">
        <v>5.54</v>
      </c>
    </row>
    <row r="21" spans="1:17" customFormat="1">
      <c r="A21" s="53" t="s">
        <v>71</v>
      </c>
      <c r="B21" s="52">
        <v>9.14</v>
      </c>
      <c r="C21" s="52">
        <v>51.62</v>
      </c>
      <c r="D21" s="52">
        <v>32.11</v>
      </c>
      <c r="E21" s="52">
        <v>13.23</v>
      </c>
      <c r="F21" s="52">
        <v>32.03</v>
      </c>
      <c r="G21" s="52">
        <v>89.94</v>
      </c>
      <c r="H21" s="52">
        <v>32.24</v>
      </c>
      <c r="I21" s="52">
        <v>6.55</v>
      </c>
      <c r="J21" s="52">
        <v>1.36</v>
      </c>
      <c r="K21" s="52">
        <v>304.18</v>
      </c>
      <c r="L21" s="52">
        <v>41.45</v>
      </c>
      <c r="M21" s="52">
        <v>13.37</v>
      </c>
      <c r="N21" s="52">
        <v>782.6</v>
      </c>
      <c r="O21" s="52">
        <v>0</v>
      </c>
      <c r="P21" s="52">
        <v>0.67</v>
      </c>
      <c r="Q21" s="52">
        <v>5.26</v>
      </c>
    </row>
    <row r="22" spans="1:17" customFormat="1">
      <c r="A22" s="53" t="s">
        <v>72</v>
      </c>
      <c r="B22" s="52">
        <v>7.57</v>
      </c>
      <c r="C22" s="52">
        <v>55.88</v>
      </c>
      <c r="D22" s="52">
        <v>34.159999999999997</v>
      </c>
      <c r="E22" s="52">
        <v>13.59</v>
      </c>
      <c r="F22" s="52">
        <v>29.46</v>
      </c>
      <c r="G22" s="52">
        <v>89.94</v>
      </c>
      <c r="H22" s="52">
        <v>30.56</v>
      </c>
      <c r="I22" s="52">
        <v>6.36</v>
      </c>
      <c r="J22" s="52">
        <v>1.07</v>
      </c>
      <c r="K22" s="52">
        <v>337.83</v>
      </c>
      <c r="L22" s="52">
        <v>42</v>
      </c>
      <c r="M22" s="52">
        <v>11.02</v>
      </c>
      <c r="N22" s="52">
        <v>748.4</v>
      </c>
      <c r="O22" s="52">
        <v>0</v>
      </c>
      <c r="P22" s="52">
        <v>0.65</v>
      </c>
      <c r="Q22" s="52">
        <v>5.47</v>
      </c>
    </row>
    <row r="23" spans="1:17" customFormat="1">
      <c r="A23" s="53" t="s">
        <v>73</v>
      </c>
      <c r="B23" s="52">
        <v>5.96</v>
      </c>
      <c r="C23" s="52">
        <v>65.56</v>
      </c>
      <c r="D23" s="52">
        <v>34.729999999999997</v>
      </c>
      <c r="E23" s="52">
        <v>14.53</v>
      </c>
      <c r="F23" s="52">
        <v>39.85</v>
      </c>
      <c r="G23" s="52">
        <v>88.8</v>
      </c>
      <c r="H23" s="52">
        <v>30.56</v>
      </c>
      <c r="I23" s="52">
        <v>6.14</v>
      </c>
      <c r="J23" s="52">
        <v>1.07</v>
      </c>
      <c r="K23" s="52">
        <v>347.09</v>
      </c>
      <c r="L23" s="52">
        <v>42.14</v>
      </c>
      <c r="M23" s="52">
        <v>11.36</v>
      </c>
      <c r="N23" s="52">
        <v>693.5</v>
      </c>
      <c r="O23" s="52">
        <v>0</v>
      </c>
      <c r="P23" s="52">
        <v>0.54</v>
      </c>
      <c r="Q23" s="52">
        <v>5.54</v>
      </c>
    </row>
    <row r="24" spans="1:17" customFormat="1">
      <c r="A24" s="53" t="s">
        <v>74</v>
      </c>
      <c r="B24" s="52">
        <v>3.48</v>
      </c>
      <c r="C24" s="52">
        <v>67.66</v>
      </c>
      <c r="D24" s="52">
        <v>35.82</v>
      </c>
      <c r="E24" s="52">
        <v>8.61</v>
      </c>
      <c r="F24" s="52">
        <v>35.979999999999997</v>
      </c>
      <c r="G24" s="52">
        <v>86.94</v>
      </c>
      <c r="H24" s="52">
        <v>24.18</v>
      </c>
      <c r="I24" s="52">
        <v>4.57</v>
      </c>
      <c r="J24" s="52">
        <v>1.1000000000000001</v>
      </c>
      <c r="K24" s="52">
        <v>316.14999999999998</v>
      </c>
      <c r="L24" s="52">
        <v>42.44</v>
      </c>
      <c r="M24" s="52">
        <v>10.35</v>
      </c>
      <c r="N24" s="52">
        <v>590.79999999999995</v>
      </c>
      <c r="O24" s="52">
        <v>0</v>
      </c>
      <c r="P24" s="52">
        <v>0.48</v>
      </c>
      <c r="Q24" s="52">
        <v>5.55</v>
      </c>
    </row>
    <row r="25" spans="1:17" customFormat="1">
      <c r="A25" s="53" t="s">
        <v>75</v>
      </c>
      <c r="B25" s="52">
        <v>6.39</v>
      </c>
      <c r="C25" s="52">
        <v>58.46</v>
      </c>
      <c r="D25" s="52">
        <v>34.549999999999997</v>
      </c>
      <c r="E25" s="52">
        <v>8.89</v>
      </c>
      <c r="F25" s="52">
        <v>40.770000000000003</v>
      </c>
      <c r="G25" s="52">
        <v>73.989999999999995</v>
      </c>
      <c r="H25" s="52">
        <v>23.79</v>
      </c>
      <c r="I25" s="52">
        <v>4.32</v>
      </c>
      <c r="J25" s="52">
        <v>0.92</v>
      </c>
      <c r="K25" s="52">
        <v>59.58</v>
      </c>
      <c r="L25" s="52">
        <v>42.24</v>
      </c>
      <c r="M25" s="52">
        <v>11.65</v>
      </c>
      <c r="N25" s="52">
        <v>270.2</v>
      </c>
      <c r="O25" s="52">
        <v>0</v>
      </c>
      <c r="P25" s="52">
        <v>0.41</v>
      </c>
      <c r="Q25" s="52">
        <v>5.46</v>
      </c>
    </row>
    <row r="26" spans="1:17" customFormat="1">
      <c r="A26" s="53" t="s">
        <v>76</v>
      </c>
      <c r="B26" s="52">
        <v>8.2100000000000009</v>
      </c>
      <c r="C26" s="52">
        <v>56.52</v>
      </c>
      <c r="D26" s="52">
        <v>35.07</v>
      </c>
      <c r="E26" s="52">
        <v>10.97</v>
      </c>
      <c r="F26" s="52">
        <v>51.75</v>
      </c>
      <c r="G26" s="52">
        <v>71.849999999999994</v>
      </c>
      <c r="H26" s="52">
        <v>19.41</v>
      </c>
      <c r="I26" s="52">
        <v>3.59</v>
      </c>
      <c r="J26" s="52">
        <v>0.44</v>
      </c>
      <c r="K26" s="52">
        <v>294.58999999999997</v>
      </c>
      <c r="L26" s="52">
        <v>40.64</v>
      </c>
      <c r="M26" s="52">
        <v>13.83</v>
      </c>
      <c r="N26" s="52">
        <v>127.9</v>
      </c>
      <c r="O26" s="52">
        <v>0</v>
      </c>
      <c r="P26" s="52">
        <v>0.5</v>
      </c>
      <c r="Q26" s="52">
        <v>5.19</v>
      </c>
    </row>
    <row r="27" spans="1:17" customFormat="1">
      <c r="A27" s="53" t="s">
        <v>77</v>
      </c>
      <c r="B27" s="52">
        <v>9.94</v>
      </c>
      <c r="C27" s="52">
        <v>66.91</v>
      </c>
      <c r="D27" s="52">
        <v>41.03</v>
      </c>
      <c r="E27" s="52">
        <v>12.85</v>
      </c>
      <c r="F27" s="52">
        <v>28.92</v>
      </c>
      <c r="G27" s="52">
        <v>68.37</v>
      </c>
      <c r="H27" s="52">
        <v>19.260000000000002</v>
      </c>
      <c r="I27" s="52">
        <v>4.43</v>
      </c>
      <c r="J27" s="52">
        <v>0.5</v>
      </c>
      <c r="K27" s="52">
        <v>300.77999999999997</v>
      </c>
      <c r="L27" s="52">
        <v>39.25</v>
      </c>
      <c r="M27" s="52">
        <v>14.16</v>
      </c>
      <c r="N27" s="52">
        <v>27.9</v>
      </c>
      <c r="O27" s="52">
        <v>0</v>
      </c>
      <c r="P27" s="52">
        <v>0.59</v>
      </c>
      <c r="Q27" s="52">
        <v>5.47</v>
      </c>
    </row>
    <row r="28" spans="1:17" customFormat="1">
      <c r="A28" s="53" t="s">
        <v>78</v>
      </c>
      <c r="B28" s="52">
        <v>14.73</v>
      </c>
      <c r="C28" s="52">
        <v>72.67</v>
      </c>
      <c r="D28" s="52">
        <v>47.22</v>
      </c>
      <c r="E28" s="52">
        <v>21.72</v>
      </c>
      <c r="F28" s="52">
        <v>13.51</v>
      </c>
      <c r="G28" s="52">
        <v>77.97</v>
      </c>
      <c r="H28" s="52">
        <v>21.53</v>
      </c>
      <c r="I28" s="52">
        <v>6.22</v>
      </c>
      <c r="J28" s="52">
        <v>0.21</v>
      </c>
      <c r="K28" s="52">
        <v>252.79</v>
      </c>
      <c r="L28" s="52">
        <v>36.65</v>
      </c>
      <c r="M28" s="52">
        <v>19.23</v>
      </c>
      <c r="N28" s="52">
        <v>0</v>
      </c>
      <c r="O28" s="52">
        <v>0</v>
      </c>
      <c r="P28" s="52">
        <v>0.74</v>
      </c>
      <c r="Q28" s="52">
        <v>5.66</v>
      </c>
    </row>
    <row r="29" spans="1:17" customFormat="1">
      <c r="A29" s="53" t="s">
        <v>79</v>
      </c>
      <c r="B29" s="52">
        <v>35.47</v>
      </c>
      <c r="C29" s="52">
        <v>74.319999999999993</v>
      </c>
      <c r="D29" s="52">
        <v>66.23</v>
      </c>
      <c r="E29" s="52">
        <v>35.07</v>
      </c>
      <c r="F29" s="52">
        <v>6.85</v>
      </c>
      <c r="G29" s="52">
        <v>85.93</v>
      </c>
      <c r="H29" s="52">
        <v>22.47</v>
      </c>
      <c r="I29" s="52">
        <v>9.23</v>
      </c>
      <c r="J29" s="52">
        <v>0.28000000000000003</v>
      </c>
      <c r="K29" s="52">
        <v>197.03</v>
      </c>
      <c r="L29" s="52">
        <v>34.21</v>
      </c>
      <c r="M29" s="52">
        <v>25.63</v>
      </c>
      <c r="N29" s="52">
        <v>0</v>
      </c>
      <c r="O29" s="52">
        <v>0</v>
      </c>
      <c r="P29" s="52">
        <v>0.95</v>
      </c>
      <c r="Q29" s="52">
        <v>5.92</v>
      </c>
    </row>
    <row r="30" spans="1:17" customFormat="1">
      <c r="A30" s="53" t="s">
        <v>80</v>
      </c>
      <c r="B30" s="52">
        <v>32.26</v>
      </c>
      <c r="C30" s="52">
        <v>70.62</v>
      </c>
      <c r="D30" s="52">
        <v>60.6</v>
      </c>
      <c r="E30" s="52">
        <v>26.01</v>
      </c>
      <c r="F30" s="52">
        <v>4.41</v>
      </c>
      <c r="G30" s="52">
        <v>109.07</v>
      </c>
      <c r="H30" s="52">
        <v>30.86</v>
      </c>
      <c r="I30" s="52">
        <v>9.49</v>
      </c>
      <c r="J30" s="52">
        <v>0.23</v>
      </c>
      <c r="K30" s="52">
        <v>176.21</v>
      </c>
      <c r="L30" s="52">
        <v>32.07</v>
      </c>
      <c r="M30" s="52">
        <v>27.93</v>
      </c>
      <c r="N30" s="52">
        <v>0</v>
      </c>
      <c r="O30" s="52">
        <v>0</v>
      </c>
      <c r="P30" s="52">
        <v>0.95</v>
      </c>
      <c r="Q30" s="52">
        <v>6.1</v>
      </c>
    </row>
    <row r="31" spans="1:17" customFormat="1">
      <c r="A31" s="53" t="s">
        <v>81</v>
      </c>
      <c r="B31" s="52">
        <v>34.54</v>
      </c>
      <c r="C31" s="52">
        <v>67.06</v>
      </c>
      <c r="D31" s="52">
        <v>61.14</v>
      </c>
      <c r="E31" s="52">
        <v>13.29</v>
      </c>
      <c r="F31" s="52">
        <v>4.16</v>
      </c>
      <c r="G31" s="52">
        <v>124.73</v>
      </c>
      <c r="H31" s="52">
        <v>33.51</v>
      </c>
      <c r="I31" s="52">
        <v>9.1199999999999992</v>
      </c>
      <c r="J31" s="52">
        <v>0.25</v>
      </c>
      <c r="K31" s="52">
        <v>188.01</v>
      </c>
      <c r="L31" s="52">
        <v>30.87</v>
      </c>
      <c r="M31" s="52">
        <v>33.54</v>
      </c>
      <c r="N31" s="52">
        <v>0</v>
      </c>
      <c r="O31" s="52">
        <v>0</v>
      </c>
      <c r="P31" s="52">
        <v>0.95</v>
      </c>
      <c r="Q31" s="52">
        <v>6.28</v>
      </c>
    </row>
    <row r="32" spans="1:17" customFormat="1">
      <c r="A32" s="53" t="s">
        <v>82</v>
      </c>
      <c r="B32" s="52">
        <v>44.93</v>
      </c>
      <c r="C32" s="52">
        <v>66.989999999999995</v>
      </c>
      <c r="D32" s="52">
        <v>69.989999999999995</v>
      </c>
      <c r="E32" s="52">
        <v>20.04</v>
      </c>
      <c r="F32" s="52">
        <v>4.08</v>
      </c>
      <c r="G32" s="52">
        <v>132.13</v>
      </c>
      <c r="H32" s="52">
        <v>35.92</v>
      </c>
      <c r="I32" s="52">
        <v>9.44</v>
      </c>
      <c r="J32" s="52">
        <v>0.28999999999999998</v>
      </c>
      <c r="K32" s="52">
        <v>237.9</v>
      </c>
      <c r="L32" s="52">
        <v>30.28</v>
      </c>
      <c r="M32" s="52">
        <v>35.58</v>
      </c>
      <c r="N32" s="52">
        <v>0</v>
      </c>
      <c r="O32" s="52">
        <v>0</v>
      </c>
      <c r="P32" s="52">
        <v>1.04</v>
      </c>
      <c r="Q32" s="52">
        <v>6.57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3.48</v>
      </c>
      <c r="C34" s="41">
        <f t="shared" si="0"/>
        <v>50.88</v>
      </c>
      <c r="D34" s="41">
        <f t="shared" si="0"/>
        <v>32.11</v>
      </c>
      <c r="E34" s="41">
        <f t="shared" si="0"/>
        <v>6.68</v>
      </c>
      <c r="F34" s="41">
        <f t="shared" si="0"/>
        <v>3.8</v>
      </c>
      <c r="G34" s="41">
        <f t="shared" si="0"/>
        <v>68.37</v>
      </c>
      <c r="H34" s="41">
        <f t="shared" si="0"/>
        <v>19.260000000000002</v>
      </c>
      <c r="I34" s="41">
        <f t="shared" si="0"/>
        <v>3.59</v>
      </c>
      <c r="J34" s="41">
        <f t="shared" si="0"/>
        <v>0.2</v>
      </c>
      <c r="K34" s="41">
        <f t="shared" si="0"/>
        <v>27.5</v>
      </c>
      <c r="L34" s="41">
        <f t="shared" si="0"/>
        <v>27.89</v>
      </c>
      <c r="M34" s="41">
        <f t="shared" si="0"/>
        <v>10.35</v>
      </c>
      <c r="N34" s="41">
        <f t="shared" si="0"/>
        <v>0</v>
      </c>
      <c r="O34" s="41">
        <f t="shared" si="0"/>
        <v>0</v>
      </c>
      <c r="P34" s="41">
        <f t="shared" si="0"/>
        <v>0.41</v>
      </c>
      <c r="Q34" s="41">
        <f t="shared" si="0"/>
        <v>5.19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47.95</v>
      </c>
      <c r="C35" s="33">
        <f t="shared" si="1"/>
        <v>74.319999999999993</v>
      </c>
      <c r="D35" s="33">
        <f t="shared" si="1"/>
        <v>72.67</v>
      </c>
      <c r="E35" s="33">
        <f t="shared" si="1"/>
        <v>35.07</v>
      </c>
      <c r="F35" s="33">
        <f t="shared" si="1"/>
        <v>51.75</v>
      </c>
      <c r="G35" s="33">
        <f t="shared" si="1"/>
        <v>132.13</v>
      </c>
      <c r="H35" s="33">
        <f t="shared" si="1"/>
        <v>37.78</v>
      </c>
      <c r="I35" s="33">
        <f t="shared" si="1"/>
        <v>9.49</v>
      </c>
      <c r="J35" s="33">
        <f t="shared" si="1"/>
        <v>1.47</v>
      </c>
      <c r="K35" s="33">
        <f t="shared" si="1"/>
        <v>347.09</v>
      </c>
      <c r="L35" s="33">
        <f t="shared" si="1"/>
        <v>42.44</v>
      </c>
      <c r="M35" s="33">
        <f t="shared" si="1"/>
        <v>51.6</v>
      </c>
      <c r="N35" s="33">
        <f t="shared" si="1"/>
        <v>782.6</v>
      </c>
      <c r="O35" s="33">
        <f t="shared" si="1"/>
        <v>0</v>
      </c>
      <c r="P35" s="33">
        <f t="shared" si="1"/>
        <v>1.04</v>
      </c>
      <c r="Q35" s="33">
        <f t="shared" si="1"/>
        <v>7.04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26.481666666666658</v>
      </c>
      <c r="C36" s="41">
        <f t="shared" si="2"/>
        <v>63.257083333333327</v>
      </c>
      <c r="D36" s="41">
        <f t="shared" si="2"/>
        <v>52.533749999999998</v>
      </c>
      <c r="E36" s="41">
        <f t="shared" si="2"/>
        <v>15.250833333333334</v>
      </c>
      <c r="F36" s="41">
        <f t="shared" si="2"/>
        <v>19.224583333333339</v>
      </c>
      <c r="G36" s="41">
        <f t="shared" si="2"/>
        <v>99.514166666666668</v>
      </c>
      <c r="H36" s="41">
        <f t="shared" si="2"/>
        <v>30.383333333333326</v>
      </c>
      <c r="I36" s="41">
        <f t="shared" si="2"/>
        <v>7.427083333333333</v>
      </c>
      <c r="J36" s="41">
        <f t="shared" si="2"/>
        <v>0.68291666666666673</v>
      </c>
      <c r="K36" s="41">
        <f t="shared" si="2"/>
        <v>191.78583333333333</v>
      </c>
      <c r="L36" s="41">
        <f t="shared" si="2"/>
        <v>35.510416666666664</v>
      </c>
      <c r="M36" s="41">
        <f t="shared" si="2"/>
        <v>28.890416666666667</v>
      </c>
      <c r="N36" s="41">
        <f t="shared" si="2"/>
        <v>195.63749999999996</v>
      </c>
      <c r="O36" s="41">
        <f t="shared" si="2"/>
        <v>0</v>
      </c>
      <c r="P36" s="41">
        <f t="shared" si="2"/>
        <v>0.78208333333333335</v>
      </c>
      <c r="Q36" s="41">
        <f t="shared" si="2"/>
        <v>6.083333333333333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15.606114650762823</v>
      </c>
      <c r="C37" s="41">
        <f t="shared" ref="C37:Q37" si="3">STDEV(C9:C32)</f>
        <v>6.0892353194275133</v>
      </c>
      <c r="D37" s="41">
        <f t="shared" si="3"/>
        <v>14.360094408221798</v>
      </c>
      <c r="E37" s="41">
        <f t="shared" si="3"/>
        <v>6.5312911811336001</v>
      </c>
      <c r="F37" s="41">
        <f t="shared" si="3"/>
        <v>14.999468680203496</v>
      </c>
      <c r="G37" s="41">
        <f t="shared" si="3"/>
        <v>17.47744457409534</v>
      </c>
      <c r="H37" s="41">
        <f t="shared" si="3"/>
        <v>5.5370590739494716</v>
      </c>
      <c r="I37" s="41">
        <f t="shared" si="3"/>
        <v>1.825930326702256</v>
      </c>
      <c r="J37" s="41">
        <f t="shared" si="3"/>
        <v>0.46612630464720389</v>
      </c>
      <c r="K37" s="41">
        <f t="shared" si="3"/>
        <v>108.9573909505621</v>
      </c>
      <c r="L37" s="41">
        <f t="shared" si="3"/>
        <v>5.1241563285784402</v>
      </c>
      <c r="M37" s="41">
        <f t="shared" si="3"/>
        <v>14.835430703780279</v>
      </c>
      <c r="N37" s="41">
        <f t="shared" si="3"/>
        <v>283.78876990450675</v>
      </c>
      <c r="O37" s="41">
        <f t="shared" si="3"/>
        <v>0</v>
      </c>
      <c r="P37" s="41">
        <f t="shared" si="3"/>
        <v>0.17492803903485499</v>
      </c>
      <c r="Q37" s="41">
        <f t="shared" si="3"/>
        <v>0.58067926241351109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02/06/2023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83</v>
      </c>
      <c r="B9" s="52">
        <v>54.09</v>
      </c>
      <c r="C9" s="52">
        <v>67.02</v>
      </c>
      <c r="D9" s="52">
        <v>77.349999999999994</v>
      </c>
      <c r="E9" s="52">
        <v>23.65</v>
      </c>
      <c r="F9" s="52">
        <v>3.99</v>
      </c>
      <c r="G9" s="52">
        <v>132.13</v>
      </c>
      <c r="H9" s="52">
        <v>40.07</v>
      </c>
      <c r="I9" s="52">
        <v>11.06</v>
      </c>
      <c r="J9" s="52">
        <v>0.2</v>
      </c>
      <c r="K9" s="52">
        <v>212.43</v>
      </c>
      <c r="L9" s="52">
        <v>29.84</v>
      </c>
      <c r="M9" s="52">
        <v>35.22</v>
      </c>
      <c r="N9" s="52">
        <v>0</v>
      </c>
      <c r="O9" s="52">
        <v>0</v>
      </c>
      <c r="P9" s="52">
        <v>1.1499999999999999</v>
      </c>
      <c r="Q9" s="52">
        <v>6.91</v>
      </c>
    </row>
    <row r="10" spans="1:21" customFormat="1">
      <c r="A10" s="53" t="s">
        <v>84</v>
      </c>
      <c r="B10" s="52">
        <v>56.98</v>
      </c>
      <c r="C10" s="52">
        <v>65.739999999999995</v>
      </c>
      <c r="D10" s="52">
        <v>79</v>
      </c>
      <c r="E10" s="52">
        <v>28.48</v>
      </c>
      <c r="F10" s="52">
        <v>3.89</v>
      </c>
      <c r="G10" s="52">
        <v>149.04</v>
      </c>
      <c r="H10" s="52">
        <v>43.81</v>
      </c>
      <c r="I10" s="52">
        <v>11.63</v>
      </c>
      <c r="J10" s="52">
        <v>0.22</v>
      </c>
      <c r="K10" s="52">
        <v>193.74</v>
      </c>
      <c r="L10" s="52">
        <v>29.97</v>
      </c>
      <c r="M10" s="52">
        <v>37.74</v>
      </c>
      <c r="N10" s="52">
        <v>0</v>
      </c>
      <c r="O10" s="52">
        <v>0</v>
      </c>
      <c r="P10" s="52">
        <v>1.18</v>
      </c>
      <c r="Q10" s="52">
        <v>7.25</v>
      </c>
    </row>
    <row r="11" spans="1:21" customFormat="1">
      <c r="A11" s="53" t="s">
        <v>85</v>
      </c>
      <c r="B11" s="52">
        <v>70.25</v>
      </c>
      <c r="C11" s="52">
        <v>64.92</v>
      </c>
      <c r="D11" s="52">
        <v>89.2</v>
      </c>
      <c r="E11" s="52">
        <v>27.48</v>
      </c>
      <c r="F11" s="52">
        <v>4.4800000000000004</v>
      </c>
      <c r="G11" s="52">
        <v>150.46</v>
      </c>
      <c r="H11" s="52">
        <v>43.81</v>
      </c>
      <c r="I11" s="52">
        <v>11.66</v>
      </c>
      <c r="J11" s="52">
        <v>0.28999999999999998</v>
      </c>
      <c r="K11" s="52">
        <v>212.11</v>
      </c>
      <c r="L11" s="52">
        <v>29.89</v>
      </c>
      <c r="M11" s="52">
        <v>35.950000000000003</v>
      </c>
      <c r="N11" s="52">
        <v>0</v>
      </c>
      <c r="O11" s="52">
        <v>0</v>
      </c>
      <c r="P11" s="52">
        <v>1.1299999999999999</v>
      </c>
      <c r="Q11" s="52">
        <v>7.53</v>
      </c>
    </row>
    <row r="12" spans="1:21" customFormat="1">
      <c r="A12" s="53" t="s">
        <v>86</v>
      </c>
      <c r="B12" s="52">
        <v>54.26</v>
      </c>
      <c r="C12" s="52">
        <v>62.72</v>
      </c>
      <c r="D12" s="52">
        <v>74.77</v>
      </c>
      <c r="E12" s="52">
        <v>23.31</v>
      </c>
      <c r="F12" s="52">
        <v>4.38</v>
      </c>
      <c r="G12" s="52">
        <v>150.46</v>
      </c>
      <c r="H12" s="52">
        <v>42.76</v>
      </c>
      <c r="I12" s="52">
        <v>11.21</v>
      </c>
      <c r="J12" s="52">
        <v>0.37</v>
      </c>
      <c r="K12" s="52">
        <v>163.06</v>
      </c>
      <c r="L12" s="52">
        <v>29.35</v>
      </c>
      <c r="M12" s="52">
        <v>37.54</v>
      </c>
      <c r="N12" s="52">
        <v>0</v>
      </c>
      <c r="O12" s="52">
        <v>0</v>
      </c>
      <c r="P12" s="52">
        <v>1.07</v>
      </c>
      <c r="Q12" s="52">
        <v>7.55</v>
      </c>
    </row>
    <row r="13" spans="1:21" customFormat="1">
      <c r="A13" s="53" t="s">
        <v>87</v>
      </c>
      <c r="B13" s="52">
        <v>57.14</v>
      </c>
      <c r="C13" s="52">
        <v>64.569999999999993</v>
      </c>
      <c r="D13" s="52">
        <v>78.510000000000005</v>
      </c>
      <c r="E13" s="52">
        <v>20.68</v>
      </c>
      <c r="F13" s="52">
        <v>4.46</v>
      </c>
      <c r="G13" s="52">
        <v>144.41999999999999</v>
      </c>
      <c r="H13" s="52">
        <v>50.1</v>
      </c>
      <c r="I13" s="52">
        <v>10.98</v>
      </c>
      <c r="J13" s="52">
        <v>0.6</v>
      </c>
      <c r="K13" s="52">
        <v>69.67</v>
      </c>
      <c r="L13" s="52">
        <v>29.31</v>
      </c>
      <c r="M13" s="52">
        <v>29.29</v>
      </c>
      <c r="N13" s="52">
        <v>0</v>
      </c>
      <c r="O13" s="52">
        <v>0</v>
      </c>
      <c r="P13" s="52">
        <v>1.07</v>
      </c>
      <c r="Q13" s="52">
        <v>7.51</v>
      </c>
    </row>
    <row r="14" spans="1:21" customFormat="1">
      <c r="A14" s="53" t="s">
        <v>88</v>
      </c>
      <c r="B14" s="52">
        <v>58.71</v>
      </c>
      <c r="C14" s="52">
        <v>64.63</v>
      </c>
      <c r="D14" s="52">
        <v>79.8</v>
      </c>
      <c r="E14" s="52">
        <v>7.88</v>
      </c>
      <c r="F14" s="52">
        <v>4.05</v>
      </c>
      <c r="G14" s="52">
        <v>137.79</v>
      </c>
      <c r="H14" s="52">
        <v>77.510000000000005</v>
      </c>
      <c r="I14" s="52">
        <v>10.75</v>
      </c>
      <c r="J14" s="52">
        <v>0.21</v>
      </c>
      <c r="K14" s="52">
        <v>238.09</v>
      </c>
      <c r="L14" s="52">
        <v>28.16</v>
      </c>
      <c r="M14" s="52">
        <v>41.95</v>
      </c>
      <c r="N14" s="52">
        <v>21.7</v>
      </c>
      <c r="O14" s="52">
        <v>0</v>
      </c>
      <c r="P14" s="52">
        <v>1.07</v>
      </c>
      <c r="Q14" s="52">
        <v>7.47</v>
      </c>
    </row>
    <row r="15" spans="1:21" customFormat="1">
      <c r="A15" s="53" t="s">
        <v>89</v>
      </c>
      <c r="B15" s="52">
        <v>53.38</v>
      </c>
      <c r="C15" s="52">
        <v>62.1</v>
      </c>
      <c r="D15" s="52">
        <v>74.209999999999994</v>
      </c>
      <c r="E15" s="52">
        <v>11.76</v>
      </c>
      <c r="F15" s="52">
        <v>4.8899999999999997</v>
      </c>
      <c r="G15" s="52">
        <v>136.69999999999999</v>
      </c>
      <c r="H15" s="52">
        <v>85.9</v>
      </c>
      <c r="I15" s="52">
        <v>10.54</v>
      </c>
      <c r="J15" s="52">
        <v>0.21</v>
      </c>
      <c r="K15" s="52">
        <v>320.07</v>
      </c>
      <c r="L15" s="52">
        <v>30.51</v>
      </c>
      <c r="M15" s="52">
        <v>42.41</v>
      </c>
      <c r="N15" s="52">
        <v>61.6</v>
      </c>
      <c r="O15" s="52">
        <v>0</v>
      </c>
      <c r="P15" s="52">
        <v>1.04</v>
      </c>
      <c r="Q15" s="52">
        <v>7.35</v>
      </c>
    </row>
    <row r="16" spans="1:21" customFormat="1">
      <c r="A16" s="53" t="s">
        <v>90</v>
      </c>
      <c r="B16" s="52">
        <v>49.44</v>
      </c>
      <c r="C16" s="52">
        <v>61.33</v>
      </c>
      <c r="D16" s="52">
        <v>70.650000000000006</v>
      </c>
      <c r="E16" s="52">
        <v>12.96</v>
      </c>
      <c r="F16" s="52">
        <v>14.85</v>
      </c>
      <c r="G16" s="52">
        <v>128.29</v>
      </c>
      <c r="H16" s="52">
        <v>85.9</v>
      </c>
      <c r="I16" s="52">
        <v>10.33</v>
      </c>
      <c r="J16" s="52">
        <v>0.43</v>
      </c>
      <c r="K16" s="52">
        <v>296.79000000000002</v>
      </c>
      <c r="L16" s="52">
        <v>35.4</v>
      </c>
      <c r="M16" s="52">
        <v>29.02</v>
      </c>
      <c r="N16" s="52">
        <v>86.9</v>
      </c>
      <c r="O16" s="52">
        <v>0</v>
      </c>
      <c r="P16" s="52">
        <v>1</v>
      </c>
      <c r="Q16" s="52">
        <v>7.27</v>
      </c>
    </row>
    <row r="17" spans="1:17" customFormat="1">
      <c r="A17" s="53" t="s">
        <v>91</v>
      </c>
      <c r="B17" s="52">
        <v>36.549999999999997</v>
      </c>
      <c r="C17" s="52">
        <v>63.6</v>
      </c>
      <c r="D17" s="52">
        <v>59.4</v>
      </c>
      <c r="E17" s="52">
        <v>41.59</v>
      </c>
      <c r="F17" s="52">
        <v>26.64</v>
      </c>
      <c r="G17" s="52">
        <v>115.95</v>
      </c>
      <c r="H17" s="52">
        <v>85.51</v>
      </c>
      <c r="I17" s="52">
        <v>9.48</v>
      </c>
      <c r="J17" s="52">
        <v>0.8</v>
      </c>
      <c r="K17" s="52">
        <v>335.27</v>
      </c>
      <c r="L17" s="52">
        <v>36.950000000000003</v>
      </c>
      <c r="M17" s="52">
        <v>23.53</v>
      </c>
      <c r="N17" s="52">
        <v>120.5</v>
      </c>
      <c r="O17" s="52">
        <v>0</v>
      </c>
      <c r="P17" s="52">
        <v>0.95</v>
      </c>
      <c r="Q17" s="52">
        <v>6.96</v>
      </c>
    </row>
    <row r="18" spans="1:17" customFormat="1">
      <c r="A18" s="53" t="s">
        <v>92</v>
      </c>
      <c r="B18" s="52">
        <v>24.89</v>
      </c>
      <c r="C18" s="52">
        <v>65.66</v>
      </c>
      <c r="D18" s="52">
        <v>52.03</v>
      </c>
      <c r="E18" s="52">
        <v>45.1</v>
      </c>
      <c r="F18" s="52">
        <v>41.14</v>
      </c>
      <c r="G18" s="52">
        <v>124.48</v>
      </c>
      <c r="H18" s="52">
        <v>75.92</v>
      </c>
      <c r="I18" s="52">
        <v>9.64</v>
      </c>
      <c r="J18" s="52">
        <v>0.85</v>
      </c>
      <c r="K18" s="52">
        <v>314.88</v>
      </c>
      <c r="L18" s="52">
        <v>39.5</v>
      </c>
      <c r="M18" s="52">
        <v>20.100000000000001</v>
      </c>
      <c r="N18" s="52">
        <v>141.4</v>
      </c>
      <c r="O18" s="52">
        <v>0</v>
      </c>
      <c r="P18" s="52">
        <v>0.94</v>
      </c>
      <c r="Q18" s="52">
        <v>6.49</v>
      </c>
    </row>
    <row r="19" spans="1:17" customFormat="1">
      <c r="A19" s="53" t="s">
        <v>93</v>
      </c>
      <c r="B19" s="52">
        <v>15.36</v>
      </c>
      <c r="C19" s="52">
        <v>62.11</v>
      </c>
      <c r="D19" s="52">
        <v>43.73</v>
      </c>
      <c r="E19" s="52">
        <v>32.549999999999997</v>
      </c>
      <c r="F19" s="52">
        <v>44.69</v>
      </c>
      <c r="G19" s="52">
        <v>124.48</v>
      </c>
      <c r="H19" s="52">
        <v>75.92</v>
      </c>
      <c r="I19" s="52">
        <v>9.07</v>
      </c>
      <c r="J19" s="52">
        <v>0.48</v>
      </c>
      <c r="K19" s="52">
        <v>338.58</v>
      </c>
      <c r="L19" s="52">
        <v>40.619999999999997</v>
      </c>
      <c r="M19" s="52">
        <v>16.61</v>
      </c>
      <c r="N19" s="52">
        <v>185.1</v>
      </c>
      <c r="O19" s="52">
        <v>0</v>
      </c>
      <c r="P19" s="52">
        <v>0.87</v>
      </c>
      <c r="Q19" s="52">
        <v>6.04</v>
      </c>
    </row>
    <row r="20" spans="1:17" customFormat="1">
      <c r="A20" s="53" t="s">
        <v>94</v>
      </c>
      <c r="B20" s="52">
        <v>8.83</v>
      </c>
      <c r="C20" s="52">
        <v>58.86</v>
      </c>
      <c r="D20" s="52">
        <v>36.79</v>
      </c>
      <c r="E20" s="52">
        <v>30.85</v>
      </c>
      <c r="F20" s="52">
        <v>56.37</v>
      </c>
      <c r="G20" s="52">
        <v>121.41</v>
      </c>
      <c r="H20" s="52">
        <v>63.45</v>
      </c>
      <c r="I20" s="52">
        <v>7.78</v>
      </c>
      <c r="J20" s="52">
        <v>1.05</v>
      </c>
      <c r="K20" s="52">
        <v>310.14999999999998</v>
      </c>
      <c r="L20" s="52">
        <v>41.52</v>
      </c>
      <c r="M20" s="52">
        <v>13.73</v>
      </c>
      <c r="N20" s="52">
        <v>692.8</v>
      </c>
      <c r="O20" s="52">
        <v>0</v>
      </c>
      <c r="P20" s="52">
        <v>0.77</v>
      </c>
      <c r="Q20" s="52">
        <v>5.54</v>
      </c>
    </row>
    <row r="21" spans="1:17" customFormat="1">
      <c r="A21" s="53" t="s">
        <v>95</v>
      </c>
      <c r="B21" s="52">
        <v>5.55</v>
      </c>
      <c r="C21" s="52">
        <v>54.21</v>
      </c>
      <c r="D21" s="52">
        <v>31.73</v>
      </c>
      <c r="E21" s="52">
        <v>22.14</v>
      </c>
      <c r="F21" s="52">
        <v>60.38</v>
      </c>
      <c r="G21" s="52">
        <v>106.8</v>
      </c>
      <c r="H21" s="52">
        <v>50.36</v>
      </c>
      <c r="I21" s="52">
        <v>6.92</v>
      </c>
      <c r="J21" s="52">
        <v>1.0900000000000001</v>
      </c>
      <c r="K21" s="52">
        <v>289.63</v>
      </c>
      <c r="L21" s="52">
        <v>42.32</v>
      </c>
      <c r="M21" s="52">
        <v>13.58</v>
      </c>
      <c r="N21" s="52">
        <v>738.8</v>
      </c>
      <c r="O21" s="52">
        <v>0</v>
      </c>
      <c r="P21" s="52">
        <v>0.68</v>
      </c>
      <c r="Q21" s="52">
        <v>5.18</v>
      </c>
    </row>
    <row r="22" spans="1:17" customFormat="1">
      <c r="A22" s="53" t="s">
        <v>96</v>
      </c>
      <c r="B22" s="52">
        <v>4.78</v>
      </c>
      <c r="C22" s="52">
        <v>48.25</v>
      </c>
      <c r="D22" s="52">
        <v>27.77</v>
      </c>
      <c r="E22" s="52">
        <v>12.84</v>
      </c>
      <c r="F22" s="52">
        <v>43.16</v>
      </c>
      <c r="G22" s="52">
        <v>97.15</v>
      </c>
      <c r="H22" s="52">
        <v>38.880000000000003</v>
      </c>
      <c r="I22" s="52">
        <v>6.86</v>
      </c>
      <c r="J22" s="52">
        <v>0.86</v>
      </c>
      <c r="K22" s="52">
        <v>309.52</v>
      </c>
      <c r="L22" s="52">
        <v>42.04</v>
      </c>
      <c r="M22" s="52">
        <v>13.2</v>
      </c>
      <c r="N22" s="52">
        <v>588.20000000000005</v>
      </c>
      <c r="O22" s="52">
        <v>0</v>
      </c>
      <c r="P22" s="52">
        <v>0.56999999999999995</v>
      </c>
      <c r="Q22" s="52">
        <v>4.97</v>
      </c>
    </row>
    <row r="23" spans="1:17" customFormat="1">
      <c r="A23" s="53" t="s">
        <v>97</v>
      </c>
      <c r="B23" s="52">
        <v>5.56</v>
      </c>
      <c r="C23" s="52">
        <v>51.9</v>
      </c>
      <c r="D23" s="52">
        <v>30.53</v>
      </c>
      <c r="E23" s="52">
        <v>10.77</v>
      </c>
      <c r="F23" s="52">
        <v>35.82</v>
      </c>
      <c r="G23" s="52">
        <v>70.88</v>
      </c>
      <c r="H23" s="52">
        <v>32.26</v>
      </c>
      <c r="I23" s="52">
        <v>6.12</v>
      </c>
      <c r="J23" s="52">
        <v>1.27</v>
      </c>
      <c r="K23" s="52">
        <v>319.98</v>
      </c>
      <c r="L23" s="52">
        <v>42.83</v>
      </c>
      <c r="M23" s="52">
        <v>13.24</v>
      </c>
      <c r="N23" s="52">
        <v>698.4</v>
      </c>
      <c r="O23" s="52">
        <v>0</v>
      </c>
      <c r="P23" s="52">
        <v>0.56999999999999995</v>
      </c>
      <c r="Q23" s="52">
        <v>4.8899999999999997</v>
      </c>
    </row>
    <row r="24" spans="1:17" customFormat="1">
      <c r="A24" s="53" t="s">
        <v>98</v>
      </c>
      <c r="B24" s="52">
        <v>4.6500000000000004</v>
      </c>
      <c r="C24" s="52">
        <v>44.78</v>
      </c>
      <c r="D24" s="52">
        <v>26.08</v>
      </c>
      <c r="E24" s="52">
        <v>10.19</v>
      </c>
      <c r="F24" s="52">
        <v>47.6</v>
      </c>
      <c r="G24" s="52">
        <v>63.65</v>
      </c>
      <c r="H24" s="52">
        <v>25.74</v>
      </c>
      <c r="I24" s="52">
        <v>5.92</v>
      </c>
      <c r="J24" s="52">
        <v>0.67</v>
      </c>
      <c r="K24" s="52">
        <v>264.86</v>
      </c>
      <c r="L24" s="52">
        <v>42.88</v>
      </c>
      <c r="M24" s="52">
        <v>14.29</v>
      </c>
      <c r="N24" s="52">
        <v>495.2</v>
      </c>
      <c r="O24" s="52">
        <v>0</v>
      </c>
      <c r="P24" s="52">
        <v>0.48</v>
      </c>
      <c r="Q24" s="52">
        <v>4.8899999999999997</v>
      </c>
    </row>
    <row r="25" spans="1:17" customFormat="1">
      <c r="A25" s="53" t="s">
        <v>99</v>
      </c>
      <c r="B25" s="52">
        <v>5.1100000000000003</v>
      </c>
      <c r="C25" s="52">
        <v>44.7</v>
      </c>
      <c r="D25" s="52">
        <v>26.41</v>
      </c>
      <c r="E25" s="52">
        <v>12.34</v>
      </c>
      <c r="F25" s="52">
        <v>45.76</v>
      </c>
      <c r="G25" s="52">
        <v>55.5</v>
      </c>
      <c r="H25" s="52">
        <v>21</v>
      </c>
      <c r="I25" s="52">
        <v>4.51</v>
      </c>
      <c r="J25" s="52">
        <v>0.94</v>
      </c>
      <c r="K25" s="52">
        <v>291.44</v>
      </c>
      <c r="L25" s="52">
        <v>42.37</v>
      </c>
      <c r="M25" s="52">
        <v>13.01</v>
      </c>
      <c r="N25" s="52">
        <v>345</v>
      </c>
      <c r="O25" s="52">
        <v>0</v>
      </c>
      <c r="P25" s="52">
        <v>0.45</v>
      </c>
      <c r="Q25" s="52">
        <v>4.8</v>
      </c>
    </row>
    <row r="26" spans="1:17" customFormat="1">
      <c r="A26" s="53" t="s">
        <v>100</v>
      </c>
      <c r="B26" s="52">
        <v>5.62</v>
      </c>
      <c r="C26" s="52">
        <v>45.44</v>
      </c>
      <c r="D26" s="52">
        <v>27.68</v>
      </c>
      <c r="E26" s="52">
        <v>9.39</v>
      </c>
      <c r="F26" s="52">
        <v>43.78</v>
      </c>
      <c r="G26" s="52">
        <v>45.48</v>
      </c>
      <c r="H26" s="52">
        <v>18.190000000000001</v>
      </c>
      <c r="I26" s="52">
        <v>4.6500000000000004</v>
      </c>
      <c r="J26" s="52">
        <v>0.95</v>
      </c>
      <c r="K26" s="52">
        <v>279.58999999999997</v>
      </c>
      <c r="L26" s="52">
        <v>41.14</v>
      </c>
      <c r="M26" s="52">
        <v>14.73</v>
      </c>
      <c r="N26" s="52">
        <v>123.5</v>
      </c>
      <c r="O26" s="52">
        <v>0</v>
      </c>
      <c r="P26" s="52">
        <v>0.44</v>
      </c>
      <c r="Q26" s="52">
        <v>4.79</v>
      </c>
    </row>
    <row r="27" spans="1:17" customFormat="1">
      <c r="A27" s="53" t="s">
        <v>101</v>
      </c>
      <c r="B27" s="52">
        <v>8.34</v>
      </c>
      <c r="C27" s="52">
        <v>56.27</v>
      </c>
      <c r="D27" s="52">
        <v>35.04</v>
      </c>
      <c r="E27" s="52">
        <v>8.7200000000000006</v>
      </c>
      <c r="F27" s="52">
        <v>47.91</v>
      </c>
      <c r="G27" s="52">
        <v>47.06</v>
      </c>
      <c r="H27" s="52">
        <v>16.98</v>
      </c>
      <c r="I27" s="52">
        <v>4.29</v>
      </c>
      <c r="J27" s="52">
        <v>0.56000000000000005</v>
      </c>
      <c r="K27" s="52">
        <v>290.69</v>
      </c>
      <c r="L27" s="52">
        <v>39.200000000000003</v>
      </c>
      <c r="M27" s="52">
        <v>17.45</v>
      </c>
      <c r="N27" s="52">
        <v>18.3</v>
      </c>
      <c r="O27" s="52">
        <v>0</v>
      </c>
      <c r="P27" s="52">
        <v>0.62</v>
      </c>
      <c r="Q27" s="52">
        <v>4.7699999999999996</v>
      </c>
    </row>
    <row r="28" spans="1:17" customFormat="1">
      <c r="A28" s="53" t="s">
        <v>102</v>
      </c>
      <c r="B28" s="52">
        <v>15.29</v>
      </c>
      <c r="C28" s="52">
        <v>60.69</v>
      </c>
      <c r="D28" s="52">
        <v>42.5</v>
      </c>
      <c r="E28" s="52">
        <v>22.98</v>
      </c>
      <c r="F28" s="52">
        <v>17.86</v>
      </c>
      <c r="G28" s="52">
        <v>54.25</v>
      </c>
      <c r="H28" s="52">
        <v>16.98</v>
      </c>
      <c r="I28" s="52">
        <v>5.35</v>
      </c>
      <c r="J28" s="52">
        <v>0.72</v>
      </c>
      <c r="K28" s="52">
        <v>311.45</v>
      </c>
      <c r="L28" s="52">
        <v>37.700000000000003</v>
      </c>
      <c r="M28" s="52">
        <v>19.809999999999999</v>
      </c>
      <c r="N28" s="52">
        <v>0</v>
      </c>
      <c r="O28" s="52">
        <v>0</v>
      </c>
      <c r="P28" s="52">
        <v>0.69</v>
      </c>
      <c r="Q28" s="52">
        <v>5.1100000000000003</v>
      </c>
    </row>
    <row r="29" spans="1:17" customFormat="1">
      <c r="A29" s="53" t="s">
        <v>103</v>
      </c>
      <c r="B29" s="52">
        <v>13.81</v>
      </c>
      <c r="C29" s="52">
        <v>59.34</v>
      </c>
      <c r="D29" s="52">
        <v>40.090000000000003</v>
      </c>
      <c r="E29" s="52">
        <v>28.82</v>
      </c>
      <c r="F29" s="52">
        <v>16.96</v>
      </c>
      <c r="G29" s="52">
        <v>58.57</v>
      </c>
      <c r="H29" s="52">
        <v>16.05</v>
      </c>
      <c r="I29" s="52">
        <v>5.61</v>
      </c>
      <c r="J29" s="52">
        <v>0.51</v>
      </c>
      <c r="K29" s="52">
        <v>304.52</v>
      </c>
      <c r="L29" s="52">
        <v>36.93</v>
      </c>
      <c r="M29" s="52">
        <v>22.65</v>
      </c>
      <c r="N29" s="52">
        <v>0</v>
      </c>
      <c r="O29" s="52">
        <v>0</v>
      </c>
      <c r="P29" s="52">
        <v>0.79</v>
      </c>
      <c r="Q29" s="52">
        <v>5.31</v>
      </c>
    </row>
    <row r="30" spans="1:17" customFormat="1">
      <c r="A30" s="53" t="s">
        <v>104</v>
      </c>
      <c r="B30" s="52">
        <v>32.630000000000003</v>
      </c>
      <c r="C30" s="52">
        <v>65.569999999999993</v>
      </c>
      <c r="D30" s="52">
        <v>58.87</v>
      </c>
      <c r="E30" s="52">
        <v>43.83</v>
      </c>
      <c r="F30" s="52">
        <v>10.46</v>
      </c>
      <c r="G30" s="52">
        <v>71.400000000000006</v>
      </c>
      <c r="H30" s="52">
        <v>19.829999999999998</v>
      </c>
      <c r="I30" s="52">
        <v>7.96</v>
      </c>
      <c r="J30" s="52">
        <v>0.12</v>
      </c>
      <c r="K30" s="52">
        <v>298.86</v>
      </c>
      <c r="L30" s="52">
        <v>35.729999999999997</v>
      </c>
      <c r="M30" s="52">
        <v>25.84</v>
      </c>
      <c r="N30" s="52">
        <v>0</v>
      </c>
      <c r="O30" s="52">
        <v>0</v>
      </c>
      <c r="P30" s="52">
        <v>0.91</v>
      </c>
      <c r="Q30" s="52">
        <v>5.68</v>
      </c>
    </row>
    <row r="31" spans="1:17" customFormat="1">
      <c r="A31" s="53" t="s">
        <v>105</v>
      </c>
      <c r="B31" s="52">
        <v>33.159999999999997</v>
      </c>
      <c r="C31" s="52">
        <v>61.06</v>
      </c>
      <c r="D31" s="52">
        <v>57.01</v>
      </c>
      <c r="E31" s="52">
        <v>27.8</v>
      </c>
      <c r="F31" s="52">
        <v>6.67</v>
      </c>
      <c r="G31" s="52">
        <v>86.06</v>
      </c>
      <c r="H31" s="52">
        <v>23.67</v>
      </c>
      <c r="I31" s="52">
        <v>8.64</v>
      </c>
      <c r="J31" s="52">
        <v>0.26</v>
      </c>
      <c r="K31" s="52">
        <v>305.77</v>
      </c>
      <c r="L31" s="52">
        <v>34.32</v>
      </c>
      <c r="M31" s="52">
        <v>25.95</v>
      </c>
      <c r="N31" s="52">
        <v>0</v>
      </c>
      <c r="O31" s="52">
        <v>0</v>
      </c>
      <c r="P31" s="52">
        <v>0.82</v>
      </c>
      <c r="Q31" s="52">
        <v>5.95</v>
      </c>
    </row>
    <row r="32" spans="1:17" customFormat="1">
      <c r="A32" s="53" t="s">
        <v>106</v>
      </c>
      <c r="B32" s="52">
        <v>32.69</v>
      </c>
      <c r="C32" s="52">
        <v>62.81</v>
      </c>
      <c r="D32" s="52">
        <v>57.99</v>
      </c>
      <c r="E32" s="52">
        <v>27.78</v>
      </c>
      <c r="F32" s="52">
        <v>7.13</v>
      </c>
      <c r="G32" s="52">
        <v>100</v>
      </c>
      <c r="H32" s="52">
        <v>27.74</v>
      </c>
      <c r="I32" s="52">
        <v>9.1</v>
      </c>
      <c r="J32" s="52">
        <v>0.24</v>
      </c>
      <c r="K32" s="52">
        <v>320.10000000000002</v>
      </c>
      <c r="L32" s="52">
        <v>34.19</v>
      </c>
      <c r="M32" s="52">
        <v>30.37</v>
      </c>
      <c r="N32" s="52">
        <v>0</v>
      </c>
      <c r="O32" s="52">
        <v>0</v>
      </c>
      <c r="P32" s="52">
        <v>0.75</v>
      </c>
      <c r="Q32" s="52">
        <v>6.18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4.6500000000000004</v>
      </c>
      <c r="C34" s="41">
        <f t="shared" si="0"/>
        <v>44.7</v>
      </c>
      <c r="D34" s="41">
        <f t="shared" si="0"/>
        <v>26.08</v>
      </c>
      <c r="E34" s="41">
        <f t="shared" si="0"/>
        <v>7.88</v>
      </c>
      <c r="F34" s="41">
        <f t="shared" si="0"/>
        <v>3.89</v>
      </c>
      <c r="G34" s="41">
        <f t="shared" si="0"/>
        <v>45.48</v>
      </c>
      <c r="H34" s="41">
        <f t="shared" si="0"/>
        <v>16.05</v>
      </c>
      <c r="I34" s="41">
        <f t="shared" si="0"/>
        <v>4.29</v>
      </c>
      <c r="J34" s="41">
        <f t="shared" si="0"/>
        <v>0.12</v>
      </c>
      <c r="K34" s="41">
        <f t="shared" si="0"/>
        <v>69.67</v>
      </c>
      <c r="L34" s="41">
        <f t="shared" si="0"/>
        <v>28.16</v>
      </c>
      <c r="M34" s="41">
        <f t="shared" si="0"/>
        <v>13.01</v>
      </c>
      <c r="N34" s="41">
        <f t="shared" si="0"/>
        <v>0</v>
      </c>
      <c r="O34" s="41">
        <f t="shared" si="0"/>
        <v>0</v>
      </c>
      <c r="P34" s="41">
        <f t="shared" si="0"/>
        <v>0.44</v>
      </c>
      <c r="Q34" s="41">
        <f t="shared" si="0"/>
        <v>4.7699999999999996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70.25</v>
      </c>
      <c r="C35" s="33">
        <f t="shared" si="1"/>
        <v>67.02</v>
      </c>
      <c r="D35" s="33">
        <f t="shared" si="1"/>
        <v>89.2</v>
      </c>
      <c r="E35" s="33">
        <f t="shared" si="1"/>
        <v>45.1</v>
      </c>
      <c r="F35" s="33">
        <f t="shared" si="1"/>
        <v>60.38</v>
      </c>
      <c r="G35" s="33">
        <f t="shared" si="1"/>
        <v>150.46</v>
      </c>
      <c r="H35" s="33">
        <f t="shared" si="1"/>
        <v>85.9</v>
      </c>
      <c r="I35" s="33">
        <f t="shared" si="1"/>
        <v>11.66</v>
      </c>
      <c r="J35" s="33">
        <f t="shared" si="1"/>
        <v>1.27</v>
      </c>
      <c r="K35" s="33">
        <f t="shared" si="1"/>
        <v>338.58</v>
      </c>
      <c r="L35" s="33">
        <f t="shared" si="1"/>
        <v>42.88</v>
      </c>
      <c r="M35" s="33">
        <f t="shared" si="1"/>
        <v>42.41</v>
      </c>
      <c r="N35" s="33">
        <f t="shared" si="1"/>
        <v>738.8</v>
      </c>
      <c r="O35" s="33">
        <f t="shared" si="1"/>
        <v>0</v>
      </c>
      <c r="P35" s="33">
        <f t="shared" si="1"/>
        <v>1.18</v>
      </c>
      <c r="Q35" s="33">
        <f t="shared" si="1"/>
        <v>7.55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29.461249999999989</v>
      </c>
      <c r="C36" s="41">
        <f t="shared" si="2"/>
        <v>59.094999999999992</v>
      </c>
      <c r="D36" s="41">
        <f t="shared" si="2"/>
        <v>53.21416666666665</v>
      </c>
      <c r="E36" s="41">
        <f t="shared" si="2"/>
        <v>22.662083333333328</v>
      </c>
      <c r="F36" s="41">
        <f t="shared" si="2"/>
        <v>24.888333333333335</v>
      </c>
      <c r="G36" s="41">
        <f t="shared" si="2"/>
        <v>103.01708333333335</v>
      </c>
      <c r="H36" s="41">
        <f t="shared" si="2"/>
        <v>44.930833333333339</v>
      </c>
      <c r="I36" s="41">
        <f t="shared" si="2"/>
        <v>8.3358333333333352</v>
      </c>
      <c r="J36" s="41">
        <f t="shared" si="2"/>
        <v>0.57916666666666661</v>
      </c>
      <c r="K36" s="41">
        <f t="shared" si="2"/>
        <v>274.63541666666657</v>
      </c>
      <c r="L36" s="41">
        <f t="shared" si="2"/>
        <v>36.361250000000005</v>
      </c>
      <c r="M36" s="41">
        <f t="shared" si="2"/>
        <v>24.467083333333335</v>
      </c>
      <c r="N36" s="41">
        <f t="shared" si="2"/>
        <v>179.89166666666668</v>
      </c>
      <c r="O36" s="41">
        <f t="shared" si="2"/>
        <v>0</v>
      </c>
      <c r="P36" s="41">
        <f t="shared" si="2"/>
        <v>0.83374999999999988</v>
      </c>
      <c r="Q36" s="41">
        <f t="shared" si="2"/>
        <v>6.0995833333333342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22.249831716510673</v>
      </c>
      <c r="C37" s="41">
        <f t="shared" ref="C37:Q37" si="3">STDEV(C9:C32)</f>
        <v>7.1116010549817661</v>
      </c>
      <c r="D37" s="41">
        <f t="shared" si="3"/>
        <v>20.762402876074045</v>
      </c>
      <c r="E37" s="41">
        <f t="shared" si="3"/>
        <v>11.286599202504322</v>
      </c>
      <c r="F37" s="41">
        <f t="shared" si="3"/>
        <v>20.039584449971407</v>
      </c>
      <c r="G37" s="41">
        <f t="shared" si="3"/>
        <v>36.458287717569824</v>
      </c>
      <c r="H37" s="41">
        <f t="shared" si="3"/>
        <v>24.709696550609198</v>
      </c>
      <c r="I37" s="41">
        <f t="shared" si="3"/>
        <v>2.4652311235974573</v>
      </c>
      <c r="J37" s="41">
        <f t="shared" si="3"/>
        <v>0.335881923697401</v>
      </c>
      <c r="K37" s="41">
        <f t="shared" si="3"/>
        <v>63.70780813377732</v>
      </c>
      <c r="L37" s="41">
        <f t="shared" si="3"/>
        <v>5.158312255581901</v>
      </c>
      <c r="M37" s="41">
        <f t="shared" si="3"/>
        <v>9.9508406807476906</v>
      </c>
      <c r="N37" s="41">
        <f t="shared" si="3"/>
        <v>259.03695038867846</v>
      </c>
      <c r="O37" s="41">
        <f t="shared" si="3"/>
        <v>0</v>
      </c>
      <c r="P37" s="41">
        <f t="shared" si="3"/>
        <v>0.23284278144182463</v>
      </c>
      <c r="Q37" s="41">
        <f t="shared" si="3"/>
        <v>1.0666341990076775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03/06/2023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107</v>
      </c>
      <c r="B9" s="52">
        <v>31.29</v>
      </c>
      <c r="C9" s="52">
        <v>63.07</v>
      </c>
      <c r="D9" s="52">
        <v>56.18</v>
      </c>
      <c r="E9" s="52">
        <v>23.33</v>
      </c>
      <c r="F9" s="52">
        <v>6.29</v>
      </c>
      <c r="G9" s="52">
        <v>107.55</v>
      </c>
      <c r="H9" s="52">
        <v>31.56</v>
      </c>
      <c r="I9" s="52">
        <v>8.9499999999999993</v>
      </c>
      <c r="J9" s="52">
        <v>0.28000000000000003</v>
      </c>
      <c r="K9" s="52">
        <v>234.18</v>
      </c>
      <c r="L9" s="52">
        <v>32.19</v>
      </c>
      <c r="M9" s="52">
        <v>32.630000000000003</v>
      </c>
      <c r="N9" s="52">
        <v>0</v>
      </c>
      <c r="O9" s="52">
        <v>0</v>
      </c>
      <c r="P9" s="52">
        <v>0.79</v>
      </c>
      <c r="Q9" s="52">
        <v>6.28</v>
      </c>
    </row>
    <row r="10" spans="1:21" customFormat="1">
      <c r="A10" s="53" t="s">
        <v>108</v>
      </c>
      <c r="B10" s="52">
        <v>32.96</v>
      </c>
      <c r="C10" s="52">
        <v>61.23</v>
      </c>
      <c r="D10" s="52">
        <v>57.38</v>
      </c>
      <c r="E10" s="52">
        <v>33.93</v>
      </c>
      <c r="F10" s="52">
        <v>8.0399999999999991</v>
      </c>
      <c r="G10" s="52">
        <v>107.55</v>
      </c>
      <c r="H10" s="52">
        <v>33</v>
      </c>
      <c r="I10" s="52">
        <v>9.1199999999999992</v>
      </c>
      <c r="J10" s="52">
        <v>0.13</v>
      </c>
      <c r="K10" s="52">
        <v>221.78</v>
      </c>
      <c r="L10" s="52">
        <v>32.159999999999997</v>
      </c>
      <c r="M10" s="52">
        <v>33.83</v>
      </c>
      <c r="N10" s="52">
        <v>0</v>
      </c>
      <c r="O10" s="52">
        <v>0</v>
      </c>
      <c r="P10" s="52">
        <v>0.78</v>
      </c>
      <c r="Q10" s="52">
        <v>6.34</v>
      </c>
    </row>
    <row r="11" spans="1:21" customFormat="1">
      <c r="A11" s="53" t="s">
        <v>109</v>
      </c>
      <c r="B11" s="52">
        <v>34.56</v>
      </c>
      <c r="C11" s="52">
        <v>60.29</v>
      </c>
      <c r="D11" s="52">
        <v>58.17</v>
      </c>
      <c r="E11" s="52">
        <v>41.46</v>
      </c>
      <c r="F11" s="52">
        <v>7.91</v>
      </c>
      <c r="G11" s="52">
        <v>118.17</v>
      </c>
      <c r="H11" s="52">
        <v>34.270000000000003</v>
      </c>
      <c r="I11" s="52">
        <v>8.98</v>
      </c>
      <c r="J11" s="52">
        <v>0.39</v>
      </c>
      <c r="K11" s="52">
        <v>72.010000000000005</v>
      </c>
      <c r="L11" s="52">
        <v>31.32</v>
      </c>
      <c r="M11" s="52">
        <v>31.05</v>
      </c>
      <c r="N11" s="52">
        <v>0</v>
      </c>
      <c r="O11" s="52">
        <v>0</v>
      </c>
      <c r="P11" s="52">
        <v>0.78</v>
      </c>
      <c r="Q11" s="52">
        <v>6.39</v>
      </c>
    </row>
    <row r="12" spans="1:21" customFormat="1">
      <c r="A12" s="53" t="s">
        <v>110</v>
      </c>
      <c r="B12" s="52">
        <v>30.35</v>
      </c>
      <c r="C12" s="52">
        <v>58.85</v>
      </c>
      <c r="D12" s="52">
        <v>53.9</v>
      </c>
      <c r="E12" s="52">
        <v>39.33</v>
      </c>
      <c r="F12" s="52">
        <v>10.49</v>
      </c>
      <c r="G12" s="52">
        <v>118.17</v>
      </c>
      <c r="H12" s="52">
        <v>34.270000000000003</v>
      </c>
      <c r="I12" s="52">
        <v>8.31</v>
      </c>
      <c r="J12" s="52">
        <v>0.59</v>
      </c>
      <c r="K12" s="52">
        <v>64.040000000000006</v>
      </c>
      <c r="L12" s="52">
        <v>30.79</v>
      </c>
      <c r="M12" s="52">
        <v>30.38</v>
      </c>
      <c r="N12" s="52">
        <v>0</v>
      </c>
      <c r="O12" s="52">
        <v>0</v>
      </c>
      <c r="P12" s="52">
        <v>0.78</v>
      </c>
      <c r="Q12" s="52">
        <v>6.39</v>
      </c>
    </row>
    <row r="13" spans="1:21" customFormat="1">
      <c r="A13" s="53" t="s">
        <v>111</v>
      </c>
      <c r="B13" s="52">
        <v>36.520000000000003</v>
      </c>
      <c r="C13" s="52">
        <v>60.97</v>
      </c>
      <c r="D13" s="52">
        <v>60.1</v>
      </c>
      <c r="E13" s="52">
        <v>37.33</v>
      </c>
      <c r="F13" s="52">
        <v>8.9600000000000009</v>
      </c>
      <c r="G13" s="52">
        <v>107.45</v>
      </c>
      <c r="H13" s="52">
        <v>33.68</v>
      </c>
      <c r="I13" s="52">
        <v>7.61</v>
      </c>
      <c r="J13" s="52">
        <v>0.55000000000000004</v>
      </c>
      <c r="K13" s="52">
        <v>56.18</v>
      </c>
      <c r="L13" s="52">
        <v>30.67</v>
      </c>
      <c r="M13" s="52">
        <v>32.869999999999997</v>
      </c>
      <c r="N13" s="52">
        <v>0</v>
      </c>
      <c r="O13" s="52">
        <v>0</v>
      </c>
      <c r="P13" s="52">
        <v>0.79</v>
      </c>
      <c r="Q13" s="52">
        <v>6.36</v>
      </c>
    </row>
    <row r="14" spans="1:21" customFormat="1">
      <c r="A14" s="53" t="s">
        <v>112</v>
      </c>
      <c r="B14" s="52">
        <v>34.409999999999997</v>
      </c>
      <c r="C14" s="52">
        <v>59.93</v>
      </c>
      <c r="D14" s="52">
        <v>57.27</v>
      </c>
      <c r="E14" s="52">
        <v>15.29</v>
      </c>
      <c r="F14" s="52">
        <v>6.87</v>
      </c>
      <c r="G14" s="52">
        <v>106.36</v>
      </c>
      <c r="H14" s="52">
        <v>32.83</v>
      </c>
      <c r="I14" s="52">
        <v>7.38</v>
      </c>
      <c r="J14" s="52">
        <v>0.39</v>
      </c>
      <c r="K14" s="52">
        <v>70.95</v>
      </c>
      <c r="L14" s="52">
        <v>30.05</v>
      </c>
      <c r="M14" s="52">
        <v>36.35</v>
      </c>
      <c r="N14" s="52">
        <v>16.899999999999999</v>
      </c>
      <c r="O14" s="52">
        <v>0</v>
      </c>
      <c r="P14" s="52">
        <v>0.75</v>
      </c>
      <c r="Q14" s="52">
        <v>6.45</v>
      </c>
    </row>
    <row r="15" spans="1:21" customFormat="1">
      <c r="A15" s="53" t="s">
        <v>113</v>
      </c>
      <c r="B15" s="52">
        <v>35.17</v>
      </c>
      <c r="C15" s="52">
        <v>59.98</v>
      </c>
      <c r="D15" s="52">
        <v>58.5</v>
      </c>
      <c r="E15" s="52">
        <v>13.09</v>
      </c>
      <c r="F15" s="52">
        <v>8.36</v>
      </c>
      <c r="G15" s="52">
        <v>95.42</v>
      </c>
      <c r="H15" s="52">
        <v>28.99</v>
      </c>
      <c r="I15" s="52">
        <v>7.72</v>
      </c>
      <c r="J15" s="52">
        <v>0.27</v>
      </c>
      <c r="K15" s="52">
        <v>36.67</v>
      </c>
      <c r="L15" s="52">
        <v>31.12</v>
      </c>
      <c r="M15" s="52">
        <v>35.57</v>
      </c>
      <c r="N15" s="52">
        <v>59.8</v>
      </c>
      <c r="O15" s="52">
        <v>0</v>
      </c>
      <c r="P15" s="52">
        <v>0.83</v>
      </c>
      <c r="Q15" s="52">
        <v>6.5</v>
      </c>
    </row>
    <row r="16" spans="1:21" customFormat="1">
      <c r="A16" s="53" t="s">
        <v>114</v>
      </c>
      <c r="B16" s="52">
        <v>36.15</v>
      </c>
      <c r="C16" s="52">
        <v>61.84</v>
      </c>
      <c r="D16" s="52">
        <v>60.25</v>
      </c>
      <c r="E16" s="52">
        <v>17.14</v>
      </c>
      <c r="F16" s="52">
        <v>14.06</v>
      </c>
      <c r="G16" s="52">
        <v>92.78</v>
      </c>
      <c r="H16" s="52">
        <v>28.37</v>
      </c>
      <c r="I16" s="52">
        <v>8.34</v>
      </c>
      <c r="J16" s="52">
        <v>0.56999999999999995</v>
      </c>
      <c r="K16" s="52">
        <v>49.71</v>
      </c>
      <c r="L16" s="52">
        <v>33.32</v>
      </c>
      <c r="M16" s="52">
        <v>36.44</v>
      </c>
      <c r="N16" s="52">
        <v>148.5</v>
      </c>
      <c r="O16" s="52">
        <v>0</v>
      </c>
      <c r="P16" s="52">
        <v>0.86</v>
      </c>
      <c r="Q16" s="52">
        <v>6.55</v>
      </c>
    </row>
    <row r="17" spans="1:17" customFormat="1">
      <c r="A17" s="53" t="s">
        <v>115</v>
      </c>
      <c r="B17" s="52">
        <v>28.14</v>
      </c>
      <c r="C17" s="52">
        <v>58.79</v>
      </c>
      <c r="D17" s="52">
        <v>52.24</v>
      </c>
      <c r="E17" s="52">
        <v>32.86</v>
      </c>
      <c r="F17" s="52">
        <v>26.14</v>
      </c>
      <c r="G17" s="52">
        <v>93.65</v>
      </c>
      <c r="H17" s="52">
        <v>28.37</v>
      </c>
      <c r="I17" s="52">
        <v>8.1199999999999992</v>
      </c>
      <c r="J17" s="52">
        <v>0.76</v>
      </c>
      <c r="K17" s="52">
        <v>61.97</v>
      </c>
      <c r="L17" s="52">
        <v>36.450000000000003</v>
      </c>
      <c r="M17" s="52">
        <v>31.85</v>
      </c>
      <c r="N17" s="52">
        <v>174.9</v>
      </c>
      <c r="O17" s="52">
        <v>0</v>
      </c>
      <c r="P17" s="52">
        <v>0.8</v>
      </c>
      <c r="Q17" s="52">
        <v>6.49</v>
      </c>
    </row>
    <row r="18" spans="1:17" customFormat="1">
      <c r="A18" s="53" t="s">
        <v>116</v>
      </c>
      <c r="B18" s="52">
        <v>22.57</v>
      </c>
      <c r="C18" s="52">
        <v>65.17</v>
      </c>
      <c r="D18" s="52">
        <v>50.05</v>
      </c>
      <c r="E18" s="52">
        <v>50.99</v>
      </c>
      <c r="F18" s="52">
        <v>18.7</v>
      </c>
      <c r="G18" s="52">
        <v>93.65</v>
      </c>
      <c r="H18" s="52">
        <v>28.26</v>
      </c>
      <c r="I18" s="52">
        <v>7.39</v>
      </c>
      <c r="J18" s="52">
        <v>1.02</v>
      </c>
      <c r="K18" s="52">
        <v>76.47</v>
      </c>
      <c r="L18" s="52">
        <v>37.61</v>
      </c>
      <c r="M18" s="52">
        <v>27.97</v>
      </c>
      <c r="N18" s="52">
        <v>195.1</v>
      </c>
      <c r="O18" s="52">
        <v>0</v>
      </c>
      <c r="P18" s="52">
        <v>0.78</v>
      </c>
      <c r="Q18" s="52">
        <v>6.25</v>
      </c>
    </row>
    <row r="19" spans="1:17" customFormat="1">
      <c r="A19" s="53" t="s">
        <v>117</v>
      </c>
      <c r="B19" s="52">
        <v>18.95</v>
      </c>
      <c r="C19" s="52">
        <v>63.67</v>
      </c>
      <c r="D19" s="52">
        <v>45.36</v>
      </c>
      <c r="E19" s="52">
        <v>15.56</v>
      </c>
      <c r="F19" s="52">
        <v>23.95</v>
      </c>
      <c r="G19" s="52">
        <v>93.51</v>
      </c>
      <c r="H19" s="52">
        <v>26.71</v>
      </c>
      <c r="I19" s="52">
        <v>7.25</v>
      </c>
      <c r="J19" s="52">
        <v>1.24</v>
      </c>
      <c r="K19" s="52">
        <v>91.35</v>
      </c>
      <c r="L19" s="52">
        <v>39.78</v>
      </c>
      <c r="M19" s="52">
        <v>25.04</v>
      </c>
      <c r="N19" s="52">
        <v>185.1</v>
      </c>
      <c r="O19" s="52">
        <v>0</v>
      </c>
      <c r="P19" s="52">
        <v>0.75</v>
      </c>
      <c r="Q19" s="52">
        <v>5.99</v>
      </c>
    </row>
    <row r="20" spans="1:17" customFormat="1">
      <c r="A20" s="53" t="s">
        <v>118</v>
      </c>
      <c r="B20" s="52">
        <v>10.63</v>
      </c>
      <c r="C20" s="52">
        <v>57.3</v>
      </c>
      <c r="D20" s="52">
        <v>37.42</v>
      </c>
      <c r="E20" s="52">
        <v>10.81</v>
      </c>
      <c r="F20" s="52">
        <v>36.94</v>
      </c>
      <c r="G20" s="52">
        <v>90.03</v>
      </c>
      <c r="H20" s="52">
        <v>25.88</v>
      </c>
      <c r="I20" s="52">
        <v>6.91</v>
      </c>
      <c r="J20" s="52">
        <v>1.03</v>
      </c>
      <c r="K20" s="52">
        <v>81.28</v>
      </c>
      <c r="L20" s="52">
        <v>41.2</v>
      </c>
      <c r="M20" s="52">
        <v>21.26</v>
      </c>
      <c r="N20" s="52">
        <v>782.8</v>
      </c>
      <c r="O20" s="52">
        <v>0</v>
      </c>
      <c r="P20" s="52">
        <v>0.65</v>
      </c>
      <c r="Q20" s="52">
        <v>5.57</v>
      </c>
    </row>
    <row r="21" spans="1:17" customFormat="1">
      <c r="A21" s="53" t="s">
        <v>119</v>
      </c>
      <c r="B21" s="52">
        <v>6.17</v>
      </c>
      <c r="C21" s="52">
        <v>51.23</v>
      </c>
      <c r="D21" s="52">
        <v>30.67</v>
      </c>
      <c r="E21" s="52">
        <v>14.11</v>
      </c>
      <c r="F21" s="52">
        <v>55.65</v>
      </c>
      <c r="G21" s="52">
        <v>78.22</v>
      </c>
      <c r="H21" s="52">
        <v>25.06</v>
      </c>
      <c r="I21" s="52">
        <v>5.99</v>
      </c>
      <c r="J21" s="52">
        <v>0.55000000000000004</v>
      </c>
      <c r="K21" s="52">
        <v>352.93</v>
      </c>
      <c r="L21" s="52">
        <v>41.93</v>
      </c>
      <c r="M21" s="52">
        <v>18.350000000000001</v>
      </c>
      <c r="N21" s="52">
        <v>788.3</v>
      </c>
      <c r="O21" s="52">
        <v>0</v>
      </c>
      <c r="P21" s="52">
        <v>0.55000000000000004</v>
      </c>
      <c r="Q21" s="52">
        <v>5.24</v>
      </c>
    </row>
    <row r="22" spans="1:17" customFormat="1">
      <c r="A22" s="53" t="s">
        <v>120</v>
      </c>
      <c r="B22" s="52">
        <v>4.7699999999999996</v>
      </c>
      <c r="C22" s="52">
        <v>53.93</v>
      </c>
      <c r="D22" s="52">
        <v>30.78</v>
      </c>
      <c r="E22" s="52">
        <v>20</v>
      </c>
      <c r="F22" s="52">
        <v>59.08</v>
      </c>
      <c r="G22" s="52">
        <v>67.510000000000005</v>
      </c>
      <c r="H22" s="52">
        <v>23.13</v>
      </c>
      <c r="I22" s="52">
        <v>5.14</v>
      </c>
      <c r="J22" s="52">
        <v>0.93</v>
      </c>
      <c r="K22" s="52">
        <v>327.01</v>
      </c>
      <c r="L22" s="52">
        <v>40.29</v>
      </c>
      <c r="M22" s="52">
        <v>30.51</v>
      </c>
      <c r="N22" s="52">
        <v>446.6</v>
      </c>
      <c r="O22" s="52">
        <v>0</v>
      </c>
      <c r="P22" s="52">
        <v>0.56000000000000005</v>
      </c>
      <c r="Q22" s="52">
        <v>5.04</v>
      </c>
    </row>
    <row r="23" spans="1:17" customFormat="1">
      <c r="A23" s="53" t="s">
        <v>121</v>
      </c>
      <c r="B23" s="52">
        <v>3.86</v>
      </c>
      <c r="C23" s="52">
        <v>50.73</v>
      </c>
      <c r="D23" s="52">
        <v>28.56</v>
      </c>
      <c r="E23" s="52">
        <v>23.14</v>
      </c>
      <c r="F23" s="52">
        <v>62.74</v>
      </c>
      <c r="G23" s="52">
        <v>62.94</v>
      </c>
      <c r="H23" s="52">
        <v>29.9</v>
      </c>
      <c r="I23" s="52">
        <v>5.14</v>
      </c>
      <c r="J23" s="52">
        <v>1.07</v>
      </c>
      <c r="K23" s="52">
        <v>356.69</v>
      </c>
      <c r="L23" s="52">
        <v>40.97</v>
      </c>
      <c r="M23" s="52">
        <v>19.89</v>
      </c>
      <c r="N23" s="52">
        <v>690.5</v>
      </c>
      <c r="O23" s="52">
        <v>0</v>
      </c>
      <c r="P23" s="52">
        <v>0.56999999999999995</v>
      </c>
      <c r="Q23" s="52">
        <v>4.93</v>
      </c>
    </row>
    <row r="24" spans="1:17" customFormat="1">
      <c r="A24" s="53" t="s">
        <v>122</v>
      </c>
      <c r="B24" s="52">
        <v>4.05</v>
      </c>
      <c r="C24" s="52">
        <v>53.01</v>
      </c>
      <c r="D24" s="52">
        <v>29.9</v>
      </c>
      <c r="E24" s="52">
        <v>14.24</v>
      </c>
      <c r="F24" s="52">
        <v>34.770000000000003</v>
      </c>
      <c r="G24" s="52">
        <v>64.150000000000006</v>
      </c>
      <c r="H24" s="52">
        <v>55.1</v>
      </c>
      <c r="I24" s="52">
        <v>5.29</v>
      </c>
      <c r="J24" s="52">
        <v>1.39</v>
      </c>
      <c r="K24" s="52">
        <v>300.77999999999997</v>
      </c>
      <c r="L24" s="52">
        <v>38.270000000000003</v>
      </c>
      <c r="M24" s="52">
        <v>29.7</v>
      </c>
      <c r="N24" s="52">
        <v>172.6</v>
      </c>
      <c r="O24" s="52">
        <v>0</v>
      </c>
      <c r="P24" s="52">
        <v>0.56999999999999995</v>
      </c>
      <c r="Q24" s="52">
        <v>4.8899999999999997</v>
      </c>
    </row>
    <row r="25" spans="1:17" customFormat="1">
      <c r="A25" s="53" t="s">
        <v>123</v>
      </c>
      <c r="B25" s="52">
        <v>3.29</v>
      </c>
      <c r="C25" s="52">
        <v>48.94</v>
      </c>
      <c r="D25" s="52">
        <v>27.16</v>
      </c>
      <c r="E25" s="52">
        <v>15.32</v>
      </c>
      <c r="F25" s="52">
        <v>56.75</v>
      </c>
      <c r="G25" s="52">
        <v>65.47</v>
      </c>
      <c r="H25" s="52">
        <v>56.52</v>
      </c>
      <c r="I25" s="52">
        <v>5.2</v>
      </c>
      <c r="J25" s="52">
        <v>0.66</v>
      </c>
      <c r="K25" s="52">
        <v>269.27</v>
      </c>
      <c r="L25" s="52">
        <v>37.24</v>
      </c>
      <c r="M25" s="52">
        <v>28.1</v>
      </c>
      <c r="N25" s="52">
        <v>201.9</v>
      </c>
      <c r="O25" s="52">
        <v>0</v>
      </c>
      <c r="P25" s="52">
        <v>0.53</v>
      </c>
      <c r="Q25" s="52">
        <v>4.8499999999999996</v>
      </c>
    </row>
    <row r="26" spans="1:17" customFormat="1">
      <c r="A26" s="53" t="s">
        <v>124</v>
      </c>
      <c r="B26" s="52">
        <v>4.75</v>
      </c>
      <c r="C26" s="52">
        <v>53.81</v>
      </c>
      <c r="D26" s="52">
        <v>30.87</v>
      </c>
      <c r="E26" s="52">
        <v>16.760000000000002</v>
      </c>
      <c r="F26" s="52">
        <v>51.26</v>
      </c>
      <c r="G26" s="52">
        <v>65.47</v>
      </c>
      <c r="H26" s="52">
        <v>57.3</v>
      </c>
      <c r="I26" s="52">
        <v>4.68</v>
      </c>
      <c r="J26" s="52">
        <v>0.43</v>
      </c>
      <c r="K26" s="52">
        <v>309.58999999999997</v>
      </c>
      <c r="L26" s="52">
        <v>38.369999999999997</v>
      </c>
      <c r="M26" s="52">
        <v>24.99</v>
      </c>
      <c r="N26" s="52">
        <v>122.9</v>
      </c>
      <c r="O26" s="52">
        <v>0</v>
      </c>
      <c r="P26" s="52">
        <v>0.68</v>
      </c>
      <c r="Q26" s="52">
        <v>4.88</v>
      </c>
    </row>
    <row r="27" spans="1:17" customFormat="1">
      <c r="A27" s="53" t="s">
        <v>125</v>
      </c>
      <c r="B27" s="52">
        <v>10.130000000000001</v>
      </c>
      <c r="C27" s="52">
        <v>75.930000000000007</v>
      </c>
      <c r="D27" s="52">
        <v>48.21</v>
      </c>
      <c r="E27" s="52">
        <v>13.24</v>
      </c>
      <c r="F27" s="52">
        <v>50.33</v>
      </c>
      <c r="G27" s="52">
        <v>64.48</v>
      </c>
      <c r="H27" s="52">
        <v>57.3</v>
      </c>
      <c r="I27" s="52">
        <v>6.02</v>
      </c>
      <c r="J27" s="52">
        <v>0.23</v>
      </c>
      <c r="K27" s="52">
        <v>184.34</v>
      </c>
      <c r="L27" s="52">
        <v>37.35</v>
      </c>
      <c r="M27" s="52">
        <v>32.14</v>
      </c>
      <c r="N27" s="52">
        <v>17.399999999999999</v>
      </c>
      <c r="O27" s="52">
        <v>0</v>
      </c>
      <c r="P27" s="52">
        <v>1.1000000000000001</v>
      </c>
      <c r="Q27" s="52">
        <v>5.03</v>
      </c>
    </row>
    <row r="28" spans="1:17" customFormat="1">
      <c r="A28" s="53" t="s">
        <v>126</v>
      </c>
      <c r="B28" s="52">
        <v>7.3</v>
      </c>
      <c r="C28" s="52">
        <v>74.37</v>
      </c>
      <c r="D28" s="52">
        <v>43.67</v>
      </c>
      <c r="E28" s="52">
        <v>11.39</v>
      </c>
      <c r="F28" s="52">
        <v>9.83</v>
      </c>
      <c r="G28" s="52">
        <v>87.39</v>
      </c>
      <c r="H28" s="52">
        <v>45.96</v>
      </c>
      <c r="I28" s="52">
        <v>7.64</v>
      </c>
      <c r="J28" s="52">
        <v>0.26</v>
      </c>
      <c r="K28" s="52">
        <v>175.71</v>
      </c>
      <c r="L28" s="52">
        <v>34.43</v>
      </c>
      <c r="M28" s="52">
        <v>38.26</v>
      </c>
      <c r="N28" s="52">
        <v>0</v>
      </c>
      <c r="O28" s="52">
        <v>0</v>
      </c>
      <c r="P28" s="52">
        <v>1.04</v>
      </c>
      <c r="Q28" s="52">
        <v>5.27</v>
      </c>
    </row>
    <row r="29" spans="1:17" customFormat="1">
      <c r="A29" s="53" t="s">
        <v>127</v>
      </c>
      <c r="B29" s="52">
        <v>8.36</v>
      </c>
      <c r="C29" s="52">
        <v>66.22</v>
      </c>
      <c r="D29" s="52">
        <v>39.08</v>
      </c>
      <c r="E29" s="52">
        <v>10.93</v>
      </c>
      <c r="F29" s="52">
        <v>13.01</v>
      </c>
      <c r="G29" s="52">
        <v>91.73</v>
      </c>
      <c r="H29" s="52">
        <v>42.02</v>
      </c>
      <c r="I29" s="52">
        <v>8.19</v>
      </c>
      <c r="J29" s="52">
        <v>0.24</v>
      </c>
      <c r="K29" s="52">
        <v>175.61</v>
      </c>
      <c r="L29" s="52">
        <v>32.6</v>
      </c>
      <c r="M29" s="52">
        <v>41.3</v>
      </c>
      <c r="N29" s="52">
        <v>0</v>
      </c>
      <c r="O29" s="52">
        <v>0</v>
      </c>
      <c r="P29" s="52">
        <v>1.02</v>
      </c>
      <c r="Q29" s="52">
        <v>5.37</v>
      </c>
    </row>
    <row r="30" spans="1:17" customFormat="1">
      <c r="A30" s="53" t="s">
        <v>128</v>
      </c>
      <c r="B30" s="52">
        <v>59.84</v>
      </c>
      <c r="C30" s="52">
        <v>75.31</v>
      </c>
      <c r="D30" s="52">
        <v>86.58</v>
      </c>
      <c r="E30" s="52">
        <v>9.44</v>
      </c>
      <c r="F30" s="52">
        <v>12.98</v>
      </c>
      <c r="G30" s="52">
        <v>91.73</v>
      </c>
      <c r="H30" s="52">
        <v>38.119999999999997</v>
      </c>
      <c r="I30" s="52">
        <v>8.89</v>
      </c>
      <c r="J30" s="52">
        <v>0.21</v>
      </c>
      <c r="K30" s="52">
        <v>247.75</v>
      </c>
      <c r="L30" s="52">
        <v>31.71</v>
      </c>
      <c r="M30" s="52">
        <v>43.23</v>
      </c>
      <c r="N30" s="52">
        <v>0</v>
      </c>
      <c r="O30" s="52">
        <v>0</v>
      </c>
      <c r="P30" s="52">
        <v>1.58</v>
      </c>
      <c r="Q30" s="52">
        <v>5.74</v>
      </c>
    </row>
    <row r="31" spans="1:17" customFormat="1">
      <c r="A31" s="53" t="s">
        <v>129</v>
      </c>
      <c r="B31" s="52">
        <v>62.22</v>
      </c>
      <c r="C31" s="52">
        <v>75.2</v>
      </c>
      <c r="D31" s="52">
        <v>88.68</v>
      </c>
      <c r="E31" s="52">
        <v>22.54</v>
      </c>
      <c r="F31" s="52">
        <v>4.0999999999999996</v>
      </c>
      <c r="G31" s="52">
        <v>115.41</v>
      </c>
      <c r="H31" s="52">
        <v>54.47</v>
      </c>
      <c r="I31" s="52">
        <v>14.15</v>
      </c>
      <c r="J31" s="52">
        <v>0.23</v>
      </c>
      <c r="K31" s="52">
        <v>349.21</v>
      </c>
      <c r="L31" s="52">
        <v>31.72</v>
      </c>
      <c r="M31" s="52">
        <v>45.08</v>
      </c>
      <c r="N31" s="52">
        <v>0</v>
      </c>
      <c r="O31" s="52">
        <v>0</v>
      </c>
      <c r="P31" s="52">
        <v>1.83</v>
      </c>
      <c r="Q31" s="52">
        <v>6.74</v>
      </c>
    </row>
    <row r="32" spans="1:17" customFormat="1">
      <c r="A32" s="53" t="s">
        <v>130</v>
      </c>
      <c r="B32" s="52">
        <v>50.04</v>
      </c>
      <c r="C32" s="52">
        <v>74.510000000000005</v>
      </c>
      <c r="D32" s="52">
        <v>76.77</v>
      </c>
      <c r="E32" s="52">
        <v>33.35</v>
      </c>
      <c r="F32" s="52">
        <v>6.54</v>
      </c>
      <c r="G32" s="52">
        <v>233.53</v>
      </c>
      <c r="H32" s="52">
        <v>136.79</v>
      </c>
      <c r="I32" s="52">
        <v>17.03</v>
      </c>
      <c r="J32" s="52">
        <v>0.35</v>
      </c>
      <c r="K32" s="52">
        <v>295.95</v>
      </c>
      <c r="L32" s="52">
        <v>32.46</v>
      </c>
      <c r="M32" s="52">
        <v>36.71</v>
      </c>
      <c r="N32" s="52">
        <v>0</v>
      </c>
      <c r="O32" s="52">
        <v>0</v>
      </c>
      <c r="P32" s="52">
        <v>1.67</v>
      </c>
      <c r="Q32" s="52">
        <v>7.24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3.29</v>
      </c>
      <c r="C34" s="41">
        <f t="shared" si="0"/>
        <v>48.94</v>
      </c>
      <c r="D34" s="41">
        <f t="shared" si="0"/>
        <v>27.16</v>
      </c>
      <c r="E34" s="41">
        <f t="shared" si="0"/>
        <v>9.44</v>
      </c>
      <c r="F34" s="41">
        <f t="shared" si="0"/>
        <v>4.0999999999999996</v>
      </c>
      <c r="G34" s="41">
        <f t="shared" si="0"/>
        <v>62.94</v>
      </c>
      <c r="H34" s="41">
        <f t="shared" si="0"/>
        <v>23.13</v>
      </c>
      <c r="I34" s="41">
        <f t="shared" si="0"/>
        <v>4.68</v>
      </c>
      <c r="J34" s="41">
        <f t="shared" si="0"/>
        <v>0.13</v>
      </c>
      <c r="K34" s="41">
        <f t="shared" si="0"/>
        <v>36.67</v>
      </c>
      <c r="L34" s="41">
        <f t="shared" si="0"/>
        <v>30.05</v>
      </c>
      <c r="M34" s="41">
        <f t="shared" si="0"/>
        <v>18.350000000000001</v>
      </c>
      <c r="N34" s="41">
        <f t="shared" si="0"/>
        <v>0</v>
      </c>
      <c r="O34" s="41">
        <f t="shared" si="0"/>
        <v>0</v>
      </c>
      <c r="P34" s="41">
        <f t="shared" si="0"/>
        <v>0.53</v>
      </c>
      <c r="Q34" s="41">
        <f t="shared" si="0"/>
        <v>4.8499999999999996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62.22</v>
      </c>
      <c r="C35" s="33">
        <f t="shared" si="1"/>
        <v>75.930000000000007</v>
      </c>
      <c r="D35" s="33">
        <f t="shared" si="1"/>
        <v>88.68</v>
      </c>
      <c r="E35" s="33">
        <f t="shared" si="1"/>
        <v>50.99</v>
      </c>
      <c r="F35" s="33">
        <f t="shared" si="1"/>
        <v>62.74</v>
      </c>
      <c r="G35" s="33">
        <f t="shared" si="1"/>
        <v>233.53</v>
      </c>
      <c r="H35" s="33">
        <f t="shared" si="1"/>
        <v>136.79</v>
      </c>
      <c r="I35" s="33">
        <f t="shared" si="1"/>
        <v>17.03</v>
      </c>
      <c r="J35" s="33">
        <f t="shared" si="1"/>
        <v>1.39</v>
      </c>
      <c r="K35" s="33">
        <f t="shared" si="1"/>
        <v>356.69</v>
      </c>
      <c r="L35" s="33">
        <f t="shared" si="1"/>
        <v>41.93</v>
      </c>
      <c r="M35" s="33">
        <f t="shared" si="1"/>
        <v>45.08</v>
      </c>
      <c r="N35" s="33">
        <f t="shared" si="1"/>
        <v>788.3</v>
      </c>
      <c r="O35" s="33">
        <f t="shared" si="1"/>
        <v>0</v>
      </c>
      <c r="P35" s="33">
        <f t="shared" si="1"/>
        <v>1.83</v>
      </c>
      <c r="Q35" s="33">
        <f t="shared" si="1"/>
        <v>7.24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24.02</v>
      </c>
      <c r="C36" s="41">
        <f t="shared" si="2"/>
        <v>61.844999999999999</v>
      </c>
      <c r="D36" s="41">
        <f t="shared" si="2"/>
        <v>50.322916666666657</v>
      </c>
      <c r="E36" s="41">
        <f t="shared" si="2"/>
        <v>22.315833333333334</v>
      </c>
      <c r="F36" s="41">
        <f t="shared" si="2"/>
        <v>24.739583333333332</v>
      </c>
      <c r="G36" s="41">
        <f t="shared" si="2"/>
        <v>96.346666666666692</v>
      </c>
      <c r="H36" s="41">
        <f t="shared" si="2"/>
        <v>41.160833333333329</v>
      </c>
      <c r="I36" s="41">
        <f t="shared" si="2"/>
        <v>7.8933333333333335</v>
      </c>
      <c r="J36" s="41">
        <f t="shared" si="2"/>
        <v>0.57375000000000009</v>
      </c>
      <c r="K36" s="41">
        <f t="shared" si="2"/>
        <v>185.89291666666668</v>
      </c>
      <c r="L36" s="41">
        <f t="shared" si="2"/>
        <v>35.166666666666671</v>
      </c>
      <c r="M36" s="41">
        <f t="shared" si="2"/>
        <v>31.812500000000004</v>
      </c>
      <c r="N36" s="41">
        <f t="shared" si="2"/>
        <v>166.80416666666665</v>
      </c>
      <c r="O36" s="41">
        <f t="shared" si="2"/>
        <v>0</v>
      </c>
      <c r="P36" s="41">
        <f t="shared" si="2"/>
        <v>0.87666666666666659</v>
      </c>
      <c r="Q36" s="41">
        <f t="shared" si="2"/>
        <v>5.8658333333333337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18.029237848320278</v>
      </c>
      <c r="C37" s="41">
        <f t="shared" ref="C37:Q37" si="3">STDEV(C9:C32)</f>
        <v>8.2568769756672733</v>
      </c>
      <c r="D37" s="41">
        <f t="shared" si="3"/>
        <v>17.316552895038534</v>
      </c>
      <c r="E37" s="41">
        <f t="shared" si="3"/>
        <v>11.660751678607383</v>
      </c>
      <c r="F37" s="41">
        <f t="shared" si="3"/>
        <v>20.389397389471739</v>
      </c>
      <c r="G37" s="41">
        <f t="shared" si="3"/>
        <v>34.290114644294142</v>
      </c>
      <c r="H37" s="41">
        <f t="shared" si="3"/>
        <v>23.294524625676146</v>
      </c>
      <c r="I37" s="41">
        <f t="shared" si="3"/>
        <v>2.7714015708061268</v>
      </c>
      <c r="J37" s="41">
        <f t="shared" si="3"/>
        <v>0.36274092443625611</v>
      </c>
      <c r="K37" s="41">
        <f t="shared" si="3"/>
        <v>115.11091613249509</v>
      </c>
      <c r="L37" s="41">
        <f t="shared" si="3"/>
        <v>3.9356317283822113</v>
      </c>
      <c r="M37" s="41">
        <f t="shared" si="3"/>
        <v>6.8795059542028802</v>
      </c>
      <c r="N37" s="41">
        <f t="shared" si="3"/>
        <v>251.72957277199475</v>
      </c>
      <c r="O37" s="41">
        <f t="shared" si="3"/>
        <v>0</v>
      </c>
      <c r="P37" s="41">
        <f t="shared" si="3"/>
        <v>0.35065983351473246</v>
      </c>
      <c r="Q37" s="41">
        <f t="shared" si="3"/>
        <v>0.71975186948224634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5.14062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04/06/2023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131</v>
      </c>
      <c r="B9" s="52">
        <v>46.87</v>
      </c>
      <c r="C9" s="52">
        <v>67.599999999999994</v>
      </c>
      <c r="D9" s="52">
        <v>70.989999999999995</v>
      </c>
      <c r="E9" s="52">
        <v>40.630000000000003</v>
      </c>
      <c r="F9" s="52">
        <v>7.89</v>
      </c>
      <c r="G9" s="52">
        <v>233.53</v>
      </c>
      <c r="H9" s="52">
        <v>136.79</v>
      </c>
      <c r="I9" s="52">
        <v>15.13</v>
      </c>
      <c r="J9" s="52">
        <v>0.36</v>
      </c>
      <c r="K9" s="52">
        <v>326.17</v>
      </c>
      <c r="L9" s="52">
        <v>32.31</v>
      </c>
      <c r="M9" s="52">
        <v>35.78</v>
      </c>
      <c r="N9" s="52">
        <v>0</v>
      </c>
      <c r="O9" s="52">
        <v>0</v>
      </c>
      <c r="P9" s="52">
        <v>1.23</v>
      </c>
      <c r="Q9" s="52">
        <v>7.26</v>
      </c>
    </row>
    <row r="10" spans="1:21" customFormat="1">
      <c r="A10" s="53" t="s">
        <v>132</v>
      </c>
      <c r="B10" s="52">
        <v>48.52</v>
      </c>
      <c r="C10" s="52">
        <v>66.959999999999994</v>
      </c>
      <c r="D10" s="52">
        <v>72.849999999999994</v>
      </c>
      <c r="E10" s="52">
        <v>34.86</v>
      </c>
      <c r="F10" s="52">
        <v>6.78</v>
      </c>
      <c r="G10" s="52">
        <v>132.91999999999999</v>
      </c>
      <c r="H10" s="52">
        <v>118.55</v>
      </c>
      <c r="I10" s="52">
        <v>10.69</v>
      </c>
      <c r="J10" s="52">
        <v>0.32</v>
      </c>
      <c r="K10" s="52">
        <v>75.290000000000006</v>
      </c>
      <c r="L10" s="52">
        <v>30.99</v>
      </c>
      <c r="M10" s="52">
        <v>37.340000000000003</v>
      </c>
      <c r="N10" s="52">
        <v>0</v>
      </c>
      <c r="O10" s="52">
        <v>0</v>
      </c>
      <c r="P10" s="52">
        <v>1.1599999999999999</v>
      </c>
      <c r="Q10" s="52">
        <v>7.33</v>
      </c>
    </row>
    <row r="11" spans="1:21" customFormat="1">
      <c r="A11" s="53" t="s">
        <v>133</v>
      </c>
      <c r="B11" s="52">
        <v>41.27</v>
      </c>
      <c r="C11" s="52">
        <v>61.74</v>
      </c>
      <c r="D11" s="52">
        <v>64.3</v>
      </c>
      <c r="E11" s="52">
        <v>15.88</v>
      </c>
      <c r="F11" s="52">
        <v>10.71</v>
      </c>
      <c r="G11" s="52">
        <v>105.55</v>
      </c>
      <c r="H11" s="52">
        <v>86.2</v>
      </c>
      <c r="I11" s="52">
        <v>10.49</v>
      </c>
      <c r="J11" s="52">
        <v>0.63</v>
      </c>
      <c r="K11" s="52">
        <v>54.18</v>
      </c>
      <c r="L11" s="52">
        <v>31.13</v>
      </c>
      <c r="M11" s="52">
        <v>36.89</v>
      </c>
      <c r="N11" s="52">
        <v>0</v>
      </c>
      <c r="O11" s="52">
        <v>0</v>
      </c>
      <c r="P11" s="52">
        <v>1.1100000000000001</v>
      </c>
      <c r="Q11" s="52">
        <v>7.2</v>
      </c>
    </row>
    <row r="12" spans="1:21" customFormat="1">
      <c r="A12" s="53" t="s">
        <v>134</v>
      </c>
      <c r="B12" s="52">
        <v>42.36</v>
      </c>
      <c r="C12" s="52">
        <v>63.79</v>
      </c>
      <c r="D12" s="52">
        <v>66.25</v>
      </c>
      <c r="E12" s="52">
        <v>20.63</v>
      </c>
      <c r="F12" s="52">
        <v>7.6</v>
      </c>
      <c r="G12" s="52">
        <v>98.49</v>
      </c>
      <c r="H12" s="52">
        <v>64.09</v>
      </c>
      <c r="I12" s="52">
        <v>9.69</v>
      </c>
      <c r="J12" s="52">
        <v>0.28999999999999998</v>
      </c>
      <c r="K12" s="52">
        <v>188.16</v>
      </c>
      <c r="L12" s="52">
        <v>30.33</v>
      </c>
      <c r="M12" s="52">
        <v>44.64</v>
      </c>
      <c r="N12" s="52">
        <v>0</v>
      </c>
      <c r="O12" s="52">
        <v>0</v>
      </c>
      <c r="P12" s="52">
        <v>1.01</v>
      </c>
      <c r="Q12" s="52">
        <v>6.99</v>
      </c>
    </row>
    <row r="13" spans="1:21" customFormat="1">
      <c r="A13" s="53" t="s">
        <v>135</v>
      </c>
      <c r="B13" s="52">
        <v>43.49</v>
      </c>
      <c r="C13" s="52">
        <v>64.11</v>
      </c>
      <c r="D13" s="52">
        <v>67.33</v>
      </c>
      <c r="E13" s="52">
        <v>13.06</v>
      </c>
      <c r="F13" s="52">
        <v>5.32</v>
      </c>
      <c r="G13" s="52">
        <v>79.400000000000006</v>
      </c>
      <c r="H13" s="52">
        <v>52.68</v>
      </c>
      <c r="I13" s="52">
        <v>9.74</v>
      </c>
      <c r="J13" s="52">
        <v>0.45</v>
      </c>
      <c r="K13" s="52">
        <v>253.35</v>
      </c>
      <c r="L13" s="52">
        <v>28.4</v>
      </c>
      <c r="M13" s="52">
        <v>48.95</v>
      </c>
      <c r="N13" s="52">
        <v>0</v>
      </c>
      <c r="O13" s="52">
        <v>0</v>
      </c>
      <c r="P13" s="52">
        <v>1.03</v>
      </c>
      <c r="Q13" s="52">
        <v>6.97</v>
      </c>
    </row>
    <row r="14" spans="1:21" customFormat="1">
      <c r="A14" s="53" t="s">
        <v>136</v>
      </c>
      <c r="B14" s="52">
        <v>40.090000000000003</v>
      </c>
      <c r="C14" s="52">
        <v>63.25</v>
      </c>
      <c r="D14" s="52">
        <v>64.150000000000006</v>
      </c>
      <c r="E14" s="52">
        <v>7.18</v>
      </c>
      <c r="F14" s="52">
        <v>5.65</v>
      </c>
      <c r="G14" s="52">
        <v>79.400000000000006</v>
      </c>
      <c r="H14" s="52">
        <v>52.68</v>
      </c>
      <c r="I14" s="52">
        <v>9.6300000000000008</v>
      </c>
      <c r="J14" s="52">
        <v>0.32</v>
      </c>
      <c r="K14" s="52">
        <v>244.84</v>
      </c>
      <c r="L14" s="52">
        <v>28.03</v>
      </c>
      <c r="M14" s="52">
        <v>52.24</v>
      </c>
      <c r="N14" s="52">
        <v>20.5</v>
      </c>
      <c r="O14" s="52">
        <v>0</v>
      </c>
      <c r="P14" s="52">
        <v>0.97</v>
      </c>
      <c r="Q14" s="52">
        <v>6.76</v>
      </c>
    </row>
    <row r="15" spans="1:21" customFormat="1">
      <c r="A15" s="53" t="s">
        <v>137</v>
      </c>
      <c r="B15" s="52">
        <v>37.71</v>
      </c>
      <c r="C15" s="52">
        <v>60.38</v>
      </c>
      <c r="D15" s="52">
        <v>60.75</v>
      </c>
      <c r="E15" s="52">
        <v>8.83</v>
      </c>
      <c r="F15" s="52">
        <v>4.88</v>
      </c>
      <c r="G15" s="52">
        <v>59.55</v>
      </c>
      <c r="H15" s="52">
        <v>46.09</v>
      </c>
      <c r="I15" s="52">
        <v>9.9</v>
      </c>
      <c r="J15" s="52">
        <v>0.19</v>
      </c>
      <c r="K15" s="52">
        <v>289.83</v>
      </c>
      <c r="L15" s="52">
        <v>29.8</v>
      </c>
      <c r="M15" s="52">
        <v>53.82</v>
      </c>
      <c r="N15" s="52">
        <v>63.6</v>
      </c>
      <c r="O15" s="52">
        <v>0</v>
      </c>
      <c r="P15" s="52">
        <v>0.94</v>
      </c>
      <c r="Q15" s="52">
        <v>6.69</v>
      </c>
    </row>
    <row r="16" spans="1:21" customFormat="1">
      <c r="A16" s="53" t="s">
        <v>138</v>
      </c>
      <c r="B16" s="52">
        <v>38</v>
      </c>
      <c r="C16" s="52">
        <v>62.93</v>
      </c>
      <c r="D16" s="52">
        <v>61.14</v>
      </c>
      <c r="E16" s="52">
        <v>22.35</v>
      </c>
      <c r="F16" s="52">
        <v>11.19</v>
      </c>
      <c r="G16" s="52">
        <v>86.59</v>
      </c>
      <c r="H16" s="52">
        <v>53.14</v>
      </c>
      <c r="I16" s="52">
        <v>10.83</v>
      </c>
      <c r="J16" s="52">
        <v>0.68</v>
      </c>
      <c r="K16" s="52">
        <v>319.44</v>
      </c>
      <c r="L16" s="52">
        <v>31.81</v>
      </c>
      <c r="M16" s="52">
        <v>40.1</v>
      </c>
      <c r="N16" s="52">
        <v>132</v>
      </c>
      <c r="O16" s="52">
        <v>0</v>
      </c>
      <c r="P16" s="52">
        <v>0.96</v>
      </c>
      <c r="Q16" s="52">
        <v>6.66</v>
      </c>
    </row>
    <row r="17" spans="1:17" customFormat="1">
      <c r="A17" s="53" t="s">
        <v>139</v>
      </c>
      <c r="B17" s="52">
        <v>33.82</v>
      </c>
      <c r="C17" s="52">
        <v>62.39</v>
      </c>
      <c r="D17" s="52">
        <v>57.65</v>
      </c>
      <c r="E17" s="52">
        <v>27.82</v>
      </c>
      <c r="F17" s="52">
        <v>14.71</v>
      </c>
      <c r="G17" s="52">
        <v>90.12</v>
      </c>
      <c r="H17" s="52">
        <v>66.239999999999995</v>
      </c>
      <c r="I17" s="52">
        <v>9.67</v>
      </c>
      <c r="J17" s="52">
        <v>1.05</v>
      </c>
      <c r="K17" s="52">
        <v>312.19</v>
      </c>
      <c r="L17" s="52">
        <v>35.06</v>
      </c>
      <c r="M17" s="52">
        <v>32.450000000000003</v>
      </c>
      <c r="N17" s="52">
        <v>235.2</v>
      </c>
      <c r="O17" s="52">
        <v>0</v>
      </c>
      <c r="P17" s="52">
        <v>0.93</v>
      </c>
      <c r="Q17" s="52">
        <v>6.54</v>
      </c>
    </row>
    <row r="18" spans="1:17" customFormat="1">
      <c r="A18" s="53" t="s">
        <v>140</v>
      </c>
      <c r="B18" s="52">
        <v>23.45</v>
      </c>
      <c r="C18" s="52">
        <v>61.84</v>
      </c>
      <c r="D18" s="52">
        <v>49.52</v>
      </c>
      <c r="E18" s="52">
        <v>33.979999999999997</v>
      </c>
      <c r="F18" s="52">
        <v>33.43</v>
      </c>
      <c r="G18" s="52">
        <v>101.05</v>
      </c>
      <c r="H18" s="52">
        <v>66.239999999999995</v>
      </c>
      <c r="I18" s="52">
        <v>9.2799999999999994</v>
      </c>
      <c r="J18" s="52">
        <v>1.07</v>
      </c>
      <c r="K18" s="52">
        <v>347.3</v>
      </c>
      <c r="L18" s="52">
        <v>36.04</v>
      </c>
      <c r="M18" s="52">
        <v>30.64</v>
      </c>
      <c r="N18" s="52">
        <v>256.10000000000002</v>
      </c>
      <c r="O18" s="52">
        <v>0</v>
      </c>
      <c r="P18" s="52">
        <v>0.9</v>
      </c>
      <c r="Q18" s="52">
        <v>6.23</v>
      </c>
    </row>
    <row r="19" spans="1:17" customFormat="1">
      <c r="A19" s="53" t="s">
        <v>141</v>
      </c>
      <c r="B19" s="52">
        <v>15.12</v>
      </c>
      <c r="C19" s="52">
        <v>64.680000000000007</v>
      </c>
      <c r="D19" s="52">
        <v>44.88</v>
      </c>
      <c r="E19" s="52">
        <v>54.44</v>
      </c>
      <c r="F19" s="52">
        <v>51.54</v>
      </c>
      <c r="G19" s="52">
        <v>105.21</v>
      </c>
      <c r="H19" s="52">
        <v>41.23</v>
      </c>
      <c r="I19" s="52">
        <v>8.4700000000000006</v>
      </c>
      <c r="J19" s="52">
        <v>0.82</v>
      </c>
      <c r="K19" s="52">
        <v>130.55000000000001</v>
      </c>
      <c r="L19" s="52">
        <v>38.74</v>
      </c>
      <c r="M19" s="52">
        <v>29.35</v>
      </c>
      <c r="N19" s="52">
        <v>318.39999999999998</v>
      </c>
      <c r="O19" s="52">
        <v>0</v>
      </c>
      <c r="P19" s="52">
        <v>0.93</v>
      </c>
      <c r="Q19" s="52">
        <v>5.91</v>
      </c>
    </row>
    <row r="20" spans="1:17" customFormat="1">
      <c r="A20" s="53" t="s">
        <v>142</v>
      </c>
      <c r="B20" s="52">
        <v>7.84</v>
      </c>
      <c r="C20" s="52">
        <v>58.84</v>
      </c>
      <c r="D20" s="52">
        <v>34.82</v>
      </c>
      <c r="E20" s="52">
        <v>61.17</v>
      </c>
      <c r="F20" s="52">
        <v>78.12</v>
      </c>
      <c r="G20" s="52">
        <v>105.21</v>
      </c>
      <c r="H20" s="52">
        <v>35.17</v>
      </c>
      <c r="I20" s="52">
        <v>7.86</v>
      </c>
      <c r="J20" s="52">
        <v>0.41</v>
      </c>
      <c r="K20" s="52">
        <v>106.83</v>
      </c>
      <c r="L20" s="52">
        <v>40.520000000000003</v>
      </c>
      <c r="M20" s="52">
        <v>24.59</v>
      </c>
      <c r="N20" s="52">
        <v>679.4</v>
      </c>
      <c r="O20" s="52">
        <v>0</v>
      </c>
      <c r="P20" s="52">
        <v>0.85</v>
      </c>
      <c r="Q20" s="52">
        <v>5.48</v>
      </c>
    </row>
    <row r="21" spans="1:17" customFormat="1">
      <c r="A21" s="53" t="s">
        <v>143</v>
      </c>
      <c r="B21" s="52">
        <v>4.24</v>
      </c>
      <c r="C21" s="52">
        <v>56.46</v>
      </c>
      <c r="D21" s="52">
        <v>31.54</v>
      </c>
      <c r="E21" s="52">
        <v>68.099999999999994</v>
      </c>
      <c r="F21" s="52">
        <v>83.97</v>
      </c>
      <c r="G21" s="52">
        <v>98.97</v>
      </c>
      <c r="H21" s="52">
        <v>35.17</v>
      </c>
      <c r="I21" s="52">
        <v>7.51</v>
      </c>
      <c r="J21" s="52">
        <v>0.6</v>
      </c>
      <c r="K21" s="52">
        <v>359.15</v>
      </c>
      <c r="L21" s="52">
        <v>41.51</v>
      </c>
      <c r="M21" s="52">
        <v>20.47</v>
      </c>
      <c r="N21" s="52">
        <v>708.4</v>
      </c>
      <c r="O21" s="52">
        <v>0</v>
      </c>
      <c r="P21" s="52">
        <v>0.81</v>
      </c>
      <c r="Q21" s="52">
        <v>5.27</v>
      </c>
    </row>
    <row r="22" spans="1:17" customFormat="1">
      <c r="A22" s="53" t="s">
        <v>144</v>
      </c>
      <c r="B22" s="52">
        <v>3.67</v>
      </c>
      <c r="C22" s="52">
        <v>54.52</v>
      </c>
      <c r="D22" s="52">
        <v>30.38</v>
      </c>
      <c r="E22" s="52">
        <v>49.65</v>
      </c>
      <c r="F22" s="52">
        <v>70.099999999999994</v>
      </c>
      <c r="G22" s="52">
        <v>99.83</v>
      </c>
      <c r="H22" s="52">
        <v>55.8</v>
      </c>
      <c r="I22" s="52">
        <v>7.14</v>
      </c>
      <c r="J22" s="52">
        <v>1.42</v>
      </c>
      <c r="K22" s="52">
        <v>359.46</v>
      </c>
      <c r="L22" s="52">
        <v>41.56</v>
      </c>
      <c r="M22" s="52">
        <v>18.47</v>
      </c>
      <c r="N22" s="52">
        <v>688.5</v>
      </c>
      <c r="O22" s="52">
        <v>0</v>
      </c>
      <c r="P22" s="52">
        <v>0.79</v>
      </c>
      <c r="Q22" s="52">
        <v>5.08</v>
      </c>
    </row>
    <row r="23" spans="1:17" customFormat="1">
      <c r="A23" s="53" t="s">
        <v>145</v>
      </c>
      <c r="B23" s="52">
        <v>3.9</v>
      </c>
      <c r="C23" s="52">
        <v>52.77</v>
      </c>
      <c r="D23" s="52">
        <v>29.54</v>
      </c>
      <c r="E23" s="52">
        <v>22.69</v>
      </c>
      <c r="F23" s="52">
        <v>49.44</v>
      </c>
      <c r="G23" s="52">
        <v>99.83</v>
      </c>
      <c r="H23" s="52">
        <v>69.95</v>
      </c>
      <c r="I23" s="52">
        <v>6.88</v>
      </c>
      <c r="J23" s="52">
        <v>1.26</v>
      </c>
      <c r="K23" s="52">
        <v>321.02999999999997</v>
      </c>
      <c r="L23" s="52">
        <v>42.39</v>
      </c>
      <c r="M23" s="52">
        <v>16.03</v>
      </c>
      <c r="N23" s="52">
        <v>661.9</v>
      </c>
      <c r="O23" s="52">
        <v>0</v>
      </c>
      <c r="P23" s="52">
        <v>0.68</v>
      </c>
      <c r="Q23" s="52">
        <v>4.99</v>
      </c>
    </row>
    <row r="24" spans="1:17" customFormat="1">
      <c r="A24" s="53" t="s">
        <v>146</v>
      </c>
      <c r="B24" s="52">
        <v>4.24</v>
      </c>
      <c r="C24" s="52">
        <v>49.37</v>
      </c>
      <c r="D24" s="52">
        <v>27.68</v>
      </c>
      <c r="E24" s="52">
        <v>13.55</v>
      </c>
      <c r="F24" s="52">
        <v>53.04</v>
      </c>
      <c r="G24" s="52">
        <v>65.47</v>
      </c>
      <c r="H24" s="52">
        <v>69.95</v>
      </c>
      <c r="I24" s="52">
        <v>6.59</v>
      </c>
      <c r="J24" s="52">
        <v>0.97</v>
      </c>
      <c r="K24" s="52">
        <v>298.69</v>
      </c>
      <c r="L24" s="52">
        <v>42.79</v>
      </c>
      <c r="M24" s="52">
        <v>15.42</v>
      </c>
      <c r="N24" s="52">
        <v>544.70000000000005</v>
      </c>
      <c r="O24" s="52">
        <v>0</v>
      </c>
      <c r="P24" s="52">
        <v>0.64</v>
      </c>
      <c r="Q24" s="52">
        <v>4.9400000000000004</v>
      </c>
    </row>
    <row r="25" spans="1:17" customFormat="1">
      <c r="A25" s="53" t="s">
        <v>147</v>
      </c>
      <c r="B25" s="52">
        <v>5.13</v>
      </c>
      <c r="C25" s="52">
        <v>52.54</v>
      </c>
      <c r="D25" s="52">
        <v>30.85</v>
      </c>
      <c r="E25" s="52">
        <v>13.79</v>
      </c>
      <c r="F25" s="52">
        <v>39.47</v>
      </c>
      <c r="G25" s="52">
        <v>51.51</v>
      </c>
      <c r="H25" s="52">
        <v>66.19</v>
      </c>
      <c r="I25" s="52">
        <v>5.38</v>
      </c>
      <c r="J25" s="52">
        <v>1.17</v>
      </c>
      <c r="K25" s="52">
        <v>309.45</v>
      </c>
      <c r="L25" s="52">
        <v>41.68</v>
      </c>
      <c r="M25" s="52">
        <v>17.260000000000002</v>
      </c>
      <c r="N25" s="52">
        <v>357.6</v>
      </c>
      <c r="O25" s="52">
        <v>0</v>
      </c>
      <c r="P25" s="52">
        <v>0.57999999999999996</v>
      </c>
      <c r="Q25" s="52">
        <v>4.9400000000000004</v>
      </c>
    </row>
    <row r="26" spans="1:17" customFormat="1">
      <c r="A26" s="53" t="s">
        <v>148</v>
      </c>
      <c r="B26" s="52">
        <v>12.23</v>
      </c>
      <c r="C26" s="52">
        <v>59.31</v>
      </c>
      <c r="D26" s="52">
        <v>39.75</v>
      </c>
      <c r="E26" s="52">
        <v>11.22</v>
      </c>
      <c r="F26" s="52">
        <v>30.93</v>
      </c>
      <c r="G26" s="52">
        <v>46.29</v>
      </c>
      <c r="H26" s="52">
        <v>50.59</v>
      </c>
      <c r="I26" s="52">
        <v>5.28</v>
      </c>
      <c r="J26" s="52">
        <v>1.71</v>
      </c>
      <c r="K26" s="52">
        <v>308.31</v>
      </c>
      <c r="L26" s="52">
        <v>38.9</v>
      </c>
      <c r="M26" s="52">
        <v>17.55</v>
      </c>
      <c r="N26" s="52">
        <v>47.9</v>
      </c>
      <c r="O26" s="52">
        <v>0</v>
      </c>
      <c r="P26" s="52">
        <v>0.65</v>
      </c>
      <c r="Q26" s="52">
        <v>4.97</v>
      </c>
    </row>
    <row r="27" spans="1:17" customFormat="1">
      <c r="A27" s="53" t="s">
        <v>149</v>
      </c>
      <c r="B27" s="52">
        <v>7.25</v>
      </c>
      <c r="C27" s="52">
        <v>52.75</v>
      </c>
      <c r="D27" s="52">
        <v>31.8</v>
      </c>
      <c r="E27" s="52">
        <v>25.61</v>
      </c>
      <c r="F27" s="52">
        <v>52.94</v>
      </c>
      <c r="G27" s="52">
        <v>85.93</v>
      </c>
      <c r="H27" s="52">
        <v>59.11</v>
      </c>
      <c r="I27" s="52">
        <v>4.9800000000000004</v>
      </c>
      <c r="J27" s="52">
        <v>0.92</v>
      </c>
      <c r="K27" s="52">
        <v>73.3</v>
      </c>
      <c r="L27" s="52">
        <v>38.299999999999997</v>
      </c>
      <c r="M27" s="52">
        <v>25.83</v>
      </c>
      <c r="N27" s="52">
        <v>30.5</v>
      </c>
      <c r="O27" s="52">
        <v>0</v>
      </c>
      <c r="P27" s="52">
        <v>0.67</v>
      </c>
      <c r="Q27" s="52">
        <v>5.04</v>
      </c>
    </row>
    <row r="28" spans="1:17" customFormat="1">
      <c r="A28" s="53" t="s">
        <v>150</v>
      </c>
      <c r="B28" s="52">
        <v>5.69</v>
      </c>
      <c r="C28" s="52">
        <v>56.6</v>
      </c>
      <c r="D28" s="52">
        <v>32.93</v>
      </c>
      <c r="E28" s="52">
        <v>22.61</v>
      </c>
      <c r="F28" s="52">
        <v>41.47</v>
      </c>
      <c r="G28" s="52">
        <v>122.78</v>
      </c>
      <c r="H28" s="52">
        <v>69.209999999999994</v>
      </c>
      <c r="I28" s="52">
        <v>5.34</v>
      </c>
      <c r="J28" s="52">
        <v>1.23</v>
      </c>
      <c r="K28" s="52">
        <v>96.28</v>
      </c>
      <c r="L28" s="52">
        <v>36.340000000000003</v>
      </c>
      <c r="M28" s="52">
        <v>31.19</v>
      </c>
      <c r="N28" s="52">
        <v>0</v>
      </c>
      <c r="O28" s="52">
        <v>0</v>
      </c>
      <c r="P28" s="52">
        <v>0.67</v>
      </c>
      <c r="Q28" s="52">
        <v>5.04</v>
      </c>
    </row>
    <row r="29" spans="1:17" customFormat="1">
      <c r="A29" s="53" t="s">
        <v>151</v>
      </c>
      <c r="B29" s="52">
        <v>4.6399999999999997</v>
      </c>
      <c r="C29" s="52">
        <v>55.35</v>
      </c>
      <c r="D29" s="52">
        <v>31.6</v>
      </c>
      <c r="E29" s="52">
        <v>15.81</v>
      </c>
      <c r="F29" s="52">
        <v>21.7</v>
      </c>
      <c r="G29" s="52">
        <v>122.78</v>
      </c>
      <c r="H29" s="52">
        <v>69.209999999999994</v>
      </c>
      <c r="I29" s="52">
        <v>5.33</v>
      </c>
      <c r="J29" s="52">
        <v>0.56999999999999995</v>
      </c>
      <c r="K29" s="52">
        <v>116.96</v>
      </c>
      <c r="L29" s="52">
        <v>34.479999999999997</v>
      </c>
      <c r="M29" s="52">
        <v>36.79</v>
      </c>
      <c r="N29" s="52">
        <v>0</v>
      </c>
      <c r="O29" s="52">
        <v>0</v>
      </c>
      <c r="P29" s="52">
        <v>0.62</v>
      </c>
      <c r="Q29" s="52">
        <v>4.92</v>
      </c>
    </row>
    <row r="30" spans="1:17" customFormat="1">
      <c r="A30" s="53" t="s">
        <v>152</v>
      </c>
      <c r="B30" s="52">
        <v>3.38</v>
      </c>
      <c r="C30" s="52">
        <v>48.74</v>
      </c>
      <c r="D30" s="52">
        <v>27.07</v>
      </c>
      <c r="E30" s="52">
        <v>11.36</v>
      </c>
      <c r="F30" s="52">
        <v>29.61</v>
      </c>
      <c r="G30" s="52">
        <v>86.44</v>
      </c>
      <c r="H30" s="52">
        <v>50.24</v>
      </c>
      <c r="I30" s="52">
        <v>4.9400000000000004</v>
      </c>
      <c r="J30" s="52">
        <v>0.59</v>
      </c>
      <c r="K30" s="52">
        <v>114.89</v>
      </c>
      <c r="L30" s="52">
        <v>32.97</v>
      </c>
      <c r="M30" s="52">
        <v>41.25</v>
      </c>
      <c r="N30" s="52">
        <v>0</v>
      </c>
      <c r="O30" s="52">
        <v>0</v>
      </c>
      <c r="P30" s="52">
        <v>0.57999999999999996</v>
      </c>
      <c r="Q30" s="52">
        <v>4.6900000000000004</v>
      </c>
    </row>
    <row r="31" spans="1:17" customFormat="1">
      <c r="A31" s="53" t="s">
        <v>153</v>
      </c>
      <c r="B31" s="52">
        <v>4.43</v>
      </c>
      <c r="C31" s="52">
        <v>47.04</v>
      </c>
      <c r="D31" s="52">
        <v>26.47</v>
      </c>
      <c r="E31" s="52">
        <v>10.36</v>
      </c>
      <c r="F31" s="52">
        <v>26.44</v>
      </c>
      <c r="G31" s="52">
        <v>86.32</v>
      </c>
      <c r="H31" s="52">
        <v>47.49</v>
      </c>
      <c r="I31" s="52">
        <v>4.41</v>
      </c>
      <c r="J31" s="52">
        <v>0.52</v>
      </c>
      <c r="K31" s="52">
        <v>105.22</v>
      </c>
      <c r="L31" s="52">
        <v>31.95</v>
      </c>
      <c r="M31" s="52">
        <v>42.72</v>
      </c>
      <c r="N31" s="52">
        <v>0</v>
      </c>
      <c r="O31" s="52">
        <v>0</v>
      </c>
      <c r="P31" s="52">
        <v>0.55000000000000004</v>
      </c>
      <c r="Q31" s="52">
        <v>4.7</v>
      </c>
    </row>
    <row r="32" spans="1:17" customFormat="1">
      <c r="A32" s="53" t="s">
        <v>154</v>
      </c>
      <c r="B32" s="52">
        <v>5.23</v>
      </c>
      <c r="C32" s="52">
        <v>50.36</v>
      </c>
      <c r="D32" s="52">
        <v>29.29</v>
      </c>
      <c r="E32" s="52">
        <v>9.9</v>
      </c>
      <c r="F32" s="52">
        <v>20.65</v>
      </c>
      <c r="G32" s="52">
        <v>68.06</v>
      </c>
      <c r="H32" s="52">
        <v>39.200000000000003</v>
      </c>
      <c r="I32" s="52">
        <v>4.1900000000000004</v>
      </c>
      <c r="J32" s="52">
        <v>0.51</v>
      </c>
      <c r="K32" s="52">
        <v>130.31</v>
      </c>
      <c r="L32" s="52">
        <v>31.52</v>
      </c>
      <c r="M32" s="52">
        <v>44.31</v>
      </c>
      <c r="N32" s="52">
        <v>0</v>
      </c>
      <c r="O32" s="52">
        <v>0</v>
      </c>
      <c r="P32" s="52">
        <v>0.53</v>
      </c>
      <c r="Q32" s="52">
        <v>4.79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3.38</v>
      </c>
      <c r="C34" s="41">
        <f t="shared" si="0"/>
        <v>47.04</v>
      </c>
      <c r="D34" s="41">
        <f t="shared" si="0"/>
        <v>26.47</v>
      </c>
      <c r="E34" s="41">
        <f t="shared" si="0"/>
        <v>7.18</v>
      </c>
      <c r="F34" s="41">
        <f t="shared" si="0"/>
        <v>4.88</v>
      </c>
      <c r="G34" s="41">
        <f t="shared" si="0"/>
        <v>46.29</v>
      </c>
      <c r="H34" s="41">
        <f t="shared" si="0"/>
        <v>35.17</v>
      </c>
      <c r="I34" s="41">
        <f t="shared" si="0"/>
        <v>4.1900000000000004</v>
      </c>
      <c r="J34" s="41">
        <f t="shared" si="0"/>
        <v>0.19</v>
      </c>
      <c r="K34" s="41">
        <f t="shared" si="0"/>
        <v>54.18</v>
      </c>
      <c r="L34" s="41">
        <f t="shared" si="0"/>
        <v>28.03</v>
      </c>
      <c r="M34" s="41">
        <f t="shared" si="0"/>
        <v>15.42</v>
      </c>
      <c r="N34" s="41">
        <f t="shared" si="0"/>
        <v>0</v>
      </c>
      <c r="O34" s="41">
        <f t="shared" si="0"/>
        <v>0</v>
      </c>
      <c r="P34" s="41">
        <f t="shared" si="0"/>
        <v>0.53</v>
      </c>
      <c r="Q34" s="41">
        <f t="shared" si="0"/>
        <v>4.6900000000000004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48.52</v>
      </c>
      <c r="C35" s="33">
        <f t="shared" si="1"/>
        <v>67.599999999999994</v>
      </c>
      <c r="D35" s="33">
        <f t="shared" si="1"/>
        <v>72.849999999999994</v>
      </c>
      <c r="E35" s="33">
        <f t="shared" si="1"/>
        <v>68.099999999999994</v>
      </c>
      <c r="F35" s="33">
        <f t="shared" si="1"/>
        <v>83.97</v>
      </c>
      <c r="G35" s="33">
        <f t="shared" si="1"/>
        <v>233.53</v>
      </c>
      <c r="H35" s="33">
        <f t="shared" si="1"/>
        <v>136.79</v>
      </c>
      <c r="I35" s="33">
        <f t="shared" si="1"/>
        <v>15.13</v>
      </c>
      <c r="J35" s="33">
        <f t="shared" si="1"/>
        <v>1.71</v>
      </c>
      <c r="K35" s="33">
        <f t="shared" si="1"/>
        <v>359.46</v>
      </c>
      <c r="L35" s="33">
        <f t="shared" si="1"/>
        <v>42.79</v>
      </c>
      <c r="M35" s="33">
        <f t="shared" si="1"/>
        <v>53.82</v>
      </c>
      <c r="N35" s="33">
        <f t="shared" si="1"/>
        <v>708.4</v>
      </c>
      <c r="O35" s="33">
        <f t="shared" si="1"/>
        <v>0</v>
      </c>
      <c r="P35" s="33">
        <f t="shared" si="1"/>
        <v>1.23</v>
      </c>
      <c r="Q35" s="33">
        <f t="shared" si="1"/>
        <v>7.33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20.107083333333332</v>
      </c>
      <c r="C36" s="41">
        <f t="shared" si="2"/>
        <v>58.096666666666657</v>
      </c>
      <c r="D36" s="41">
        <f t="shared" si="2"/>
        <v>45.14708333333332</v>
      </c>
      <c r="E36" s="41">
        <f t="shared" si="2"/>
        <v>25.644999999999996</v>
      </c>
      <c r="F36" s="41">
        <f t="shared" si="2"/>
        <v>31.565833333333341</v>
      </c>
      <c r="G36" s="41">
        <f t="shared" si="2"/>
        <v>96.301249999999996</v>
      </c>
      <c r="H36" s="41">
        <f t="shared" si="2"/>
        <v>62.550416666666671</v>
      </c>
      <c r="I36" s="41">
        <f t="shared" si="2"/>
        <v>7.8895833333333334</v>
      </c>
      <c r="J36" s="41">
        <f t="shared" si="2"/>
        <v>0.75249999999999995</v>
      </c>
      <c r="K36" s="41">
        <f t="shared" si="2"/>
        <v>218.38250000000008</v>
      </c>
      <c r="L36" s="41">
        <f t="shared" si="2"/>
        <v>35.314583333333331</v>
      </c>
      <c r="M36" s="41">
        <f t="shared" si="2"/>
        <v>33.086666666666666</v>
      </c>
      <c r="N36" s="41">
        <f t="shared" si="2"/>
        <v>197.69583333333333</v>
      </c>
      <c r="O36" s="41">
        <f t="shared" si="2"/>
        <v>0</v>
      </c>
      <c r="P36" s="41">
        <f t="shared" si="2"/>
        <v>0.82458333333333356</v>
      </c>
      <c r="Q36" s="41">
        <f t="shared" si="2"/>
        <v>5.8079166666666664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17.568865861088693</v>
      </c>
      <c r="C37" s="41">
        <f t="shared" ref="C37:Q37" si="3">STDEV(C9:C32)</f>
        <v>6.0525306720604402</v>
      </c>
      <c r="D37" s="41">
        <f t="shared" si="3"/>
        <v>16.818053053623455</v>
      </c>
      <c r="E37" s="41">
        <f t="shared" si="3"/>
        <v>17.522828588419472</v>
      </c>
      <c r="F37" s="41">
        <f t="shared" si="3"/>
        <v>24.139058718125302</v>
      </c>
      <c r="G37" s="41">
        <f t="shared" si="3"/>
        <v>36.411281495007785</v>
      </c>
      <c r="H37" s="41">
        <f t="shared" si="3"/>
        <v>23.847494896997446</v>
      </c>
      <c r="I37" s="41">
        <f t="shared" si="3"/>
        <v>2.6977083336830927</v>
      </c>
      <c r="J37" s="41">
        <f t="shared" si="3"/>
        <v>0.40512209646411296</v>
      </c>
      <c r="K37" s="41">
        <f t="shared" si="3"/>
        <v>109.02527111318867</v>
      </c>
      <c r="L37" s="41">
        <f t="shared" si="3"/>
        <v>4.8078703404048815</v>
      </c>
      <c r="M37" s="41">
        <f t="shared" si="3"/>
        <v>11.770460323703746</v>
      </c>
      <c r="N37" s="41">
        <f t="shared" si="3"/>
        <v>264.53617239164697</v>
      </c>
      <c r="O37" s="41">
        <f t="shared" si="3"/>
        <v>0</v>
      </c>
      <c r="P37" s="41">
        <f t="shared" si="3"/>
        <v>0.20584880831342564</v>
      </c>
      <c r="Q37" s="41">
        <f t="shared" si="3"/>
        <v>0.96755172501511211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05/06/2023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155</v>
      </c>
      <c r="B9" s="52">
        <v>4.8499999999999996</v>
      </c>
      <c r="C9" s="52">
        <v>51.07</v>
      </c>
      <c r="D9" s="52">
        <v>29.36</v>
      </c>
      <c r="E9" s="52">
        <v>8.34</v>
      </c>
      <c r="F9" s="52">
        <v>22.46</v>
      </c>
      <c r="G9" s="52">
        <v>49.28</v>
      </c>
      <c r="H9" s="52">
        <v>34.58</v>
      </c>
      <c r="I9" s="52">
        <v>4.21</v>
      </c>
      <c r="J9" s="52">
        <v>0.21</v>
      </c>
      <c r="K9" s="52">
        <v>153.5</v>
      </c>
      <c r="L9" s="52">
        <v>30.91</v>
      </c>
      <c r="M9" s="52">
        <v>48.34</v>
      </c>
      <c r="N9" s="52">
        <v>0</v>
      </c>
      <c r="O9" s="52">
        <v>0</v>
      </c>
      <c r="P9" s="52">
        <v>0.53</v>
      </c>
      <c r="Q9" s="52">
        <v>4.87</v>
      </c>
    </row>
    <row r="10" spans="1:21" customFormat="1">
      <c r="A10" s="53" t="s">
        <v>156</v>
      </c>
      <c r="B10" s="52">
        <v>6.76</v>
      </c>
      <c r="C10" s="52">
        <v>54.11</v>
      </c>
      <c r="D10" s="52">
        <v>32.65</v>
      </c>
      <c r="E10" s="52">
        <v>8</v>
      </c>
      <c r="F10" s="52">
        <v>18.489999999999998</v>
      </c>
      <c r="G10" s="52">
        <v>46.7</v>
      </c>
      <c r="H10" s="52">
        <v>30.98</v>
      </c>
      <c r="I10" s="52">
        <v>4.0599999999999996</v>
      </c>
      <c r="J10" s="52">
        <v>0.27</v>
      </c>
      <c r="K10" s="52">
        <v>164.33</v>
      </c>
      <c r="L10" s="52">
        <v>29.87</v>
      </c>
      <c r="M10" s="52">
        <v>49.52</v>
      </c>
      <c r="N10" s="52">
        <v>0</v>
      </c>
      <c r="O10" s="52">
        <v>0</v>
      </c>
      <c r="P10" s="52">
        <v>0.53</v>
      </c>
      <c r="Q10" s="52">
        <v>4.96</v>
      </c>
    </row>
    <row r="11" spans="1:21" customFormat="1">
      <c r="A11" s="53" t="s">
        <v>157</v>
      </c>
      <c r="B11" s="52">
        <v>6.91</v>
      </c>
      <c r="C11" s="52">
        <v>52.34</v>
      </c>
      <c r="D11" s="52">
        <v>31.84</v>
      </c>
      <c r="E11" s="52">
        <v>5.68</v>
      </c>
      <c r="F11" s="52">
        <v>20.9</v>
      </c>
      <c r="G11" s="52">
        <v>32.770000000000003</v>
      </c>
      <c r="H11" s="52">
        <v>19.72</v>
      </c>
      <c r="I11" s="52">
        <v>4.22</v>
      </c>
      <c r="J11" s="52">
        <v>0.25</v>
      </c>
      <c r="K11" s="52">
        <v>167.07</v>
      </c>
      <c r="L11" s="52">
        <v>29.66</v>
      </c>
      <c r="M11" s="52">
        <v>49.08</v>
      </c>
      <c r="N11" s="52">
        <v>0</v>
      </c>
      <c r="O11" s="52">
        <v>0</v>
      </c>
      <c r="P11" s="52">
        <v>0.52</v>
      </c>
      <c r="Q11" s="52">
        <v>4.96</v>
      </c>
    </row>
    <row r="12" spans="1:21" customFormat="1">
      <c r="A12" s="53" t="s">
        <v>158</v>
      </c>
      <c r="B12" s="52">
        <v>9.31</v>
      </c>
      <c r="C12" s="52">
        <v>53.08</v>
      </c>
      <c r="D12" s="52">
        <v>34.15</v>
      </c>
      <c r="E12" s="52">
        <v>5.47</v>
      </c>
      <c r="F12" s="52">
        <v>19.41</v>
      </c>
      <c r="G12" s="52">
        <v>30.09</v>
      </c>
      <c r="H12" s="52">
        <v>20.81</v>
      </c>
      <c r="I12" s="52">
        <v>4.08</v>
      </c>
      <c r="J12" s="52">
        <v>0.2</v>
      </c>
      <c r="K12" s="52">
        <v>231.77</v>
      </c>
      <c r="L12" s="52">
        <v>29.25</v>
      </c>
      <c r="M12" s="52">
        <v>52.72</v>
      </c>
      <c r="N12" s="52">
        <v>0</v>
      </c>
      <c r="O12" s="52">
        <v>0</v>
      </c>
      <c r="P12" s="52">
        <v>0.51</v>
      </c>
      <c r="Q12" s="52">
        <v>4.9800000000000004</v>
      </c>
    </row>
    <row r="13" spans="1:21" customFormat="1">
      <c r="A13" s="53" t="s">
        <v>159</v>
      </c>
      <c r="B13" s="52">
        <v>10.83</v>
      </c>
      <c r="C13" s="52">
        <v>58.92</v>
      </c>
      <c r="D13" s="52">
        <v>38.4</v>
      </c>
      <c r="E13" s="52">
        <v>5.04</v>
      </c>
      <c r="F13" s="52">
        <v>9.68</v>
      </c>
      <c r="G13" s="52">
        <v>30.78</v>
      </c>
      <c r="H13" s="52">
        <v>20.81</v>
      </c>
      <c r="I13" s="52">
        <v>4.05</v>
      </c>
      <c r="J13" s="52">
        <v>0.28999999999999998</v>
      </c>
      <c r="K13" s="52">
        <v>172.99</v>
      </c>
      <c r="L13" s="52">
        <v>28.64</v>
      </c>
      <c r="M13" s="52">
        <v>55.83</v>
      </c>
      <c r="N13" s="52">
        <v>0</v>
      </c>
      <c r="O13" s="52">
        <v>0</v>
      </c>
      <c r="P13" s="52">
        <v>0.54</v>
      </c>
      <c r="Q13" s="52">
        <v>5.14</v>
      </c>
    </row>
    <row r="14" spans="1:21" customFormat="1">
      <c r="A14" s="53" t="s">
        <v>160</v>
      </c>
      <c r="B14" s="52">
        <v>12.35</v>
      </c>
      <c r="C14" s="52">
        <v>61.57</v>
      </c>
      <c r="D14" s="52">
        <v>40.97</v>
      </c>
      <c r="E14" s="52">
        <v>5.07</v>
      </c>
      <c r="F14" s="52">
        <v>8.0500000000000007</v>
      </c>
      <c r="G14" s="52">
        <v>36.11</v>
      </c>
      <c r="H14" s="52">
        <v>19.899999999999999</v>
      </c>
      <c r="I14" s="52">
        <v>4.3899999999999997</v>
      </c>
      <c r="J14" s="52">
        <v>0.21</v>
      </c>
      <c r="K14" s="52">
        <v>219.47</v>
      </c>
      <c r="L14" s="52">
        <v>28.48</v>
      </c>
      <c r="M14" s="52">
        <v>57.78</v>
      </c>
      <c r="N14" s="52">
        <v>38.5</v>
      </c>
      <c r="O14" s="52">
        <v>0</v>
      </c>
      <c r="P14" s="52">
        <v>0.55000000000000004</v>
      </c>
      <c r="Q14" s="52">
        <v>5.31</v>
      </c>
    </row>
    <row r="15" spans="1:21" customFormat="1">
      <c r="A15" s="53" t="s">
        <v>161</v>
      </c>
      <c r="B15" s="52">
        <v>12.66</v>
      </c>
      <c r="C15" s="52">
        <v>55.7</v>
      </c>
      <c r="D15" s="52">
        <v>38.21</v>
      </c>
      <c r="E15" s="52">
        <v>5.14</v>
      </c>
      <c r="F15" s="52">
        <v>8.94</v>
      </c>
      <c r="G15" s="52">
        <v>36.11</v>
      </c>
      <c r="H15" s="52">
        <v>20.99</v>
      </c>
      <c r="I15" s="52">
        <v>4.49</v>
      </c>
      <c r="J15" s="52">
        <v>0.4</v>
      </c>
      <c r="K15" s="52">
        <v>282.10000000000002</v>
      </c>
      <c r="L15" s="52">
        <v>29.95</v>
      </c>
      <c r="M15" s="52">
        <v>51.39</v>
      </c>
      <c r="N15" s="52">
        <v>91.6</v>
      </c>
      <c r="O15" s="52">
        <v>0</v>
      </c>
      <c r="P15" s="52">
        <v>0.56000000000000005</v>
      </c>
      <c r="Q15" s="52">
        <v>5.33</v>
      </c>
    </row>
    <row r="16" spans="1:21" customFormat="1">
      <c r="A16" s="53" t="s">
        <v>162</v>
      </c>
      <c r="B16" s="52">
        <v>12.31</v>
      </c>
      <c r="C16" s="52">
        <v>57.17</v>
      </c>
      <c r="D16" s="52">
        <v>38.68</v>
      </c>
      <c r="E16" s="52">
        <v>6.31</v>
      </c>
      <c r="F16" s="52">
        <v>12.38</v>
      </c>
      <c r="G16" s="52">
        <v>38.78</v>
      </c>
      <c r="H16" s="52">
        <v>23</v>
      </c>
      <c r="I16" s="52">
        <v>4.76</v>
      </c>
      <c r="J16" s="52">
        <v>0.78</v>
      </c>
      <c r="K16" s="52">
        <v>290.7</v>
      </c>
      <c r="L16" s="52">
        <v>31.43</v>
      </c>
      <c r="M16" s="52">
        <v>47.15</v>
      </c>
      <c r="N16" s="52">
        <v>133.6</v>
      </c>
      <c r="O16" s="52">
        <v>0</v>
      </c>
      <c r="P16" s="52">
        <v>0.6</v>
      </c>
      <c r="Q16" s="52">
        <v>5.32</v>
      </c>
    </row>
    <row r="17" spans="1:17" customFormat="1">
      <c r="A17" s="53" t="s">
        <v>163</v>
      </c>
      <c r="B17" s="52">
        <v>11.65</v>
      </c>
      <c r="C17" s="52">
        <v>59.22</v>
      </c>
      <c r="D17" s="52">
        <v>37.93</v>
      </c>
      <c r="E17" s="52">
        <v>7.34</v>
      </c>
      <c r="F17" s="52">
        <v>14.94</v>
      </c>
      <c r="G17" s="52">
        <v>46.12</v>
      </c>
      <c r="H17" s="52">
        <v>25.21</v>
      </c>
      <c r="I17" s="52">
        <v>5.18</v>
      </c>
      <c r="J17" s="52">
        <v>0.61</v>
      </c>
      <c r="K17" s="52">
        <v>307.23</v>
      </c>
      <c r="L17" s="52">
        <v>33.61</v>
      </c>
      <c r="M17" s="52">
        <v>44.78</v>
      </c>
      <c r="N17" s="52">
        <v>178.7</v>
      </c>
      <c r="O17" s="52">
        <v>0</v>
      </c>
      <c r="P17" s="52">
        <v>0.68</v>
      </c>
      <c r="Q17" s="52">
        <v>5.25</v>
      </c>
    </row>
    <row r="18" spans="1:17" customFormat="1">
      <c r="A18" s="53" t="s">
        <v>164</v>
      </c>
      <c r="B18" s="52">
        <v>8.9</v>
      </c>
      <c r="C18" s="52">
        <v>56.41</v>
      </c>
      <c r="D18" s="52">
        <v>35.57</v>
      </c>
      <c r="E18" s="52">
        <v>29.63</v>
      </c>
      <c r="F18" s="52">
        <v>29.24</v>
      </c>
      <c r="G18" s="52">
        <v>58.16</v>
      </c>
      <c r="H18" s="52">
        <v>29.64</v>
      </c>
      <c r="I18" s="52">
        <v>6.07</v>
      </c>
      <c r="J18" s="52">
        <v>0.79</v>
      </c>
      <c r="K18" s="52">
        <v>330.82</v>
      </c>
      <c r="L18" s="52">
        <v>35.450000000000003</v>
      </c>
      <c r="M18" s="52">
        <v>38.86</v>
      </c>
      <c r="N18" s="52">
        <v>217.4</v>
      </c>
      <c r="O18" s="52">
        <v>0</v>
      </c>
      <c r="P18" s="52">
        <v>0.85</v>
      </c>
      <c r="Q18" s="52">
        <v>5.19</v>
      </c>
    </row>
    <row r="19" spans="1:17" customFormat="1">
      <c r="A19" s="53" t="s">
        <v>165</v>
      </c>
      <c r="B19" s="52">
        <v>6.66</v>
      </c>
      <c r="C19" s="52">
        <v>56.16</v>
      </c>
      <c r="D19" s="52">
        <v>33.01</v>
      </c>
      <c r="E19" s="52">
        <v>34.01</v>
      </c>
      <c r="F19" s="52">
        <v>47.57</v>
      </c>
      <c r="G19" s="52">
        <v>83.33</v>
      </c>
      <c r="H19" s="52">
        <v>46.44</v>
      </c>
      <c r="I19" s="52">
        <v>6.91</v>
      </c>
      <c r="J19" s="52">
        <v>0.74</v>
      </c>
      <c r="K19" s="52">
        <v>323.36</v>
      </c>
      <c r="L19" s="52">
        <v>36.770000000000003</v>
      </c>
      <c r="M19" s="52">
        <v>37</v>
      </c>
      <c r="N19" s="52">
        <v>276.5</v>
      </c>
      <c r="O19" s="52">
        <v>0</v>
      </c>
      <c r="P19" s="52">
        <v>0.9</v>
      </c>
      <c r="Q19" s="52">
        <v>5.08</v>
      </c>
    </row>
    <row r="20" spans="1:17" customFormat="1">
      <c r="A20" s="53" t="s">
        <v>166</v>
      </c>
      <c r="B20" s="52">
        <v>3.87</v>
      </c>
      <c r="C20" s="52">
        <v>53.2</v>
      </c>
      <c r="D20" s="52">
        <v>29.86</v>
      </c>
      <c r="E20" s="52">
        <v>37.130000000000003</v>
      </c>
      <c r="F20" s="52">
        <v>61.06</v>
      </c>
      <c r="G20" s="52">
        <v>97.07</v>
      </c>
      <c r="H20" s="52">
        <v>54.26</v>
      </c>
      <c r="I20" s="52">
        <v>6.73</v>
      </c>
      <c r="J20" s="52">
        <v>0.83</v>
      </c>
      <c r="K20" s="52">
        <v>334.05</v>
      </c>
      <c r="L20" s="52">
        <v>38.64</v>
      </c>
      <c r="M20" s="52">
        <v>32.42</v>
      </c>
      <c r="N20" s="52">
        <v>672.8</v>
      </c>
      <c r="O20" s="52">
        <v>0</v>
      </c>
      <c r="P20" s="52">
        <v>0.89</v>
      </c>
      <c r="Q20" s="52">
        <v>4.9800000000000004</v>
      </c>
    </row>
    <row r="21" spans="1:17" customFormat="1">
      <c r="A21" s="53" t="s">
        <v>167</v>
      </c>
      <c r="B21" s="52">
        <v>2.7</v>
      </c>
      <c r="C21" s="52">
        <v>47.19</v>
      </c>
      <c r="D21" s="52">
        <v>25.55</v>
      </c>
      <c r="E21" s="52">
        <v>30.41</v>
      </c>
      <c r="F21" s="52">
        <v>56.82</v>
      </c>
      <c r="G21" s="52">
        <v>100.78</v>
      </c>
      <c r="H21" s="52">
        <v>54.8</v>
      </c>
      <c r="I21" s="52">
        <v>6.77</v>
      </c>
      <c r="J21" s="52">
        <v>0.94</v>
      </c>
      <c r="K21" s="52">
        <v>327.08</v>
      </c>
      <c r="L21" s="52">
        <v>40.17</v>
      </c>
      <c r="M21" s="52">
        <v>27.97</v>
      </c>
      <c r="N21" s="52">
        <v>727.3</v>
      </c>
      <c r="O21" s="52">
        <v>0</v>
      </c>
      <c r="P21" s="52">
        <v>0.86</v>
      </c>
      <c r="Q21" s="52">
        <v>4.8499999999999996</v>
      </c>
    </row>
    <row r="22" spans="1:17" customFormat="1">
      <c r="A22" s="53" t="s">
        <v>168</v>
      </c>
      <c r="B22" s="52">
        <v>2.2599999999999998</v>
      </c>
      <c r="C22" s="52">
        <v>45.07</v>
      </c>
      <c r="D22" s="52">
        <v>24.32</v>
      </c>
      <c r="E22" s="52">
        <v>30.1</v>
      </c>
      <c r="F22" s="52">
        <v>68.400000000000006</v>
      </c>
      <c r="G22" s="52">
        <v>100.78</v>
      </c>
      <c r="H22" s="52">
        <v>54.8</v>
      </c>
      <c r="I22" s="52">
        <v>6.51</v>
      </c>
      <c r="J22" s="52">
        <v>0.7</v>
      </c>
      <c r="K22" s="52">
        <v>285.07</v>
      </c>
      <c r="L22" s="52">
        <v>40.71</v>
      </c>
      <c r="M22" s="52">
        <v>23.94</v>
      </c>
      <c r="N22" s="52">
        <v>628.1</v>
      </c>
      <c r="O22" s="52">
        <v>0</v>
      </c>
      <c r="P22" s="52">
        <v>0.82</v>
      </c>
      <c r="Q22" s="52">
        <v>4.8</v>
      </c>
    </row>
    <row r="23" spans="1:17" customFormat="1">
      <c r="A23" s="53" t="s">
        <v>169</v>
      </c>
      <c r="B23" s="52">
        <v>2.2999999999999998</v>
      </c>
      <c r="C23" s="52">
        <v>42.01</v>
      </c>
      <c r="D23" s="52">
        <v>22.31</v>
      </c>
      <c r="E23" s="52">
        <v>37.06</v>
      </c>
      <c r="F23" s="52">
        <v>83.25</v>
      </c>
      <c r="G23" s="52">
        <v>93.55</v>
      </c>
      <c r="H23" s="52">
        <v>51.6</v>
      </c>
      <c r="I23" s="52">
        <v>6.24</v>
      </c>
      <c r="J23" s="52">
        <v>0.68</v>
      </c>
      <c r="K23" s="52">
        <v>246.37</v>
      </c>
      <c r="L23" s="52">
        <v>41.76</v>
      </c>
      <c r="M23" s="52">
        <v>21.46</v>
      </c>
      <c r="N23" s="52">
        <v>594.29999999999995</v>
      </c>
      <c r="O23" s="52">
        <v>0</v>
      </c>
      <c r="P23" s="52">
        <v>0.69</v>
      </c>
      <c r="Q23" s="52">
        <v>4.74</v>
      </c>
    </row>
    <row r="24" spans="1:17" customFormat="1">
      <c r="A24" s="53" t="s">
        <v>170</v>
      </c>
      <c r="B24" s="52">
        <v>2.11</v>
      </c>
      <c r="C24" s="52">
        <v>48.12</v>
      </c>
      <c r="D24" s="52">
        <v>25.68</v>
      </c>
      <c r="E24" s="52">
        <v>20.010000000000002</v>
      </c>
      <c r="F24" s="52">
        <v>65.92</v>
      </c>
      <c r="G24" s="52">
        <v>83.13</v>
      </c>
      <c r="H24" s="52">
        <v>53.62</v>
      </c>
      <c r="I24" s="52">
        <v>5.92</v>
      </c>
      <c r="J24" s="52">
        <v>0.67</v>
      </c>
      <c r="K24" s="52">
        <v>295.72000000000003</v>
      </c>
      <c r="L24" s="52">
        <v>41.87</v>
      </c>
      <c r="M24" s="52">
        <v>20.27</v>
      </c>
      <c r="N24" s="52">
        <v>546.70000000000005</v>
      </c>
      <c r="O24" s="52">
        <v>0</v>
      </c>
      <c r="P24" s="52">
        <v>0.71</v>
      </c>
      <c r="Q24" s="52">
        <v>4.9400000000000004</v>
      </c>
    </row>
    <row r="25" spans="1:17" customFormat="1">
      <c r="A25" s="53" t="s">
        <v>171</v>
      </c>
      <c r="B25" s="52">
        <v>3.55</v>
      </c>
      <c r="C25" s="52">
        <v>51.2</v>
      </c>
      <c r="D25" s="52">
        <v>28.55</v>
      </c>
      <c r="E25" s="52">
        <v>21.41</v>
      </c>
      <c r="F25" s="52">
        <v>30.77</v>
      </c>
      <c r="G25" s="52">
        <v>185.57</v>
      </c>
      <c r="H25" s="52">
        <v>53.62</v>
      </c>
      <c r="I25" s="52">
        <v>5.76</v>
      </c>
      <c r="J25" s="52">
        <v>2.4</v>
      </c>
      <c r="K25" s="52">
        <v>45.34</v>
      </c>
      <c r="L25" s="52">
        <v>34.86</v>
      </c>
      <c r="M25" s="52">
        <v>45.77</v>
      </c>
      <c r="N25" s="52">
        <v>35.6</v>
      </c>
      <c r="O25" s="52">
        <v>0</v>
      </c>
      <c r="P25" s="52">
        <v>0.66</v>
      </c>
      <c r="Q25" s="52">
        <v>4.7699999999999996</v>
      </c>
    </row>
    <row r="26" spans="1:17" customFormat="1">
      <c r="A26" s="53" t="s">
        <v>172</v>
      </c>
      <c r="B26" s="52">
        <v>4.97</v>
      </c>
      <c r="C26" s="52">
        <v>54.83</v>
      </c>
      <c r="D26" s="52">
        <v>31.59</v>
      </c>
      <c r="E26" s="52">
        <v>21.88</v>
      </c>
      <c r="F26" s="52">
        <v>21.39</v>
      </c>
      <c r="G26" s="52">
        <v>185.57</v>
      </c>
      <c r="H26" s="52">
        <v>52.74</v>
      </c>
      <c r="I26" s="52">
        <v>5.96</v>
      </c>
      <c r="J26" s="52">
        <v>1.36</v>
      </c>
      <c r="K26" s="52">
        <v>353.12</v>
      </c>
      <c r="L26" s="52">
        <v>31.84</v>
      </c>
      <c r="M26" s="52">
        <v>55.55</v>
      </c>
      <c r="N26" s="52">
        <v>17.2</v>
      </c>
      <c r="O26" s="52">
        <v>0</v>
      </c>
      <c r="P26" s="52">
        <v>0.68</v>
      </c>
      <c r="Q26" s="52">
        <v>4.7300000000000004</v>
      </c>
    </row>
    <row r="27" spans="1:17" customFormat="1">
      <c r="A27" s="53" t="s">
        <v>173</v>
      </c>
      <c r="B27" s="52">
        <v>5.81</v>
      </c>
      <c r="C27" s="52">
        <v>57.73</v>
      </c>
      <c r="D27" s="52">
        <v>33.78</v>
      </c>
      <c r="E27" s="52">
        <v>16.21</v>
      </c>
      <c r="F27" s="52">
        <v>31.02</v>
      </c>
      <c r="G27" s="52">
        <v>114.67</v>
      </c>
      <c r="H27" s="52">
        <v>44.26</v>
      </c>
      <c r="I27" s="52">
        <v>5.68</v>
      </c>
      <c r="J27" s="52">
        <v>0.42</v>
      </c>
      <c r="K27" s="52">
        <v>212.35</v>
      </c>
      <c r="L27" s="52">
        <v>31.92</v>
      </c>
      <c r="M27" s="52">
        <v>50.74</v>
      </c>
      <c r="N27" s="52">
        <v>4.2</v>
      </c>
      <c r="O27" s="52">
        <v>0</v>
      </c>
      <c r="P27" s="52">
        <v>0.71</v>
      </c>
      <c r="Q27" s="52">
        <v>4.95</v>
      </c>
    </row>
    <row r="28" spans="1:17" customFormat="1">
      <c r="A28" s="53" t="s">
        <v>174</v>
      </c>
      <c r="B28" s="52">
        <v>5.03</v>
      </c>
      <c r="C28" s="52">
        <v>52.65</v>
      </c>
      <c r="D28" s="52">
        <v>30.5</v>
      </c>
      <c r="E28" s="52">
        <v>18.91</v>
      </c>
      <c r="F28" s="52">
        <v>28.92</v>
      </c>
      <c r="G28" s="52">
        <v>114.67</v>
      </c>
      <c r="H28" s="52">
        <v>40.46</v>
      </c>
      <c r="I28" s="52">
        <v>5.3</v>
      </c>
      <c r="J28" s="52">
        <v>0.51</v>
      </c>
      <c r="K28" s="52">
        <v>145.22</v>
      </c>
      <c r="L28" s="52">
        <v>32.049999999999997</v>
      </c>
      <c r="M28" s="52">
        <v>43.82</v>
      </c>
      <c r="N28" s="52">
        <v>0</v>
      </c>
      <c r="O28" s="52">
        <v>0</v>
      </c>
      <c r="P28" s="52">
        <v>0.64</v>
      </c>
      <c r="Q28" s="52">
        <v>5.01</v>
      </c>
    </row>
    <row r="29" spans="1:17" customFormat="1">
      <c r="A29" s="53" t="s">
        <v>175</v>
      </c>
      <c r="B29" s="52">
        <v>7.54</v>
      </c>
      <c r="C29" s="52">
        <v>58.24</v>
      </c>
      <c r="D29" s="52">
        <v>35.43</v>
      </c>
      <c r="E29" s="52">
        <v>9.5399999999999991</v>
      </c>
      <c r="F29" s="52">
        <v>45.6</v>
      </c>
      <c r="G29" s="52">
        <v>51.96</v>
      </c>
      <c r="H29" s="52">
        <v>35.96</v>
      </c>
      <c r="I29" s="52">
        <v>5.26</v>
      </c>
      <c r="J29" s="52">
        <v>0.72</v>
      </c>
      <c r="K29" s="52">
        <v>242.48</v>
      </c>
      <c r="L29" s="52">
        <v>31.8</v>
      </c>
      <c r="M29" s="52">
        <v>45.87</v>
      </c>
      <c r="N29" s="52">
        <v>0</v>
      </c>
      <c r="O29" s="52">
        <v>0</v>
      </c>
      <c r="P29" s="52">
        <v>0.68</v>
      </c>
      <c r="Q29" s="52">
        <v>5</v>
      </c>
    </row>
    <row r="30" spans="1:17" customFormat="1">
      <c r="A30" s="53" t="s">
        <v>176</v>
      </c>
      <c r="B30" s="52">
        <v>7.82</v>
      </c>
      <c r="C30" s="52">
        <v>60.01</v>
      </c>
      <c r="D30" s="52">
        <v>36.58</v>
      </c>
      <c r="E30" s="52">
        <v>7.95</v>
      </c>
      <c r="F30" s="52">
        <v>21.33</v>
      </c>
      <c r="G30" s="52">
        <v>69.48</v>
      </c>
      <c r="H30" s="52">
        <v>31.58</v>
      </c>
      <c r="I30" s="52">
        <v>5.54</v>
      </c>
      <c r="J30" s="52">
        <v>0.79</v>
      </c>
      <c r="K30" s="52">
        <v>126.69</v>
      </c>
      <c r="L30" s="52">
        <v>30.45</v>
      </c>
      <c r="M30" s="52">
        <v>54.54</v>
      </c>
      <c r="N30" s="52">
        <v>0</v>
      </c>
      <c r="O30" s="52">
        <v>0</v>
      </c>
      <c r="P30" s="52">
        <v>0.67</v>
      </c>
      <c r="Q30" s="52">
        <v>5.16</v>
      </c>
    </row>
    <row r="31" spans="1:17" customFormat="1">
      <c r="A31" s="53" t="s">
        <v>177</v>
      </c>
      <c r="B31" s="52">
        <v>8.08</v>
      </c>
      <c r="C31" s="52">
        <v>57.62</v>
      </c>
      <c r="D31" s="52">
        <v>35.54</v>
      </c>
      <c r="E31" s="52">
        <v>8.19</v>
      </c>
      <c r="F31" s="52">
        <v>23.04</v>
      </c>
      <c r="G31" s="52">
        <v>69.48</v>
      </c>
      <c r="H31" s="52">
        <v>30.46</v>
      </c>
      <c r="I31" s="52">
        <v>5.36</v>
      </c>
      <c r="J31" s="52">
        <v>0.17</v>
      </c>
      <c r="K31" s="52">
        <v>234.97</v>
      </c>
      <c r="L31" s="52">
        <v>29.03</v>
      </c>
      <c r="M31" s="52">
        <v>57.06</v>
      </c>
      <c r="N31" s="52">
        <v>0</v>
      </c>
      <c r="O31" s="52">
        <v>0</v>
      </c>
      <c r="P31" s="52">
        <v>0.66</v>
      </c>
      <c r="Q31" s="52">
        <v>5.25</v>
      </c>
    </row>
    <row r="32" spans="1:17" customFormat="1">
      <c r="A32" s="53" t="s">
        <v>178</v>
      </c>
      <c r="B32" s="52">
        <v>9.51</v>
      </c>
      <c r="C32" s="52">
        <v>58.86</v>
      </c>
      <c r="D32" s="52">
        <v>37.33</v>
      </c>
      <c r="E32" s="52">
        <v>6.23</v>
      </c>
      <c r="F32" s="52">
        <v>15.62</v>
      </c>
      <c r="G32" s="52">
        <v>58.41</v>
      </c>
      <c r="H32" s="52">
        <v>26.43</v>
      </c>
      <c r="I32" s="52">
        <v>5.3</v>
      </c>
      <c r="J32" s="52">
        <v>0.16</v>
      </c>
      <c r="K32" s="52">
        <v>251.12</v>
      </c>
      <c r="L32" s="52">
        <v>28.27</v>
      </c>
      <c r="M32" s="52">
        <v>59.3</v>
      </c>
      <c r="N32" s="52">
        <v>0</v>
      </c>
      <c r="O32" s="52">
        <v>0</v>
      </c>
      <c r="P32" s="52">
        <v>0.65</v>
      </c>
      <c r="Q32" s="52">
        <v>5.26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2.11</v>
      </c>
      <c r="C34" s="41">
        <f t="shared" si="0"/>
        <v>42.01</v>
      </c>
      <c r="D34" s="41">
        <f t="shared" si="0"/>
        <v>22.31</v>
      </c>
      <c r="E34" s="41">
        <f t="shared" si="0"/>
        <v>5.04</v>
      </c>
      <c r="F34" s="41">
        <f t="shared" si="0"/>
        <v>8.0500000000000007</v>
      </c>
      <c r="G34" s="41">
        <f t="shared" si="0"/>
        <v>30.09</v>
      </c>
      <c r="H34" s="41">
        <f t="shared" si="0"/>
        <v>19.72</v>
      </c>
      <c r="I34" s="41">
        <f t="shared" si="0"/>
        <v>4.05</v>
      </c>
      <c r="J34" s="41">
        <f t="shared" si="0"/>
        <v>0.16</v>
      </c>
      <c r="K34" s="41">
        <f t="shared" si="0"/>
        <v>45.34</v>
      </c>
      <c r="L34" s="41">
        <f t="shared" si="0"/>
        <v>28.27</v>
      </c>
      <c r="M34" s="41">
        <f t="shared" si="0"/>
        <v>20.27</v>
      </c>
      <c r="N34" s="41">
        <f t="shared" si="0"/>
        <v>0</v>
      </c>
      <c r="O34" s="41">
        <f t="shared" si="0"/>
        <v>0</v>
      </c>
      <c r="P34" s="41">
        <f t="shared" si="0"/>
        <v>0.51</v>
      </c>
      <c r="Q34" s="41">
        <f t="shared" si="0"/>
        <v>4.7300000000000004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12.66</v>
      </c>
      <c r="C35" s="33">
        <f t="shared" si="1"/>
        <v>61.57</v>
      </c>
      <c r="D35" s="33">
        <f t="shared" si="1"/>
        <v>40.97</v>
      </c>
      <c r="E35" s="33">
        <f t="shared" si="1"/>
        <v>37.130000000000003</v>
      </c>
      <c r="F35" s="33">
        <f t="shared" si="1"/>
        <v>83.25</v>
      </c>
      <c r="G35" s="33">
        <f t="shared" si="1"/>
        <v>185.57</v>
      </c>
      <c r="H35" s="33">
        <f t="shared" si="1"/>
        <v>54.8</v>
      </c>
      <c r="I35" s="33">
        <f t="shared" si="1"/>
        <v>6.91</v>
      </c>
      <c r="J35" s="33">
        <f t="shared" si="1"/>
        <v>2.4</v>
      </c>
      <c r="K35" s="33">
        <f t="shared" si="1"/>
        <v>353.12</v>
      </c>
      <c r="L35" s="33">
        <f t="shared" si="1"/>
        <v>41.87</v>
      </c>
      <c r="M35" s="33">
        <f t="shared" si="1"/>
        <v>59.3</v>
      </c>
      <c r="N35" s="33">
        <f t="shared" si="1"/>
        <v>727.3</v>
      </c>
      <c r="O35" s="33">
        <f t="shared" si="1"/>
        <v>0</v>
      </c>
      <c r="P35" s="33">
        <f t="shared" si="1"/>
        <v>0.9</v>
      </c>
      <c r="Q35" s="33">
        <f t="shared" si="1"/>
        <v>5.33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7.0308333333333337</v>
      </c>
      <c r="C36" s="41">
        <f t="shared" si="2"/>
        <v>54.27</v>
      </c>
      <c r="D36" s="41">
        <f t="shared" si="2"/>
        <v>32.824583333333329</v>
      </c>
      <c r="E36" s="41">
        <f t="shared" si="2"/>
        <v>16.044166666666669</v>
      </c>
      <c r="F36" s="41">
        <f t="shared" si="2"/>
        <v>31.883333333333329</v>
      </c>
      <c r="G36" s="41">
        <f t="shared" si="2"/>
        <v>75.556250000000006</v>
      </c>
      <c r="H36" s="41">
        <f t="shared" si="2"/>
        <v>36.527916666666677</v>
      </c>
      <c r="I36" s="41">
        <f t="shared" si="2"/>
        <v>5.3645833333333348</v>
      </c>
      <c r="J36" s="41">
        <f t="shared" si="2"/>
        <v>0.62916666666666665</v>
      </c>
      <c r="K36" s="41">
        <f t="shared" si="2"/>
        <v>239.28833333333333</v>
      </c>
      <c r="L36" s="41">
        <f t="shared" si="2"/>
        <v>33.224583333333321</v>
      </c>
      <c r="M36" s="41">
        <f t="shared" si="2"/>
        <v>44.631666666666661</v>
      </c>
      <c r="N36" s="41">
        <f t="shared" si="2"/>
        <v>173.43749999999997</v>
      </c>
      <c r="O36" s="41">
        <f t="shared" si="2"/>
        <v>0</v>
      </c>
      <c r="P36" s="41">
        <f t="shared" si="2"/>
        <v>0.67041666666666666</v>
      </c>
      <c r="Q36" s="41">
        <f t="shared" si="2"/>
        <v>5.034583333333333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3.3968027379551633</v>
      </c>
      <c r="C37" s="41">
        <f t="shared" ref="C37:Q37" si="3">STDEV(C9:C32)</f>
        <v>4.9466861986410517</v>
      </c>
      <c r="D37" s="41">
        <f t="shared" si="3"/>
        <v>5.0192360229045878</v>
      </c>
      <c r="E37" s="41">
        <f t="shared" si="3"/>
        <v>11.467237610069704</v>
      </c>
      <c r="F37" s="41">
        <f t="shared" si="3"/>
        <v>21.283831108770499</v>
      </c>
      <c r="G37" s="41">
        <f t="shared" si="3"/>
        <v>43.452539107528608</v>
      </c>
      <c r="H37" s="41">
        <f t="shared" si="3"/>
        <v>13.320748438029856</v>
      </c>
      <c r="I37" s="41">
        <f t="shared" si="3"/>
        <v>0.92337744492546803</v>
      </c>
      <c r="J37" s="41">
        <f t="shared" si="3"/>
        <v>0.48348298532776646</v>
      </c>
      <c r="K37" s="41">
        <f t="shared" si="3"/>
        <v>78.737298253317533</v>
      </c>
      <c r="L37" s="41">
        <f t="shared" si="3"/>
        <v>4.4769700343431476</v>
      </c>
      <c r="M37" s="41">
        <f t="shared" si="3"/>
        <v>11.754439555987455</v>
      </c>
      <c r="N37" s="41">
        <f t="shared" si="3"/>
        <v>254.62895735542932</v>
      </c>
      <c r="O37" s="41">
        <f t="shared" si="3"/>
        <v>0</v>
      </c>
      <c r="P37" s="41">
        <f t="shared" si="3"/>
        <v>0.1203790811910681</v>
      </c>
      <c r="Q37" s="41">
        <f t="shared" si="3"/>
        <v>0.19133351638633733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06/06/2023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179</v>
      </c>
      <c r="B9" s="52">
        <v>11.66</v>
      </c>
      <c r="C9" s="52">
        <v>63.47</v>
      </c>
      <c r="D9" s="52">
        <v>40.590000000000003</v>
      </c>
      <c r="E9" s="52">
        <v>6.14</v>
      </c>
      <c r="F9" s="52">
        <v>12.84</v>
      </c>
      <c r="G9" s="52">
        <v>51.53</v>
      </c>
      <c r="H9" s="52">
        <v>25.75</v>
      </c>
      <c r="I9" s="52">
        <v>5.32</v>
      </c>
      <c r="J9" s="52">
        <v>0.13</v>
      </c>
      <c r="K9" s="52">
        <v>221.53</v>
      </c>
      <c r="L9" s="52">
        <v>27.9</v>
      </c>
      <c r="M9" s="52">
        <v>60.57</v>
      </c>
      <c r="N9" s="52">
        <v>0</v>
      </c>
      <c r="O9" s="52">
        <v>0</v>
      </c>
      <c r="P9" s="52">
        <v>0.65</v>
      </c>
      <c r="Q9" s="52">
        <v>5.33</v>
      </c>
    </row>
    <row r="10" spans="1:21" customFormat="1">
      <c r="A10" s="53" t="s">
        <v>180</v>
      </c>
      <c r="B10" s="52">
        <v>12.52</v>
      </c>
      <c r="C10" s="52">
        <v>60.21</v>
      </c>
      <c r="D10" s="52">
        <v>40.4</v>
      </c>
      <c r="E10" s="52">
        <v>6.07</v>
      </c>
      <c r="F10" s="52">
        <v>11.42</v>
      </c>
      <c r="G10" s="52">
        <v>51.53</v>
      </c>
      <c r="H10" s="52">
        <v>22.91</v>
      </c>
      <c r="I10" s="52">
        <v>5.47</v>
      </c>
      <c r="J10" s="52">
        <v>0.14000000000000001</v>
      </c>
      <c r="K10" s="52">
        <v>243</v>
      </c>
      <c r="L10" s="52">
        <v>27.61</v>
      </c>
      <c r="M10" s="52">
        <v>63.29</v>
      </c>
      <c r="N10" s="52">
        <v>0</v>
      </c>
      <c r="O10" s="52">
        <v>0</v>
      </c>
      <c r="P10" s="52">
        <v>0.65</v>
      </c>
      <c r="Q10" s="52">
        <v>5.35</v>
      </c>
    </row>
    <row r="11" spans="1:21" customFormat="1">
      <c r="A11" s="53" t="s">
        <v>181</v>
      </c>
      <c r="B11" s="52">
        <v>14.52</v>
      </c>
      <c r="C11" s="52">
        <v>62.81</v>
      </c>
      <c r="D11" s="52">
        <v>43.42</v>
      </c>
      <c r="E11" s="52">
        <v>6.4</v>
      </c>
      <c r="F11" s="52">
        <v>9.64</v>
      </c>
      <c r="G11" s="52">
        <v>44.15</v>
      </c>
      <c r="H11" s="52">
        <v>22.91</v>
      </c>
      <c r="I11" s="52">
        <v>5.52</v>
      </c>
      <c r="J11" s="52">
        <v>0.15</v>
      </c>
      <c r="K11" s="52">
        <v>238.73</v>
      </c>
      <c r="L11" s="52">
        <v>27.01</v>
      </c>
      <c r="M11" s="52">
        <v>65.34</v>
      </c>
      <c r="N11" s="52">
        <v>0</v>
      </c>
      <c r="O11" s="52">
        <v>0</v>
      </c>
      <c r="P11" s="52">
        <v>0.65</v>
      </c>
      <c r="Q11" s="52">
        <v>5.41</v>
      </c>
    </row>
    <row r="12" spans="1:21" customFormat="1">
      <c r="A12" s="53" t="s">
        <v>182</v>
      </c>
      <c r="B12" s="52">
        <v>16.68</v>
      </c>
      <c r="C12" s="52">
        <v>63.91</v>
      </c>
      <c r="D12" s="52">
        <v>45.53</v>
      </c>
      <c r="E12" s="52">
        <v>6.79</v>
      </c>
      <c r="F12" s="52">
        <v>5.77</v>
      </c>
      <c r="G12" s="52">
        <v>36.83</v>
      </c>
      <c r="H12" s="52">
        <v>22.1</v>
      </c>
      <c r="I12" s="52">
        <v>5.62</v>
      </c>
      <c r="J12" s="52">
        <v>0.21</v>
      </c>
      <c r="K12" s="52">
        <v>224.27</v>
      </c>
      <c r="L12" s="52">
        <v>26.57</v>
      </c>
      <c r="M12" s="52">
        <v>68.040000000000006</v>
      </c>
      <c r="N12" s="52">
        <v>0</v>
      </c>
      <c r="O12" s="52">
        <v>0</v>
      </c>
      <c r="P12" s="52">
        <v>0.65</v>
      </c>
      <c r="Q12" s="52">
        <v>5.51</v>
      </c>
    </row>
    <row r="13" spans="1:21" customFormat="1">
      <c r="A13" s="53" t="s">
        <v>183</v>
      </c>
      <c r="B13" s="52">
        <v>21.77</v>
      </c>
      <c r="C13" s="52">
        <v>64.16</v>
      </c>
      <c r="D13" s="52">
        <v>49.71</v>
      </c>
      <c r="E13" s="52">
        <v>6.02</v>
      </c>
      <c r="F13" s="52">
        <v>4.71</v>
      </c>
      <c r="G13" s="52">
        <v>45.49</v>
      </c>
      <c r="H13" s="52">
        <v>22.1</v>
      </c>
      <c r="I13" s="52">
        <v>5.6</v>
      </c>
      <c r="J13" s="52">
        <v>0.15</v>
      </c>
      <c r="K13" s="52">
        <v>246.51</v>
      </c>
      <c r="L13" s="52">
        <v>26.66</v>
      </c>
      <c r="M13" s="52">
        <v>68.3</v>
      </c>
      <c r="N13" s="52">
        <v>0</v>
      </c>
      <c r="O13" s="52">
        <v>0</v>
      </c>
      <c r="P13" s="52">
        <v>0.65</v>
      </c>
      <c r="Q13" s="52">
        <v>5.7</v>
      </c>
    </row>
    <row r="14" spans="1:21" customFormat="1">
      <c r="A14" s="53" t="s">
        <v>184</v>
      </c>
      <c r="B14" s="52">
        <v>26.18</v>
      </c>
      <c r="C14" s="52">
        <v>69.75</v>
      </c>
      <c r="D14" s="52">
        <v>55.75</v>
      </c>
      <c r="E14" s="52">
        <v>6.16</v>
      </c>
      <c r="F14" s="52">
        <v>4.1100000000000003</v>
      </c>
      <c r="G14" s="52">
        <v>59.01</v>
      </c>
      <c r="H14" s="52">
        <v>20.64</v>
      </c>
      <c r="I14" s="52">
        <v>5.67</v>
      </c>
      <c r="J14" s="52">
        <v>0.16</v>
      </c>
      <c r="K14" s="52">
        <v>130.13</v>
      </c>
      <c r="L14" s="52">
        <v>26.84</v>
      </c>
      <c r="M14" s="52">
        <v>68.39</v>
      </c>
      <c r="N14" s="52">
        <v>21.4</v>
      </c>
      <c r="O14" s="52">
        <v>0</v>
      </c>
      <c r="P14" s="52">
        <v>0.67</v>
      </c>
      <c r="Q14" s="52">
        <v>6.06</v>
      </c>
    </row>
    <row r="15" spans="1:21" customFormat="1">
      <c r="A15" s="53" t="s">
        <v>185</v>
      </c>
      <c r="B15" s="52">
        <v>26.87</v>
      </c>
      <c r="C15" s="52">
        <v>66.459999999999994</v>
      </c>
      <c r="D15" s="52">
        <v>54.83</v>
      </c>
      <c r="E15" s="52">
        <v>6.19</v>
      </c>
      <c r="F15" s="52">
        <v>7.64</v>
      </c>
      <c r="G15" s="52">
        <v>72.42</v>
      </c>
      <c r="H15" s="52">
        <v>25.08</v>
      </c>
      <c r="I15" s="52">
        <v>6.41</v>
      </c>
      <c r="J15" s="52">
        <v>0.52</v>
      </c>
      <c r="K15" s="52">
        <v>53.09</v>
      </c>
      <c r="L15" s="52">
        <v>29.28</v>
      </c>
      <c r="M15" s="52">
        <v>64.58</v>
      </c>
      <c r="N15" s="52">
        <v>69.2</v>
      </c>
      <c r="O15" s="52">
        <v>0</v>
      </c>
      <c r="P15" s="52">
        <v>0.71</v>
      </c>
      <c r="Q15" s="52">
        <v>6.2</v>
      </c>
    </row>
    <row r="16" spans="1:21" customFormat="1">
      <c r="A16" s="53" t="s">
        <v>186</v>
      </c>
      <c r="B16" s="52">
        <v>25.4</v>
      </c>
      <c r="C16" s="52">
        <v>63.9</v>
      </c>
      <c r="D16" s="52">
        <v>51.63</v>
      </c>
      <c r="E16" s="52">
        <v>6.22</v>
      </c>
      <c r="F16" s="52">
        <v>15.17</v>
      </c>
      <c r="G16" s="52">
        <v>75.290000000000006</v>
      </c>
      <c r="H16" s="52">
        <v>27.2</v>
      </c>
      <c r="I16" s="52">
        <v>6.45</v>
      </c>
      <c r="J16" s="52">
        <v>0.38</v>
      </c>
      <c r="K16" s="52">
        <v>136.35</v>
      </c>
      <c r="L16" s="52">
        <v>32.340000000000003</v>
      </c>
      <c r="M16" s="52">
        <v>53.77</v>
      </c>
      <c r="N16" s="52">
        <v>99.1</v>
      </c>
      <c r="O16" s="52">
        <v>0</v>
      </c>
      <c r="P16" s="52">
        <v>0.71</v>
      </c>
      <c r="Q16" s="52">
        <v>6.22</v>
      </c>
    </row>
    <row r="17" spans="1:17" customFormat="1">
      <c r="A17" s="53" t="s">
        <v>187</v>
      </c>
      <c r="B17" s="52">
        <v>21.8</v>
      </c>
      <c r="C17" s="52">
        <v>63</v>
      </c>
      <c r="D17" s="52">
        <v>49.35</v>
      </c>
      <c r="E17" s="52">
        <v>6.09</v>
      </c>
      <c r="F17" s="52">
        <v>20.239999999999998</v>
      </c>
      <c r="G17" s="52">
        <v>75.290000000000006</v>
      </c>
      <c r="H17" s="52">
        <v>30.15</v>
      </c>
      <c r="I17" s="52">
        <v>6.41</v>
      </c>
      <c r="J17" s="52">
        <v>0.38</v>
      </c>
      <c r="K17" s="52">
        <v>269.45</v>
      </c>
      <c r="L17" s="52">
        <v>34.22</v>
      </c>
      <c r="M17" s="52">
        <v>45.22</v>
      </c>
      <c r="N17" s="52">
        <v>126.9</v>
      </c>
      <c r="O17" s="52">
        <v>0</v>
      </c>
      <c r="P17" s="52">
        <v>0.69</v>
      </c>
      <c r="Q17" s="52">
        <v>6</v>
      </c>
    </row>
    <row r="18" spans="1:17" customFormat="1">
      <c r="A18" s="53" t="s">
        <v>188</v>
      </c>
      <c r="B18" s="52">
        <v>13.31</v>
      </c>
      <c r="C18" s="52">
        <v>55.51</v>
      </c>
      <c r="D18" s="52">
        <v>37.17</v>
      </c>
      <c r="E18" s="52">
        <v>6.86</v>
      </c>
      <c r="F18" s="52">
        <v>21.87</v>
      </c>
      <c r="G18" s="52">
        <v>52.25</v>
      </c>
      <c r="H18" s="52">
        <v>31.47</v>
      </c>
      <c r="I18" s="52">
        <v>6.06</v>
      </c>
      <c r="J18" s="52">
        <v>0.46</v>
      </c>
      <c r="K18" s="52">
        <v>295.64</v>
      </c>
      <c r="L18" s="52">
        <v>36.99</v>
      </c>
      <c r="M18" s="52">
        <v>39.28</v>
      </c>
      <c r="N18" s="52">
        <v>138.80000000000001</v>
      </c>
      <c r="O18" s="52">
        <v>0</v>
      </c>
      <c r="P18" s="52">
        <v>0.66</v>
      </c>
      <c r="Q18" s="52">
        <v>5.49</v>
      </c>
    </row>
    <row r="19" spans="1:17" customFormat="1">
      <c r="A19" s="53" t="s">
        <v>189</v>
      </c>
      <c r="B19" s="52">
        <v>8.69</v>
      </c>
      <c r="C19" s="52">
        <v>52.37</v>
      </c>
      <c r="D19" s="52">
        <v>32.479999999999997</v>
      </c>
      <c r="E19" s="52">
        <v>10.38</v>
      </c>
      <c r="F19" s="52">
        <v>37.1</v>
      </c>
      <c r="G19" s="52">
        <v>39.950000000000003</v>
      </c>
      <c r="H19" s="52">
        <v>36.369999999999997</v>
      </c>
      <c r="I19" s="52">
        <v>6.27</v>
      </c>
      <c r="J19" s="52">
        <v>0.74</v>
      </c>
      <c r="K19" s="52">
        <v>332.83</v>
      </c>
      <c r="L19" s="52">
        <v>38.770000000000003</v>
      </c>
      <c r="M19" s="52">
        <v>30.65</v>
      </c>
      <c r="N19" s="52">
        <v>163.19999999999999</v>
      </c>
      <c r="O19" s="52">
        <v>0</v>
      </c>
      <c r="P19" s="52">
        <v>0.68</v>
      </c>
      <c r="Q19" s="52">
        <v>5.23</v>
      </c>
    </row>
    <row r="20" spans="1:17" customFormat="1">
      <c r="A20" s="53" t="s">
        <v>190</v>
      </c>
      <c r="B20" s="52">
        <v>4.7300000000000004</v>
      </c>
      <c r="C20" s="52">
        <v>48.91</v>
      </c>
      <c r="D20" s="52">
        <v>28.3</v>
      </c>
      <c r="E20" s="52">
        <v>12.2</v>
      </c>
      <c r="F20" s="52">
        <v>49.92</v>
      </c>
      <c r="G20" s="52">
        <v>40.880000000000003</v>
      </c>
      <c r="H20" s="52">
        <v>36.729999999999997</v>
      </c>
      <c r="I20" s="52">
        <v>6.26</v>
      </c>
      <c r="J20" s="52">
        <v>0.82</v>
      </c>
      <c r="K20" s="52">
        <v>351.84</v>
      </c>
      <c r="L20" s="52">
        <v>39.94</v>
      </c>
      <c r="M20" s="52">
        <v>25.53</v>
      </c>
      <c r="N20" s="52">
        <v>860.1</v>
      </c>
      <c r="O20" s="52">
        <v>0</v>
      </c>
      <c r="P20" s="52">
        <v>0.67</v>
      </c>
      <c r="Q20" s="52">
        <v>4.97</v>
      </c>
    </row>
    <row r="21" spans="1:17" customFormat="1">
      <c r="A21" s="53" t="s">
        <v>191</v>
      </c>
      <c r="B21" s="52">
        <v>2.98</v>
      </c>
      <c r="C21" s="52">
        <v>44.57</v>
      </c>
      <c r="D21" s="52">
        <v>24.63</v>
      </c>
      <c r="E21" s="52">
        <v>12.86</v>
      </c>
      <c r="F21" s="52">
        <v>44.97</v>
      </c>
      <c r="G21" s="52">
        <v>60.1</v>
      </c>
      <c r="H21" s="52">
        <v>37.49</v>
      </c>
      <c r="I21" s="52">
        <v>6.13</v>
      </c>
      <c r="J21" s="52">
        <v>0.85</v>
      </c>
      <c r="K21" s="52">
        <v>323.98</v>
      </c>
      <c r="L21" s="52">
        <v>41.07</v>
      </c>
      <c r="M21" s="52">
        <v>19.55</v>
      </c>
      <c r="N21" s="52">
        <v>890.6</v>
      </c>
      <c r="O21" s="52">
        <v>0</v>
      </c>
      <c r="P21" s="52">
        <v>0.64</v>
      </c>
      <c r="Q21" s="52">
        <v>4.83</v>
      </c>
    </row>
    <row r="22" spans="1:17" customFormat="1">
      <c r="A22" s="53" t="s">
        <v>192</v>
      </c>
      <c r="B22" s="52">
        <v>3.84</v>
      </c>
      <c r="C22" s="52">
        <v>51.64</v>
      </c>
      <c r="D22" s="52">
        <v>28.52</v>
      </c>
      <c r="E22" s="52">
        <v>11.74</v>
      </c>
      <c r="F22" s="52">
        <v>40.229999999999997</v>
      </c>
      <c r="G22" s="52">
        <v>60.1</v>
      </c>
      <c r="H22" s="52">
        <v>39.950000000000003</v>
      </c>
      <c r="I22" s="52">
        <v>6.09</v>
      </c>
      <c r="J22" s="52">
        <v>1.22</v>
      </c>
      <c r="K22" s="52">
        <v>358.56</v>
      </c>
      <c r="L22" s="52">
        <v>41.5</v>
      </c>
      <c r="M22" s="52">
        <v>16.46</v>
      </c>
      <c r="N22" s="52">
        <v>821</v>
      </c>
      <c r="O22" s="52">
        <v>0</v>
      </c>
      <c r="P22" s="52">
        <v>0.64</v>
      </c>
      <c r="Q22" s="52">
        <v>5.0599999999999996</v>
      </c>
    </row>
    <row r="23" spans="1:17" customFormat="1">
      <c r="A23" s="53" t="s">
        <v>193</v>
      </c>
      <c r="B23" s="52">
        <v>3.29</v>
      </c>
      <c r="C23" s="52">
        <v>56.69</v>
      </c>
      <c r="D23" s="52">
        <v>30.56</v>
      </c>
      <c r="E23" s="52">
        <v>11.46</v>
      </c>
      <c r="F23" s="52">
        <v>35.32</v>
      </c>
      <c r="G23" s="52">
        <v>45.92</v>
      </c>
      <c r="H23" s="52">
        <v>39.950000000000003</v>
      </c>
      <c r="I23" s="52">
        <v>6.4</v>
      </c>
      <c r="J23" s="52">
        <v>1.04</v>
      </c>
      <c r="K23" s="52">
        <v>344.92</v>
      </c>
      <c r="L23" s="52">
        <v>42.31</v>
      </c>
      <c r="M23" s="52">
        <v>16.25</v>
      </c>
      <c r="N23" s="52">
        <v>688.4</v>
      </c>
      <c r="O23" s="52">
        <v>0</v>
      </c>
      <c r="P23" s="52">
        <v>0.64</v>
      </c>
      <c r="Q23" s="52">
        <v>5.28</v>
      </c>
    </row>
    <row r="24" spans="1:17" customFormat="1">
      <c r="A24" s="53" t="s">
        <v>194</v>
      </c>
      <c r="B24" s="52">
        <v>4.45</v>
      </c>
      <c r="C24" s="52">
        <v>67.86</v>
      </c>
      <c r="D24" s="52">
        <v>37.58</v>
      </c>
      <c r="E24" s="52">
        <v>14.3</v>
      </c>
      <c r="F24" s="52">
        <v>34.520000000000003</v>
      </c>
      <c r="G24" s="52">
        <v>48.96</v>
      </c>
      <c r="H24" s="52">
        <v>37.700000000000003</v>
      </c>
      <c r="I24" s="52">
        <v>5.71</v>
      </c>
      <c r="J24" s="52">
        <v>1.24</v>
      </c>
      <c r="K24" s="52">
        <v>62.33</v>
      </c>
      <c r="L24" s="52">
        <v>42.78</v>
      </c>
      <c r="M24" s="52">
        <v>12.59</v>
      </c>
      <c r="N24" s="52">
        <v>620.29999999999995</v>
      </c>
      <c r="O24" s="52">
        <v>0</v>
      </c>
      <c r="P24" s="52">
        <v>0.62</v>
      </c>
      <c r="Q24" s="52">
        <v>5.67</v>
      </c>
    </row>
    <row r="25" spans="1:17" customFormat="1">
      <c r="A25" s="53" t="s">
        <v>195</v>
      </c>
      <c r="B25" s="52">
        <v>7.24</v>
      </c>
      <c r="C25" s="52">
        <v>59.51</v>
      </c>
      <c r="D25" s="52">
        <v>35.51</v>
      </c>
      <c r="E25" s="52">
        <v>12.49</v>
      </c>
      <c r="F25" s="52">
        <v>40.909999999999997</v>
      </c>
      <c r="G25" s="52">
        <v>48.96</v>
      </c>
      <c r="H25" s="52">
        <v>34.950000000000003</v>
      </c>
      <c r="I25" s="52">
        <v>5.34</v>
      </c>
      <c r="J25" s="52">
        <v>1</v>
      </c>
      <c r="K25" s="52">
        <v>330.9</v>
      </c>
      <c r="L25" s="52">
        <v>41.56</v>
      </c>
      <c r="M25" s="52">
        <v>14.78</v>
      </c>
      <c r="N25" s="52">
        <v>381.4</v>
      </c>
      <c r="O25" s="52">
        <v>0</v>
      </c>
      <c r="P25" s="52">
        <v>0.56000000000000005</v>
      </c>
      <c r="Q25" s="52">
        <v>5.57</v>
      </c>
    </row>
    <row r="26" spans="1:17" customFormat="1">
      <c r="A26" s="53" t="s">
        <v>196</v>
      </c>
      <c r="B26" s="52">
        <v>13.09</v>
      </c>
      <c r="C26" s="52">
        <v>65.81</v>
      </c>
      <c r="D26" s="52">
        <v>43.84</v>
      </c>
      <c r="E26" s="52">
        <v>19.75</v>
      </c>
      <c r="F26" s="52">
        <v>44.21</v>
      </c>
      <c r="G26" s="52">
        <v>50.36</v>
      </c>
      <c r="H26" s="52">
        <v>31.88</v>
      </c>
      <c r="I26" s="52">
        <v>4.7300000000000004</v>
      </c>
      <c r="J26" s="52">
        <v>0.31</v>
      </c>
      <c r="K26" s="52">
        <v>81.650000000000006</v>
      </c>
      <c r="L26" s="52">
        <v>40.270000000000003</v>
      </c>
      <c r="M26" s="52">
        <v>18.5</v>
      </c>
      <c r="N26" s="52">
        <v>133.6</v>
      </c>
      <c r="O26" s="52">
        <v>0</v>
      </c>
      <c r="P26" s="52">
        <v>0.66</v>
      </c>
      <c r="Q26" s="52">
        <v>5.33</v>
      </c>
    </row>
    <row r="27" spans="1:17" customFormat="1">
      <c r="A27" s="53" t="s">
        <v>197</v>
      </c>
      <c r="B27" s="52">
        <v>19.079999999999998</v>
      </c>
      <c r="C27" s="52">
        <v>55.36</v>
      </c>
      <c r="D27" s="52">
        <v>42.77</v>
      </c>
      <c r="E27" s="52">
        <v>20.92</v>
      </c>
      <c r="F27" s="52">
        <v>42.41</v>
      </c>
      <c r="G27" s="52">
        <v>67</v>
      </c>
      <c r="H27" s="52">
        <v>33.869999999999997</v>
      </c>
      <c r="I27" s="52">
        <v>4.5</v>
      </c>
      <c r="J27" s="52">
        <v>0.38</v>
      </c>
      <c r="K27" s="52">
        <v>177.66</v>
      </c>
      <c r="L27" s="52">
        <v>38.409999999999997</v>
      </c>
      <c r="M27" s="52">
        <v>25.92</v>
      </c>
      <c r="N27" s="52">
        <v>11.4</v>
      </c>
      <c r="O27" s="52">
        <v>0</v>
      </c>
      <c r="P27" s="52">
        <v>0.73</v>
      </c>
      <c r="Q27" s="52">
        <v>5.32</v>
      </c>
    </row>
    <row r="28" spans="1:17" customFormat="1">
      <c r="A28" s="53" t="s">
        <v>198</v>
      </c>
      <c r="B28" s="52">
        <v>16.72</v>
      </c>
      <c r="C28" s="52">
        <v>62.56</v>
      </c>
      <c r="D28" s="52">
        <v>45.05</v>
      </c>
      <c r="E28" s="52">
        <v>21.27</v>
      </c>
      <c r="F28" s="52">
        <v>24.86</v>
      </c>
      <c r="G28" s="52">
        <v>78.03</v>
      </c>
      <c r="H28" s="52">
        <v>34.58</v>
      </c>
      <c r="I28" s="52">
        <v>5.91</v>
      </c>
      <c r="J28" s="52">
        <v>1.2</v>
      </c>
      <c r="K28" s="52">
        <v>130.13999999999999</v>
      </c>
      <c r="L28" s="52">
        <v>36.729999999999997</v>
      </c>
      <c r="M28" s="52">
        <v>24.21</v>
      </c>
      <c r="N28" s="52">
        <v>0</v>
      </c>
      <c r="O28" s="52">
        <v>0</v>
      </c>
      <c r="P28" s="52">
        <v>0.77</v>
      </c>
      <c r="Q28" s="52">
        <v>5.43</v>
      </c>
    </row>
    <row r="29" spans="1:17" customFormat="1">
      <c r="A29" s="53" t="s">
        <v>199</v>
      </c>
      <c r="B29" s="52">
        <v>13.18</v>
      </c>
      <c r="C29" s="52">
        <v>62.37</v>
      </c>
      <c r="D29" s="52">
        <v>42.11</v>
      </c>
      <c r="E29" s="52">
        <v>16.73</v>
      </c>
      <c r="F29" s="52">
        <v>22.7</v>
      </c>
      <c r="G29" s="52">
        <v>78.03</v>
      </c>
      <c r="H29" s="52">
        <v>35.31</v>
      </c>
      <c r="I29" s="52">
        <v>5.9</v>
      </c>
      <c r="J29" s="52">
        <v>0.25</v>
      </c>
      <c r="K29" s="52">
        <v>197.42</v>
      </c>
      <c r="L29" s="52">
        <v>35.299999999999997</v>
      </c>
      <c r="M29" s="52">
        <v>30.92</v>
      </c>
      <c r="N29" s="52">
        <v>0</v>
      </c>
      <c r="O29" s="52">
        <v>0</v>
      </c>
      <c r="P29" s="52">
        <v>0.76</v>
      </c>
      <c r="Q29" s="52">
        <v>5.63</v>
      </c>
    </row>
    <row r="30" spans="1:17" customFormat="1">
      <c r="A30" s="53" t="s">
        <v>200</v>
      </c>
      <c r="B30" s="52">
        <v>11.54</v>
      </c>
      <c r="C30" s="52">
        <v>55.71</v>
      </c>
      <c r="D30" s="52">
        <v>37.32</v>
      </c>
      <c r="E30" s="52">
        <v>15.11</v>
      </c>
      <c r="F30" s="52">
        <v>20.84</v>
      </c>
      <c r="G30" s="52">
        <v>75.489999999999995</v>
      </c>
      <c r="H30" s="52">
        <v>35.31</v>
      </c>
      <c r="I30" s="52">
        <v>5.64</v>
      </c>
      <c r="J30" s="52">
        <v>0.25</v>
      </c>
      <c r="K30" s="52">
        <v>193.48</v>
      </c>
      <c r="L30" s="52">
        <v>33.19</v>
      </c>
      <c r="M30" s="52">
        <v>35.36</v>
      </c>
      <c r="N30" s="52">
        <v>0</v>
      </c>
      <c r="O30" s="52">
        <v>0</v>
      </c>
      <c r="P30" s="52">
        <v>0.68</v>
      </c>
      <c r="Q30" s="52">
        <v>5.57</v>
      </c>
    </row>
    <row r="31" spans="1:17" customFormat="1">
      <c r="A31" s="53" t="s">
        <v>201</v>
      </c>
      <c r="B31" s="52">
        <v>13.65</v>
      </c>
      <c r="C31" s="52">
        <v>57.09</v>
      </c>
      <c r="D31" s="52">
        <v>39.44</v>
      </c>
      <c r="E31" s="52">
        <v>9.8800000000000008</v>
      </c>
      <c r="F31" s="52">
        <v>14.19</v>
      </c>
      <c r="G31" s="52">
        <v>68.5</v>
      </c>
      <c r="H31" s="52">
        <v>33.9</v>
      </c>
      <c r="I31" s="52">
        <v>5.77</v>
      </c>
      <c r="J31" s="52">
        <v>0.24</v>
      </c>
      <c r="K31" s="52">
        <v>187.28</v>
      </c>
      <c r="L31" s="52">
        <v>31.76</v>
      </c>
      <c r="M31" s="52">
        <v>39.65</v>
      </c>
      <c r="N31" s="52">
        <v>0</v>
      </c>
      <c r="O31" s="52">
        <v>0</v>
      </c>
      <c r="P31" s="52">
        <v>0.69</v>
      </c>
      <c r="Q31" s="52">
        <v>5.62</v>
      </c>
    </row>
    <row r="32" spans="1:17" customFormat="1">
      <c r="A32" s="53" t="s">
        <v>202</v>
      </c>
      <c r="B32" s="52">
        <v>58.3</v>
      </c>
      <c r="C32" s="52">
        <v>66.98</v>
      </c>
      <c r="D32" s="52">
        <v>81.2</v>
      </c>
      <c r="E32" s="52">
        <v>10.11</v>
      </c>
      <c r="F32" s="52">
        <v>11.09</v>
      </c>
      <c r="G32" s="52">
        <v>67.510000000000005</v>
      </c>
      <c r="H32" s="52">
        <v>33.9</v>
      </c>
      <c r="I32" s="52">
        <v>6.28</v>
      </c>
      <c r="J32" s="52">
        <v>0.21</v>
      </c>
      <c r="K32" s="52">
        <v>179.84</v>
      </c>
      <c r="L32" s="52">
        <v>31.22</v>
      </c>
      <c r="M32" s="52">
        <v>41</v>
      </c>
      <c r="N32" s="52">
        <v>0</v>
      </c>
      <c r="O32" s="52">
        <v>0</v>
      </c>
      <c r="P32" s="52">
        <v>0.85</v>
      </c>
      <c r="Q32" s="52">
        <v>5.95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2.98</v>
      </c>
      <c r="C34" s="41">
        <f t="shared" si="0"/>
        <v>44.57</v>
      </c>
      <c r="D34" s="41">
        <f t="shared" si="0"/>
        <v>24.63</v>
      </c>
      <c r="E34" s="41">
        <f t="shared" si="0"/>
        <v>6.02</v>
      </c>
      <c r="F34" s="41">
        <f t="shared" si="0"/>
        <v>4.1100000000000003</v>
      </c>
      <c r="G34" s="41">
        <f t="shared" si="0"/>
        <v>36.83</v>
      </c>
      <c r="H34" s="41">
        <f t="shared" si="0"/>
        <v>20.64</v>
      </c>
      <c r="I34" s="41">
        <f t="shared" si="0"/>
        <v>4.5</v>
      </c>
      <c r="J34" s="41">
        <f t="shared" si="0"/>
        <v>0.13</v>
      </c>
      <c r="K34" s="41">
        <f t="shared" si="0"/>
        <v>53.09</v>
      </c>
      <c r="L34" s="41">
        <f t="shared" si="0"/>
        <v>26.57</v>
      </c>
      <c r="M34" s="41">
        <f t="shared" si="0"/>
        <v>12.59</v>
      </c>
      <c r="N34" s="41">
        <f t="shared" si="0"/>
        <v>0</v>
      </c>
      <c r="O34" s="41">
        <f t="shared" si="0"/>
        <v>0</v>
      </c>
      <c r="P34" s="41">
        <f t="shared" si="0"/>
        <v>0.56000000000000005</v>
      </c>
      <c r="Q34" s="41">
        <f t="shared" si="0"/>
        <v>4.83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58.3</v>
      </c>
      <c r="C35" s="33">
        <f t="shared" si="1"/>
        <v>69.75</v>
      </c>
      <c r="D35" s="33">
        <f t="shared" si="1"/>
        <v>81.2</v>
      </c>
      <c r="E35" s="33">
        <f t="shared" si="1"/>
        <v>21.27</v>
      </c>
      <c r="F35" s="33">
        <f t="shared" si="1"/>
        <v>49.92</v>
      </c>
      <c r="G35" s="33">
        <f t="shared" si="1"/>
        <v>78.03</v>
      </c>
      <c r="H35" s="33">
        <f t="shared" si="1"/>
        <v>39.950000000000003</v>
      </c>
      <c r="I35" s="33">
        <f t="shared" si="1"/>
        <v>6.45</v>
      </c>
      <c r="J35" s="33">
        <f t="shared" si="1"/>
        <v>1.24</v>
      </c>
      <c r="K35" s="33">
        <f t="shared" si="1"/>
        <v>358.56</v>
      </c>
      <c r="L35" s="33">
        <f t="shared" si="1"/>
        <v>42.78</v>
      </c>
      <c r="M35" s="33">
        <f t="shared" si="1"/>
        <v>68.39</v>
      </c>
      <c r="N35" s="33">
        <f t="shared" si="1"/>
        <v>890.6</v>
      </c>
      <c r="O35" s="33">
        <f t="shared" si="1"/>
        <v>0</v>
      </c>
      <c r="P35" s="33">
        <f t="shared" si="1"/>
        <v>0.85</v>
      </c>
      <c r="Q35" s="33">
        <f t="shared" si="1"/>
        <v>6.22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15.478750000000003</v>
      </c>
      <c r="C36" s="41">
        <f t="shared" si="2"/>
        <v>60.025416666666651</v>
      </c>
      <c r="D36" s="41">
        <f t="shared" si="2"/>
        <v>42.403750000000002</v>
      </c>
      <c r="E36" s="41">
        <f t="shared" si="2"/>
        <v>10.922500000000001</v>
      </c>
      <c r="F36" s="41">
        <f t="shared" si="2"/>
        <v>24.02833333333334</v>
      </c>
      <c r="G36" s="41">
        <f t="shared" si="2"/>
        <v>58.065833333333337</v>
      </c>
      <c r="H36" s="41">
        <f t="shared" si="2"/>
        <v>31.341666666666658</v>
      </c>
      <c r="I36" s="41">
        <f t="shared" si="2"/>
        <v>5.810833333333334</v>
      </c>
      <c r="J36" s="41">
        <f t="shared" si="2"/>
        <v>0.51791666666666669</v>
      </c>
      <c r="K36" s="41">
        <f t="shared" si="2"/>
        <v>221.31374999999994</v>
      </c>
      <c r="L36" s="41">
        <f t="shared" si="2"/>
        <v>34.59291666666666</v>
      </c>
      <c r="M36" s="41">
        <f t="shared" si="2"/>
        <v>39.506249999999994</v>
      </c>
      <c r="N36" s="41">
        <f t="shared" si="2"/>
        <v>209.39166666666665</v>
      </c>
      <c r="O36" s="41">
        <f t="shared" si="2"/>
        <v>0</v>
      </c>
      <c r="P36" s="41">
        <f t="shared" si="2"/>
        <v>0.67833333333333334</v>
      </c>
      <c r="Q36" s="41">
        <f t="shared" si="2"/>
        <v>5.5304166666666665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11.650797439585874</v>
      </c>
      <c r="C37" s="41">
        <f t="shared" ref="C37:Q37" si="3">STDEV(C9:C32)</f>
        <v>6.3892831326587149</v>
      </c>
      <c r="D37" s="41">
        <f t="shared" si="3"/>
        <v>11.667464540522397</v>
      </c>
      <c r="E37" s="41">
        <f t="shared" si="3"/>
        <v>4.9934272015712065</v>
      </c>
      <c r="F37" s="41">
        <f t="shared" si="3"/>
        <v>14.813914043066472</v>
      </c>
      <c r="G37" s="41">
        <f t="shared" si="3"/>
        <v>13.360331588135315</v>
      </c>
      <c r="H37" s="41">
        <f t="shared" si="3"/>
        <v>6.1577936948558234</v>
      </c>
      <c r="I37" s="41">
        <f t="shared" si="3"/>
        <v>0.51319897545278492</v>
      </c>
      <c r="J37" s="41">
        <f t="shared" si="3"/>
        <v>0.38682631948883117</v>
      </c>
      <c r="K37" s="41">
        <f t="shared" si="3"/>
        <v>92.889112518403039</v>
      </c>
      <c r="L37" s="41">
        <f t="shared" si="3"/>
        <v>5.7548055375801273</v>
      </c>
      <c r="M37" s="41">
        <f t="shared" si="3"/>
        <v>19.838444191387161</v>
      </c>
      <c r="N37" s="41">
        <f t="shared" si="3"/>
        <v>313.04165012046707</v>
      </c>
      <c r="O37" s="41">
        <f t="shared" si="3"/>
        <v>0</v>
      </c>
      <c r="P37" s="41">
        <f t="shared" si="3"/>
        <v>5.7533858966145247E-2</v>
      </c>
      <c r="Q37" s="41">
        <f t="shared" si="3"/>
        <v>0.36313225721752357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07/06/2023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203</v>
      </c>
      <c r="B9" s="52">
        <v>34.56</v>
      </c>
      <c r="C9" s="52">
        <v>65.7</v>
      </c>
      <c r="D9" s="52">
        <v>59.79</v>
      </c>
      <c r="E9" s="52">
        <v>7.98</v>
      </c>
      <c r="F9" s="52">
        <v>5.4</v>
      </c>
      <c r="G9" s="52">
        <v>80.2</v>
      </c>
      <c r="H9" s="52">
        <v>40.840000000000003</v>
      </c>
      <c r="I9" s="52">
        <v>6.55</v>
      </c>
      <c r="J9" s="52">
        <v>0.31</v>
      </c>
      <c r="K9" s="52">
        <v>248.92</v>
      </c>
      <c r="L9" s="52">
        <v>30.12</v>
      </c>
      <c r="M9" s="52">
        <v>44.43</v>
      </c>
      <c r="N9" s="52">
        <v>0</v>
      </c>
      <c r="O9" s="52">
        <v>0</v>
      </c>
      <c r="P9" s="52">
        <v>0.79</v>
      </c>
      <c r="Q9" s="52">
        <v>6.29</v>
      </c>
    </row>
    <row r="10" spans="1:21" customFormat="1">
      <c r="A10" s="53" t="s">
        <v>204</v>
      </c>
      <c r="B10" s="52">
        <v>47.3</v>
      </c>
      <c r="C10" s="52">
        <v>69.09</v>
      </c>
      <c r="D10" s="52">
        <v>70.209999999999994</v>
      </c>
      <c r="E10" s="52">
        <v>8.67</v>
      </c>
      <c r="F10" s="52">
        <v>3.99</v>
      </c>
      <c r="G10" s="52">
        <v>86.18</v>
      </c>
      <c r="H10" s="52">
        <v>40.840000000000003</v>
      </c>
      <c r="I10" s="52">
        <v>6.81</v>
      </c>
      <c r="J10" s="52">
        <v>0.28999999999999998</v>
      </c>
      <c r="K10" s="52">
        <v>125.24</v>
      </c>
      <c r="L10" s="52">
        <v>30.25</v>
      </c>
      <c r="M10" s="52">
        <v>43.12</v>
      </c>
      <c r="N10" s="52">
        <v>0</v>
      </c>
      <c r="O10" s="52">
        <v>0</v>
      </c>
      <c r="P10" s="52">
        <v>0.85</v>
      </c>
      <c r="Q10" s="52">
        <v>6.67</v>
      </c>
    </row>
    <row r="11" spans="1:21" customFormat="1">
      <c r="A11" s="53" t="s">
        <v>205</v>
      </c>
      <c r="B11" s="52">
        <v>48.82</v>
      </c>
      <c r="C11" s="52">
        <v>69.02</v>
      </c>
      <c r="D11" s="52">
        <v>74.17</v>
      </c>
      <c r="E11" s="52">
        <v>9.83</v>
      </c>
      <c r="F11" s="52">
        <v>4.0599999999999996</v>
      </c>
      <c r="G11" s="52">
        <v>86.18</v>
      </c>
      <c r="H11" s="52">
        <v>37.26</v>
      </c>
      <c r="I11" s="52">
        <v>10.4</v>
      </c>
      <c r="J11" s="52">
        <v>0.36</v>
      </c>
      <c r="K11" s="52">
        <v>132.82</v>
      </c>
      <c r="L11" s="52">
        <v>30.19</v>
      </c>
      <c r="M11" s="52">
        <v>44.42</v>
      </c>
      <c r="N11" s="52">
        <v>0</v>
      </c>
      <c r="O11" s="52">
        <v>0</v>
      </c>
      <c r="P11" s="52">
        <v>0.91</v>
      </c>
      <c r="Q11" s="52">
        <v>6.94</v>
      </c>
    </row>
    <row r="12" spans="1:21" customFormat="1">
      <c r="A12" s="53" t="s">
        <v>206</v>
      </c>
      <c r="B12" s="52">
        <v>52.39</v>
      </c>
      <c r="C12" s="52">
        <v>69.36</v>
      </c>
      <c r="D12" s="52">
        <v>74.87</v>
      </c>
      <c r="E12" s="52">
        <v>9.76</v>
      </c>
      <c r="F12" s="52">
        <v>3.95</v>
      </c>
      <c r="G12" s="52">
        <v>92.91</v>
      </c>
      <c r="H12" s="52">
        <v>35.979999999999997</v>
      </c>
      <c r="I12" s="52">
        <v>12.87</v>
      </c>
      <c r="J12" s="52">
        <v>0.21</v>
      </c>
      <c r="K12" s="52">
        <v>184.64</v>
      </c>
      <c r="L12" s="52">
        <v>29.77</v>
      </c>
      <c r="M12" s="52">
        <v>48.9</v>
      </c>
      <c r="N12" s="52">
        <v>0</v>
      </c>
      <c r="O12" s="52">
        <v>0</v>
      </c>
      <c r="P12" s="52">
        <v>0.92</v>
      </c>
      <c r="Q12" s="52">
        <v>7.1</v>
      </c>
    </row>
    <row r="13" spans="1:21" customFormat="1">
      <c r="A13" s="53" t="s">
        <v>207</v>
      </c>
      <c r="B13" s="52">
        <v>60.17</v>
      </c>
      <c r="C13" s="52">
        <v>68.8</v>
      </c>
      <c r="D13" s="52">
        <v>83.15</v>
      </c>
      <c r="E13" s="52">
        <v>26.24</v>
      </c>
      <c r="F13" s="52">
        <v>3.82</v>
      </c>
      <c r="G13" s="52">
        <v>107.59</v>
      </c>
      <c r="H13" s="52">
        <v>39.409999999999997</v>
      </c>
      <c r="I13" s="52">
        <v>13.47</v>
      </c>
      <c r="J13" s="52">
        <v>0.55000000000000004</v>
      </c>
      <c r="K13" s="52">
        <v>133.66999999999999</v>
      </c>
      <c r="L13" s="52">
        <v>29.43</v>
      </c>
      <c r="M13" s="52">
        <v>45.42</v>
      </c>
      <c r="N13" s="52">
        <v>0</v>
      </c>
      <c r="O13" s="52">
        <v>0</v>
      </c>
      <c r="P13" s="52">
        <v>1</v>
      </c>
      <c r="Q13" s="52">
        <v>7.46</v>
      </c>
    </row>
    <row r="14" spans="1:21" customFormat="1">
      <c r="A14" s="53" t="s">
        <v>208</v>
      </c>
      <c r="B14" s="52">
        <v>61.97</v>
      </c>
      <c r="C14" s="52">
        <v>70.69</v>
      </c>
      <c r="D14" s="52">
        <v>83.9</v>
      </c>
      <c r="E14" s="52">
        <v>23.05</v>
      </c>
      <c r="F14" s="52">
        <v>3.82</v>
      </c>
      <c r="G14" s="52">
        <v>134.84</v>
      </c>
      <c r="H14" s="52">
        <v>49.69</v>
      </c>
      <c r="I14" s="52">
        <v>13.66</v>
      </c>
      <c r="J14" s="52">
        <v>0.28999999999999998</v>
      </c>
      <c r="K14" s="52">
        <v>180.28</v>
      </c>
      <c r="L14" s="52">
        <v>29.1</v>
      </c>
      <c r="M14" s="52">
        <v>50.72</v>
      </c>
      <c r="N14" s="52">
        <v>21.9</v>
      </c>
      <c r="O14" s="52">
        <v>0</v>
      </c>
      <c r="P14" s="52">
        <v>1.1299999999999999</v>
      </c>
      <c r="Q14" s="52">
        <v>7.76</v>
      </c>
    </row>
    <row r="15" spans="1:21" customFormat="1">
      <c r="A15" s="53" t="s">
        <v>209</v>
      </c>
      <c r="B15" s="52">
        <v>57.97</v>
      </c>
      <c r="C15" s="52">
        <v>66.849999999999994</v>
      </c>
      <c r="D15" s="52">
        <v>79.010000000000005</v>
      </c>
      <c r="E15" s="52">
        <v>32.19</v>
      </c>
      <c r="F15" s="52">
        <v>5.75</v>
      </c>
      <c r="G15" s="52">
        <v>171.49</v>
      </c>
      <c r="H15" s="52">
        <v>57.02</v>
      </c>
      <c r="I15" s="52">
        <v>14.87</v>
      </c>
      <c r="J15" s="52">
        <v>0.42</v>
      </c>
      <c r="K15" s="52">
        <v>52.84</v>
      </c>
      <c r="L15" s="52">
        <v>30.82</v>
      </c>
      <c r="M15" s="52">
        <v>42.48</v>
      </c>
      <c r="N15" s="52">
        <v>65.2</v>
      </c>
      <c r="O15" s="52">
        <v>0</v>
      </c>
      <c r="P15" s="52">
        <v>1.26</v>
      </c>
      <c r="Q15" s="52">
        <v>7.81</v>
      </c>
    </row>
    <row r="16" spans="1:21" customFormat="1">
      <c r="A16" s="53" t="s">
        <v>210</v>
      </c>
      <c r="B16" s="52">
        <v>53.03</v>
      </c>
      <c r="C16" s="52">
        <v>68.790000000000006</v>
      </c>
      <c r="D16" s="52">
        <v>74.63</v>
      </c>
      <c r="E16" s="52">
        <v>28.13</v>
      </c>
      <c r="F16" s="52">
        <v>13.07</v>
      </c>
      <c r="G16" s="52">
        <v>200.04</v>
      </c>
      <c r="H16" s="52">
        <v>74.14</v>
      </c>
      <c r="I16" s="52">
        <v>15.09</v>
      </c>
      <c r="J16" s="52">
        <v>1.36</v>
      </c>
      <c r="K16" s="52">
        <v>58.55</v>
      </c>
      <c r="L16" s="52">
        <v>34.08</v>
      </c>
      <c r="M16" s="52">
        <v>37.71</v>
      </c>
      <c r="N16" s="52">
        <v>98.3</v>
      </c>
      <c r="O16" s="52">
        <v>0</v>
      </c>
      <c r="P16" s="52">
        <v>1.23</v>
      </c>
      <c r="Q16" s="52">
        <v>7.8</v>
      </c>
    </row>
    <row r="17" spans="1:17" customFormat="1">
      <c r="A17" s="53" t="s">
        <v>211</v>
      </c>
      <c r="B17" s="52">
        <v>44.42</v>
      </c>
      <c r="C17" s="52">
        <v>65.3</v>
      </c>
      <c r="D17" s="52">
        <v>68.7</v>
      </c>
      <c r="E17" s="52">
        <v>20.84</v>
      </c>
      <c r="F17" s="52">
        <v>26.17</v>
      </c>
      <c r="G17" s="52">
        <v>200.04</v>
      </c>
      <c r="H17" s="52">
        <v>74.14</v>
      </c>
      <c r="I17" s="52">
        <v>13.47</v>
      </c>
      <c r="J17" s="52">
        <v>1.2</v>
      </c>
      <c r="K17" s="52">
        <v>60.52</v>
      </c>
      <c r="L17" s="52">
        <v>36.520000000000003</v>
      </c>
      <c r="M17" s="52">
        <v>28.69</v>
      </c>
      <c r="N17" s="52">
        <v>171.1</v>
      </c>
      <c r="O17" s="52">
        <v>0</v>
      </c>
      <c r="P17" s="52">
        <v>1.04</v>
      </c>
      <c r="Q17" s="52">
        <v>7.53</v>
      </c>
    </row>
    <row r="18" spans="1:17" customFormat="1">
      <c r="A18" s="53" t="s">
        <v>212</v>
      </c>
      <c r="B18" s="52">
        <v>30.44</v>
      </c>
      <c r="C18" s="52">
        <v>57.94</v>
      </c>
      <c r="D18" s="52">
        <v>53.19</v>
      </c>
      <c r="E18" s="52">
        <v>28.05</v>
      </c>
      <c r="F18" s="52">
        <v>40.1</v>
      </c>
      <c r="G18" s="52">
        <v>109.65</v>
      </c>
      <c r="H18" s="52">
        <v>67.44</v>
      </c>
      <c r="I18" s="52">
        <v>12.26</v>
      </c>
      <c r="J18" s="52">
        <v>0.92</v>
      </c>
      <c r="K18" s="52">
        <v>60.58</v>
      </c>
      <c r="L18" s="52">
        <v>38.659999999999997</v>
      </c>
      <c r="M18" s="52">
        <v>26.24</v>
      </c>
      <c r="N18" s="52">
        <v>162.5</v>
      </c>
      <c r="O18" s="52">
        <v>0</v>
      </c>
      <c r="P18" s="52">
        <v>1.01</v>
      </c>
      <c r="Q18" s="52">
        <v>6.87</v>
      </c>
    </row>
    <row r="19" spans="1:17" customFormat="1">
      <c r="A19" s="53" t="s">
        <v>213</v>
      </c>
      <c r="B19" s="52">
        <v>19.82</v>
      </c>
      <c r="C19" s="52">
        <v>64.73</v>
      </c>
      <c r="D19" s="52">
        <v>44.12</v>
      </c>
      <c r="E19" s="52">
        <v>28.72</v>
      </c>
      <c r="F19" s="52">
        <v>50.81</v>
      </c>
      <c r="G19" s="52">
        <v>109.65</v>
      </c>
      <c r="H19" s="52">
        <v>60.82</v>
      </c>
      <c r="I19" s="52">
        <v>10.93</v>
      </c>
      <c r="J19" s="52">
        <v>0.78</v>
      </c>
      <c r="K19" s="52">
        <v>71.45</v>
      </c>
      <c r="L19" s="52">
        <v>40.85</v>
      </c>
      <c r="M19" s="52">
        <v>22.66</v>
      </c>
      <c r="N19" s="52">
        <v>190.9</v>
      </c>
      <c r="O19" s="52">
        <v>0</v>
      </c>
      <c r="P19" s="52">
        <v>0.94</v>
      </c>
      <c r="Q19" s="52">
        <v>6.32</v>
      </c>
    </row>
    <row r="20" spans="1:17" customFormat="1">
      <c r="A20" s="53" t="s">
        <v>214</v>
      </c>
      <c r="B20" s="52">
        <v>11.63</v>
      </c>
      <c r="C20" s="52">
        <v>62.65</v>
      </c>
      <c r="D20" s="52">
        <v>41.01</v>
      </c>
      <c r="E20" s="52">
        <v>24.9</v>
      </c>
      <c r="F20" s="52">
        <v>53.48</v>
      </c>
      <c r="G20" s="52">
        <v>95.55</v>
      </c>
      <c r="H20" s="52">
        <v>60.46</v>
      </c>
      <c r="I20" s="52">
        <v>10.32</v>
      </c>
      <c r="J20" s="52">
        <v>0.99</v>
      </c>
      <c r="K20" s="52">
        <v>70.91</v>
      </c>
      <c r="L20" s="52">
        <v>42.16</v>
      </c>
      <c r="M20" s="52">
        <v>18.68</v>
      </c>
      <c r="N20" s="52">
        <v>773.8</v>
      </c>
      <c r="O20" s="52">
        <v>0</v>
      </c>
      <c r="P20" s="52">
        <v>0.86</v>
      </c>
      <c r="Q20" s="52">
        <v>5.9</v>
      </c>
    </row>
    <row r="21" spans="1:17" customFormat="1">
      <c r="A21" s="53" t="s">
        <v>215</v>
      </c>
      <c r="B21" s="52">
        <v>7.44</v>
      </c>
      <c r="C21" s="52">
        <v>56.94</v>
      </c>
      <c r="D21" s="52">
        <v>33.65</v>
      </c>
      <c r="E21" s="52">
        <v>21.05</v>
      </c>
      <c r="F21" s="52">
        <v>46.68</v>
      </c>
      <c r="G21" s="52">
        <v>77.709999999999994</v>
      </c>
      <c r="H21" s="52">
        <v>55.1</v>
      </c>
      <c r="I21" s="52">
        <v>8.7100000000000009</v>
      </c>
      <c r="J21" s="52">
        <v>1.38</v>
      </c>
      <c r="K21" s="52">
        <v>355.19</v>
      </c>
      <c r="L21" s="52">
        <v>42.85</v>
      </c>
      <c r="M21" s="52">
        <v>15.94</v>
      </c>
      <c r="N21" s="52">
        <v>826</v>
      </c>
      <c r="O21" s="52">
        <v>0</v>
      </c>
      <c r="P21" s="52">
        <v>0.76</v>
      </c>
      <c r="Q21" s="52">
        <v>5.41</v>
      </c>
    </row>
    <row r="22" spans="1:17" customFormat="1">
      <c r="A22" s="53" t="s">
        <v>216</v>
      </c>
      <c r="B22" s="52">
        <v>6.61</v>
      </c>
      <c r="C22" s="52">
        <v>60.97</v>
      </c>
      <c r="D22" s="52">
        <v>35.61</v>
      </c>
      <c r="E22" s="52">
        <v>18.48</v>
      </c>
      <c r="F22" s="52">
        <v>61.05</v>
      </c>
      <c r="G22" s="52">
        <v>77.709999999999994</v>
      </c>
      <c r="H22" s="52">
        <v>52.4</v>
      </c>
      <c r="I22" s="52">
        <v>8.3000000000000007</v>
      </c>
      <c r="J22" s="52">
        <v>0.98</v>
      </c>
      <c r="K22" s="52">
        <v>327.78</v>
      </c>
      <c r="L22" s="52">
        <v>42.07</v>
      </c>
      <c r="M22" s="52">
        <v>16.100000000000001</v>
      </c>
      <c r="N22" s="52">
        <v>440.2</v>
      </c>
      <c r="O22" s="52">
        <v>0</v>
      </c>
      <c r="P22" s="52">
        <v>0.72</v>
      </c>
      <c r="Q22" s="52">
        <v>5.51</v>
      </c>
    </row>
    <row r="23" spans="1:17" customFormat="1">
      <c r="A23" s="53" t="s">
        <v>217</v>
      </c>
      <c r="B23" s="52">
        <v>5.77</v>
      </c>
      <c r="C23" s="52">
        <v>53.77</v>
      </c>
      <c r="D23" s="52">
        <v>31.67</v>
      </c>
      <c r="E23" s="52">
        <v>22.29</v>
      </c>
      <c r="F23" s="52">
        <v>61.77</v>
      </c>
      <c r="G23" s="52">
        <v>49.85</v>
      </c>
      <c r="H23" s="52">
        <v>45.92</v>
      </c>
      <c r="I23" s="52">
        <v>7.45</v>
      </c>
      <c r="J23" s="52">
        <v>2.66</v>
      </c>
      <c r="K23" s="52">
        <v>333.3</v>
      </c>
      <c r="L23" s="52">
        <v>40.81</v>
      </c>
      <c r="M23" s="52">
        <v>22.82</v>
      </c>
      <c r="N23" s="52">
        <v>366.3</v>
      </c>
      <c r="O23" s="52">
        <v>0</v>
      </c>
      <c r="P23" s="52">
        <v>0.65</v>
      </c>
      <c r="Q23" s="52">
        <v>5.29</v>
      </c>
    </row>
    <row r="24" spans="1:17" customFormat="1">
      <c r="A24" s="53" t="s">
        <v>218</v>
      </c>
      <c r="B24" s="52">
        <v>5.31</v>
      </c>
      <c r="C24" s="52">
        <v>52.88</v>
      </c>
      <c r="D24" s="52">
        <v>30.84</v>
      </c>
      <c r="E24" s="52">
        <v>23.82</v>
      </c>
      <c r="F24" s="52">
        <v>58.29</v>
      </c>
      <c r="G24" s="52">
        <v>92.34</v>
      </c>
      <c r="H24" s="52">
        <v>45.45</v>
      </c>
      <c r="I24" s="52">
        <v>7.25</v>
      </c>
      <c r="J24" s="52">
        <v>1.17</v>
      </c>
      <c r="K24" s="52">
        <v>49.83</v>
      </c>
      <c r="L24" s="52">
        <v>41.24</v>
      </c>
      <c r="M24" s="52">
        <v>22.16</v>
      </c>
      <c r="N24" s="52">
        <v>505.6</v>
      </c>
      <c r="O24" s="52">
        <v>0</v>
      </c>
      <c r="P24" s="52">
        <v>0.6</v>
      </c>
      <c r="Q24" s="52">
        <v>5.09</v>
      </c>
    </row>
    <row r="25" spans="1:17" customFormat="1">
      <c r="A25" s="53" t="s">
        <v>219</v>
      </c>
      <c r="B25" s="52">
        <v>7.72</v>
      </c>
      <c r="C25" s="52">
        <v>59.74</v>
      </c>
      <c r="D25" s="52">
        <v>36.36</v>
      </c>
      <c r="E25" s="52">
        <v>22.86</v>
      </c>
      <c r="F25" s="52">
        <v>61.62</v>
      </c>
      <c r="G25" s="52">
        <v>92.34</v>
      </c>
      <c r="H25" s="52">
        <v>45.45</v>
      </c>
      <c r="I25" s="52">
        <v>5.75</v>
      </c>
      <c r="J25" s="52">
        <v>1.1599999999999999</v>
      </c>
      <c r="K25" s="52">
        <v>45.68</v>
      </c>
      <c r="L25" s="52">
        <v>41.21</v>
      </c>
      <c r="M25" s="52">
        <v>19.79</v>
      </c>
      <c r="N25" s="52">
        <v>319.8</v>
      </c>
      <c r="O25" s="52">
        <v>0</v>
      </c>
      <c r="P25" s="52">
        <v>0.61</v>
      </c>
      <c r="Q25" s="52">
        <v>5.13</v>
      </c>
    </row>
    <row r="26" spans="1:17" customFormat="1">
      <c r="A26" s="53" t="s">
        <v>220</v>
      </c>
      <c r="B26" s="52">
        <v>7.7</v>
      </c>
      <c r="C26" s="52">
        <v>57.46</v>
      </c>
      <c r="D26" s="52">
        <v>35.15</v>
      </c>
      <c r="E26" s="52">
        <v>46.24</v>
      </c>
      <c r="F26" s="52">
        <v>39.450000000000003</v>
      </c>
      <c r="G26" s="52">
        <v>84.32</v>
      </c>
      <c r="H26" s="52">
        <v>43.95</v>
      </c>
      <c r="I26" s="52">
        <v>6.14</v>
      </c>
      <c r="J26" s="52">
        <v>1.59</v>
      </c>
      <c r="K26" s="52">
        <v>335.9</v>
      </c>
      <c r="L26" s="52">
        <v>37.31</v>
      </c>
      <c r="M26" s="52">
        <v>25.72</v>
      </c>
      <c r="N26" s="52">
        <v>69.2</v>
      </c>
      <c r="O26" s="52">
        <v>0</v>
      </c>
      <c r="P26" s="52">
        <v>0.69</v>
      </c>
      <c r="Q26" s="52">
        <v>5.16</v>
      </c>
    </row>
    <row r="27" spans="1:17" customFormat="1">
      <c r="A27" s="53" t="s">
        <v>221</v>
      </c>
      <c r="B27" s="52">
        <v>10.11</v>
      </c>
      <c r="C27" s="52">
        <v>63.24</v>
      </c>
      <c r="D27" s="52">
        <v>38.97</v>
      </c>
      <c r="E27" s="52">
        <v>51.16</v>
      </c>
      <c r="F27" s="52">
        <v>35.69</v>
      </c>
      <c r="G27" s="52">
        <v>100.44</v>
      </c>
      <c r="H27" s="52">
        <v>46.6</v>
      </c>
      <c r="I27" s="52">
        <v>5.78</v>
      </c>
      <c r="J27" s="52">
        <v>0.77</v>
      </c>
      <c r="K27" s="52">
        <v>73.56</v>
      </c>
      <c r="L27" s="52">
        <v>36.700000000000003</v>
      </c>
      <c r="M27" s="52">
        <v>26.54</v>
      </c>
      <c r="N27" s="52">
        <v>5.5</v>
      </c>
      <c r="O27" s="52">
        <v>0</v>
      </c>
      <c r="P27" s="52">
        <v>0.78</v>
      </c>
      <c r="Q27" s="52">
        <v>5.31</v>
      </c>
    </row>
    <row r="28" spans="1:17" customFormat="1">
      <c r="A28" s="53" t="s">
        <v>222</v>
      </c>
      <c r="B28" s="52">
        <v>9.84</v>
      </c>
      <c r="C28" s="52">
        <v>57.98</v>
      </c>
      <c r="D28" s="52">
        <v>37.14</v>
      </c>
      <c r="E28" s="52">
        <v>30.87</v>
      </c>
      <c r="F28" s="52">
        <v>35.17</v>
      </c>
      <c r="G28" s="52">
        <v>100.44</v>
      </c>
      <c r="H28" s="52">
        <v>46.6</v>
      </c>
      <c r="I28" s="52">
        <v>5.77</v>
      </c>
      <c r="J28" s="52">
        <v>0.92</v>
      </c>
      <c r="K28" s="52">
        <v>358.47</v>
      </c>
      <c r="L28" s="52">
        <v>35.369999999999997</v>
      </c>
      <c r="M28" s="52">
        <v>27.79</v>
      </c>
      <c r="N28" s="52">
        <v>0</v>
      </c>
      <c r="O28" s="52">
        <v>0</v>
      </c>
      <c r="P28" s="52">
        <v>0.69</v>
      </c>
      <c r="Q28" s="52">
        <v>5.29</v>
      </c>
    </row>
    <row r="29" spans="1:17" customFormat="1">
      <c r="A29" s="53" t="s">
        <v>223</v>
      </c>
      <c r="B29" s="52">
        <v>18.170000000000002</v>
      </c>
      <c r="C29" s="52">
        <v>63.19</v>
      </c>
      <c r="D29" s="52">
        <v>46.54</v>
      </c>
      <c r="E29" s="52">
        <v>73.099999999999994</v>
      </c>
      <c r="F29" s="52">
        <v>19.61</v>
      </c>
      <c r="G29" s="52">
        <v>104.34</v>
      </c>
      <c r="H29" s="52">
        <v>43.77</v>
      </c>
      <c r="I29" s="52">
        <v>6.14</v>
      </c>
      <c r="J29" s="52">
        <v>0.52</v>
      </c>
      <c r="K29" s="52">
        <v>47.9</v>
      </c>
      <c r="L29" s="52">
        <v>35.06</v>
      </c>
      <c r="M29" s="52">
        <v>29.7</v>
      </c>
      <c r="N29" s="52">
        <v>0</v>
      </c>
      <c r="O29" s="52">
        <v>0</v>
      </c>
      <c r="P29" s="52">
        <v>0.96</v>
      </c>
      <c r="Q29" s="52">
        <v>5.48</v>
      </c>
    </row>
    <row r="30" spans="1:17" customFormat="1">
      <c r="A30" s="53" t="s">
        <v>224</v>
      </c>
      <c r="B30" s="52">
        <v>18.670000000000002</v>
      </c>
      <c r="C30" s="52">
        <v>63.27</v>
      </c>
      <c r="D30" s="52">
        <v>45.4</v>
      </c>
      <c r="E30" s="52">
        <v>74.989999999999995</v>
      </c>
      <c r="F30" s="52">
        <v>15.45</v>
      </c>
      <c r="G30" s="52">
        <v>119.96</v>
      </c>
      <c r="H30" s="52">
        <v>47.17</v>
      </c>
      <c r="I30" s="52">
        <v>6.98</v>
      </c>
      <c r="J30" s="52">
        <v>0.34</v>
      </c>
      <c r="K30" s="52">
        <v>169.44</v>
      </c>
      <c r="L30" s="52">
        <v>34.61</v>
      </c>
      <c r="M30" s="52">
        <v>33.51</v>
      </c>
      <c r="N30" s="52">
        <v>0</v>
      </c>
      <c r="O30" s="52">
        <v>0</v>
      </c>
      <c r="P30" s="52">
        <v>0.99</v>
      </c>
      <c r="Q30" s="52">
        <v>5.54</v>
      </c>
    </row>
    <row r="31" spans="1:17" customFormat="1">
      <c r="A31" s="53" t="s">
        <v>225</v>
      </c>
      <c r="B31" s="52">
        <v>12.23</v>
      </c>
      <c r="C31" s="52">
        <v>61.44</v>
      </c>
      <c r="D31" s="52">
        <v>40.840000000000003</v>
      </c>
      <c r="E31" s="52">
        <v>30.23</v>
      </c>
      <c r="F31" s="52">
        <v>17.05</v>
      </c>
      <c r="G31" s="52">
        <v>119.96</v>
      </c>
      <c r="H31" s="52">
        <v>47.17</v>
      </c>
      <c r="I31" s="52">
        <v>6.48</v>
      </c>
      <c r="J31" s="52">
        <v>0.26</v>
      </c>
      <c r="K31" s="52">
        <v>257.58999999999997</v>
      </c>
      <c r="L31" s="52">
        <v>33.299999999999997</v>
      </c>
      <c r="M31" s="52">
        <v>37.44</v>
      </c>
      <c r="N31" s="52">
        <v>0</v>
      </c>
      <c r="O31" s="52">
        <v>0</v>
      </c>
      <c r="P31" s="52">
        <v>0.88</v>
      </c>
      <c r="Q31" s="52">
        <v>5.78</v>
      </c>
    </row>
    <row r="32" spans="1:17" customFormat="1">
      <c r="A32" s="53" t="s">
        <v>226</v>
      </c>
      <c r="B32" s="52">
        <v>37.89</v>
      </c>
      <c r="C32" s="52">
        <v>67.819999999999993</v>
      </c>
      <c r="D32" s="52">
        <v>64.349999999999994</v>
      </c>
      <c r="E32" s="52">
        <v>18.989999999999998</v>
      </c>
      <c r="F32" s="52">
        <v>10.41</v>
      </c>
      <c r="G32" s="52">
        <v>103.55</v>
      </c>
      <c r="H32" s="52">
        <v>47.82</v>
      </c>
      <c r="I32" s="52">
        <v>6.45</v>
      </c>
      <c r="J32" s="52">
        <v>0.44</v>
      </c>
      <c r="K32" s="52">
        <v>312.45</v>
      </c>
      <c r="L32" s="52">
        <v>32.69</v>
      </c>
      <c r="M32" s="52">
        <v>37.68</v>
      </c>
      <c r="N32" s="52">
        <v>0</v>
      </c>
      <c r="O32" s="52">
        <v>0</v>
      </c>
      <c r="P32" s="52">
        <v>0.87</v>
      </c>
      <c r="Q32" s="52">
        <v>6.04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5.31</v>
      </c>
      <c r="C34" s="41">
        <f t="shared" si="0"/>
        <v>52.88</v>
      </c>
      <c r="D34" s="41">
        <f t="shared" si="0"/>
        <v>30.84</v>
      </c>
      <c r="E34" s="41">
        <f t="shared" si="0"/>
        <v>7.98</v>
      </c>
      <c r="F34" s="41">
        <f t="shared" si="0"/>
        <v>3.82</v>
      </c>
      <c r="G34" s="41">
        <f t="shared" si="0"/>
        <v>49.85</v>
      </c>
      <c r="H34" s="41">
        <f t="shared" si="0"/>
        <v>35.979999999999997</v>
      </c>
      <c r="I34" s="41">
        <f t="shared" si="0"/>
        <v>5.75</v>
      </c>
      <c r="J34" s="41">
        <f t="shared" si="0"/>
        <v>0.21</v>
      </c>
      <c r="K34" s="41">
        <f t="shared" si="0"/>
        <v>45.68</v>
      </c>
      <c r="L34" s="41">
        <f t="shared" si="0"/>
        <v>29.1</v>
      </c>
      <c r="M34" s="41">
        <f t="shared" si="0"/>
        <v>15.94</v>
      </c>
      <c r="N34" s="41">
        <f t="shared" si="0"/>
        <v>0</v>
      </c>
      <c r="O34" s="41">
        <f t="shared" si="0"/>
        <v>0</v>
      </c>
      <c r="P34" s="41">
        <f t="shared" si="0"/>
        <v>0.6</v>
      </c>
      <c r="Q34" s="41">
        <f t="shared" si="0"/>
        <v>5.09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61.97</v>
      </c>
      <c r="C35" s="33">
        <f t="shared" si="1"/>
        <v>70.69</v>
      </c>
      <c r="D35" s="33">
        <f t="shared" si="1"/>
        <v>83.9</v>
      </c>
      <c r="E35" s="33">
        <f t="shared" si="1"/>
        <v>74.989999999999995</v>
      </c>
      <c r="F35" s="33">
        <f t="shared" si="1"/>
        <v>61.77</v>
      </c>
      <c r="G35" s="33">
        <f t="shared" si="1"/>
        <v>200.04</v>
      </c>
      <c r="H35" s="33">
        <f t="shared" si="1"/>
        <v>74.14</v>
      </c>
      <c r="I35" s="33">
        <f t="shared" si="1"/>
        <v>15.09</v>
      </c>
      <c r="J35" s="33">
        <f t="shared" si="1"/>
        <v>2.66</v>
      </c>
      <c r="K35" s="33">
        <f t="shared" si="1"/>
        <v>358.47</v>
      </c>
      <c r="L35" s="33">
        <f t="shared" si="1"/>
        <v>42.85</v>
      </c>
      <c r="M35" s="33">
        <f t="shared" si="1"/>
        <v>50.72</v>
      </c>
      <c r="N35" s="33">
        <f t="shared" si="1"/>
        <v>826</v>
      </c>
      <c r="O35" s="33">
        <f t="shared" si="1"/>
        <v>0</v>
      </c>
      <c r="P35" s="33">
        <f t="shared" si="1"/>
        <v>1.26</v>
      </c>
      <c r="Q35" s="33">
        <f t="shared" si="1"/>
        <v>7.81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27.915833333333339</v>
      </c>
      <c r="C36" s="41">
        <f t="shared" si="2"/>
        <v>63.23416666666666</v>
      </c>
      <c r="D36" s="41">
        <f t="shared" si="2"/>
        <v>53.469583333333333</v>
      </c>
      <c r="E36" s="41">
        <f t="shared" si="2"/>
        <v>28.435000000000006</v>
      </c>
      <c r="F36" s="41">
        <f t="shared" si="2"/>
        <v>28.194166666666664</v>
      </c>
      <c r="G36" s="41">
        <f t="shared" si="2"/>
        <v>108.22000000000001</v>
      </c>
      <c r="H36" s="41">
        <f t="shared" si="2"/>
        <v>50.226666666666681</v>
      </c>
      <c r="I36" s="41">
        <f t="shared" si="2"/>
        <v>9.2458333333333318</v>
      </c>
      <c r="J36" s="41">
        <f t="shared" si="2"/>
        <v>0.82791666666666686</v>
      </c>
      <c r="K36" s="41">
        <f t="shared" si="2"/>
        <v>168.64625000000001</v>
      </c>
      <c r="L36" s="41">
        <f t="shared" si="2"/>
        <v>35.632083333333334</v>
      </c>
      <c r="M36" s="41">
        <f t="shared" si="2"/>
        <v>32.027499999999996</v>
      </c>
      <c r="N36" s="41">
        <f t="shared" si="2"/>
        <v>167.34583333333333</v>
      </c>
      <c r="O36" s="41">
        <f t="shared" si="2"/>
        <v>0</v>
      </c>
      <c r="P36" s="41">
        <f t="shared" si="2"/>
        <v>0.88083333333333325</v>
      </c>
      <c r="Q36" s="41">
        <f t="shared" si="2"/>
        <v>6.2283333333333344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20.494296749958558</v>
      </c>
      <c r="C37" s="41">
        <f t="shared" ref="C37:Q37" si="3">STDEV(C9:C32)</f>
        <v>5.1738799810173433</v>
      </c>
      <c r="D37" s="41">
        <f t="shared" si="3"/>
        <v>18.396305507915976</v>
      </c>
      <c r="E37" s="41">
        <f t="shared" si="3"/>
        <v>17.396021784104633</v>
      </c>
      <c r="F37" s="41">
        <f t="shared" si="3"/>
        <v>21.842079435300363</v>
      </c>
      <c r="G37" s="41">
        <f t="shared" si="3"/>
        <v>36.419959052575784</v>
      </c>
      <c r="H37" s="41">
        <f t="shared" si="3"/>
        <v>10.616260156483714</v>
      </c>
      <c r="I37" s="41">
        <f t="shared" si="3"/>
        <v>3.2723996203645975</v>
      </c>
      <c r="J37" s="41">
        <f t="shared" si="3"/>
        <v>0.56952290610625123</v>
      </c>
      <c r="K37" s="41">
        <f t="shared" si="3"/>
        <v>116.43572213746907</v>
      </c>
      <c r="L37" s="41">
        <f t="shared" si="3"/>
        <v>4.7192252304125226</v>
      </c>
      <c r="M37" s="41">
        <f t="shared" si="3"/>
        <v>10.82887534808431</v>
      </c>
      <c r="N37" s="41">
        <f t="shared" si="3"/>
        <v>247.25652930960567</v>
      </c>
      <c r="O37" s="41">
        <f t="shared" si="3"/>
        <v>0</v>
      </c>
      <c r="P37" s="41">
        <f t="shared" si="3"/>
        <v>0.18019112236653181</v>
      </c>
      <c r="Q37" s="41">
        <f t="shared" si="3"/>
        <v>0.96065949569379372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08/06/2023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227</v>
      </c>
      <c r="B9" s="52">
        <v>18.02</v>
      </c>
      <c r="C9" s="52">
        <v>62.69</v>
      </c>
      <c r="D9" s="52">
        <v>46.16</v>
      </c>
      <c r="E9" s="52">
        <v>31.18</v>
      </c>
      <c r="F9" s="52">
        <v>15.79</v>
      </c>
      <c r="G9" s="52">
        <v>97.74</v>
      </c>
      <c r="H9" s="52">
        <v>47.82</v>
      </c>
      <c r="I9" s="52">
        <v>7.49</v>
      </c>
      <c r="J9" s="52">
        <v>0.27</v>
      </c>
      <c r="K9" s="52">
        <v>219.04</v>
      </c>
      <c r="L9" s="52">
        <v>31.9</v>
      </c>
      <c r="M9" s="52">
        <v>43</v>
      </c>
      <c r="N9" s="52">
        <v>0</v>
      </c>
      <c r="O9" s="52">
        <v>0</v>
      </c>
      <c r="P9" s="52">
        <v>0.84</v>
      </c>
      <c r="Q9" s="52">
        <v>6.05</v>
      </c>
    </row>
    <row r="10" spans="1:21" customFormat="1">
      <c r="A10" s="53" t="s">
        <v>228</v>
      </c>
      <c r="B10" s="52">
        <v>19.63</v>
      </c>
      <c r="C10" s="52">
        <v>63.12</v>
      </c>
      <c r="D10" s="52">
        <v>47.68</v>
      </c>
      <c r="E10" s="52">
        <v>16.760000000000002</v>
      </c>
      <c r="F10" s="52">
        <v>9.75</v>
      </c>
      <c r="G10" s="52">
        <v>93.2</v>
      </c>
      <c r="H10" s="52">
        <v>41.08</v>
      </c>
      <c r="I10" s="52">
        <v>7.47</v>
      </c>
      <c r="J10" s="52">
        <v>0.21</v>
      </c>
      <c r="K10" s="52">
        <v>213.08</v>
      </c>
      <c r="L10" s="52">
        <v>30.56</v>
      </c>
      <c r="M10" s="52">
        <v>45.26</v>
      </c>
      <c r="N10" s="52">
        <v>0</v>
      </c>
      <c r="O10" s="52">
        <v>0</v>
      </c>
      <c r="P10" s="52">
        <v>0.85</v>
      </c>
      <c r="Q10" s="52">
        <v>6.04</v>
      </c>
    </row>
    <row r="11" spans="1:21" customFormat="1">
      <c r="A11" s="53" t="s">
        <v>229</v>
      </c>
      <c r="B11" s="52">
        <v>19.600000000000001</v>
      </c>
      <c r="C11" s="52">
        <v>57.49</v>
      </c>
      <c r="D11" s="52">
        <v>44.64</v>
      </c>
      <c r="E11" s="52">
        <v>10.37</v>
      </c>
      <c r="F11" s="52">
        <v>10.25</v>
      </c>
      <c r="G11" s="52">
        <v>92.94</v>
      </c>
      <c r="H11" s="52">
        <v>39.65</v>
      </c>
      <c r="I11" s="52">
        <v>7.09</v>
      </c>
      <c r="J11" s="52">
        <v>0.2</v>
      </c>
      <c r="K11" s="52">
        <v>186.33</v>
      </c>
      <c r="L11" s="52">
        <v>29.88</v>
      </c>
      <c r="M11" s="52">
        <v>47.15</v>
      </c>
      <c r="N11" s="52">
        <v>0</v>
      </c>
      <c r="O11" s="52">
        <v>0</v>
      </c>
      <c r="P11" s="52">
        <v>0.78</v>
      </c>
      <c r="Q11" s="52">
        <v>5.99</v>
      </c>
    </row>
    <row r="12" spans="1:21" customFormat="1">
      <c r="A12" s="53" t="s">
        <v>230</v>
      </c>
      <c r="B12" s="52">
        <v>22.49</v>
      </c>
      <c r="C12" s="52">
        <v>62.72</v>
      </c>
      <c r="D12" s="52">
        <v>49.76</v>
      </c>
      <c r="E12" s="52">
        <v>9.58</v>
      </c>
      <c r="F12" s="52">
        <v>9.58</v>
      </c>
      <c r="G12" s="52">
        <v>80.180000000000007</v>
      </c>
      <c r="H12" s="52">
        <v>36.61</v>
      </c>
      <c r="I12" s="52">
        <v>6.95</v>
      </c>
      <c r="J12" s="52">
        <v>0.27</v>
      </c>
      <c r="K12" s="52">
        <v>254.81</v>
      </c>
      <c r="L12" s="52">
        <v>29.06</v>
      </c>
      <c r="M12" s="52">
        <v>49.72</v>
      </c>
      <c r="N12" s="52">
        <v>0</v>
      </c>
      <c r="O12" s="52">
        <v>0</v>
      </c>
      <c r="P12" s="52">
        <v>0.79</v>
      </c>
      <c r="Q12" s="52">
        <v>6</v>
      </c>
    </row>
    <row r="13" spans="1:21" customFormat="1">
      <c r="A13" s="53" t="s">
        <v>231</v>
      </c>
      <c r="B13" s="52">
        <v>22.4</v>
      </c>
      <c r="C13" s="52">
        <v>60.4</v>
      </c>
      <c r="D13" s="52">
        <v>48.47</v>
      </c>
      <c r="E13" s="52">
        <v>7.65</v>
      </c>
      <c r="F13" s="52">
        <v>7.17</v>
      </c>
      <c r="G13" s="52">
        <v>61.28</v>
      </c>
      <c r="H13" s="52">
        <v>32.909999999999997</v>
      </c>
      <c r="I13" s="52">
        <v>7.06</v>
      </c>
      <c r="J13" s="52">
        <v>0.2</v>
      </c>
      <c r="K13" s="52">
        <v>216.55</v>
      </c>
      <c r="L13" s="52">
        <v>28.33</v>
      </c>
      <c r="M13" s="52">
        <v>51.29</v>
      </c>
      <c r="N13" s="52">
        <v>0</v>
      </c>
      <c r="O13" s="52">
        <v>0</v>
      </c>
      <c r="P13" s="52">
        <v>0.77</v>
      </c>
      <c r="Q13" s="52">
        <v>6.02</v>
      </c>
    </row>
    <row r="14" spans="1:21" customFormat="1">
      <c r="A14" s="53" t="s">
        <v>232</v>
      </c>
      <c r="B14" s="52">
        <v>24.34</v>
      </c>
      <c r="C14" s="52">
        <v>62.17</v>
      </c>
      <c r="D14" s="52">
        <v>50.18</v>
      </c>
      <c r="E14" s="52">
        <v>6.96</v>
      </c>
      <c r="F14" s="52">
        <v>5.6</v>
      </c>
      <c r="G14" s="52">
        <v>58.93</v>
      </c>
      <c r="H14" s="52">
        <v>30.24</v>
      </c>
      <c r="I14" s="52">
        <v>7.34</v>
      </c>
      <c r="J14" s="52">
        <v>0.2</v>
      </c>
      <c r="K14" s="52">
        <v>192.52</v>
      </c>
      <c r="L14" s="52">
        <v>27.98</v>
      </c>
      <c r="M14" s="52">
        <v>54.71</v>
      </c>
      <c r="N14" s="52">
        <v>20.8</v>
      </c>
      <c r="O14" s="52">
        <v>0</v>
      </c>
      <c r="P14" s="52">
        <v>0.78</v>
      </c>
      <c r="Q14" s="52">
        <v>6.06</v>
      </c>
    </row>
    <row r="15" spans="1:21" customFormat="1">
      <c r="A15" s="53" t="s">
        <v>233</v>
      </c>
      <c r="B15" s="52">
        <v>26.3</v>
      </c>
      <c r="C15" s="52">
        <v>60.61</v>
      </c>
      <c r="D15" s="52">
        <v>51.05</v>
      </c>
      <c r="E15" s="52">
        <v>7.81</v>
      </c>
      <c r="F15" s="52">
        <v>7.74</v>
      </c>
      <c r="G15" s="52">
        <v>65.17</v>
      </c>
      <c r="H15" s="52">
        <v>29.69</v>
      </c>
      <c r="I15" s="52">
        <v>7.78</v>
      </c>
      <c r="J15" s="52">
        <v>0.27</v>
      </c>
      <c r="K15" s="52">
        <v>215.21</v>
      </c>
      <c r="L15" s="52">
        <v>31.05</v>
      </c>
      <c r="M15" s="52">
        <v>53</v>
      </c>
      <c r="N15" s="52">
        <v>68.900000000000006</v>
      </c>
      <c r="O15" s="52">
        <v>0</v>
      </c>
      <c r="P15" s="52">
        <v>0.82</v>
      </c>
      <c r="Q15" s="52">
        <v>6.14</v>
      </c>
    </row>
    <row r="16" spans="1:21" customFormat="1">
      <c r="A16" s="53" t="s">
        <v>234</v>
      </c>
      <c r="B16" s="52">
        <v>24.62</v>
      </c>
      <c r="C16" s="52">
        <v>60.51</v>
      </c>
      <c r="D16" s="52">
        <v>50.31</v>
      </c>
      <c r="E16" s="52">
        <v>34.200000000000003</v>
      </c>
      <c r="F16" s="52">
        <v>11.84</v>
      </c>
      <c r="G16" s="52">
        <v>85.53</v>
      </c>
      <c r="H16" s="52">
        <v>31.74</v>
      </c>
      <c r="I16" s="52">
        <v>8.73</v>
      </c>
      <c r="J16" s="52">
        <v>0.95</v>
      </c>
      <c r="K16" s="52">
        <v>324.33999999999997</v>
      </c>
      <c r="L16" s="52">
        <v>33.78</v>
      </c>
      <c r="M16" s="52">
        <v>44.02</v>
      </c>
      <c r="N16" s="52">
        <v>106.5</v>
      </c>
      <c r="O16" s="52">
        <v>0</v>
      </c>
      <c r="P16" s="52">
        <v>0.87</v>
      </c>
      <c r="Q16" s="52">
        <v>6.17</v>
      </c>
    </row>
    <row r="17" spans="1:17" customFormat="1">
      <c r="A17" s="53" t="s">
        <v>235</v>
      </c>
      <c r="B17" s="52">
        <v>23.51</v>
      </c>
      <c r="C17" s="52">
        <v>64.2</v>
      </c>
      <c r="D17" s="52">
        <v>51.35</v>
      </c>
      <c r="E17" s="52">
        <v>22.02</v>
      </c>
      <c r="F17" s="52">
        <v>20.41</v>
      </c>
      <c r="G17" s="52">
        <v>96.95</v>
      </c>
      <c r="H17" s="52">
        <v>39.130000000000003</v>
      </c>
      <c r="I17" s="52">
        <v>8.7200000000000006</v>
      </c>
      <c r="J17" s="52">
        <v>0.98</v>
      </c>
      <c r="K17" s="52">
        <v>331.1</v>
      </c>
      <c r="L17" s="52">
        <v>36.25</v>
      </c>
      <c r="M17" s="52">
        <v>32.9</v>
      </c>
      <c r="N17" s="52">
        <v>130</v>
      </c>
      <c r="O17" s="52">
        <v>0</v>
      </c>
      <c r="P17" s="52">
        <v>0.83</v>
      </c>
      <c r="Q17" s="52">
        <v>6.15</v>
      </c>
    </row>
    <row r="18" spans="1:17" customFormat="1">
      <c r="A18" s="53" t="s">
        <v>236</v>
      </c>
      <c r="B18" s="52">
        <v>16.61</v>
      </c>
      <c r="C18" s="52">
        <v>52.45</v>
      </c>
      <c r="D18" s="52">
        <v>39.67</v>
      </c>
      <c r="E18" s="52">
        <v>20.3</v>
      </c>
      <c r="F18" s="52">
        <v>33.44</v>
      </c>
      <c r="G18" s="52">
        <v>96.95</v>
      </c>
      <c r="H18" s="52">
        <v>40</v>
      </c>
      <c r="I18" s="52">
        <v>8.17</v>
      </c>
      <c r="J18" s="52">
        <v>0.81</v>
      </c>
      <c r="K18" s="52">
        <v>346.44</v>
      </c>
      <c r="L18" s="52">
        <v>38.43</v>
      </c>
      <c r="M18" s="52">
        <v>26.37</v>
      </c>
      <c r="N18" s="52">
        <v>159</v>
      </c>
      <c r="O18" s="52">
        <v>0</v>
      </c>
      <c r="P18" s="52">
        <v>0.78</v>
      </c>
      <c r="Q18" s="52">
        <v>5.81</v>
      </c>
    </row>
    <row r="19" spans="1:17" customFormat="1">
      <c r="A19" s="53" t="s">
        <v>237</v>
      </c>
      <c r="B19" s="52">
        <v>10.92</v>
      </c>
      <c r="C19" s="52">
        <v>59.96</v>
      </c>
      <c r="D19" s="52">
        <v>36.950000000000003</v>
      </c>
      <c r="E19" s="52">
        <v>33.590000000000003</v>
      </c>
      <c r="F19" s="52">
        <v>39.770000000000003</v>
      </c>
      <c r="G19" s="52">
        <v>91.22</v>
      </c>
      <c r="H19" s="52">
        <v>40</v>
      </c>
      <c r="I19" s="52">
        <v>7.41</v>
      </c>
      <c r="J19" s="52">
        <v>0.79</v>
      </c>
      <c r="K19" s="52">
        <v>348.29</v>
      </c>
      <c r="L19" s="52">
        <v>40.32</v>
      </c>
      <c r="M19" s="52">
        <v>21.38</v>
      </c>
      <c r="N19" s="52">
        <v>184.9</v>
      </c>
      <c r="O19" s="52">
        <v>0</v>
      </c>
      <c r="P19" s="52">
        <v>0.72</v>
      </c>
      <c r="Q19" s="52">
        <v>5.48</v>
      </c>
    </row>
    <row r="20" spans="1:17" customFormat="1">
      <c r="A20" s="53" t="s">
        <v>238</v>
      </c>
      <c r="B20" s="52">
        <v>7.58</v>
      </c>
      <c r="C20" s="52">
        <v>59.98</v>
      </c>
      <c r="D20" s="52">
        <v>36.369999999999997</v>
      </c>
      <c r="E20" s="52">
        <v>22.26</v>
      </c>
      <c r="F20" s="52">
        <v>50.38</v>
      </c>
      <c r="G20" s="52">
        <v>76.45</v>
      </c>
      <c r="H20" s="52">
        <v>41.45</v>
      </c>
      <c r="I20" s="52">
        <v>7.06</v>
      </c>
      <c r="J20" s="52">
        <v>1.32</v>
      </c>
      <c r="K20" s="52">
        <v>49.51</v>
      </c>
      <c r="L20" s="52">
        <v>41.12</v>
      </c>
      <c r="M20" s="52">
        <v>18.43</v>
      </c>
      <c r="N20" s="52">
        <v>744.4</v>
      </c>
      <c r="O20" s="52">
        <v>0</v>
      </c>
      <c r="P20" s="52">
        <v>0.7</v>
      </c>
      <c r="Q20" s="52">
        <v>5.54</v>
      </c>
    </row>
    <row r="21" spans="1:17" customFormat="1">
      <c r="A21" s="53" t="s">
        <v>239</v>
      </c>
      <c r="B21" s="52">
        <v>5.21</v>
      </c>
      <c r="C21" s="52">
        <v>54.34</v>
      </c>
      <c r="D21" s="52">
        <v>31.4</v>
      </c>
      <c r="E21" s="52">
        <v>21.68</v>
      </c>
      <c r="F21" s="52">
        <v>49.41</v>
      </c>
      <c r="G21" s="52">
        <v>73.09</v>
      </c>
      <c r="H21" s="52">
        <v>41.45</v>
      </c>
      <c r="I21" s="52">
        <v>6.42</v>
      </c>
      <c r="J21" s="52">
        <v>1.41</v>
      </c>
      <c r="K21" s="52">
        <v>46.24</v>
      </c>
      <c r="L21" s="52">
        <v>41.53</v>
      </c>
      <c r="M21" s="52">
        <v>16.61</v>
      </c>
      <c r="N21" s="52">
        <v>798.3</v>
      </c>
      <c r="O21" s="52">
        <v>0</v>
      </c>
      <c r="P21" s="52">
        <v>0.65</v>
      </c>
      <c r="Q21" s="52">
        <v>5.21</v>
      </c>
    </row>
    <row r="22" spans="1:17" customFormat="1">
      <c r="A22" s="53" t="s">
        <v>240</v>
      </c>
      <c r="B22" s="52">
        <v>4.5</v>
      </c>
      <c r="C22" s="52">
        <v>64.44</v>
      </c>
      <c r="D22" s="52">
        <v>36.200000000000003</v>
      </c>
      <c r="E22" s="52">
        <v>18.16</v>
      </c>
      <c r="F22" s="52">
        <v>44.72</v>
      </c>
      <c r="G22" s="52">
        <v>69.290000000000006</v>
      </c>
      <c r="H22" s="52">
        <v>38.64</v>
      </c>
      <c r="I22" s="52">
        <v>6.33</v>
      </c>
      <c r="J22" s="52">
        <v>1.24</v>
      </c>
      <c r="K22" s="52">
        <v>357.33</v>
      </c>
      <c r="L22" s="52">
        <v>42.17</v>
      </c>
      <c r="M22" s="52">
        <v>15.18</v>
      </c>
      <c r="N22" s="52">
        <v>783.6</v>
      </c>
      <c r="O22" s="52">
        <v>0</v>
      </c>
      <c r="P22" s="52">
        <v>0.63</v>
      </c>
      <c r="Q22" s="52">
        <v>5.53</v>
      </c>
    </row>
    <row r="23" spans="1:17" customFormat="1">
      <c r="A23" s="53" t="s">
        <v>241</v>
      </c>
      <c r="B23" s="52">
        <v>4.51</v>
      </c>
      <c r="C23" s="52">
        <v>62.05</v>
      </c>
      <c r="D23" s="52">
        <v>34.729999999999997</v>
      </c>
      <c r="E23" s="52">
        <v>20.440000000000001</v>
      </c>
      <c r="F23" s="52">
        <v>55.52</v>
      </c>
      <c r="G23" s="52">
        <v>69.290000000000006</v>
      </c>
      <c r="H23" s="52">
        <v>38.64</v>
      </c>
      <c r="I23" s="52">
        <v>6.13</v>
      </c>
      <c r="J23" s="52">
        <v>0.91</v>
      </c>
      <c r="K23" s="52">
        <v>356.32</v>
      </c>
      <c r="L23" s="52">
        <v>42.67</v>
      </c>
      <c r="M23" s="52">
        <v>14.79</v>
      </c>
      <c r="N23" s="52">
        <v>633.6</v>
      </c>
      <c r="O23" s="52">
        <v>0</v>
      </c>
      <c r="P23" s="52">
        <v>0.59</v>
      </c>
      <c r="Q23" s="52">
        <v>5.46</v>
      </c>
    </row>
    <row r="24" spans="1:17" customFormat="1">
      <c r="A24" s="53" t="s">
        <v>242</v>
      </c>
      <c r="B24" s="52">
        <v>4.2300000000000004</v>
      </c>
      <c r="C24" s="52">
        <v>64</v>
      </c>
      <c r="D24" s="52">
        <v>35.78</v>
      </c>
      <c r="E24" s="52">
        <v>19.829999999999998</v>
      </c>
      <c r="F24" s="52">
        <v>52.7</v>
      </c>
      <c r="G24" s="52">
        <v>60.18</v>
      </c>
      <c r="H24" s="52">
        <v>35.020000000000003</v>
      </c>
      <c r="I24" s="52">
        <v>5.95</v>
      </c>
      <c r="J24" s="52">
        <v>1.1399999999999999</v>
      </c>
      <c r="K24" s="52">
        <v>301.11</v>
      </c>
      <c r="L24" s="52">
        <v>42.18</v>
      </c>
      <c r="M24" s="52">
        <v>15.09</v>
      </c>
      <c r="N24" s="52">
        <v>458</v>
      </c>
      <c r="O24" s="52">
        <v>0</v>
      </c>
      <c r="P24" s="52">
        <v>0.61</v>
      </c>
      <c r="Q24" s="52">
        <v>5.42</v>
      </c>
    </row>
    <row r="25" spans="1:17" customFormat="1">
      <c r="A25" s="53" t="s">
        <v>243</v>
      </c>
      <c r="B25" s="52">
        <v>5.18</v>
      </c>
      <c r="C25" s="52">
        <v>58.4</v>
      </c>
      <c r="D25" s="52">
        <v>33.619999999999997</v>
      </c>
      <c r="E25" s="52">
        <v>15.11</v>
      </c>
      <c r="F25" s="52">
        <v>53.36</v>
      </c>
      <c r="G25" s="52">
        <v>58.14</v>
      </c>
      <c r="H25" s="52">
        <v>33.97</v>
      </c>
      <c r="I25" s="52">
        <v>5.62</v>
      </c>
      <c r="J25" s="52">
        <v>1.32</v>
      </c>
      <c r="K25" s="52">
        <v>51.11</v>
      </c>
      <c r="L25" s="52">
        <v>40.71</v>
      </c>
      <c r="M25" s="52">
        <v>17.12</v>
      </c>
      <c r="N25" s="52">
        <v>230.6</v>
      </c>
      <c r="O25" s="52">
        <v>0</v>
      </c>
      <c r="P25" s="52">
        <v>0.57999999999999996</v>
      </c>
      <c r="Q25" s="52">
        <v>5.38</v>
      </c>
    </row>
    <row r="26" spans="1:17" customFormat="1">
      <c r="A26" s="53" t="s">
        <v>244</v>
      </c>
      <c r="B26" s="52">
        <v>9.15</v>
      </c>
      <c r="C26" s="52">
        <v>63.87</v>
      </c>
      <c r="D26" s="52">
        <v>39.659999999999997</v>
      </c>
      <c r="E26" s="52">
        <v>26.1</v>
      </c>
      <c r="F26" s="52">
        <v>46.18</v>
      </c>
      <c r="G26" s="52">
        <v>64.42</v>
      </c>
      <c r="H26" s="52">
        <v>33.97</v>
      </c>
      <c r="I26" s="52">
        <v>5.2</v>
      </c>
      <c r="J26" s="52">
        <v>0.47</v>
      </c>
      <c r="K26" s="52">
        <v>42.77</v>
      </c>
      <c r="L26" s="52">
        <v>39.51</v>
      </c>
      <c r="M26" s="52">
        <v>18.41</v>
      </c>
      <c r="N26" s="52">
        <v>35</v>
      </c>
      <c r="O26" s="52">
        <v>0</v>
      </c>
      <c r="P26" s="52">
        <v>0.69</v>
      </c>
      <c r="Q26" s="52">
        <v>5.3</v>
      </c>
    </row>
    <row r="27" spans="1:17" customFormat="1">
      <c r="A27" s="53" t="s">
        <v>245</v>
      </c>
      <c r="B27" s="52">
        <v>10.55</v>
      </c>
      <c r="C27" s="52">
        <v>63.45</v>
      </c>
      <c r="D27" s="52">
        <v>40.270000000000003</v>
      </c>
      <c r="E27" s="52">
        <v>17.86</v>
      </c>
      <c r="F27" s="52">
        <v>36.56</v>
      </c>
      <c r="G27" s="52">
        <v>78.36</v>
      </c>
      <c r="H27" s="52">
        <v>33.22</v>
      </c>
      <c r="I27" s="52">
        <v>5.01</v>
      </c>
      <c r="J27" s="52">
        <v>0.63</v>
      </c>
      <c r="K27" s="52">
        <v>53.37</v>
      </c>
      <c r="L27" s="52">
        <v>38.97</v>
      </c>
      <c r="M27" s="52">
        <v>19.18</v>
      </c>
      <c r="N27" s="52">
        <v>16.2</v>
      </c>
      <c r="O27" s="52">
        <v>0</v>
      </c>
      <c r="P27" s="52">
        <v>0.78</v>
      </c>
      <c r="Q27" s="52">
        <v>5.49</v>
      </c>
    </row>
    <row r="28" spans="1:17" customFormat="1">
      <c r="A28" s="53" t="s">
        <v>246</v>
      </c>
      <c r="B28" s="52">
        <v>14.89</v>
      </c>
      <c r="C28" s="52">
        <v>68.790000000000006</v>
      </c>
      <c r="D28" s="52">
        <v>46.84</v>
      </c>
      <c r="E28" s="52">
        <v>18.96</v>
      </c>
      <c r="F28" s="52">
        <v>29.94</v>
      </c>
      <c r="G28" s="52">
        <v>92.19</v>
      </c>
      <c r="H28" s="52">
        <v>37.909999999999997</v>
      </c>
      <c r="I28" s="52">
        <v>12.03</v>
      </c>
      <c r="J28" s="52">
        <v>0.54</v>
      </c>
      <c r="K28" s="52">
        <v>183</v>
      </c>
      <c r="L28" s="52">
        <v>38.020000000000003</v>
      </c>
      <c r="M28" s="52">
        <v>25.53</v>
      </c>
      <c r="N28" s="52">
        <v>0</v>
      </c>
      <c r="O28" s="52">
        <v>0</v>
      </c>
      <c r="P28" s="52">
        <v>0.87</v>
      </c>
      <c r="Q28" s="52">
        <v>5.58</v>
      </c>
    </row>
    <row r="29" spans="1:17" customFormat="1">
      <c r="A29" s="53" t="s">
        <v>247</v>
      </c>
      <c r="B29" s="52">
        <v>8.9499999999999993</v>
      </c>
      <c r="C29" s="52">
        <v>65.150000000000006</v>
      </c>
      <c r="D29" s="52">
        <v>40.020000000000003</v>
      </c>
      <c r="E29" s="52">
        <v>11.97</v>
      </c>
      <c r="F29" s="52">
        <v>26.06</v>
      </c>
      <c r="G29" s="52">
        <v>99.9</v>
      </c>
      <c r="H29" s="52">
        <v>38.22</v>
      </c>
      <c r="I29" s="52">
        <v>8.2799999999999994</v>
      </c>
      <c r="J29" s="52">
        <v>0.23</v>
      </c>
      <c r="K29" s="52">
        <v>200.18</v>
      </c>
      <c r="L29" s="52">
        <v>35.57</v>
      </c>
      <c r="M29" s="52">
        <v>31.82</v>
      </c>
      <c r="N29" s="52">
        <v>0</v>
      </c>
      <c r="O29" s="52">
        <v>0</v>
      </c>
      <c r="P29" s="52">
        <v>0.81</v>
      </c>
      <c r="Q29" s="52">
        <v>5.59</v>
      </c>
    </row>
    <row r="30" spans="1:17" customFormat="1">
      <c r="A30" s="53" t="s">
        <v>248</v>
      </c>
      <c r="B30" s="52">
        <v>7.98</v>
      </c>
      <c r="C30" s="52">
        <v>44.84</v>
      </c>
      <c r="D30" s="52">
        <v>28.79</v>
      </c>
      <c r="E30" s="52">
        <v>11.95</v>
      </c>
      <c r="F30" s="52">
        <v>28.36</v>
      </c>
      <c r="G30" s="52">
        <v>99.9</v>
      </c>
      <c r="H30" s="52">
        <v>38.22</v>
      </c>
      <c r="I30" s="52">
        <v>7.3</v>
      </c>
      <c r="J30" s="52">
        <v>0.2</v>
      </c>
      <c r="K30" s="52">
        <v>202.53</v>
      </c>
      <c r="L30" s="52">
        <v>34.29</v>
      </c>
      <c r="M30" s="52">
        <v>34.61</v>
      </c>
      <c r="N30" s="52">
        <v>0</v>
      </c>
      <c r="O30" s="52">
        <v>0</v>
      </c>
      <c r="P30" s="52">
        <v>0.88</v>
      </c>
      <c r="Q30" s="52">
        <v>5.48</v>
      </c>
    </row>
    <row r="31" spans="1:17" customFormat="1">
      <c r="A31" s="53" t="s">
        <v>249</v>
      </c>
      <c r="B31" s="52">
        <v>45.3</v>
      </c>
      <c r="C31" s="52">
        <v>66</v>
      </c>
      <c r="D31" s="52">
        <v>69.48</v>
      </c>
      <c r="E31" s="52">
        <v>9.67</v>
      </c>
      <c r="F31" s="52">
        <v>12.43</v>
      </c>
      <c r="G31" s="52">
        <v>90.89</v>
      </c>
      <c r="H31" s="52">
        <v>35.44</v>
      </c>
      <c r="I31" s="52">
        <v>9.5500000000000007</v>
      </c>
      <c r="J31" s="52">
        <v>0.2</v>
      </c>
      <c r="K31" s="52">
        <v>175.55</v>
      </c>
      <c r="L31" s="52">
        <v>33.049999999999997</v>
      </c>
      <c r="M31" s="52">
        <v>37.25</v>
      </c>
      <c r="N31" s="52">
        <v>0</v>
      </c>
      <c r="O31" s="52">
        <v>0</v>
      </c>
      <c r="P31" s="52">
        <v>1.26</v>
      </c>
      <c r="Q31" s="52">
        <v>5.61</v>
      </c>
    </row>
    <row r="32" spans="1:17" customFormat="1">
      <c r="A32" s="53" t="s">
        <v>250</v>
      </c>
      <c r="B32" s="52">
        <v>41.82</v>
      </c>
      <c r="C32" s="52">
        <v>65.77</v>
      </c>
      <c r="D32" s="52">
        <v>66.849999999999994</v>
      </c>
      <c r="E32" s="52">
        <v>8</v>
      </c>
      <c r="F32" s="52">
        <v>3.99</v>
      </c>
      <c r="G32" s="52">
        <v>105.93</v>
      </c>
      <c r="H32" s="52">
        <v>40.68</v>
      </c>
      <c r="I32" s="52">
        <v>11.21</v>
      </c>
      <c r="J32" s="52">
        <v>0.24</v>
      </c>
      <c r="K32" s="52">
        <v>190.43</v>
      </c>
      <c r="L32" s="52">
        <v>32.130000000000003</v>
      </c>
      <c r="M32" s="52">
        <v>43.65</v>
      </c>
      <c r="N32" s="52">
        <v>0</v>
      </c>
      <c r="O32" s="52">
        <v>0</v>
      </c>
      <c r="P32" s="52">
        <v>1.2</v>
      </c>
      <c r="Q32" s="52">
        <v>6.14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4.2300000000000004</v>
      </c>
      <c r="C34" s="41">
        <f t="shared" si="0"/>
        <v>44.84</v>
      </c>
      <c r="D34" s="41">
        <f t="shared" si="0"/>
        <v>28.79</v>
      </c>
      <c r="E34" s="41">
        <f t="shared" si="0"/>
        <v>6.96</v>
      </c>
      <c r="F34" s="41">
        <f t="shared" si="0"/>
        <v>3.99</v>
      </c>
      <c r="G34" s="41">
        <f t="shared" si="0"/>
        <v>58.14</v>
      </c>
      <c r="H34" s="41">
        <f t="shared" si="0"/>
        <v>29.69</v>
      </c>
      <c r="I34" s="41">
        <f t="shared" si="0"/>
        <v>5.01</v>
      </c>
      <c r="J34" s="41">
        <f t="shared" si="0"/>
        <v>0.2</v>
      </c>
      <c r="K34" s="41">
        <f t="shared" si="0"/>
        <v>42.77</v>
      </c>
      <c r="L34" s="41">
        <f t="shared" si="0"/>
        <v>27.98</v>
      </c>
      <c r="M34" s="41">
        <f t="shared" si="0"/>
        <v>14.79</v>
      </c>
      <c r="N34" s="41">
        <f t="shared" si="0"/>
        <v>0</v>
      </c>
      <c r="O34" s="41">
        <f t="shared" si="0"/>
        <v>0</v>
      </c>
      <c r="P34" s="41">
        <f t="shared" si="0"/>
        <v>0.57999999999999996</v>
      </c>
      <c r="Q34" s="41">
        <f t="shared" si="0"/>
        <v>5.21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45.3</v>
      </c>
      <c r="C35" s="33">
        <f t="shared" si="1"/>
        <v>68.790000000000006</v>
      </c>
      <c r="D35" s="33">
        <f t="shared" si="1"/>
        <v>69.48</v>
      </c>
      <c r="E35" s="33">
        <f t="shared" si="1"/>
        <v>34.200000000000003</v>
      </c>
      <c r="F35" s="33">
        <f t="shared" si="1"/>
        <v>55.52</v>
      </c>
      <c r="G35" s="33">
        <f t="shared" si="1"/>
        <v>105.93</v>
      </c>
      <c r="H35" s="33">
        <f t="shared" si="1"/>
        <v>47.82</v>
      </c>
      <c r="I35" s="33">
        <f t="shared" si="1"/>
        <v>12.03</v>
      </c>
      <c r="J35" s="33">
        <f t="shared" si="1"/>
        <v>1.41</v>
      </c>
      <c r="K35" s="33">
        <f t="shared" si="1"/>
        <v>357.33</v>
      </c>
      <c r="L35" s="33">
        <f t="shared" si="1"/>
        <v>42.67</v>
      </c>
      <c r="M35" s="33">
        <f t="shared" si="1"/>
        <v>54.71</v>
      </c>
      <c r="N35" s="33">
        <f t="shared" si="1"/>
        <v>798.3</v>
      </c>
      <c r="O35" s="33">
        <f t="shared" si="1"/>
        <v>0</v>
      </c>
      <c r="P35" s="33">
        <f t="shared" si="1"/>
        <v>1.26</v>
      </c>
      <c r="Q35" s="33">
        <f t="shared" si="1"/>
        <v>6.17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16.595416666666665</v>
      </c>
      <c r="C36" s="41">
        <f t="shared" si="2"/>
        <v>61.141666666666673</v>
      </c>
      <c r="D36" s="41">
        <f t="shared" si="2"/>
        <v>44.009583333333332</v>
      </c>
      <c r="E36" s="41">
        <f t="shared" si="2"/>
        <v>17.600416666666671</v>
      </c>
      <c r="F36" s="41">
        <f t="shared" si="2"/>
        <v>27.539583333333336</v>
      </c>
      <c r="G36" s="41">
        <f t="shared" si="2"/>
        <v>81.588333333333352</v>
      </c>
      <c r="H36" s="41">
        <f t="shared" si="2"/>
        <v>37.32083333333334</v>
      </c>
      <c r="I36" s="41">
        <f t="shared" si="2"/>
        <v>7.512500000000002</v>
      </c>
      <c r="J36" s="41">
        <f t="shared" si="2"/>
        <v>0.62500000000000011</v>
      </c>
      <c r="K36" s="41">
        <f t="shared" si="2"/>
        <v>210.71500000000003</v>
      </c>
      <c r="L36" s="41">
        <f t="shared" si="2"/>
        <v>35.810833333333328</v>
      </c>
      <c r="M36" s="41">
        <f t="shared" si="2"/>
        <v>32.352916666666665</v>
      </c>
      <c r="N36" s="41">
        <f t="shared" si="2"/>
        <v>182.07500000000002</v>
      </c>
      <c r="O36" s="41">
        <f t="shared" si="2"/>
        <v>0</v>
      </c>
      <c r="P36" s="41">
        <f t="shared" si="2"/>
        <v>0.79499999999999993</v>
      </c>
      <c r="Q36" s="41">
        <f t="shared" si="2"/>
        <v>5.7349999999999994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11.154168251557708</v>
      </c>
      <c r="C37" s="41">
        <f t="shared" ref="C37:Q37" si="3">STDEV(C9:C32)</f>
        <v>5.0382412965555927</v>
      </c>
      <c r="D37" s="41">
        <f t="shared" si="3"/>
        <v>10.044191260609802</v>
      </c>
      <c r="E37" s="41">
        <f t="shared" si="3"/>
        <v>8.1256001673544098</v>
      </c>
      <c r="F37" s="41">
        <f t="shared" si="3"/>
        <v>17.990508724509894</v>
      </c>
      <c r="G37" s="41">
        <f t="shared" si="3"/>
        <v>15.43388808593847</v>
      </c>
      <c r="H37" s="41">
        <f t="shared" si="3"/>
        <v>4.2005433568471373</v>
      </c>
      <c r="I37" s="41">
        <f t="shared" si="3"/>
        <v>1.6861642861832806</v>
      </c>
      <c r="J37" s="41">
        <f t="shared" si="3"/>
        <v>0.43683645332838428</v>
      </c>
      <c r="K37" s="41">
        <f t="shared" si="3"/>
        <v>104.81630880404215</v>
      </c>
      <c r="L37" s="41">
        <f t="shared" si="3"/>
        <v>4.9348458560718074</v>
      </c>
      <c r="M37" s="41">
        <f t="shared" si="3"/>
        <v>14.025545166236686</v>
      </c>
      <c r="N37" s="41">
        <f t="shared" si="3"/>
        <v>277.29906512958013</v>
      </c>
      <c r="O37" s="41">
        <f t="shared" si="3"/>
        <v>0</v>
      </c>
      <c r="P37" s="41">
        <f t="shared" si="3"/>
        <v>0.16202522616260573</v>
      </c>
      <c r="Q37" s="41">
        <f t="shared" si="3"/>
        <v>0.31663996836346975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09/06/2023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251</v>
      </c>
      <c r="B9" s="52">
        <v>38.19</v>
      </c>
      <c r="C9" s="52">
        <v>63.84</v>
      </c>
      <c r="D9" s="52">
        <v>62.93</v>
      </c>
      <c r="E9" s="52">
        <v>6.87</v>
      </c>
      <c r="F9" s="52">
        <v>3.95</v>
      </c>
      <c r="G9" s="52">
        <v>105.93</v>
      </c>
      <c r="H9" s="52">
        <v>40.68</v>
      </c>
      <c r="I9" s="52">
        <v>10.95</v>
      </c>
      <c r="J9" s="52">
        <v>0.25</v>
      </c>
      <c r="K9" s="52">
        <v>225.59</v>
      </c>
      <c r="L9" s="52">
        <v>30.75</v>
      </c>
      <c r="M9" s="52">
        <v>45.27</v>
      </c>
      <c r="N9" s="52">
        <v>0</v>
      </c>
      <c r="O9" s="52">
        <v>0</v>
      </c>
      <c r="P9" s="52">
        <v>1.1000000000000001</v>
      </c>
      <c r="Q9" s="52">
        <v>6.35</v>
      </c>
    </row>
    <row r="10" spans="1:21" customFormat="1">
      <c r="A10" s="53" t="s">
        <v>252</v>
      </c>
      <c r="B10" s="52">
        <v>30.76</v>
      </c>
      <c r="C10" s="52">
        <v>60.92</v>
      </c>
      <c r="D10" s="52">
        <v>55.28</v>
      </c>
      <c r="E10" s="52">
        <v>5.37</v>
      </c>
      <c r="F10" s="52">
        <v>3.99</v>
      </c>
      <c r="G10" s="52">
        <v>105.78</v>
      </c>
      <c r="H10" s="52">
        <v>39.83</v>
      </c>
      <c r="I10" s="52">
        <v>10.91</v>
      </c>
      <c r="J10" s="52">
        <v>0.19</v>
      </c>
      <c r="K10" s="52">
        <v>214.12</v>
      </c>
      <c r="L10" s="52">
        <v>29.91</v>
      </c>
      <c r="M10" s="52">
        <v>47.32</v>
      </c>
      <c r="N10" s="52">
        <v>0</v>
      </c>
      <c r="O10" s="52">
        <v>0</v>
      </c>
      <c r="P10" s="52">
        <v>1.1499999999999999</v>
      </c>
      <c r="Q10" s="52">
        <v>6.42</v>
      </c>
    </row>
    <row r="11" spans="1:21" customFormat="1">
      <c r="A11" s="53" t="s">
        <v>253</v>
      </c>
      <c r="B11" s="52">
        <v>30.21</v>
      </c>
      <c r="C11" s="52">
        <v>61.73</v>
      </c>
      <c r="D11" s="52">
        <v>55.34</v>
      </c>
      <c r="E11" s="52">
        <v>6.6</v>
      </c>
      <c r="F11" s="52">
        <v>3.85</v>
      </c>
      <c r="G11" s="52">
        <v>103.32</v>
      </c>
      <c r="H11" s="52">
        <v>38.549999999999997</v>
      </c>
      <c r="I11" s="52">
        <v>11.26</v>
      </c>
      <c r="J11" s="52">
        <v>0.19</v>
      </c>
      <c r="K11" s="52">
        <v>189.09</v>
      </c>
      <c r="L11" s="52">
        <v>29.3</v>
      </c>
      <c r="M11" s="52">
        <v>50.57</v>
      </c>
      <c r="N11" s="52">
        <v>0</v>
      </c>
      <c r="O11" s="52">
        <v>0</v>
      </c>
      <c r="P11" s="52">
        <v>1.18</v>
      </c>
      <c r="Q11" s="52">
        <v>6.47</v>
      </c>
    </row>
    <row r="12" spans="1:21" customFormat="1">
      <c r="A12" s="53" t="s">
        <v>254</v>
      </c>
      <c r="B12" s="52">
        <v>31.77</v>
      </c>
      <c r="C12" s="52">
        <v>61.57</v>
      </c>
      <c r="D12" s="52">
        <v>56.4</v>
      </c>
      <c r="E12" s="52">
        <v>6.3</v>
      </c>
      <c r="F12" s="52">
        <v>3.94</v>
      </c>
      <c r="G12" s="52">
        <v>101.88</v>
      </c>
      <c r="H12" s="52">
        <v>36.049999999999997</v>
      </c>
      <c r="I12" s="52">
        <v>11.33</v>
      </c>
      <c r="J12" s="52">
        <v>0.2</v>
      </c>
      <c r="K12" s="52">
        <v>194.84</v>
      </c>
      <c r="L12" s="52">
        <v>28.38</v>
      </c>
      <c r="M12" s="52">
        <v>52.71</v>
      </c>
      <c r="N12" s="52">
        <v>0</v>
      </c>
      <c r="O12" s="52">
        <v>0</v>
      </c>
      <c r="P12" s="52">
        <v>1.1599999999999999</v>
      </c>
      <c r="Q12" s="52">
        <v>6.49</v>
      </c>
    </row>
    <row r="13" spans="1:21" customFormat="1">
      <c r="A13" s="53" t="s">
        <v>255</v>
      </c>
      <c r="B13" s="52">
        <v>40.22</v>
      </c>
      <c r="C13" s="52">
        <v>62.44</v>
      </c>
      <c r="D13" s="52">
        <v>63.34</v>
      </c>
      <c r="E13" s="52">
        <v>25.69</v>
      </c>
      <c r="F13" s="52">
        <v>4.2300000000000004</v>
      </c>
      <c r="G13" s="52">
        <v>95.58</v>
      </c>
      <c r="H13" s="52">
        <v>36.049999999999997</v>
      </c>
      <c r="I13" s="52">
        <v>11.36</v>
      </c>
      <c r="J13" s="52">
        <v>0.39</v>
      </c>
      <c r="K13" s="52">
        <v>310.48</v>
      </c>
      <c r="L13" s="52">
        <v>29.43</v>
      </c>
      <c r="M13" s="52">
        <v>53.29</v>
      </c>
      <c r="N13" s="52">
        <v>0</v>
      </c>
      <c r="O13" s="52">
        <v>0</v>
      </c>
      <c r="P13" s="52">
        <v>1.1599999999999999</v>
      </c>
      <c r="Q13" s="52">
        <v>6.6</v>
      </c>
    </row>
    <row r="14" spans="1:21" customFormat="1">
      <c r="A14" s="53" t="s">
        <v>256</v>
      </c>
      <c r="B14" s="52">
        <v>42.72</v>
      </c>
      <c r="C14" s="52">
        <v>63.67</v>
      </c>
      <c r="D14" s="52">
        <v>66.400000000000006</v>
      </c>
      <c r="E14" s="52">
        <v>19.55</v>
      </c>
      <c r="F14" s="52">
        <v>5.59</v>
      </c>
      <c r="G14" s="52">
        <v>103.93</v>
      </c>
      <c r="H14" s="52">
        <v>39.19</v>
      </c>
      <c r="I14" s="52">
        <v>11.02</v>
      </c>
      <c r="J14" s="52">
        <v>0.46</v>
      </c>
      <c r="K14" s="52">
        <v>68.42</v>
      </c>
      <c r="L14" s="52">
        <v>29.7</v>
      </c>
      <c r="M14" s="52">
        <v>30.94</v>
      </c>
      <c r="N14" s="52">
        <v>30.9</v>
      </c>
      <c r="O14" s="52">
        <v>0</v>
      </c>
      <c r="P14" s="52">
        <v>1.1100000000000001</v>
      </c>
      <c r="Q14" s="52">
        <v>6.71</v>
      </c>
    </row>
    <row r="15" spans="1:21" customFormat="1">
      <c r="A15" s="53" t="s">
        <v>257</v>
      </c>
      <c r="B15" s="52">
        <v>45.24</v>
      </c>
      <c r="C15" s="52">
        <v>66.569999999999993</v>
      </c>
      <c r="D15" s="52">
        <v>70.02</v>
      </c>
      <c r="E15" s="52">
        <v>45.75</v>
      </c>
      <c r="F15" s="52">
        <v>9.82</v>
      </c>
      <c r="G15" s="52">
        <v>115.41</v>
      </c>
      <c r="H15" s="52">
        <v>43.97</v>
      </c>
      <c r="I15" s="52">
        <v>11.17</v>
      </c>
      <c r="J15" s="52">
        <v>0.33</v>
      </c>
      <c r="K15" s="52">
        <v>57.3</v>
      </c>
      <c r="L15" s="52">
        <v>32.130000000000003</v>
      </c>
      <c r="M15" s="52">
        <v>30.85</v>
      </c>
      <c r="N15" s="52">
        <v>99.6</v>
      </c>
      <c r="O15" s="52">
        <v>0</v>
      </c>
      <c r="P15" s="52">
        <v>1.1399999999999999</v>
      </c>
      <c r="Q15" s="52">
        <v>6.93</v>
      </c>
    </row>
    <row r="16" spans="1:21" customFormat="1">
      <c r="A16" s="53" t="s">
        <v>258</v>
      </c>
      <c r="B16" s="52">
        <v>37.869999999999997</v>
      </c>
      <c r="C16" s="52">
        <v>66.02</v>
      </c>
      <c r="D16" s="52">
        <v>63.81</v>
      </c>
      <c r="E16" s="52">
        <v>68.89</v>
      </c>
      <c r="F16" s="52">
        <v>14.14</v>
      </c>
      <c r="G16" s="52">
        <v>136.69</v>
      </c>
      <c r="H16" s="52">
        <v>52.63</v>
      </c>
      <c r="I16" s="52">
        <v>10.76</v>
      </c>
      <c r="J16" s="52">
        <v>0.39</v>
      </c>
      <c r="K16" s="52">
        <v>322.36</v>
      </c>
      <c r="L16" s="52">
        <v>35.42</v>
      </c>
      <c r="M16" s="52">
        <v>26.23</v>
      </c>
      <c r="N16" s="52">
        <v>133.19999999999999</v>
      </c>
      <c r="O16" s="52">
        <v>0</v>
      </c>
      <c r="P16" s="52">
        <v>1.1299999999999999</v>
      </c>
      <c r="Q16" s="52">
        <v>6.93</v>
      </c>
    </row>
    <row r="17" spans="1:17" customFormat="1">
      <c r="A17" s="53" t="s">
        <v>259</v>
      </c>
      <c r="B17" s="52">
        <v>31.97</v>
      </c>
      <c r="C17" s="52">
        <v>62.83</v>
      </c>
      <c r="D17" s="52">
        <v>56.27</v>
      </c>
      <c r="E17" s="52">
        <v>63.58</v>
      </c>
      <c r="F17" s="52">
        <v>22</v>
      </c>
      <c r="G17" s="52">
        <v>169.35</v>
      </c>
      <c r="H17" s="52">
        <v>64.59</v>
      </c>
      <c r="I17" s="52">
        <v>10.52</v>
      </c>
      <c r="J17" s="52">
        <v>1.1100000000000001</v>
      </c>
      <c r="K17" s="52">
        <v>346.39</v>
      </c>
      <c r="L17" s="52">
        <v>37.020000000000003</v>
      </c>
      <c r="M17" s="52">
        <v>25.01</v>
      </c>
      <c r="N17" s="52">
        <v>145.6</v>
      </c>
      <c r="O17" s="52">
        <v>0</v>
      </c>
      <c r="P17" s="52">
        <v>1.03</v>
      </c>
      <c r="Q17" s="52">
        <v>6.86</v>
      </c>
    </row>
    <row r="18" spans="1:17" customFormat="1">
      <c r="A18" s="53" t="s">
        <v>260</v>
      </c>
      <c r="B18" s="52">
        <v>21.88</v>
      </c>
      <c r="C18" s="52">
        <v>62.29</v>
      </c>
      <c r="D18" s="52">
        <v>47.3</v>
      </c>
      <c r="E18" s="52">
        <v>32.07</v>
      </c>
      <c r="F18" s="52">
        <v>37.47</v>
      </c>
      <c r="G18" s="52">
        <v>169.35</v>
      </c>
      <c r="H18" s="52">
        <v>64.59</v>
      </c>
      <c r="I18" s="52">
        <v>9.4499999999999993</v>
      </c>
      <c r="J18" s="52">
        <v>0.79</v>
      </c>
      <c r="K18" s="52">
        <v>31.01</v>
      </c>
      <c r="L18" s="52">
        <v>39.9</v>
      </c>
      <c r="M18" s="52">
        <v>21.57</v>
      </c>
      <c r="N18" s="52">
        <v>151.80000000000001</v>
      </c>
      <c r="O18" s="52">
        <v>0</v>
      </c>
      <c r="P18" s="52">
        <v>0.91</v>
      </c>
      <c r="Q18" s="52">
        <v>6.48</v>
      </c>
    </row>
    <row r="19" spans="1:17" customFormat="1">
      <c r="A19" s="53" t="s">
        <v>261</v>
      </c>
      <c r="B19" s="52">
        <v>16.510000000000002</v>
      </c>
      <c r="C19" s="52">
        <v>62.31</v>
      </c>
      <c r="D19" s="52">
        <v>44.41</v>
      </c>
      <c r="E19" s="52">
        <v>41.97</v>
      </c>
      <c r="F19" s="52">
        <v>42.08</v>
      </c>
      <c r="G19" s="52">
        <v>94.28</v>
      </c>
      <c r="H19" s="52">
        <v>49.93</v>
      </c>
      <c r="I19" s="52">
        <v>8.0299999999999994</v>
      </c>
      <c r="J19" s="52">
        <v>0.63</v>
      </c>
      <c r="K19" s="52">
        <v>340.56</v>
      </c>
      <c r="L19" s="52">
        <v>41.49</v>
      </c>
      <c r="M19" s="52">
        <v>14.32</v>
      </c>
      <c r="N19" s="52">
        <v>179.4</v>
      </c>
      <c r="O19" s="52">
        <v>0</v>
      </c>
      <c r="P19" s="52">
        <v>0.86</v>
      </c>
      <c r="Q19" s="52">
        <v>6.1</v>
      </c>
    </row>
    <row r="20" spans="1:17" customFormat="1">
      <c r="A20" s="53" t="s">
        <v>262</v>
      </c>
      <c r="B20" s="52">
        <v>9.9</v>
      </c>
      <c r="C20" s="52">
        <v>60.68</v>
      </c>
      <c r="D20" s="52">
        <v>37.159999999999997</v>
      </c>
      <c r="E20" s="52">
        <v>49.73</v>
      </c>
      <c r="F20" s="52">
        <v>48.74</v>
      </c>
      <c r="G20" s="52">
        <v>94.28</v>
      </c>
      <c r="H20" s="52">
        <v>47.09</v>
      </c>
      <c r="I20" s="52">
        <v>7.13</v>
      </c>
      <c r="J20" s="52">
        <v>1.1399999999999999</v>
      </c>
      <c r="K20" s="52">
        <v>312.29000000000002</v>
      </c>
      <c r="L20" s="52">
        <v>42.37</v>
      </c>
      <c r="M20" s="52">
        <v>14.25</v>
      </c>
      <c r="N20" s="52">
        <v>747.6</v>
      </c>
      <c r="O20" s="52">
        <v>0</v>
      </c>
      <c r="P20" s="52">
        <v>0.76</v>
      </c>
      <c r="Q20" s="52">
        <v>5.76</v>
      </c>
    </row>
    <row r="21" spans="1:17" customFormat="1">
      <c r="A21" s="53" t="s">
        <v>263</v>
      </c>
      <c r="B21" s="52">
        <v>6.37</v>
      </c>
      <c r="C21" s="52">
        <v>56.81</v>
      </c>
      <c r="D21" s="52">
        <v>33.22</v>
      </c>
      <c r="E21" s="52">
        <v>14.6</v>
      </c>
      <c r="F21" s="52">
        <v>45.34</v>
      </c>
      <c r="G21" s="52">
        <v>71.33</v>
      </c>
      <c r="H21" s="52">
        <v>42.44</v>
      </c>
      <c r="I21" s="52">
        <v>6.97</v>
      </c>
      <c r="J21" s="52">
        <v>0.65</v>
      </c>
      <c r="K21" s="52">
        <v>349.18</v>
      </c>
      <c r="L21" s="52">
        <v>43.2</v>
      </c>
      <c r="M21" s="52">
        <v>13.08</v>
      </c>
      <c r="N21" s="52">
        <v>795.2</v>
      </c>
      <c r="O21" s="52">
        <v>0</v>
      </c>
      <c r="P21" s="52">
        <v>0.71</v>
      </c>
      <c r="Q21" s="52">
        <v>5.5</v>
      </c>
    </row>
    <row r="22" spans="1:17" customFormat="1">
      <c r="A22" s="53" t="s">
        <v>264</v>
      </c>
      <c r="B22" s="52">
        <v>5.75</v>
      </c>
      <c r="C22" s="52">
        <v>57.22</v>
      </c>
      <c r="D22" s="52">
        <v>33.229999999999997</v>
      </c>
      <c r="E22" s="52">
        <v>12.24</v>
      </c>
      <c r="F22" s="52">
        <v>36.770000000000003</v>
      </c>
      <c r="G22" s="52">
        <v>71.33</v>
      </c>
      <c r="H22" s="52">
        <v>38.950000000000003</v>
      </c>
      <c r="I22" s="52">
        <v>6.97</v>
      </c>
      <c r="J22" s="52">
        <v>1.29</v>
      </c>
      <c r="K22" s="52">
        <v>325.81</v>
      </c>
      <c r="L22" s="52">
        <v>42.12</v>
      </c>
      <c r="M22" s="52">
        <v>14.29</v>
      </c>
      <c r="N22" s="52">
        <v>585.5</v>
      </c>
      <c r="O22" s="52">
        <v>0</v>
      </c>
      <c r="P22" s="52">
        <v>0.68</v>
      </c>
      <c r="Q22" s="52">
        <v>5.38</v>
      </c>
    </row>
    <row r="23" spans="1:17" customFormat="1">
      <c r="A23" s="53" t="s">
        <v>265</v>
      </c>
      <c r="B23" s="52">
        <v>5.88</v>
      </c>
      <c r="C23" s="52">
        <v>57.99</v>
      </c>
      <c r="D23" s="52">
        <v>33.950000000000003</v>
      </c>
      <c r="E23" s="52">
        <v>10.79</v>
      </c>
      <c r="F23" s="52">
        <v>31.35</v>
      </c>
      <c r="G23" s="52">
        <v>63.43</v>
      </c>
      <c r="H23" s="52">
        <v>33.96</v>
      </c>
      <c r="I23" s="52">
        <v>6.6</v>
      </c>
      <c r="J23" s="52">
        <v>1.2</v>
      </c>
      <c r="K23" s="52">
        <v>302.52999999999997</v>
      </c>
      <c r="L23" s="52">
        <v>42</v>
      </c>
      <c r="M23" s="52">
        <v>16.059999999999999</v>
      </c>
      <c r="N23" s="52">
        <v>554.29999999999995</v>
      </c>
      <c r="O23" s="52">
        <v>0</v>
      </c>
      <c r="P23" s="52">
        <v>0.63</v>
      </c>
      <c r="Q23" s="52">
        <v>5.32</v>
      </c>
    </row>
    <row r="24" spans="1:17" customFormat="1">
      <c r="A24" s="53" t="s">
        <v>266</v>
      </c>
      <c r="B24" s="52">
        <v>7.16</v>
      </c>
      <c r="C24" s="52">
        <v>62.09</v>
      </c>
      <c r="D24" s="52">
        <v>36.299999999999997</v>
      </c>
      <c r="E24" s="52">
        <v>9.9700000000000006</v>
      </c>
      <c r="F24" s="52">
        <v>26.47</v>
      </c>
      <c r="G24" s="52">
        <v>55.58</v>
      </c>
      <c r="H24" s="52">
        <v>31.55</v>
      </c>
      <c r="I24" s="52">
        <v>6.21</v>
      </c>
      <c r="J24" s="52">
        <v>1.81</v>
      </c>
      <c r="K24" s="52">
        <v>303.25</v>
      </c>
      <c r="L24" s="52">
        <v>42.74</v>
      </c>
      <c r="M24" s="52">
        <v>39.21</v>
      </c>
      <c r="N24" s="52">
        <v>388.8</v>
      </c>
      <c r="O24" s="52">
        <v>0</v>
      </c>
      <c r="P24" s="52">
        <v>0.6</v>
      </c>
      <c r="Q24" s="52">
        <v>5.34</v>
      </c>
    </row>
    <row r="25" spans="1:17" customFormat="1">
      <c r="A25" s="53" t="s">
        <v>267</v>
      </c>
      <c r="B25" s="52">
        <v>6.06</v>
      </c>
      <c r="C25" s="52">
        <v>40.71</v>
      </c>
      <c r="D25" s="52">
        <v>24.71</v>
      </c>
      <c r="E25" s="52">
        <v>10.62</v>
      </c>
      <c r="F25" s="52">
        <v>50.51</v>
      </c>
      <c r="G25" s="52">
        <v>95.02</v>
      </c>
      <c r="H25" s="52">
        <v>31.07</v>
      </c>
      <c r="I25" s="52">
        <v>5.5</v>
      </c>
      <c r="J25" s="52">
        <v>0.31</v>
      </c>
      <c r="K25" s="52">
        <v>203.77</v>
      </c>
      <c r="L25" s="52">
        <v>38.630000000000003</v>
      </c>
      <c r="M25" s="52">
        <v>40.74</v>
      </c>
      <c r="N25" s="52">
        <v>292.2</v>
      </c>
      <c r="O25" s="52">
        <v>0</v>
      </c>
      <c r="P25" s="52">
        <v>0.46</v>
      </c>
      <c r="Q25" s="52">
        <v>5.2</v>
      </c>
    </row>
    <row r="26" spans="1:17" customFormat="1">
      <c r="A26" s="53" t="s">
        <v>268</v>
      </c>
      <c r="B26" s="52">
        <v>10.56</v>
      </c>
      <c r="C26" s="52">
        <v>57.7</v>
      </c>
      <c r="D26" s="52">
        <v>37.57</v>
      </c>
      <c r="E26" s="52">
        <v>11.89</v>
      </c>
      <c r="F26" s="52">
        <v>31.45</v>
      </c>
      <c r="G26" s="52">
        <v>95.02</v>
      </c>
      <c r="H26" s="52">
        <v>31.07</v>
      </c>
      <c r="I26" s="52">
        <v>4.05</v>
      </c>
      <c r="J26" s="52">
        <v>0.61</v>
      </c>
      <c r="K26" s="52">
        <v>349.56</v>
      </c>
      <c r="L26" s="52">
        <v>38.79</v>
      </c>
      <c r="M26" s="52">
        <v>37.74</v>
      </c>
      <c r="N26" s="52">
        <v>100.6</v>
      </c>
      <c r="O26" s="52">
        <v>0</v>
      </c>
      <c r="P26" s="52">
        <v>0.6</v>
      </c>
      <c r="Q26" s="52">
        <v>5.2</v>
      </c>
    </row>
    <row r="27" spans="1:17" customFormat="1">
      <c r="A27" s="53" t="s">
        <v>269</v>
      </c>
      <c r="B27" s="52">
        <v>6.06</v>
      </c>
      <c r="C27" s="52">
        <v>44.7</v>
      </c>
      <c r="D27" s="52">
        <v>27.17</v>
      </c>
      <c r="E27" s="52">
        <v>7.61</v>
      </c>
      <c r="F27" s="52">
        <v>41.47</v>
      </c>
      <c r="G27" s="52">
        <v>51.86</v>
      </c>
      <c r="H27" s="52">
        <v>29.11</v>
      </c>
      <c r="I27" s="52">
        <v>4.54</v>
      </c>
      <c r="J27" s="52">
        <v>0.28999999999999998</v>
      </c>
      <c r="K27" s="52">
        <v>235.18</v>
      </c>
      <c r="L27" s="52">
        <v>36.630000000000003</v>
      </c>
      <c r="M27" s="52">
        <v>32.01</v>
      </c>
      <c r="N27" s="52">
        <v>9.1</v>
      </c>
      <c r="O27" s="52">
        <v>0</v>
      </c>
      <c r="P27" s="52">
        <v>0.52</v>
      </c>
      <c r="Q27" s="52">
        <v>5.15</v>
      </c>
    </row>
    <row r="28" spans="1:17" customFormat="1">
      <c r="A28" s="53" t="s">
        <v>270</v>
      </c>
      <c r="B28" s="52">
        <v>6.25</v>
      </c>
      <c r="C28" s="52">
        <v>45.84</v>
      </c>
      <c r="D28" s="52">
        <v>27.65</v>
      </c>
      <c r="E28" s="52">
        <v>8.69</v>
      </c>
      <c r="F28" s="52">
        <v>34.520000000000003</v>
      </c>
      <c r="G28" s="52">
        <v>49.48</v>
      </c>
      <c r="H28" s="52">
        <v>27.03</v>
      </c>
      <c r="I28" s="52">
        <v>4.68</v>
      </c>
      <c r="J28" s="52">
        <v>0.56999999999999995</v>
      </c>
      <c r="K28" s="52">
        <v>258.12</v>
      </c>
      <c r="L28" s="52">
        <v>35.78</v>
      </c>
      <c r="M28" s="52">
        <v>33.840000000000003</v>
      </c>
      <c r="N28" s="52">
        <v>0</v>
      </c>
      <c r="O28" s="52">
        <v>0</v>
      </c>
      <c r="P28" s="52">
        <v>0.56999999999999995</v>
      </c>
      <c r="Q28" s="52">
        <v>5.24</v>
      </c>
    </row>
    <row r="29" spans="1:17" customFormat="1">
      <c r="A29" s="53" t="s">
        <v>271</v>
      </c>
      <c r="B29" s="52">
        <v>19.100000000000001</v>
      </c>
      <c r="C29" s="52">
        <v>62.57</v>
      </c>
      <c r="D29" s="52">
        <v>46.97</v>
      </c>
      <c r="E29" s="52">
        <v>8.8000000000000007</v>
      </c>
      <c r="F29" s="52">
        <v>28.81</v>
      </c>
      <c r="G29" s="52">
        <v>47.85</v>
      </c>
      <c r="H29" s="52">
        <v>26.92</v>
      </c>
      <c r="I29" s="52">
        <v>6.36</v>
      </c>
      <c r="J29" s="52">
        <v>0.49</v>
      </c>
      <c r="K29" s="52">
        <v>247.63</v>
      </c>
      <c r="L29" s="52">
        <v>35.35</v>
      </c>
      <c r="M29" s="52">
        <v>33.520000000000003</v>
      </c>
      <c r="N29" s="52">
        <v>0</v>
      </c>
      <c r="O29" s="52">
        <v>0</v>
      </c>
      <c r="P29" s="52">
        <v>0.9</v>
      </c>
      <c r="Q29" s="52">
        <v>5.4</v>
      </c>
    </row>
    <row r="30" spans="1:17" customFormat="1">
      <c r="A30" s="53" t="s">
        <v>272</v>
      </c>
      <c r="B30" s="52">
        <v>15.04</v>
      </c>
      <c r="C30" s="52">
        <v>59.98</v>
      </c>
      <c r="D30" s="52">
        <v>42.26</v>
      </c>
      <c r="E30" s="52">
        <v>5.85</v>
      </c>
      <c r="F30" s="52">
        <v>24.36</v>
      </c>
      <c r="G30" s="52">
        <v>62.83</v>
      </c>
      <c r="H30" s="52">
        <v>26.03</v>
      </c>
      <c r="I30" s="52">
        <v>6.11</v>
      </c>
      <c r="J30" s="52">
        <v>0.34</v>
      </c>
      <c r="K30" s="52">
        <v>242.93</v>
      </c>
      <c r="L30" s="52">
        <v>35.17</v>
      </c>
      <c r="M30" s="52">
        <v>34.43</v>
      </c>
      <c r="N30" s="52">
        <v>0</v>
      </c>
      <c r="O30" s="52">
        <v>0</v>
      </c>
      <c r="P30" s="52">
        <v>0.84</v>
      </c>
      <c r="Q30" s="52">
        <v>5.39</v>
      </c>
    </row>
    <row r="31" spans="1:17" customFormat="1">
      <c r="A31" s="53" t="s">
        <v>273</v>
      </c>
      <c r="B31" s="52">
        <v>27.84</v>
      </c>
      <c r="C31" s="52">
        <v>58.07</v>
      </c>
      <c r="D31" s="52">
        <v>51.62</v>
      </c>
      <c r="E31" s="52">
        <v>8.1199999999999992</v>
      </c>
      <c r="F31" s="52">
        <v>13.78</v>
      </c>
      <c r="G31" s="52">
        <v>62.95</v>
      </c>
      <c r="H31" s="52">
        <v>25.39</v>
      </c>
      <c r="I31" s="52">
        <v>6.72</v>
      </c>
      <c r="J31" s="52">
        <v>0.25</v>
      </c>
      <c r="K31" s="52">
        <v>179.66</v>
      </c>
      <c r="L31" s="52">
        <v>33.31</v>
      </c>
      <c r="M31" s="52">
        <v>38.5</v>
      </c>
      <c r="N31" s="52">
        <v>0</v>
      </c>
      <c r="O31" s="52">
        <v>0</v>
      </c>
      <c r="P31" s="52">
        <v>0.84</v>
      </c>
      <c r="Q31" s="52">
        <v>5.51</v>
      </c>
    </row>
    <row r="32" spans="1:17" customFormat="1">
      <c r="A32" s="53" t="s">
        <v>274</v>
      </c>
      <c r="B32" s="52">
        <v>40.67</v>
      </c>
      <c r="C32" s="52">
        <v>66.55</v>
      </c>
      <c r="D32" s="52">
        <v>66.010000000000005</v>
      </c>
      <c r="E32" s="52">
        <v>9.5500000000000007</v>
      </c>
      <c r="F32" s="52">
        <v>4.5199999999999996</v>
      </c>
      <c r="G32" s="52">
        <v>68.98</v>
      </c>
      <c r="H32" s="52">
        <v>25.34</v>
      </c>
      <c r="I32" s="52">
        <v>9.32</v>
      </c>
      <c r="J32" s="52">
        <v>0.26</v>
      </c>
      <c r="K32" s="52">
        <v>328.47</v>
      </c>
      <c r="L32" s="52">
        <v>32.799999999999997</v>
      </c>
      <c r="M32" s="52">
        <v>43.52</v>
      </c>
      <c r="N32" s="52">
        <v>0</v>
      </c>
      <c r="O32" s="52">
        <v>0</v>
      </c>
      <c r="P32" s="52">
        <v>0.92</v>
      </c>
      <c r="Q32" s="52">
        <v>6.01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5.75</v>
      </c>
      <c r="C34" s="41">
        <f t="shared" si="0"/>
        <v>40.71</v>
      </c>
      <c r="D34" s="41">
        <f t="shared" si="0"/>
        <v>24.71</v>
      </c>
      <c r="E34" s="41">
        <f t="shared" si="0"/>
        <v>5.37</v>
      </c>
      <c r="F34" s="41">
        <f t="shared" si="0"/>
        <v>3.85</v>
      </c>
      <c r="G34" s="41">
        <f t="shared" si="0"/>
        <v>47.85</v>
      </c>
      <c r="H34" s="41">
        <f t="shared" si="0"/>
        <v>25.34</v>
      </c>
      <c r="I34" s="41">
        <f t="shared" si="0"/>
        <v>4.05</v>
      </c>
      <c r="J34" s="41">
        <f t="shared" si="0"/>
        <v>0.19</v>
      </c>
      <c r="K34" s="41">
        <f t="shared" si="0"/>
        <v>31.01</v>
      </c>
      <c r="L34" s="41">
        <f t="shared" si="0"/>
        <v>28.38</v>
      </c>
      <c r="M34" s="41">
        <f t="shared" si="0"/>
        <v>13.08</v>
      </c>
      <c r="N34" s="41">
        <f t="shared" si="0"/>
        <v>0</v>
      </c>
      <c r="O34" s="41">
        <f t="shared" si="0"/>
        <v>0</v>
      </c>
      <c r="P34" s="41">
        <f t="shared" si="0"/>
        <v>0.46</v>
      </c>
      <c r="Q34" s="41">
        <f t="shared" si="0"/>
        <v>5.15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45.24</v>
      </c>
      <c r="C35" s="33">
        <f t="shared" si="1"/>
        <v>66.569999999999993</v>
      </c>
      <c r="D35" s="33">
        <f t="shared" si="1"/>
        <v>70.02</v>
      </c>
      <c r="E35" s="33">
        <f t="shared" si="1"/>
        <v>68.89</v>
      </c>
      <c r="F35" s="33">
        <f t="shared" si="1"/>
        <v>50.51</v>
      </c>
      <c r="G35" s="33">
        <f t="shared" si="1"/>
        <v>169.35</v>
      </c>
      <c r="H35" s="33">
        <f t="shared" si="1"/>
        <v>64.59</v>
      </c>
      <c r="I35" s="33">
        <f t="shared" si="1"/>
        <v>11.36</v>
      </c>
      <c r="J35" s="33">
        <f t="shared" si="1"/>
        <v>1.81</v>
      </c>
      <c r="K35" s="33">
        <f t="shared" si="1"/>
        <v>349.56</v>
      </c>
      <c r="L35" s="33">
        <f t="shared" si="1"/>
        <v>43.2</v>
      </c>
      <c r="M35" s="33">
        <f t="shared" si="1"/>
        <v>53.29</v>
      </c>
      <c r="N35" s="33">
        <f t="shared" si="1"/>
        <v>795.2</v>
      </c>
      <c r="O35" s="33">
        <f t="shared" si="1"/>
        <v>0</v>
      </c>
      <c r="P35" s="33">
        <f t="shared" si="1"/>
        <v>1.18</v>
      </c>
      <c r="Q35" s="33">
        <f t="shared" si="1"/>
        <v>6.93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22.249166666666667</v>
      </c>
      <c r="C36" s="41">
        <f t="shared" si="2"/>
        <v>59.379166666666663</v>
      </c>
      <c r="D36" s="41">
        <f t="shared" si="2"/>
        <v>47.471666666666664</v>
      </c>
      <c r="E36" s="41">
        <f t="shared" si="2"/>
        <v>20.462500000000006</v>
      </c>
      <c r="F36" s="41">
        <f t="shared" si="2"/>
        <v>23.714583333333326</v>
      </c>
      <c r="G36" s="41">
        <f t="shared" si="2"/>
        <v>91.30999999999996</v>
      </c>
      <c r="H36" s="41">
        <f t="shared" si="2"/>
        <v>38.417083333333331</v>
      </c>
      <c r="I36" s="41">
        <f t="shared" si="2"/>
        <v>8.2466666666666679</v>
      </c>
      <c r="J36" s="41">
        <f t="shared" si="2"/>
        <v>0.58916666666666673</v>
      </c>
      <c r="K36" s="41">
        <f t="shared" si="2"/>
        <v>247.43916666666675</v>
      </c>
      <c r="L36" s="41">
        <f t="shared" si="2"/>
        <v>35.929999999999986</v>
      </c>
      <c r="M36" s="41">
        <f t="shared" si="2"/>
        <v>32.886249999999997</v>
      </c>
      <c r="N36" s="41">
        <f t="shared" si="2"/>
        <v>175.57500000000005</v>
      </c>
      <c r="O36" s="41">
        <f t="shared" si="2"/>
        <v>0</v>
      </c>
      <c r="P36" s="41">
        <f t="shared" si="2"/>
        <v>0.87333333333333341</v>
      </c>
      <c r="Q36" s="41">
        <f t="shared" si="2"/>
        <v>5.9474999999999989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14.210370039751483</v>
      </c>
      <c r="C37" s="41">
        <f t="shared" ref="C37:Q37" si="3">STDEV(C9:C32)</f>
        <v>6.6633774675732287</v>
      </c>
      <c r="D37" s="41">
        <f t="shared" si="3"/>
        <v>14.054576128255439</v>
      </c>
      <c r="E37" s="41">
        <f t="shared" si="3"/>
        <v>19.26007929235562</v>
      </c>
      <c r="F37" s="41">
        <f t="shared" si="3"/>
        <v>16.313866862051867</v>
      </c>
      <c r="G37" s="41">
        <f t="shared" si="3"/>
        <v>33.546577094878373</v>
      </c>
      <c r="H37" s="41">
        <f t="shared" si="3"/>
        <v>11.158278065367311</v>
      </c>
      <c r="I37" s="41">
        <f t="shared" si="3"/>
        <v>2.5237044315788992</v>
      </c>
      <c r="J37" s="41">
        <f t="shared" si="3"/>
        <v>0.42666468523090634</v>
      </c>
      <c r="K37" s="41">
        <f t="shared" si="3"/>
        <v>93.594943003332645</v>
      </c>
      <c r="L37" s="41">
        <f t="shared" si="3"/>
        <v>4.9214649639416903</v>
      </c>
      <c r="M37" s="41">
        <f t="shared" si="3"/>
        <v>12.70665960705508</v>
      </c>
      <c r="N37" s="41">
        <f t="shared" si="3"/>
        <v>251.36697795990554</v>
      </c>
      <c r="O37" s="41">
        <f t="shared" si="3"/>
        <v>0</v>
      </c>
      <c r="P37" s="41">
        <f t="shared" si="3"/>
        <v>0.23625091058792358</v>
      </c>
      <c r="Q37" s="41">
        <f t="shared" si="3"/>
        <v>0.63963474631672035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10/06/2023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275</v>
      </c>
      <c r="B9" s="52">
        <v>43.55</v>
      </c>
      <c r="C9" s="52">
        <v>61.99</v>
      </c>
      <c r="D9" s="52">
        <v>66.27</v>
      </c>
      <c r="E9" s="52">
        <v>17.809999999999999</v>
      </c>
      <c r="F9" s="52">
        <v>4.1399999999999997</v>
      </c>
      <c r="G9" s="52">
        <v>85.65</v>
      </c>
      <c r="H9" s="52">
        <v>26.6</v>
      </c>
      <c r="I9" s="52">
        <v>9.43</v>
      </c>
      <c r="J9" s="52">
        <v>0.23</v>
      </c>
      <c r="K9" s="52">
        <v>222.12</v>
      </c>
      <c r="L9" s="52">
        <v>32.28</v>
      </c>
      <c r="M9" s="52">
        <v>45.5</v>
      </c>
      <c r="N9" s="52">
        <v>0</v>
      </c>
      <c r="O9" s="52">
        <v>0</v>
      </c>
      <c r="P9" s="52">
        <v>0.88</v>
      </c>
      <c r="Q9" s="52">
        <v>6.31</v>
      </c>
    </row>
    <row r="10" spans="1:21" customFormat="1">
      <c r="A10" s="53" t="s">
        <v>276</v>
      </c>
      <c r="B10" s="52">
        <v>38.950000000000003</v>
      </c>
      <c r="C10" s="52">
        <v>61.73</v>
      </c>
      <c r="D10" s="52">
        <v>62.44</v>
      </c>
      <c r="E10" s="52">
        <v>22.81</v>
      </c>
      <c r="F10" s="52">
        <v>7.04</v>
      </c>
      <c r="G10" s="52">
        <v>85.65</v>
      </c>
      <c r="H10" s="52">
        <v>29.35</v>
      </c>
      <c r="I10" s="52">
        <v>9.6199999999999992</v>
      </c>
      <c r="J10" s="52">
        <v>0.4</v>
      </c>
      <c r="K10" s="52">
        <v>248.98</v>
      </c>
      <c r="L10" s="52">
        <v>32.31</v>
      </c>
      <c r="M10" s="52">
        <v>39.61</v>
      </c>
      <c r="N10" s="52">
        <v>0</v>
      </c>
      <c r="O10" s="52">
        <v>0</v>
      </c>
      <c r="P10" s="52">
        <v>0.79</v>
      </c>
      <c r="Q10" s="52">
        <v>6.55</v>
      </c>
    </row>
    <row r="11" spans="1:21" customFormat="1">
      <c r="A11" s="53" t="s">
        <v>277</v>
      </c>
      <c r="B11" s="52">
        <v>27.08</v>
      </c>
      <c r="C11" s="52">
        <v>59.61</v>
      </c>
      <c r="D11" s="52">
        <v>51.81</v>
      </c>
      <c r="E11" s="52">
        <v>24.48</v>
      </c>
      <c r="F11" s="52">
        <v>13.12</v>
      </c>
      <c r="G11" s="52">
        <v>85.06</v>
      </c>
      <c r="H11" s="52">
        <v>29.36</v>
      </c>
      <c r="I11" s="52">
        <v>7.96</v>
      </c>
      <c r="J11" s="52">
        <v>0.53</v>
      </c>
      <c r="K11" s="52">
        <v>274.89999999999998</v>
      </c>
      <c r="L11" s="52">
        <v>32.56</v>
      </c>
      <c r="M11" s="52">
        <v>40.42</v>
      </c>
      <c r="N11" s="52">
        <v>0</v>
      </c>
      <c r="O11" s="52">
        <v>0</v>
      </c>
      <c r="P11" s="52">
        <v>0.78</v>
      </c>
      <c r="Q11" s="52">
        <v>6.51</v>
      </c>
    </row>
    <row r="12" spans="1:21" customFormat="1">
      <c r="A12" s="53" t="s">
        <v>278</v>
      </c>
      <c r="B12" s="52">
        <v>23.96</v>
      </c>
      <c r="C12" s="52">
        <v>57.3</v>
      </c>
      <c r="D12" s="52">
        <v>47.11</v>
      </c>
      <c r="E12" s="52">
        <v>38.909999999999997</v>
      </c>
      <c r="F12" s="52">
        <v>12.71</v>
      </c>
      <c r="G12" s="52">
        <v>67.89</v>
      </c>
      <c r="H12" s="52">
        <v>29.36</v>
      </c>
      <c r="I12" s="52">
        <v>6.97</v>
      </c>
      <c r="J12" s="52">
        <v>0.37</v>
      </c>
      <c r="K12" s="52">
        <v>286.06</v>
      </c>
      <c r="L12" s="52">
        <v>32.74</v>
      </c>
      <c r="M12" s="52">
        <v>35.229999999999997</v>
      </c>
      <c r="N12" s="52">
        <v>0</v>
      </c>
      <c r="O12" s="52">
        <v>0</v>
      </c>
      <c r="P12" s="52">
        <v>0.66</v>
      </c>
      <c r="Q12" s="52">
        <v>6.39</v>
      </c>
    </row>
    <row r="13" spans="1:21" customFormat="1">
      <c r="A13" s="53" t="s">
        <v>279</v>
      </c>
      <c r="B13" s="52">
        <v>21.5</v>
      </c>
      <c r="C13" s="52">
        <v>53.75</v>
      </c>
      <c r="D13" s="52">
        <v>43.91</v>
      </c>
      <c r="E13" s="52">
        <v>36.799999999999997</v>
      </c>
      <c r="F13" s="52">
        <v>9.18</v>
      </c>
      <c r="G13" s="52">
        <v>61.09</v>
      </c>
      <c r="H13" s="52">
        <v>28.67</v>
      </c>
      <c r="I13" s="52">
        <v>6.6</v>
      </c>
      <c r="J13" s="52">
        <v>0.24</v>
      </c>
      <c r="K13" s="52">
        <v>184.21</v>
      </c>
      <c r="L13" s="52">
        <v>31.9</v>
      </c>
      <c r="M13" s="52">
        <v>46.16</v>
      </c>
      <c r="N13" s="52">
        <v>0</v>
      </c>
      <c r="O13" s="52">
        <v>0</v>
      </c>
      <c r="P13" s="52">
        <v>0.65</v>
      </c>
      <c r="Q13" s="52">
        <v>6.32</v>
      </c>
    </row>
    <row r="14" spans="1:21" customFormat="1">
      <c r="A14" s="53" t="s">
        <v>280</v>
      </c>
      <c r="B14" s="52">
        <v>33.119999999999997</v>
      </c>
      <c r="C14" s="52">
        <v>58.85</v>
      </c>
      <c r="D14" s="52">
        <v>56.21</v>
      </c>
      <c r="E14" s="52">
        <v>21.14</v>
      </c>
      <c r="F14" s="52">
        <v>7.16</v>
      </c>
      <c r="G14" s="52">
        <v>58.46</v>
      </c>
      <c r="H14" s="52">
        <v>28.62</v>
      </c>
      <c r="I14" s="52">
        <v>6.58</v>
      </c>
      <c r="J14" s="52">
        <v>0.42</v>
      </c>
      <c r="K14" s="52">
        <v>259.49</v>
      </c>
      <c r="L14" s="52">
        <v>31.39</v>
      </c>
      <c r="M14" s="52">
        <v>45.25</v>
      </c>
      <c r="N14" s="52">
        <v>12.5</v>
      </c>
      <c r="O14" s="52">
        <v>0</v>
      </c>
      <c r="P14" s="52">
        <v>0.65</v>
      </c>
      <c r="Q14" s="52">
        <v>6.34</v>
      </c>
    </row>
    <row r="15" spans="1:21" customFormat="1">
      <c r="A15" s="53" t="s">
        <v>281</v>
      </c>
      <c r="B15" s="52">
        <v>31.35</v>
      </c>
      <c r="C15" s="52">
        <v>57.26</v>
      </c>
      <c r="D15" s="52">
        <v>54.01</v>
      </c>
      <c r="E15" s="52">
        <v>13.87</v>
      </c>
      <c r="F15" s="52">
        <v>10.119999999999999</v>
      </c>
      <c r="G15" s="52">
        <v>63.73</v>
      </c>
      <c r="H15" s="52">
        <v>26.13</v>
      </c>
      <c r="I15" s="52">
        <v>6.89</v>
      </c>
      <c r="J15" s="52">
        <v>0.25</v>
      </c>
      <c r="K15" s="52">
        <v>199.73</v>
      </c>
      <c r="L15" s="52">
        <v>31.79</v>
      </c>
      <c r="M15" s="52">
        <v>47.3</v>
      </c>
      <c r="N15" s="52">
        <v>36.6</v>
      </c>
      <c r="O15" s="52">
        <v>0</v>
      </c>
      <c r="P15" s="52">
        <v>0.73</v>
      </c>
      <c r="Q15" s="52">
        <v>6.33</v>
      </c>
    </row>
    <row r="16" spans="1:21" customFormat="1">
      <c r="A16" s="53" t="s">
        <v>282</v>
      </c>
      <c r="B16" s="52">
        <v>28.49</v>
      </c>
      <c r="C16" s="52">
        <v>58.56</v>
      </c>
      <c r="D16" s="52">
        <v>52.4</v>
      </c>
      <c r="E16" s="52">
        <v>15.6</v>
      </c>
      <c r="F16" s="52">
        <v>13.9</v>
      </c>
      <c r="G16" s="52">
        <v>70.73</v>
      </c>
      <c r="H16" s="52">
        <v>29.7</v>
      </c>
      <c r="I16" s="52">
        <v>7.97</v>
      </c>
      <c r="J16" s="52">
        <v>0.27</v>
      </c>
      <c r="K16" s="52">
        <v>228.01</v>
      </c>
      <c r="L16" s="52">
        <v>33.369999999999997</v>
      </c>
      <c r="M16" s="52">
        <v>52.08</v>
      </c>
      <c r="N16" s="52">
        <v>150.30000000000001</v>
      </c>
      <c r="O16" s="52">
        <v>0</v>
      </c>
      <c r="P16" s="52">
        <v>0.73</v>
      </c>
      <c r="Q16" s="52">
        <v>6.38</v>
      </c>
    </row>
    <row r="17" spans="1:17" customFormat="1">
      <c r="A17" s="53" t="s">
        <v>283</v>
      </c>
      <c r="B17" s="52">
        <v>26.5</v>
      </c>
      <c r="C17" s="52">
        <v>58.24</v>
      </c>
      <c r="D17" s="52">
        <v>50.63</v>
      </c>
      <c r="E17" s="52">
        <v>13.62</v>
      </c>
      <c r="F17" s="52">
        <v>13.09</v>
      </c>
      <c r="G17" s="52">
        <v>70.73</v>
      </c>
      <c r="H17" s="52">
        <v>29.7</v>
      </c>
      <c r="I17" s="52">
        <v>8.11</v>
      </c>
      <c r="J17" s="52">
        <v>0.62</v>
      </c>
      <c r="K17" s="52">
        <v>268.32</v>
      </c>
      <c r="L17" s="52">
        <v>33.96</v>
      </c>
      <c r="M17" s="52">
        <v>44.34</v>
      </c>
      <c r="N17" s="52">
        <v>139</v>
      </c>
      <c r="O17" s="52">
        <v>0</v>
      </c>
      <c r="P17" s="52">
        <v>0.89</v>
      </c>
      <c r="Q17" s="52">
        <v>6.26</v>
      </c>
    </row>
    <row r="18" spans="1:17" customFormat="1">
      <c r="A18" s="53" t="s">
        <v>284</v>
      </c>
      <c r="B18" s="52">
        <v>18.899999999999999</v>
      </c>
      <c r="C18" s="52">
        <v>53.81</v>
      </c>
      <c r="D18" s="52">
        <v>42.23</v>
      </c>
      <c r="E18" s="52">
        <v>20.57</v>
      </c>
      <c r="F18" s="52">
        <v>25.76</v>
      </c>
      <c r="G18" s="52">
        <v>83.34</v>
      </c>
      <c r="H18" s="52">
        <v>33.65</v>
      </c>
      <c r="I18" s="52">
        <v>12.45</v>
      </c>
      <c r="J18" s="52">
        <v>0.34</v>
      </c>
      <c r="K18" s="52">
        <v>253.29</v>
      </c>
      <c r="L18" s="52">
        <v>35.200000000000003</v>
      </c>
      <c r="M18" s="52">
        <v>43.15</v>
      </c>
      <c r="N18" s="52">
        <v>258.60000000000002</v>
      </c>
      <c r="O18" s="52">
        <v>0</v>
      </c>
      <c r="P18" s="52">
        <v>1</v>
      </c>
      <c r="Q18" s="52">
        <v>6.15</v>
      </c>
    </row>
    <row r="19" spans="1:17" customFormat="1">
      <c r="A19" s="53" t="s">
        <v>285</v>
      </c>
      <c r="B19" s="52">
        <v>13.24</v>
      </c>
      <c r="C19" s="52">
        <v>56.89</v>
      </c>
      <c r="D19" s="52">
        <v>39.18</v>
      </c>
      <c r="E19" s="52">
        <v>13.39</v>
      </c>
      <c r="F19" s="52">
        <v>37.31</v>
      </c>
      <c r="G19" s="52">
        <v>85.96</v>
      </c>
      <c r="H19" s="52">
        <v>35.340000000000003</v>
      </c>
      <c r="I19" s="52">
        <v>11.46</v>
      </c>
      <c r="J19" s="52">
        <v>0.64</v>
      </c>
      <c r="K19" s="52">
        <v>274.22000000000003</v>
      </c>
      <c r="L19" s="52">
        <v>39.54</v>
      </c>
      <c r="M19" s="52">
        <v>32.17</v>
      </c>
      <c r="N19" s="52">
        <v>236.6</v>
      </c>
      <c r="O19" s="52">
        <v>0</v>
      </c>
      <c r="P19" s="52">
        <v>0.93</v>
      </c>
      <c r="Q19" s="52">
        <v>5.89</v>
      </c>
    </row>
    <row r="20" spans="1:17" customFormat="1">
      <c r="A20" s="53" t="s">
        <v>286</v>
      </c>
      <c r="B20" s="52">
        <v>8</v>
      </c>
      <c r="C20" s="52">
        <v>58.35</v>
      </c>
      <c r="D20" s="52">
        <v>35.299999999999997</v>
      </c>
      <c r="E20" s="52">
        <v>9.7799999999999994</v>
      </c>
      <c r="F20" s="52">
        <v>33.090000000000003</v>
      </c>
      <c r="G20" s="52">
        <v>85.96</v>
      </c>
      <c r="H20" s="52">
        <v>35.340000000000003</v>
      </c>
      <c r="I20" s="52">
        <v>10.09</v>
      </c>
      <c r="J20" s="52">
        <v>1.5</v>
      </c>
      <c r="K20" s="52">
        <v>295.67</v>
      </c>
      <c r="L20" s="52">
        <v>40.31</v>
      </c>
      <c r="M20" s="52">
        <v>24.49</v>
      </c>
      <c r="N20" s="52">
        <v>404</v>
      </c>
      <c r="O20" s="52">
        <v>0</v>
      </c>
      <c r="P20" s="52">
        <v>0.83</v>
      </c>
      <c r="Q20" s="52">
        <v>5.5</v>
      </c>
    </row>
    <row r="21" spans="1:17" customFormat="1">
      <c r="A21" s="53" t="s">
        <v>287</v>
      </c>
      <c r="B21" s="52">
        <v>7.14</v>
      </c>
      <c r="C21" s="52">
        <v>55.94</v>
      </c>
      <c r="D21" s="52">
        <v>33.909999999999997</v>
      </c>
      <c r="E21" s="52">
        <v>7.71</v>
      </c>
      <c r="F21" s="52">
        <v>19.760000000000002</v>
      </c>
      <c r="G21" s="52">
        <v>75.38</v>
      </c>
      <c r="H21" s="52">
        <v>35.24</v>
      </c>
      <c r="I21" s="52">
        <v>9.27</v>
      </c>
      <c r="J21" s="52">
        <v>2.0499999999999998</v>
      </c>
      <c r="K21" s="52">
        <v>295.35000000000002</v>
      </c>
      <c r="L21" s="52">
        <v>41.03</v>
      </c>
      <c r="M21" s="52">
        <v>22.36</v>
      </c>
      <c r="N21" s="52">
        <v>860.3</v>
      </c>
      <c r="O21" s="52">
        <v>0</v>
      </c>
      <c r="P21" s="52">
        <v>0.78</v>
      </c>
      <c r="Q21" s="52">
        <v>5.2</v>
      </c>
    </row>
    <row r="22" spans="1:17" customFormat="1">
      <c r="A22" s="53" t="s">
        <v>288</v>
      </c>
      <c r="B22" s="52">
        <v>5.64</v>
      </c>
      <c r="C22" s="52">
        <v>48.57</v>
      </c>
      <c r="D22" s="52">
        <v>28.85</v>
      </c>
      <c r="E22" s="52">
        <v>7.6</v>
      </c>
      <c r="F22" s="52">
        <v>23.37</v>
      </c>
      <c r="G22" s="52">
        <v>65.91</v>
      </c>
      <c r="H22" s="52">
        <v>35.24</v>
      </c>
      <c r="I22" s="52">
        <v>8.06</v>
      </c>
      <c r="J22" s="52">
        <v>1.6</v>
      </c>
      <c r="K22" s="52">
        <v>295.35000000000002</v>
      </c>
      <c r="L22" s="52">
        <v>41.62</v>
      </c>
      <c r="M22" s="52">
        <v>20.059999999999999</v>
      </c>
      <c r="N22" s="52">
        <v>858.3</v>
      </c>
      <c r="O22" s="52">
        <v>0</v>
      </c>
      <c r="P22" s="52">
        <v>0.67</v>
      </c>
      <c r="Q22" s="52">
        <v>5.03</v>
      </c>
    </row>
    <row r="23" spans="1:17" customFormat="1">
      <c r="A23" s="53" t="s">
        <v>289</v>
      </c>
      <c r="B23" s="52">
        <v>5.58</v>
      </c>
      <c r="C23" s="52">
        <v>47.08</v>
      </c>
      <c r="D23" s="52">
        <v>27.72</v>
      </c>
      <c r="E23" s="52">
        <v>8.52</v>
      </c>
      <c r="F23" s="52">
        <v>32.47</v>
      </c>
      <c r="G23" s="52">
        <v>65.91</v>
      </c>
      <c r="H23" s="52">
        <v>31.95</v>
      </c>
      <c r="I23" s="52">
        <v>7.07</v>
      </c>
      <c r="J23" s="52">
        <v>1.17</v>
      </c>
      <c r="K23" s="52">
        <v>309.16000000000003</v>
      </c>
      <c r="L23" s="52">
        <v>40.47</v>
      </c>
      <c r="M23" s="52">
        <v>21.13</v>
      </c>
      <c r="N23" s="52">
        <v>189.4</v>
      </c>
      <c r="O23" s="52">
        <v>0</v>
      </c>
      <c r="P23" s="52">
        <v>0.59</v>
      </c>
      <c r="Q23" s="52">
        <v>4.95</v>
      </c>
    </row>
    <row r="24" spans="1:17" customFormat="1">
      <c r="A24" s="53" t="s">
        <v>290</v>
      </c>
      <c r="B24" s="52">
        <v>6.81</v>
      </c>
      <c r="C24" s="52">
        <v>50.38</v>
      </c>
      <c r="D24" s="52">
        <v>30.74</v>
      </c>
      <c r="E24" s="52">
        <v>11.07</v>
      </c>
      <c r="F24" s="52">
        <v>32.520000000000003</v>
      </c>
      <c r="G24" s="52">
        <v>52.89</v>
      </c>
      <c r="H24" s="52">
        <v>28.26</v>
      </c>
      <c r="I24" s="52">
        <v>5.74</v>
      </c>
      <c r="J24" s="52">
        <v>1.17</v>
      </c>
      <c r="K24" s="52">
        <v>302.10000000000002</v>
      </c>
      <c r="L24" s="52">
        <v>40.47</v>
      </c>
      <c r="M24" s="52">
        <v>21.42</v>
      </c>
      <c r="N24" s="52">
        <v>455.5</v>
      </c>
      <c r="O24" s="52">
        <v>0</v>
      </c>
      <c r="P24" s="52">
        <v>0.56999999999999995</v>
      </c>
      <c r="Q24" s="52">
        <v>5.05</v>
      </c>
    </row>
    <row r="25" spans="1:17" customFormat="1">
      <c r="A25" s="53" t="s">
        <v>291</v>
      </c>
      <c r="B25" s="52">
        <v>5.4</v>
      </c>
      <c r="C25" s="52">
        <v>52.36</v>
      </c>
      <c r="D25" s="52">
        <v>30.45</v>
      </c>
      <c r="E25" s="52">
        <v>28</v>
      </c>
      <c r="F25" s="52">
        <v>52.96</v>
      </c>
      <c r="G25" s="52">
        <v>52.89</v>
      </c>
      <c r="H25" s="52">
        <v>28.37</v>
      </c>
      <c r="I25" s="52">
        <v>5.76</v>
      </c>
      <c r="J25" s="52">
        <v>0.71</v>
      </c>
      <c r="K25" s="52">
        <v>259.95999999999998</v>
      </c>
      <c r="L25" s="52">
        <v>41.17</v>
      </c>
      <c r="M25" s="52">
        <v>20.97</v>
      </c>
      <c r="N25" s="52">
        <v>413.1</v>
      </c>
      <c r="O25" s="52">
        <v>0</v>
      </c>
      <c r="P25" s="52">
        <v>0.62</v>
      </c>
      <c r="Q25" s="52">
        <v>5.24</v>
      </c>
    </row>
    <row r="26" spans="1:17" customFormat="1">
      <c r="A26" s="53" t="s">
        <v>292</v>
      </c>
      <c r="B26" s="52">
        <v>7.37</v>
      </c>
      <c r="C26" s="52">
        <v>55.69</v>
      </c>
      <c r="D26" s="52">
        <v>33.96</v>
      </c>
      <c r="E26" s="52">
        <v>24.76</v>
      </c>
      <c r="F26" s="52">
        <v>51.03</v>
      </c>
      <c r="G26" s="52">
        <v>52.18</v>
      </c>
      <c r="H26" s="52">
        <v>28.37</v>
      </c>
      <c r="I26" s="52">
        <v>6.14</v>
      </c>
      <c r="J26" s="52">
        <v>0.35</v>
      </c>
      <c r="K26" s="52">
        <v>293.42</v>
      </c>
      <c r="L26" s="52">
        <v>39.99</v>
      </c>
      <c r="M26" s="52">
        <v>21.26</v>
      </c>
      <c r="N26" s="52">
        <v>116.5</v>
      </c>
      <c r="O26" s="52">
        <v>0</v>
      </c>
      <c r="P26" s="52">
        <v>0.78</v>
      </c>
      <c r="Q26" s="52">
        <v>5.03</v>
      </c>
    </row>
    <row r="27" spans="1:17" customFormat="1">
      <c r="A27" s="53" t="s">
        <v>293</v>
      </c>
      <c r="B27" s="52">
        <v>4.79</v>
      </c>
      <c r="C27" s="52">
        <v>44.39</v>
      </c>
      <c r="D27" s="52">
        <v>25.99</v>
      </c>
      <c r="E27" s="52">
        <v>16.579999999999998</v>
      </c>
      <c r="F27" s="52">
        <v>47.78</v>
      </c>
      <c r="G27" s="52">
        <v>56.84</v>
      </c>
      <c r="H27" s="52">
        <v>25.46</v>
      </c>
      <c r="I27" s="52">
        <v>6.18</v>
      </c>
      <c r="J27" s="52">
        <v>0.26</v>
      </c>
      <c r="K27" s="52">
        <v>225.7</v>
      </c>
      <c r="L27" s="52">
        <v>38.31</v>
      </c>
      <c r="M27" s="52">
        <v>28.26</v>
      </c>
      <c r="N27" s="52">
        <v>13.2</v>
      </c>
      <c r="O27" s="52">
        <v>0</v>
      </c>
      <c r="P27" s="52">
        <v>0.7</v>
      </c>
      <c r="Q27" s="52">
        <v>5.0599999999999996</v>
      </c>
    </row>
    <row r="28" spans="1:17" customFormat="1">
      <c r="A28" s="53" t="s">
        <v>294</v>
      </c>
      <c r="B28" s="52">
        <v>18.55</v>
      </c>
      <c r="C28" s="52">
        <v>57.08</v>
      </c>
      <c r="D28" s="52">
        <v>43.65</v>
      </c>
      <c r="E28" s="52">
        <v>13.91</v>
      </c>
      <c r="F28" s="52">
        <v>38.4</v>
      </c>
      <c r="G28" s="52">
        <v>63.55</v>
      </c>
      <c r="H28" s="52">
        <v>26.85</v>
      </c>
      <c r="I28" s="52">
        <v>6.79</v>
      </c>
      <c r="J28" s="52">
        <v>0.27</v>
      </c>
      <c r="K28" s="52">
        <v>167.04</v>
      </c>
      <c r="L28" s="52">
        <v>35.979999999999997</v>
      </c>
      <c r="M28" s="52">
        <v>30.89</v>
      </c>
      <c r="N28" s="52">
        <v>0</v>
      </c>
      <c r="O28" s="52">
        <v>0</v>
      </c>
      <c r="P28" s="52">
        <v>1.1599999999999999</v>
      </c>
      <c r="Q28" s="52">
        <v>5.05</v>
      </c>
    </row>
    <row r="29" spans="1:17" customFormat="1">
      <c r="A29" s="53" t="s">
        <v>295</v>
      </c>
      <c r="B29" s="52">
        <v>22.34</v>
      </c>
      <c r="C29" s="52">
        <v>62.17</v>
      </c>
      <c r="D29" s="52">
        <v>49.35</v>
      </c>
      <c r="E29" s="52">
        <v>12.63</v>
      </c>
      <c r="F29" s="52">
        <v>19.38</v>
      </c>
      <c r="G29" s="52">
        <v>84.57</v>
      </c>
      <c r="H29" s="52">
        <v>33.119999999999997</v>
      </c>
      <c r="I29" s="52">
        <v>9.64</v>
      </c>
      <c r="J29" s="52">
        <v>0.6</v>
      </c>
      <c r="K29" s="52">
        <v>263.66000000000003</v>
      </c>
      <c r="L29" s="52">
        <v>34.65</v>
      </c>
      <c r="M29" s="52">
        <v>33.51</v>
      </c>
      <c r="N29" s="52">
        <v>0</v>
      </c>
      <c r="O29" s="52">
        <v>0</v>
      </c>
      <c r="P29" s="52">
        <v>1.1399999999999999</v>
      </c>
      <c r="Q29" s="52">
        <v>5.45</v>
      </c>
    </row>
    <row r="30" spans="1:17" customFormat="1">
      <c r="A30" s="53" t="s">
        <v>296</v>
      </c>
      <c r="B30" s="52">
        <v>9.92</v>
      </c>
      <c r="C30" s="52">
        <v>52.58</v>
      </c>
      <c r="D30" s="52">
        <v>34.32</v>
      </c>
      <c r="E30" s="52">
        <v>8.69</v>
      </c>
      <c r="F30" s="52">
        <v>26.04</v>
      </c>
      <c r="G30" s="52">
        <v>84.57</v>
      </c>
      <c r="H30" s="52">
        <v>33.119999999999997</v>
      </c>
      <c r="I30" s="52">
        <v>8.17</v>
      </c>
      <c r="J30" s="52">
        <v>0.92</v>
      </c>
      <c r="K30" s="52">
        <v>263.8</v>
      </c>
      <c r="L30" s="52">
        <v>35.03</v>
      </c>
      <c r="M30" s="52">
        <v>32.26</v>
      </c>
      <c r="N30" s="52">
        <v>0</v>
      </c>
      <c r="O30" s="52">
        <v>0</v>
      </c>
      <c r="P30" s="52">
        <v>0.74</v>
      </c>
      <c r="Q30" s="52">
        <v>5.47</v>
      </c>
    </row>
    <row r="31" spans="1:17" customFormat="1">
      <c r="A31" s="53" t="s">
        <v>297</v>
      </c>
      <c r="B31" s="52">
        <v>8.0299999999999994</v>
      </c>
      <c r="C31" s="52">
        <v>45.19</v>
      </c>
      <c r="D31" s="52">
        <v>28.52</v>
      </c>
      <c r="E31" s="52">
        <v>8.4600000000000009</v>
      </c>
      <c r="F31" s="52">
        <v>28.93</v>
      </c>
      <c r="G31" s="52">
        <v>80.7</v>
      </c>
      <c r="H31" s="52">
        <v>29.47</v>
      </c>
      <c r="I31" s="52">
        <v>6.29</v>
      </c>
      <c r="J31" s="52">
        <v>0.71</v>
      </c>
      <c r="K31" s="52">
        <v>255.05</v>
      </c>
      <c r="L31" s="52">
        <v>34.39</v>
      </c>
      <c r="M31" s="52">
        <v>37.119999999999997</v>
      </c>
      <c r="N31" s="52">
        <v>0</v>
      </c>
      <c r="O31" s="52">
        <v>0</v>
      </c>
      <c r="P31" s="52">
        <v>0.65</v>
      </c>
      <c r="Q31" s="52">
        <v>5.27</v>
      </c>
    </row>
    <row r="32" spans="1:17" customFormat="1">
      <c r="A32" s="53" t="s">
        <v>298</v>
      </c>
      <c r="B32" s="52">
        <v>8.5500000000000007</v>
      </c>
      <c r="C32" s="52">
        <v>53.62</v>
      </c>
      <c r="D32" s="52">
        <v>33.83</v>
      </c>
      <c r="E32" s="52">
        <v>8</v>
      </c>
      <c r="F32" s="52">
        <v>23.53</v>
      </c>
      <c r="G32" s="52">
        <v>65.680000000000007</v>
      </c>
      <c r="H32" s="52">
        <v>26.55</v>
      </c>
      <c r="I32" s="52">
        <v>5.42</v>
      </c>
      <c r="J32" s="52">
        <v>0.94</v>
      </c>
      <c r="K32" s="52">
        <v>262.24</v>
      </c>
      <c r="L32" s="52">
        <v>32.950000000000003</v>
      </c>
      <c r="M32" s="52">
        <v>38.35</v>
      </c>
      <c r="N32" s="52">
        <v>0</v>
      </c>
      <c r="O32" s="52">
        <v>0</v>
      </c>
      <c r="P32" s="52">
        <v>0.64</v>
      </c>
      <c r="Q32" s="52">
        <v>5.22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4.79</v>
      </c>
      <c r="C34" s="41">
        <f t="shared" si="0"/>
        <v>44.39</v>
      </c>
      <c r="D34" s="41">
        <f t="shared" si="0"/>
        <v>25.99</v>
      </c>
      <c r="E34" s="41">
        <f t="shared" si="0"/>
        <v>7.6</v>
      </c>
      <c r="F34" s="41">
        <f t="shared" si="0"/>
        <v>4.1399999999999997</v>
      </c>
      <c r="G34" s="41">
        <f t="shared" si="0"/>
        <v>52.18</v>
      </c>
      <c r="H34" s="41">
        <f t="shared" si="0"/>
        <v>25.46</v>
      </c>
      <c r="I34" s="41">
        <f t="shared" si="0"/>
        <v>5.42</v>
      </c>
      <c r="J34" s="41">
        <f t="shared" si="0"/>
        <v>0.23</v>
      </c>
      <c r="K34" s="41">
        <f t="shared" si="0"/>
        <v>167.04</v>
      </c>
      <c r="L34" s="41">
        <f t="shared" si="0"/>
        <v>31.39</v>
      </c>
      <c r="M34" s="41">
        <f t="shared" si="0"/>
        <v>20.059999999999999</v>
      </c>
      <c r="N34" s="41">
        <f t="shared" si="0"/>
        <v>0</v>
      </c>
      <c r="O34" s="41">
        <f t="shared" si="0"/>
        <v>0</v>
      </c>
      <c r="P34" s="41">
        <f t="shared" si="0"/>
        <v>0.56999999999999995</v>
      </c>
      <c r="Q34" s="41">
        <f t="shared" si="0"/>
        <v>4.95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43.55</v>
      </c>
      <c r="C35" s="33">
        <f t="shared" si="1"/>
        <v>62.17</v>
      </c>
      <c r="D35" s="33">
        <f t="shared" si="1"/>
        <v>66.27</v>
      </c>
      <c r="E35" s="33">
        <f t="shared" si="1"/>
        <v>38.909999999999997</v>
      </c>
      <c r="F35" s="33">
        <f t="shared" si="1"/>
        <v>52.96</v>
      </c>
      <c r="G35" s="33">
        <f t="shared" si="1"/>
        <v>85.96</v>
      </c>
      <c r="H35" s="33">
        <f t="shared" si="1"/>
        <v>35.340000000000003</v>
      </c>
      <c r="I35" s="33">
        <f t="shared" si="1"/>
        <v>12.45</v>
      </c>
      <c r="J35" s="33">
        <f t="shared" si="1"/>
        <v>2.0499999999999998</v>
      </c>
      <c r="K35" s="33">
        <f t="shared" si="1"/>
        <v>309.16000000000003</v>
      </c>
      <c r="L35" s="33">
        <f t="shared" si="1"/>
        <v>41.62</v>
      </c>
      <c r="M35" s="33">
        <f t="shared" si="1"/>
        <v>52.08</v>
      </c>
      <c r="N35" s="33">
        <f t="shared" si="1"/>
        <v>860.3</v>
      </c>
      <c r="O35" s="33">
        <f t="shared" si="1"/>
        <v>0</v>
      </c>
      <c r="P35" s="33">
        <f t="shared" si="1"/>
        <v>1.1599999999999999</v>
      </c>
      <c r="Q35" s="33">
        <f t="shared" si="1"/>
        <v>6.55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17.698333333333331</v>
      </c>
      <c r="C36" s="41">
        <f t="shared" si="2"/>
        <v>55.057916666666671</v>
      </c>
      <c r="D36" s="41">
        <f t="shared" si="2"/>
        <v>41.782916666666665</v>
      </c>
      <c r="E36" s="41">
        <f t="shared" si="2"/>
        <v>16.862916666666667</v>
      </c>
      <c r="F36" s="41">
        <f t="shared" si="2"/>
        <v>24.282916666666662</v>
      </c>
      <c r="G36" s="41">
        <f t="shared" si="2"/>
        <v>71.055000000000021</v>
      </c>
      <c r="H36" s="41">
        <f t="shared" si="2"/>
        <v>30.159166666666668</v>
      </c>
      <c r="I36" s="41">
        <f t="shared" si="2"/>
        <v>7.8608333333333311</v>
      </c>
      <c r="J36" s="41">
        <f t="shared" si="2"/>
        <v>0.69000000000000006</v>
      </c>
      <c r="K36" s="41">
        <f t="shared" si="2"/>
        <v>257.82625000000002</v>
      </c>
      <c r="L36" s="41">
        <f t="shared" si="2"/>
        <v>35.975416666666668</v>
      </c>
      <c r="M36" s="41">
        <f t="shared" si="2"/>
        <v>34.303749999999994</v>
      </c>
      <c r="N36" s="41">
        <f t="shared" si="2"/>
        <v>172.66249999999999</v>
      </c>
      <c r="O36" s="41">
        <f t="shared" si="2"/>
        <v>0</v>
      </c>
      <c r="P36" s="41">
        <f t="shared" si="2"/>
        <v>0.7733333333333331</v>
      </c>
      <c r="Q36" s="41">
        <f t="shared" si="2"/>
        <v>5.7062499999999998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11.798865334785626</v>
      </c>
      <c r="C37" s="41">
        <f t="shared" ref="C37:Q37" si="3">STDEV(C9:C32)</f>
        <v>5.0542207752459571</v>
      </c>
      <c r="D37" s="41">
        <f t="shared" si="3"/>
        <v>11.61149298686683</v>
      </c>
      <c r="E37" s="41">
        <f t="shared" si="3"/>
        <v>8.8342025447376535</v>
      </c>
      <c r="F37" s="41">
        <f t="shared" si="3"/>
        <v>14.235075320631724</v>
      </c>
      <c r="G37" s="41">
        <f t="shared" si="3"/>
        <v>12.109451572689132</v>
      </c>
      <c r="H37" s="41">
        <f t="shared" si="3"/>
        <v>3.1665574733270887</v>
      </c>
      <c r="I37" s="41">
        <f t="shared" si="3"/>
        <v>1.8623545561341555</v>
      </c>
      <c r="J37" s="41">
        <f t="shared" si="3"/>
        <v>0.49320601569024231</v>
      </c>
      <c r="K37" s="41">
        <f t="shared" si="3"/>
        <v>37.308205626446735</v>
      </c>
      <c r="L37" s="41">
        <f t="shared" si="3"/>
        <v>3.6594380409240532</v>
      </c>
      <c r="M37" s="41">
        <f t="shared" si="3"/>
        <v>10.058973848822999</v>
      </c>
      <c r="N37" s="41">
        <f t="shared" si="3"/>
        <v>256.94915553978518</v>
      </c>
      <c r="O37" s="41">
        <f t="shared" si="3"/>
        <v>0</v>
      </c>
      <c r="P37" s="41">
        <f t="shared" si="3"/>
        <v>0.1593646806832541</v>
      </c>
      <c r="Q37" s="41">
        <f t="shared" si="3"/>
        <v>0.59631340242614317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11/06/2023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299</v>
      </c>
      <c r="B9" s="52">
        <v>8.43</v>
      </c>
      <c r="C9" s="52">
        <v>54.6</v>
      </c>
      <c r="D9" s="52">
        <v>34.24</v>
      </c>
      <c r="E9" s="52">
        <v>7.7</v>
      </c>
      <c r="F9" s="52">
        <v>18.78</v>
      </c>
      <c r="G9" s="52">
        <v>52.98</v>
      </c>
      <c r="H9" s="52">
        <v>23.56</v>
      </c>
      <c r="I9" s="52">
        <v>5.73</v>
      </c>
      <c r="J9" s="52">
        <v>0.82</v>
      </c>
      <c r="K9" s="52">
        <v>263.11</v>
      </c>
      <c r="L9" s="52">
        <v>32.43</v>
      </c>
      <c r="M9" s="52">
        <v>40.35</v>
      </c>
      <c r="N9" s="52">
        <v>0</v>
      </c>
      <c r="O9" s="52">
        <v>0</v>
      </c>
      <c r="P9" s="52">
        <v>0.61</v>
      </c>
      <c r="Q9" s="52">
        <v>5.13</v>
      </c>
    </row>
    <row r="10" spans="1:21" customFormat="1">
      <c r="A10" s="53" t="s">
        <v>300</v>
      </c>
      <c r="B10" s="52">
        <v>8.0299999999999994</v>
      </c>
      <c r="C10" s="52">
        <v>51.89</v>
      </c>
      <c r="D10" s="52">
        <v>32.340000000000003</v>
      </c>
      <c r="E10" s="52">
        <v>7.98</v>
      </c>
      <c r="F10" s="52">
        <v>19.86</v>
      </c>
      <c r="G10" s="52">
        <v>40.74</v>
      </c>
      <c r="H10" s="52">
        <v>19.579999999999998</v>
      </c>
      <c r="I10" s="52">
        <v>5.53</v>
      </c>
      <c r="J10" s="52">
        <v>0.66</v>
      </c>
      <c r="K10" s="52">
        <v>258.22000000000003</v>
      </c>
      <c r="L10" s="52">
        <v>31.61</v>
      </c>
      <c r="M10" s="52">
        <v>42.92</v>
      </c>
      <c r="N10" s="52">
        <v>0</v>
      </c>
      <c r="O10" s="52">
        <v>0</v>
      </c>
      <c r="P10" s="52">
        <v>0.57999999999999996</v>
      </c>
      <c r="Q10" s="52">
        <v>5.12</v>
      </c>
    </row>
    <row r="11" spans="1:21" customFormat="1">
      <c r="A11" s="53" t="s">
        <v>301</v>
      </c>
      <c r="B11" s="52">
        <v>8.0500000000000007</v>
      </c>
      <c r="C11" s="52">
        <v>51.49</v>
      </c>
      <c r="D11" s="52">
        <v>32.31</v>
      </c>
      <c r="E11" s="52">
        <v>6.23</v>
      </c>
      <c r="F11" s="52">
        <v>21.84</v>
      </c>
      <c r="G11" s="52">
        <v>28.87</v>
      </c>
      <c r="H11" s="52">
        <v>17.190000000000001</v>
      </c>
      <c r="I11" s="52">
        <v>4.9400000000000004</v>
      </c>
      <c r="J11" s="52">
        <v>0.46</v>
      </c>
      <c r="K11" s="52">
        <v>256.45</v>
      </c>
      <c r="L11" s="52">
        <v>30.89</v>
      </c>
      <c r="M11" s="52">
        <v>44.89</v>
      </c>
      <c r="N11" s="52">
        <v>0</v>
      </c>
      <c r="O11" s="52">
        <v>0</v>
      </c>
      <c r="P11" s="52">
        <v>0.53</v>
      </c>
      <c r="Q11" s="52">
        <v>5.12</v>
      </c>
    </row>
    <row r="12" spans="1:21" customFormat="1">
      <c r="A12" s="53" t="s">
        <v>302</v>
      </c>
      <c r="B12" s="52">
        <v>9.27</v>
      </c>
      <c r="C12" s="52">
        <v>55.58</v>
      </c>
      <c r="D12" s="52">
        <v>35.43</v>
      </c>
      <c r="E12" s="52">
        <v>7.9</v>
      </c>
      <c r="F12" s="52">
        <v>10.97</v>
      </c>
      <c r="G12" s="52">
        <v>24.42</v>
      </c>
      <c r="H12" s="52">
        <v>14.5</v>
      </c>
      <c r="I12" s="52">
        <v>4.97</v>
      </c>
      <c r="J12" s="52">
        <v>1.01</v>
      </c>
      <c r="K12" s="52">
        <v>266.38</v>
      </c>
      <c r="L12" s="52">
        <v>30.73</v>
      </c>
      <c r="M12" s="52">
        <v>44.33</v>
      </c>
      <c r="N12" s="52">
        <v>0</v>
      </c>
      <c r="O12" s="52">
        <v>0</v>
      </c>
      <c r="P12" s="52">
        <v>0.55000000000000004</v>
      </c>
      <c r="Q12" s="52">
        <v>5.12</v>
      </c>
    </row>
    <row r="13" spans="1:21" customFormat="1">
      <c r="A13" s="53" t="s">
        <v>303</v>
      </c>
      <c r="B13" s="52">
        <v>9.99</v>
      </c>
      <c r="C13" s="52">
        <v>57.54</v>
      </c>
      <c r="D13" s="52">
        <v>36.909999999999997</v>
      </c>
      <c r="E13" s="52">
        <v>8.51</v>
      </c>
      <c r="F13" s="52">
        <v>8.0500000000000007</v>
      </c>
      <c r="G13" s="52">
        <v>24.42</v>
      </c>
      <c r="H13" s="52">
        <v>15.03</v>
      </c>
      <c r="I13" s="52">
        <v>4.91</v>
      </c>
      <c r="J13" s="52">
        <v>1.04</v>
      </c>
      <c r="K13" s="52">
        <v>271.52999999999997</v>
      </c>
      <c r="L13" s="52">
        <v>30.64</v>
      </c>
      <c r="M13" s="52">
        <v>45.33</v>
      </c>
      <c r="N13" s="52">
        <v>0</v>
      </c>
      <c r="O13" s="52">
        <v>0</v>
      </c>
      <c r="P13" s="52">
        <v>0.53</v>
      </c>
      <c r="Q13" s="52">
        <v>5.14</v>
      </c>
    </row>
    <row r="14" spans="1:21" customFormat="1">
      <c r="A14" s="53" t="s">
        <v>304</v>
      </c>
      <c r="B14" s="52">
        <v>10.07</v>
      </c>
      <c r="C14" s="52">
        <v>55.14</v>
      </c>
      <c r="D14" s="52">
        <v>35.83</v>
      </c>
      <c r="E14" s="52">
        <v>6.67</v>
      </c>
      <c r="F14" s="52">
        <v>9.77</v>
      </c>
      <c r="G14" s="52">
        <v>21.06</v>
      </c>
      <c r="H14" s="52">
        <v>15.03</v>
      </c>
      <c r="I14" s="52">
        <v>4.87</v>
      </c>
      <c r="J14" s="52">
        <v>0.75</v>
      </c>
      <c r="K14" s="52">
        <v>260.64999999999998</v>
      </c>
      <c r="L14" s="52">
        <v>29.91</v>
      </c>
      <c r="M14" s="52">
        <v>46.72</v>
      </c>
      <c r="N14" s="52">
        <v>25.9</v>
      </c>
      <c r="O14" s="52">
        <v>0</v>
      </c>
      <c r="P14" s="52">
        <v>0.5</v>
      </c>
      <c r="Q14" s="52">
        <v>5.14</v>
      </c>
    </row>
    <row r="15" spans="1:21" customFormat="1">
      <c r="A15" s="53" t="s">
        <v>305</v>
      </c>
      <c r="B15" s="52">
        <v>10.58</v>
      </c>
      <c r="C15" s="52">
        <v>57.5</v>
      </c>
      <c r="D15" s="52">
        <v>37.479999999999997</v>
      </c>
      <c r="E15" s="52">
        <v>5.92</v>
      </c>
      <c r="F15" s="52">
        <v>7.34</v>
      </c>
      <c r="G15" s="52">
        <v>20.45</v>
      </c>
      <c r="H15" s="52">
        <v>10.88</v>
      </c>
      <c r="I15" s="52">
        <v>4.63</v>
      </c>
      <c r="J15" s="52">
        <v>1.1000000000000001</v>
      </c>
      <c r="K15" s="52">
        <v>265.02999999999997</v>
      </c>
      <c r="L15" s="52">
        <v>30.54</v>
      </c>
      <c r="M15" s="52">
        <v>46.84</v>
      </c>
      <c r="N15" s="52">
        <v>71.900000000000006</v>
      </c>
      <c r="O15" s="52">
        <v>0</v>
      </c>
      <c r="P15" s="52">
        <v>0.5</v>
      </c>
      <c r="Q15" s="52">
        <v>5.16</v>
      </c>
    </row>
    <row r="16" spans="1:21" customFormat="1">
      <c r="A16" s="53" t="s">
        <v>306</v>
      </c>
      <c r="B16" s="52">
        <v>10.65</v>
      </c>
      <c r="C16" s="52">
        <v>55.47</v>
      </c>
      <c r="D16" s="52">
        <v>36.47</v>
      </c>
      <c r="E16" s="52">
        <v>7.82</v>
      </c>
      <c r="F16" s="52">
        <v>7.56</v>
      </c>
      <c r="G16" s="52">
        <v>23.21</v>
      </c>
      <c r="H16" s="52">
        <v>12.4</v>
      </c>
      <c r="I16" s="52">
        <v>4.53</v>
      </c>
      <c r="J16" s="52">
        <v>1.51</v>
      </c>
      <c r="K16" s="52">
        <v>268.22000000000003</v>
      </c>
      <c r="L16" s="52">
        <v>32.909999999999997</v>
      </c>
      <c r="M16" s="52">
        <v>46.44</v>
      </c>
      <c r="N16" s="52">
        <v>116.4</v>
      </c>
      <c r="O16" s="52">
        <v>0</v>
      </c>
      <c r="P16" s="52">
        <v>0.52</v>
      </c>
      <c r="Q16" s="52">
        <v>5.13</v>
      </c>
    </row>
    <row r="17" spans="1:17" customFormat="1">
      <c r="A17" s="53" t="s">
        <v>307</v>
      </c>
      <c r="B17" s="52">
        <v>10.39</v>
      </c>
      <c r="C17" s="52">
        <v>54.46</v>
      </c>
      <c r="D17" s="52">
        <v>35.549999999999997</v>
      </c>
      <c r="E17" s="52">
        <v>8</v>
      </c>
      <c r="F17" s="52">
        <v>10.210000000000001</v>
      </c>
      <c r="G17" s="52">
        <v>27.83</v>
      </c>
      <c r="H17" s="52">
        <v>13.14</v>
      </c>
      <c r="I17" s="52">
        <v>4.92</v>
      </c>
      <c r="J17" s="52">
        <v>1.68</v>
      </c>
      <c r="K17" s="52">
        <v>291.32</v>
      </c>
      <c r="L17" s="52">
        <v>35.14</v>
      </c>
      <c r="M17" s="52">
        <v>40.590000000000003</v>
      </c>
      <c r="N17" s="52">
        <v>143.1</v>
      </c>
      <c r="O17" s="52">
        <v>0</v>
      </c>
      <c r="P17" s="52">
        <v>0.56000000000000005</v>
      </c>
      <c r="Q17" s="52">
        <v>5.16</v>
      </c>
    </row>
    <row r="18" spans="1:17" customFormat="1">
      <c r="A18" s="53" t="s">
        <v>308</v>
      </c>
      <c r="B18" s="52">
        <v>9.42</v>
      </c>
      <c r="C18" s="52">
        <v>49.12</v>
      </c>
      <c r="D18" s="52">
        <v>32.17</v>
      </c>
      <c r="E18" s="52">
        <v>6.46</v>
      </c>
      <c r="F18" s="52">
        <v>14.82</v>
      </c>
      <c r="G18" s="52">
        <v>35.090000000000003</v>
      </c>
      <c r="H18" s="52">
        <v>13.89</v>
      </c>
      <c r="I18" s="52">
        <v>4.8600000000000003</v>
      </c>
      <c r="J18" s="52">
        <v>1.6</v>
      </c>
      <c r="K18" s="52">
        <v>293</v>
      </c>
      <c r="L18" s="52">
        <v>36.78</v>
      </c>
      <c r="M18" s="52">
        <v>32.99</v>
      </c>
      <c r="N18" s="52">
        <v>186.4</v>
      </c>
      <c r="O18" s="52">
        <v>0</v>
      </c>
      <c r="P18" s="52">
        <v>0.54</v>
      </c>
      <c r="Q18" s="52">
        <v>4.95</v>
      </c>
    </row>
    <row r="19" spans="1:17" customFormat="1">
      <c r="A19" s="53" t="s">
        <v>309</v>
      </c>
      <c r="B19" s="52">
        <v>7.42</v>
      </c>
      <c r="C19" s="52">
        <v>43.68</v>
      </c>
      <c r="D19" s="52">
        <v>27.67</v>
      </c>
      <c r="E19" s="52">
        <v>8.08</v>
      </c>
      <c r="F19" s="52">
        <v>21.86</v>
      </c>
      <c r="G19" s="52">
        <v>37.659999999999997</v>
      </c>
      <c r="H19" s="52">
        <v>18.899999999999999</v>
      </c>
      <c r="I19" s="52">
        <v>4.8600000000000003</v>
      </c>
      <c r="J19" s="52">
        <v>1.37</v>
      </c>
      <c r="K19" s="52">
        <v>309.77999999999997</v>
      </c>
      <c r="L19" s="52">
        <v>39.42</v>
      </c>
      <c r="M19" s="52">
        <v>30</v>
      </c>
      <c r="N19" s="52">
        <v>202.2</v>
      </c>
      <c r="O19" s="52">
        <v>0</v>
      </c>
      <c r="P19" s="52">
        <v>0.55000000000000004</v>
      </c>
      <c r="Q19" s="52">
        <v>4.79</v>
      </c>
    </row>
    <row r="20" spans="1:17" customFormat="1">
      <c r="A20" s="53" t="s">
        <v>310</v>
      </c>
      <c r="B20" s="52">
        <v>6.82</v>
      </c>
      <c r="C20" s="52">
        <v>47.12</v>
      </c>
      <c r="D20" s="52">
        <v>29.04</v>
      </c>
      <c r="E20" s="52">
        <v>7.04</v>
      </c>
      <c r="F20" s="52">
        <v>28.77</v>
      </c>
      <c r="G20" s="52">
        <v>41.88</v>
      </c>
      <c r="H20" s="52">
        <v>18.899999999999999</v>
      </c>
      <c r="I20" s="52">
        <v>4.8499999999999996</v>
      </c>
      <c r="J20" s="52">
        <v>1.51</v>
      </c>
      <c r="K20" s="52">
        <v>348.26</v>
      </c>
      <c r="L20" s="52">
        <v>41.11</v>
      </c>
      <c r="M20" s="52">
        <v>21.18</v>
      </c>
      <c r="N20" s="52">
        <v>672.2</v>
      </c>
      <c r="O20" s="52">
        <v>0</v>
      </c>
      <c r="P20" s="52">
        <v>0.55000000000000004</v>
      </c>
      <c r="Q20" s="52">
        <v>4.97</v>
      </c>
    </row>
    <row r="21" spans="1:17" customFormat="1">
      <c r="A21" s="53" t="s">
        <v>311</v>
      </c>
      <c r="B21" s="52">
        <v>6.39</v>
      </c>
      <c r="C21" s="52">
        <v>44.91</v>
      </c>
      <c r="D21" s="52">
        <v>27.44</v>
      </c>
      <c r="E21" s="52">
        <v>11.34</v>
      </c>
      <c r="F21" s="52">
        <v>33.909999999999997</v>
      </c>
      <c r="G21" s="52">
        <v>46.74</v>
      </c>
      <c r="H21" s="52">
        <v>18.87</v>
      </c>
      <c r="I21" s="52">
        <v>4.6399999999999997</v>
      </c>
      <c r="J21" s="52">
        <v>1.7</v>
      </c>
      <c r="K21" s="52">
        <v>353.79</v>
      </c>
      <c r="L21" s="52">
        <v>41.82</v>
      </c>
      <c r="M21" s="52">
        <v>19.79</v>
      </c>
      <c r="N21" s="52">
        <v>777.9</v>
      </c>
      <c r="O21" s="52">
        <v>0</v>
      </c>
      <c r="P21" s="52">
        <v>0.53</v>
      </c>
      <c r="Q21" s="52">
        <v>4.93</v>
      </c>
    </row>
    <row r="22" spans="1:17" customFormat="1">
      <c r="A22" s="53" t="s">
        <v>312</v>
      </c>
      <c r="B22" s="52">
        <v>7.39</v>
      </c>
      <c r="C22" s="52">
        <v>44.19</v>
      </c>
      <c r="D22" s="52">
        <v>27.01</v>
      </c>
      <c r="E22" s="52">
        <v>9.2799999999999994</v>
      </c>
      <c r="F22" s="52">
        <v>29.36</v>
      </c>
      <c r="G22" s="52">
        <v>53.16</v>
      </c>
      <c r="H22" s="52">
        <v>21.56</v>
      </c>
      <c r="I22" s="52">
        <v>4.5199999999999996</v>
      </c>
      <c r="J22" s="52">
        <v>1.57</v>
      </c>
      <c r="K22" s="52">
        <v>353.72</v>
      </c>
      <c r="L22" s="52">
        <v>40.96</v>
      </c>
      <c r="M22" s="52">
        <v>20.09</v>
      </c>
      <c r="N22" s="52">
        <v>446.8</v>
      </c>
      <c r="O22" s="52">
        <v>0</v>
      </c>
      <c r="P22" s="52">
        <v>0.51</v>
      </c>
      <c r="Q22" s="52">
        <v>4.96</v>
      </c>
    </row>
    <row r="23" spans="1:17" customFormat="1">
      <c r="A23" s="53" t="s">
        <v>313</v>
      </c>
      <c r="B23" s="52">
        <v>7.1</v>
      </c>
      <c r="C23" s="52">
        <v>42.61</v>
      </c>
      <c r="D23" s="52">
        <v>26.8</v>
      </c>
      <c r="E23" s="52">
        <v>14.84</v>
      </c>
      <c r="F23" s="52">
        <v>31.23</v>
      </c>
      <c r="G23" s="52">
        <v>53.16</v>
      </c>
      <c r="H23" s="52">
        <v>21.56</v>
      </c>
      <c r="I23" s="52">
        <v>4.3</v>
      </c>
      <c r="J23" s="52">
        <v>1.28</v>
      </c>
      <c r="K23" s="52">
        <v>321.26</v>
      </c>
      <c r="L23" s="52">
        <v>42.08</v>
      </c>
      <c r="M23" s="52">
        <v>19.04</v>
      </c>
      <c r="N23" s="52">
        <v>629.79999999999995</v>
      </c>
      <c r="O23" s="52">
        <v>0</v>
      </c>
      <c r="P23" s="52">
        <v>0.48</v>
      </c>
      <c r="Q23" s="52">
        <v>4.96</v>
      </c>
    </row>
    <row r="24" spans="1:17" customFormat="1">
      <c r="A24" s="53" t="s">
        <v>314</v>
      </c>
      <c r="B24" s="52">
        <v>7.33</v>
      </c>
      <c r="C24" s="52">
        <v>46.25</v>
      </c>
      <c r="D24" s="52">
        <v>28.72</v>
      </c>
      <c r="E24" s="52">
        <v>11.73</v>
      </c>
      <c r="F24" s="52">
        <v>25.67</v>
      </c>
      <c r="G24" s="52">
        <v>52.81</v>
      </c>
      <c r="H24" s="52">
        <v>20.11</v>
      </c>
      <c r="I24" s="52">
        <v>4.49</v>
      </c>
      <c r="J24" s="52">
        <v>1.46</v>
      </c>
      <c r="K24" s="52">
        <v>347.89</v>
      </c>
      <c r="L24" s="52">
        <v>42.34</v>
      </c>
      <c r="M24" s="52">
        <v>16.2</v>
      </c>
      <c r="N24" s="52">
        <v>591.5</v>
      </c>
      <c r="O24" s="52">
        <v>0</v>
      </c>
      <c r="P24" s="52">
        <v>0.48</v>
      </c>
      <c r="Q24" s="52">
        <v>5.01</v>
      </c>
    </row>
    <row r="25" spans="1:17" customFormat="1">
      <c r="A25" s="53" t="s">
        <v>315</v>
      </c>
      <c r="B25" s="52">
        <v>7.96</v>
      </c>
      <c r="C25" s="52">
        <v>57.36</v>
      </c>
      <c r="D25" s="52">
        <v>34.65</v>
      </c>
      <c r="E25" s="52">
        <v>15.47</v>
      </c>
      <c r="F25" s="52">
        <v>34.659999999999997</v>
      </c>
      <c r="G25" s="52">
        <v>53.65</v>
      </c>
      <c r="H25" s="52">
        <v>21.65</v>
      </c>
      <c r="I25" s="52">
        <v>4.24</v>
      </c>
      <c r="J25" s="52">
        <v>0.75</v>
      </c>
      <c r="K25" s="52">
        <v>343.47</v>
      </c>
      <c r="L25" s="52">
        <v>42.42</v>
      </c>
      <c r="M25" s="52">
        <v>16.75</v>
      </c>
      <c r="N25" s="52">
        <v>383.3</v>
      </c>
      <c r="O25" s="52">
        <v>0</v>
      </c>
      <c r="P25" s="52">
        <v>0.49</v>
      </c>
      <c r="Q25" s="52">
        <v>5.4</v>
      </c>
    </row>
    <row r="26" spans="1:17" customFormat="1">
      <c r="A26" s="53" t="s">
        <v>316</v>
      </c>
      <c r="B26" s="52">
        <v>8.82</v>
      </c>
      <c r="C26" s="52">
        <v>47.02</v>
      </c>
      <c r="D26" s="52">
        <v>30.59</v>
      </c>
      <c r="E26" s="52">
        <v>16.670000000000002</v>
      </c>
      <c r="F26" s="52">
        <v>40.81</v>
      </c>
      <c r="G26" s="52">
        <v>54.39</v>
      </c>
      <c r="H26" s="52">
        <v>21.67</v>
      </c>
      <c r="I26" s="52">
        <v>3.69</v>
      </c>
      <c r="J26" s="52">
        <v>0.44</v>
      </c>
      <c r="K26" s="52">
        <v>320.10000000000002</v>
      </c>
      <c r="L26" s="52">
        <v>40.65</v>
      </c>
      <c r="M26" s="52">
        <v>20.65</v>
      </c>
      <c r="N26" s="52">
        <v>93.2</v>
      </c>
      <c r="O26" s="52">
        <v>0</v>
      </c>
      <c r="P26" s="52">
        <v>0.55000000000000004</v>
      </c>
      <c r="Q26" s="52">
        <v>5.27</v>
      </c>
    </row>
    <row r="27" spans="1:17" customFormat="1">
      <c r="A27" s="53" t="s">
        <v>317</v>
      </c>
      <c r="B27" s="52">
        <v>6.14</v>
      </c>
      <c r="C27" s="52">
        <v>39.29</v>
      </c>
      <c r="D27" s="52">
        <v>24.4</v>
      </c>
      <c r="E27" s="52">
        <v>11.51</v>
      </c>
      <c r="F27" s="52">
        <v>45.39</v>
      </c>
      <c r="G27" s="52">
        <v>56.39</v>
      </c>
      <c r="H27" s="52">
        <v>21.86</v>
      </c>
      <c r="I27" s="52">
        <v>3.32</v>
      </c>
      <c r="J27" s="52">
        <v>0.23</v>
      </c>
      <c r="K27" s="52">
        <v>236.54</v>
      </c>
      <c r="L27" s="52">
        <v>38.79</v>
      </c>
      <c r="M27" s="52">
        <v>27.07</v>
      </c>
      <c r="N27" s="52">
        <v>12.6</v>
      </c>
      <c r="O27" s="52">
        <v>0</v>
      </c>
      <c r="P27" s="52">
        <v>0.56999999999999995</v>
      </c>
      <c r="Q27" s="52">
        <v>5.15</v>
      </c>
    </row>
    <row r="28" spans="1:17" customFormat="1">
      <c r="A28" s="53" t="s">
        <v>318</v>
      </c>
      <c r="B28" s="52">
        <v>6.6</v>
      </c>
      <c r="C28" s="52">
        <v>42.56</v>
      </c>
      <c r="D28" s="52">
        <v>26.49</v>
      </c>
      <c r="E28" s="52">
        <v>8.7799999999999994</v>
      </c>
      <c r="F28" s="52">
        <v>32.950000000000003</v>
      </c>
      <c r="G28" s="52">
        <v>56.39</v>
      </c>
      <c r="H28" s="52">
        <v>24.23</v>
      </c>
      <c r="I28" s="52">
        <v>4.2</v>
      </c>
      <c r="J28" s="52">
        <v>0.83</v>
      </c>
      <c r="K28" s="52">
        <v>264.63</v>
      </c>
      <c r="L28" s="52">
        <v>36.75</v>
      </c>
      <c r="M28" s="52">
        <v>27.08</v>
      </c>
      <c r="N28" s="52">
        <v>0</v>
      </c>
      <c r="O28" s="52">
        <v>0</v>
      </c>
      <c r="P28" s="52">
        <v>0.56000000000000005</v>
      </c>
      <c r="Q28" s="52">
        <v>5</v>
      </c>
    </row>
    <row r="29" spans="1:17" customFormat="1">
      <c r="A29" s="53" t="s">
        <v>319</v>
      </c>
      <c r="B29" s="52">
        <v>7.78</v>
      </c>
      <c r="C29" s="52">
        <v>54.02</v>
      </c>
      <c r="D29" s="52">
        <v>33.42</v>
      </c>
      <c r="E29" s="52">
        <v>13.71</v>
      </c>
      <c r="F29" s="52">
        <v>19.079999999999998</v>
      </c>
      <c r="G29" s="52">
        <v>55.5</v>
      </c>
      <c r="H29" s="52">
        <v>24.23</v>
      </c>
      <c r="I29" s="52">
        <v>5.36</v>
      </c>
      <c r="J29" s="52">
        <v>1.1499999999999999</v>
      </c>
      <c r="K29" s="52">
        <v>289.72000000000003</v>
      </c>
      <c r="L29" s="52">
        <v>36.33</v>
      </c>
      <c r="M29" s="52">
        <v>29.17</v>
      </c>
      <c r="N29" s="52">
        <v>0</v>
      </c>
      <c r="O29" s="52">
        <v>0</v>
      </c>
      <c r="P29" s="52">
        <v>0.69</v>
      </c>
      <c r="Q29" s="52">
        <v>5.07</v>
      </c>
    </row>
    <row r="30" spans="1:17" customFormat="1">
      <c r="A30" s="53" t="s">
        <v>320</v>
      </c>
      <c r="B30" s="52">
        <v>9.52</v>
      </c>
      <c r="C30" s="52">
        <v>57.43</v>
      </c>
      <c r="D30" s="52">
        <v>35.61</v>
      </c>
      <c r="E30" s="52">
        <v>9.2200000000000006</v>
      </c>
      <c r="F30" s="52">
        <v>16.87</v>
      </c>
      <c r="G30" s="52">
        <v>53.38</v>
      </c>
      <c r="H30" s="52">
        <v>21.29</v>
      </c>
      <c r="I30" s="52">
        <v>5.01</v>
      </c>
      <c r="J30" s="52">
        <v>1.1399999999999999</v>
      </c>
      <c r="K30" s="52">
        <v>301.5</v>
      </c>
      <c r="L30" s="52">
        <v>35.96</v>
      </c>
      <c r="M30" s="52">
        <v>28.68</v>
      </c>
      <c r="N30" s="52">
        <v>0</v>
      </c>
      <c r="O30" s="52">
        <v>0</v>
      </c>
      <c r="P30" s="52">
        <v>0.64</v>
      </c>
      <c r="Q30" s="52">
        <v>5.22</v>
      </c>
    </row>
    <row r="31" spans="1:17" customFormat="1">
      <c r="A31" s="53" t="s">
        <v>321</v>
      </c>
      <c r="B31" s="52">
        <v>19.71</v>
      </c>
      <c r="C31" s="52">
        <v>60.57</v>
      </c>
      <c r="D31" s="52">
        <v>46.41</v>
      </c>
      <c r="E31" s="52">
        <v>9.77</v>
      </c>
      <c r="F31" s="52">
        <v>15.95</v>
      </c>
      <c r="G31" s="52">
        <v>53.03</v>
      </c>
      <c r="H31" s="52">
        <v>19.989999999999998</v>
      </c>
      <c r="I31" s="52">
        <v>4.87</v>
      </c>
      <c r="J31" s="52">
        <v>0.72</v>
      </c>
      <c r="K31" s="52">
        <v>315.83999999999997</v>
      </c>
      <c r="L31" s="52">
        <v>35.799999999999997</v>
      </c>
      <c r="M31" s="52">
        <v>32.32</v>
      </c>
      <c r="N31" s="52">
        <v>0</v>
      </c>
      <c r="O31" s="52">
        <v>0</v>
      </c>
      <c r="P31" s="52">
        <v>0.65</v>
      </c>
      <c r="Q31" s="52">
        <v>5.42</v>
      </c>
    </row>
    <row r="32" spans="1:17" customFormat="1">
      <c r="A32" s="53" t="s">
        <v>322</v>
      </c>
      <c r="B32" s="52">
        <v>11.72</v>
      </c>
      <c r="C32" s="52">
        <v>51.58</v>
      </c>
      <c r="D32" s="52">
        <v>34.94</v>
      </c>
      <c r="E32" s="52">
        <v>15.18</v>
      </c>
      <c r="F32" s="52">
        <v>20.79</v>
      </c>
      <c r="G32" s="52">
        <v>48.96</v>
      </c>
      <c r="H32" s="52">
        <v>19.28</v>
      </c>
      <c r="I32" s="52">
        <v>5.78</v>
      </c>
      <c r="J32" s="52">
        <v>0.73</v>
      </c>
      <c r="K32" s="52">
        <v>263.64</v>
      </c>
      <c r="L32" s="52">
        <v>33.450000000000003</v>
      </c>
      <c r="M32" s="52">
        <v>35.17</v>
      </c>
      <c r="N32" s="52">
        <v>0</v>
      </c>
      <c r="O32" s="52">
        <v>0</v>
      </c>
      <c r="P32" s="52">
        <v>0.84</v>
      </c>
      <c r="Q32" s="52">
        <v>5.52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6.14</v>
      </c>
      <c r="C34" s="41">
        <f t="shared" si="0"/>
        <v>39.29</v>
      </c>
      <c r="D34" s="41">
        <f t="shared" si="0"/>
        <v>24.4</v>
      </c>
      <c r="E34" s="41">
        <f t="shared" si="0"/>
        <v>5.92</v>
      </c>
      <c r="F34" s="41">
        <f t="shared" si="0"/>
        <v>7.34</v>
      </c>
      <c r="G34" s="41">
        <f t="shared" si="0"/>
        <v>20.45</v>
      </c>
      <c r="H34" s="41">
        <f t="shared" si="0"/>
        <v>10.88</v>
      </c>
      <c r="I34" s="41">
        <f t="shared" si="0"/>
        <v>3.32</v>
      </c>
      <c r="J34" s="41">
        <f t="shared" si="0"/>
        <v>0.23</v>
      </c>
      <c r="K34" s="41">
        <f t="shared" si="0"/>
        <v>236.54</v>
      </c>
      <c r="L34" s="41">
        <f t="shared" si="0"/>
        <v>29.91</v>
      </c>
      <c r="M34" s="41">
        <f t="shared" si="0"/>
        <v>16.2</v>
      </c>
      <c r="N34" s="41">
        <f t="shared" si="0"/>
        <v>0</v>
      </c>
      <c r="O34" s="41">
        <f t="shared" si="0"/>
        <v>0</v>
      </c>
      <c r="P34" s="41">
        <f t="shared" si="0"/>
        <v>0.48</v>
      </c>
      <c r="Q34" s="41">
        <f t="shared" si="0"/>
        <v>4.79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19.71</v>
      </c>
      <c r="C35" s="33">
        <f t="shared" si="1"/>
        <v>60.57</v>
      </c>
      <c r="D35" s="33">
        <f t="shared" si="1"/>
        <v>46.41</v>
      </c>
      <c r="E35" s="33">
        <f t="shared" si="1"/>
        <v>16.670000000000002</v>
      </c>
      <c r="F35" s="33">
        <f t="shared" si="1"/>
        <v>45.39</v>
      </c>
      <c r="G35" s="33">
        <f t="shared" si="1"/>
        <v>56.39</v>
      </c>
      <c r="H35" s="33">
        <f t="shared" si="1"/>
        <v>24.23</v>
      </c>
      <c r="I35" s="33">
        <f t="shared" si="1"/>
        <v>5.78</v>
      </c>
      <c r="J35" s="33">
        <f t="shared" si="1"/>
        <v>1.7</v>
      </c>
      <c r="K35" s="33">
        <f t="shared" si="1"/>
        <v>353.79</v>
      </c>
      <c r="L35" s="33">
        <f t="shared" si="1"/>
        <v>42.42</v>
      </c>
      <c r="M35" s="33">
        <f t="shared" si="1"/>
        <v>46.84</v>
      </c>
      <c r="N35" s="33">
        <f t="shared" si="1"/>
        <v>777.9</v>
      </c>
      <c r="O35" s="33">
        <f t="shared" si="1"/>
        <v>0</v>
      </c>
      <c r="P35" s="33">
        <f t="shared" si="1"/>
        <v>0.84</v>
      </c>
      <c r="Q35" s="33">
        <f t="shared" si="1"/>
        <v>5.52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8.9824999999999999</v>
      </c>
      <c r="C36" s="41">
        <f t="shared" si="2"/>
        <v>50.890833333333319</v>
      </c>
      <c r="D36" s="41">
        <f t="shared" si="2"/>
        <v>32.580000000000005</v>
      </c>
      <c r="E36" s="41">
        <f t="shared" si="2"/>
        <v>9.8254166666666674</v>
      </c>
      <c r="F36" s="41">
        <f t="shared" si="2"/>
        <v>21.9375</v>
      </c>
      <c r="G36" s="41">
        <f t="shared" si="2"/>
        <v>42.340416666666663</v>
      </c>
      <c r="H36" s="41">
        <f t="shared" si="2"/>
        <v>18.720833333333335</v>
      </c>
      <c r="I36" s="41">
        <f t="shared" si="2"/>
        <v>4.7508333333333335</v>
      </c>
      <c r="J36" s="41">
        <f t="shared" si="2"/>
        <v>1.0629166666666665</v>
      </c>
      <c r="K36" s="41">
        <f t="shared" si="2"/>
        <v>294.33541666666673</v>
      </c>
      <c r="L36" s="41">
        <f t="shared" si="2"/>
        <v>36.227499999999999</v>
      </c>
      <c r="M36" s="41">
        <f t="shared" si="2"/>
        <v>32.274583333333332</v>
      </c>
      <c r="N36" s="41">
        <f t="shared" si="2"/>
        <v>181.38333333333335</v>
      </c>
      <c r="O36" s="41">
        <f t="shared" si="2"/>
        <v>0</v>
      </c>
      <c r="P36" s="41">
        <f t="shared" si="2"/>
        <v>0.56291666666666684</v>
      </c>
      <c r="Q36" s="41">
        <f t="shared" si="2"/>
        <v>5.1183333333333332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2.7477504633237038</v>
      </c>
      <c r="C37" s="41">
        <f t="shared" ref="C37:Q37" si="3">STDEV(C9:C32)</f>
        <v>5.987017052623731</v>
      </c>
      <c r="D37" s="41">
        <f t="shared" si="3"/>
        <v>4.8892686391818145</v>
      </c>
      <c r="E37" s="41">
        <f t="shared" si="3"/>
        <v>3.2243489119195985</v>
      </c>
      <c r="F37" s="41">
        <f t="shared" si="3"/>
        <v>10.813096025291454</v>
      </c>
      <c r="G37" s="41">
        <f t="shared" si="3"/>
        <v>13.198920074126843</v>
      </c>
      <c r="H37" s="41">
        <f t="shared" si="3"/>
        <v>3.8559337860392175</v>
      </c>
      <c r="I37" s="41">
        <f t="shared" si="3"/>
        <v>0.56723522202121368</v>
      </c>
      <c r="J37" s="41">
        <f t="shared" si="3"/>
        <v>0.42704728550591603</v>
      </c>
      <c r="K37" s="41">
        <f t="shared" si="3"/>
        <v>36.284793554559798</v>
      </c>
      <c r="L37" s="41">
        <f t="shared" si="3"/>
        <v>4.3860859544700848</v>
      </c>
      <c r="M37" s="41">
        <f t="shared" si="3"/>
        <v>10.778199002239861</v>
      </c>
      <c r="N37" s="41">
        <f t="shared" si="3"/>
        <v>254.07928695187061</v>
      </c>
      <c r="O37" s="41">
        <f t="shared" si="3"/>
        <v>0</v>
      </c>
      <c r="P37" s="41">
        <f t="shared" si="3"/>
        <v>7.942615748450553E-2</v>
      </c>
      <c r="Q37" s="41">
        <f t="shared" si="3"/>
        <v>0.16714135300412986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12/06/2023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323</v>
      </c>
      <c r="B9" s="52">
        <v>12.59</v>
      </c>
      <c r="C9" s="52">
        <v>57.52</v>
      </c>
      <c r="D9" s="52">
        <v>38.82</v>
      </c>
      <c r="E9" s="52">
        <v>14.2</v>
      </c>
      <c r="F9" s="52">
        <v>15.03</v>
      </c>
      <c r="G9" s="52">
        <v>46.37</v>
      </c>
      <c r="H9" s="52">
        <v>19.649999999999999</v>
      </c>
      <c r="I9" s="52">
        <v>6.85</v>
      </c>
      <c r="J9" s="52">
        <v>1.08</v>
      </c>
      <c r="K9" s="52">
        <v>271.33</v>
      </c>
      <c r="L9" s="52">
        <v>33.29</v>
      </c>
      <c r="M9" s="52">
        <v>38.06</v>
      </c>
      <c r="N9" s="52">
        <v>0</v>
      </c>
      <c r="O9" s="52">
        <v>0</v>
      </c>
      <c r="P9" s="52">
        <v>0.68</v>
      </c>
      <c r="Q9" s="52">
        <v>5.43</v>
      </c>
    </row>
    <row r="10" spans="1:21" customFormat="1">
      <c r="A10" s="53" t="s">
        <v>324</v>
      </c>
      <c r="B10" s="52">
        <v>12.28</v>
      </c>
      <c r="C10" s="52">
        <v>58</v>
      </c>
      <c r="D10" s="52">
        <v>38.979999999999997</v>
      </c>
      <c r="E10" s="52">
        <v>25.51</v>
      </c>
      <c r="F10" s="52">
        <v>19.2</v>
      </c>
      <c r="G10" s="52">
        <v>47.91</v>
      </c>
      <c r="H10" s="52">
        <v>19.649999999999999</v>
      </c>
      <c r="I10" s="52">
        <v>7.2</v>
      </c>
      <c r="J10" s="52">
        <v>0.49</v>
      </c>
      <c r="K10" s="52">
        <v>268.45999999999998</v>
      </c>
      <c r="L10" s="52">
        <v>32.68</v>
      </c>
      <c r="M10" s="52">
        <v>40.22</v>
      </c>
      <c r="N10" s="52">
        <v>0</v>
      </c>
      <c r="O10" s="52">
        <v>0</v>
      </c>
      <c r="P10" s="52">
        <v>0.93</v>
      </c>
      <c r="Q10" s="52">
        <v>5.48</v>
      </c>
    </row>
    <row r="11" spans="1:21" customFormat="1">
      <c r="A11" s="53" t="s">
        <v>325</v>
      </c>
      <c r="B11" s="52">
        <v>12.07</v>
      </c>
      <c r="C11" s="52">
        <v>53.33</v>
      </c>
      <c r="D11" s="52">
        <v>36.5</v>
      </c>
      <c r="E11" s="52">
        <v>16.57</v>
      </c>
      <c r="F11" s="52">
        <v>18.690000000000001</v>
      </c>
      <c r="G11" s="52">
        <v>47.91</v>
      </c>
      <c r="H11" s="52">
        <v>18.84</v>
      </c>
      <c r="I11" s="52">
        <v>6.87</v>
      </c>
      <c r="J11" s="52">
        <v>0.44</v>
      </c>
      <c r="K11" s="52">
        <v>323.93</v>
      </c>
      <c r="L11" s="52">
        <v>32.049999999999997</v>
      </c>
      <c r="M11" s="52">
        <v>42.84</v>
      </c>
      <c r="N11" s="52">
        <v>0</v>
      </c>
      <c r="O11" s="52">
        <v>0</v>
      </c>
      <c r="P11" s="52">
        <v>0.97</v>
      </c>
      <c r="Q11" s="52">
        <v>5.52</v>
      </c>
    </row>
    <row r="12" spans="1:21" customFormat="1">
      <c r="A12" s="53" t="s">
        <v>326</v>
      </c>
      <c r="B12" s="52">
        <v>16.12</v>
      </c>
      <c r="C12" s="52">
        <v>54.24</v>
      </c>
      <c r="D12" s="52">
        <v>39.799999999999997</v>
      </c>
      <c r="E12" s="52">
        <v>15.14</v>
      </c>
      <c r="F12" s="52">
        <v>12.01</v>
      </c>
      <c r="G12" s="52">
        <v>46.51</v>
      </c>
      <c r="H12" s="52">
        <v>16.45</v>
      </c>
      <c r="I12" s="52">
        <v>6.64</v>
      </c>
      <c r="J12" s="52">
        <v>0.39</v>
      </c>
      <c r="K12" s="52">
        <v>218.16</v>
      </c>
      <c r="L12" s="52">
        <v>31.13</v>
      </c>
      <c r="M12" s="52">
        <v>46.35</v>
      </c>
      <c r="N12" s="52">
        <v>0</v>
      </c>
      <c r="O12" s="52">
        <v>0</v>
      </c>
      <c r="P12" s="52">
        <v>0.79</v>
      </c>
      <c r="Q12" s="52">
        <v>5.52</v>
      </c>
    </row>
    <row r="13" spans="1:21" customFormat="1">
      <c r="A13" s="53" t="s">
        <v>327</v>
      </c>
      <c r="B13" s="52">
        <v>13.67</v>
      </c>
      <c r="C13" s="52">
        <v>54.71</v>
      </c>
      <c r="D13" s="52">
        <v>38.5</v>
      </c>
      <c r="E13" s="52">
        <v>15.28</v>
      </c>
      <c r="F13" s="52">
        <v>19</v>
      </c>
      <c r="G13" s="52">
        <v>42.9</v>
      </c>
      <c r="H13" s="52">
        <v>18.940000000000001</v>
      </c>
      <c r="I13" s="52">
        <v>6.36</v>
      </c>
      <c r="J13" s="52">
        <v>0.37</v>
      </c>
      <c r="K13" s="52">
        <v>242.9</v>
      </c>
      <c r="L13" s="52">
        <v>30.82</v>
      </c>
      <c r="M13" s="52">
        <v>45.61</v>
      </c>
      <c r="N13" s="52">
        <v>0</v>
      </c>
      <c r="O13" s="52">
        <v>0</v>
      </c>
      <c r="P13" s="52">
        <v>0.7</v>
      </c>
      <c r="Q13" s="52">
        <v>5.57</v>
      </c>
    </row>
    <row r="14" spans="1:21" customFormat="1">
      <c r="A14" s="53" t="s">
        <v>328</v>
      </c>
      <c r="B14" s="52">
        <v>14.3</v>
      </c>
      <c r="C14" s="52">
        <v>54.45</v>
      </c>
      <c r="D14" s="52">
        <v>38.869999999999997</v>
      </c>
      <c r="E14" s="52">
        <v>13.78</v>
      </c>
      <c r="F14" s="52">
        <v>16.100000000000001</v>
      </c>
      <c r="G14" s="52">
        <v>42.9</v>
      </c>
      <c r="H14" s="52">
        <v>18.940000000000001</v>
      </c>
      <c r="I14" s="52">
        <v>5.56</v>
      </c>
      <c r="J14" s="52">
        <v>0.31</v>
      </c>
      <c r="K14" s="52">
        <v>255.85</v>
      </c>
      <c r="L14" s="52">
        <v>31.06</v>
      </c>
      <c r="M14" s="52">
        <v>45.48</v>
      </c>
      <c r="N14" s="52">
        <v>8.6999999999999993</v>
      </c>
      <c r="O14" s="52">
        <v>0</v>
      </c>
      <c r="P14" s="52">
        <v>0.65</v>
      </c>
      <c r="Q14" s="52">
        <v>5.52</v>
      </c>
    </row>
    <row r="15" spans="1:21" customFormat="1">
      <c r="A15" s="53" t="s">
        <v>329</v>
      </c>
      <c r="B15" s="52">
        <v>16.63</v>
      </c>
      <c r="C15" s="52">
        <v>55.84</v>
      </c>
      <c r="D15" s="52">
        <v>40.9</v>
      </c>
      <c r="E15" s="52">
        <v>13.29</v>
      </c>
      <c r="F15" s="52">
        <v>8.76</v>
      </c>
      <c r="G15" s="52">
        <v>39.1</v>
      </c>
      <c r="H15" s="52">
        <v>16.47</v>
      </c>
      <c r="I15" s="52">
        <v>5.61</v>
      </c>
      <c r="J15" s="52">
        <v>1.17</v>
      </c>
      <c r="K15" s="52">
        <v>260.10000000000002</v>
      </c>
      <c r="L15" s="52">
        <v>31.81</v>
      </c>
      <c r="M15" s="52">
        <v>45.55</v>
      </c>
      <c r="N15" s="52">
        <v>44</v>
      </c>
      <c r="O15" s="52">
        <v>0</v>
      </c>
      <c r="P15" s="52">
        <v>0.67</v>
      </c>
      <c r="Q15" s="52">
        <v>5.66</v>
      </c>
    </row>
    <row r="16" spans="1:21" customFormat="1">
      <c r="A16" s="53" t="s">
        <v>330</v>
      </c>
      <c r="B16" s="52">
        <v>16.61</v>
      </c>
      <c r="C16" s="52">
        <v>60.13</v>
      </c>
      <c r="D16" s="52">
        <v>43.57</v>
      </c>
      <c r="E16" s="52">
        <v>11.31</v>
      </c>
      <c r="F16" s="52">
        <v>10.31</v>
      </c>
      <c r="G16" s="52">
        <v>35.950000000000003</v>
      </c>
      <c r="H16" s="52">
        <v>14.27</v>
      </c>
      <c r="I16" s="52">
        <v>7.01</v>
      </c>
      <c r="J16" s="52">
        <v>1.29</v>
      </c>
      <c r="K16" s="52">
        <v>262.68</v>
      </c>
      <c r="L16" s="52">
        <v>33.21</v>
      </c>
      <c r="M16" s="52">
        <v>42.95</v>
      </c>
      <c r="N16" s="52">
        <v>124.9</v>
      </c>
      <c r="O16" s="52">
        <v>0</v>
      </c>
      <c r="P16" s="52">
        <v>0.83</v>
      </c>
      <c r="Q16" s="52">
        <v>5.64</v>
      </c>
    </row>
    <row r="17" spans="1:17" customFormat="1">
      <c r="A17" s="53" t="s">
        <v>331</v>
      </c>
      <c r="B17" s="52">
        <v>14.74</v>
      </c>
      <c r="C17" s="52">
        <v>55.18</v>
      </c>
      <c r="D17" s="52">
        <v>38.869999999999997</v>
      </c>
      <c r="E17" s="52">
        <v>16.38</v>
      </c>
      <c r="F17" s="52">
        <v>13.87</v>
      </c>
      <c r="G17" s="52">
        <v>35.950000000000003</v>
      </c>
      <c r="H17" s="52">
        <v>12.58</v>
      </c>
      <c r="I17" s="52">
        <v>6.94</v>
      </c>
      <c r="J17" s="52">
        <v>1.33</v>
      </c>
      <c r="K17" s="52">
        <v>276.02999999999997</v>
      </c>
      <c r="L17" s="52">
        <v>35.9</v>
      </c>
      <c r="M17" s="52">
        <v>39.090000000000003</v>
      </c>
      <c r="N17" s="52">
        <v>121.7</v>
      </c>
      <c r="O17" s="52">
        <v>0</v>
      </c>
      <c r="P17" s="52">
        <v>0.79</v>
      </c>
      <c r="Q17" s="52">
        <v>5.45</v>
      </c>
    </row>
    <row r="18" spans="1:17" customFormat="1">
      <c r="A18" s="53" t="s">
        <v>332</v>
      </c>
      <c r="B18" s="52">
        <v>11.82</v>
      </c>
      <c r="C18" s="52">
        <v>49.06</v>
      </c>
      <c r="D18" s="52">
        <v>34.06</v>
      </c>
      <c r="E18" s="52">
        <v>18.010000000000002</v>
      </c>
      <c r="F18" s="52">
        <v>19.18</v>
      </c>
      <c r="G18" s="52">
        <v>39.15</v>
      </c>
      <c r="H18" s="52">
        <v>16.739999999999998</v>
      </c>
      <c r="I18" s="52">
        <v>8</v>
      </c>
      <c r="J18" s="52">
        <v>1.32</v>
      </c>
      <c r="K18" s="52">
        <v>294.94</v>
      </c>
      <c r="L18" s="52">
        <v>37.869999999999997</v>
      </c>
      <c r="M18" s="52">
        <v>33.69</v>
      </c>
      <c r="N18" s="52">
        <v>125.6</v>
      </c>
      <c r="O18" s="52">
        <v>0</v>
      </c>
      <c r="P18" s="52">
        <v>0.87</v>
      </c>
      <c r="Q18" s="52">
        <v>5.28</v>
      </c>
    </row>
    <row r="19" spans="1:17" customFormat="1">
      <c r="A19" s="53" t="s">
        <v>333</v>
      </c>
      <c r="B19" s="52">
        <v>9.17</v>
      </c>
      <c r="C19" s="52">
        <v>46.64</v>
      </c>
      <c r="D19" s="52">
        <v>30.67</v>
      </c>
      <c r="E19" s="52">
        <v>13.81</v>
      </c>
      <c r="F19" s="52">
        <v>24.26</v>
      </c>
      <c r="G19" s="52">
        <v>43.93</v>
      </c>
      <c r="H19" s="52">
        <v>18.22</v>
      </c>
      <c r="I19" s="52">
        <v>8.1</v>
      </c>
      <c r="J19" s="52">
        <v>1.22</v>
      </c>
      <c r="K19" s="52">
        <v>285.91000000000003</v>
      </c>
      <c r="L19" s="52">
        <v>39.590000000000003</v>
      </c>
      <c r="M19" s="52">
        <v>30.15</v>
      </c>
      <c r="N19" s="52">
        <v>132.19999999999999</v>
      </c>
      <c r="O19" s="52">
        <v>0</v>
      </c>
      <c r="P19" s="52">
        <v>0.91</v>
      </c>
      <c r="Q19" s="52">
        <v>5.07</v>
      </c>
    </row>
    <row r="20" spans="1:17" customFormat="1">
      <c r="A20" s="53" t="s">
        <v>334</v>
      </c>
      <c r="B20" s="52">
        <v>5.73</v>
      </c>
      <c r="C20" s="52">
        <v>47.5</v>
      </c>
      <c r="D20" s="52">
        <v>27.34</v>
      </c>
      <c r="E20" s="52">
        <v>10.24</v>
      </c>
      <c r="F20" s="52">
        <v>26.5</v>
      </c>
      <c r="G20" s="52">
        <v>43.93</v>
      </c>
      <c r="H20" s="52">
        <v>19.63</v>
      </c>
      <c r="I20" s="52">
        <v>7.68</v>
      </c>
      <c r="J20" s="52">
        <v>1.54</v>
      </c>
      <c r="K20" s="52">
        <v>281.83999999999997</v>
      </c>
      <c r="L20" s="52">
        <v>40.909999999999997</v>
      </c>
      <c r="M20" s="52">
        <v>26.75</v>
      </c>
      <c r="N20" s="52">
        <v>778.2</v>
      </c>
      <c r="O20" s="52">
        <v>0</v>
      </c>
      <c r="P20" s="52">
        <v>0.79</v>
      </c>
      <c r="Q20" s="52">
        <v>4.9000000000000004</v>
      </c>
    </row>
    <row r="21" spans="1:17" customFormat="1">
      <c r="A21" s="53" t="s">
        <v>335</v>
      </c>
      <c r="B21" s="52">
        <v>4.4000000000000004</v>
      </c>
      <c r="C21" s="52">
        <v>47.08</v>
      </c>
      <c r="D21" s="52">
        <v>27.08</v>
      </c>
      <c r="E21" s="52">
        <v>10.17</v>
      </c>
      <c r="F21" s="52">
        <v>30.43</v>
      </c>
      <c r="G21" s="52">
        <v>43.7</v>
      </c>
      <c r="H21" s="52">
        <v>20.11</v>
      </c>
      <c r="I21" s="52">
        <v>7.19</v>
      </c>
      <c r="J21" s="52">
        <v>1.43</v>
      </c>
      <c r="K21" s="52">
        <v>277.01</v>
      </c>
      <c r="L21" s="52">
        <v>42.26</v>
      </c>
      <c r="M21" s="52">
        <v>23.3</v>
      </c>
      <c r="N21" s="52">
        <v>824.3</v>
      </c>
      <c r="O21" s="52">
        <v>0</v>
      </c>
      <c r="P21" s="52">
        <v>0.73</v>
      </c>
      <c r="Q21" s="52">
        <v>4.93</v>
      </c>
    </row>
    <row r="22" spans="1:17" customFormat="1">
      <c r="A22" s="53" t="s">
        <v>336</v>
      </c>
      <c r="B22" s="52">
        <v>4.8899999999999997</v>
      </c>
      <c r="C22" s="52">
        <v>57.24</v>
      </c>
      <c r="D22" s="52">
        <v>32.79</v>
      </c>
      <c r="E22" s="52">
        <v>7.88</v>
      </c>
      <c r="F22" s="52">
        <v>27.22</v>
      </c>
      <c r="G22" s="52">
        <v>42.49</v>
      </c>
      <c r="H22" s="52">
        <v>20.11</v>
      </c>
      <c r="I22" s="52">
        <v>6.3</v>
      </c>
      <c r="J22" s="52">
        <v>1</v>
      </c>
      <c r="K22" s="52">
        <v>284.63</v>
      </c>
      <c r="L22" s="52">
        <v>43.61</v>
      </c>
      <c r="M22" s="52">
        <v>18.54</v>
      </c>
      <c r="N22" s="52">
        <v>769</v>
      </c>
      <c r="O22" s="52">
        <v>0</v>
      </c>
      <c r="P22" s="52">
        <v>0.63</v>
      </c>
      <c r="Q22" s="52">
        <v>5.28</v>
      </c>
    </row>
    <row r="23" spans="1:17" customFormat="1">
      <c r="A23" s="53" t="s">
        <v>337</v>
      </c>
      <c r="B23" s="52">
        <v>5.77</v>
      </c>
      <c r="C23" s="52">
        <v>66.58</v>
      </c>
      <c r="D23" s="52">
        <v>38.130000000000003</v>
      </c>
      <c r="E23" s="52">
        <v>8.08</v>
      </c>
      <c r="F23" s="52">
        <v>27.7</v>
      </c>
      <c r="G23" s="52">
        <v>39.54</v>
      </c>
      <c r="H23" s="52">
        <v>17.760000000000002</v>
      </c>
      <c r="I23" s="52">
        <v>6.18</v>
      </c>
      <c r="J23" s="52">
        <v>1.08</v>
      </c>
      <c r="K23" s="52">
        <v>313.86</v>
      </c>
      <c r="L23" s="52">
        <v>44.09</v>
      </c>
      <c r="M23" s="52">
        <v>17.8</v>
      </c>
      <c r="N23" s="52">
        <v>674.1</v>
      </c>
      <c r="O23" s="52">
        <v>0</v>
      </c>
      <c r="P23" s="52">
        <v>0.55000000000000004</v>
      </c>
      <c r="Q23" s="52">
        <v>5.62</v>
      </c>
    </row>
    <row r="24" spans="1:17" customFormat="1">
      <c r="A24" s="53" t="s">
        <v>338</v>
      </c>
      <c r="B24" s="52">
        <v>7.08</v>
      </c>
      <c r="C24" s="52">
        <v>56.5</v>
      </c>
      <c r="D24" s="52">
        <v>34.15</v>
      </c>
      <c r="E24" s="52">
        <v>10.98</v>
      </c>
      <c r="F24" s="52">
        <v>46.83</v>
      </c>
      <c r="G24" s="52">
        <v>39.54</v>
      </c>
      <c r="H24" s="52">
        <v>15.37</v>
      </c>
      <c r="I24" s="52">
        <v>5.94</v>
      </c>
      <c r="J24" s="52">
        <v>0.7</v>
      </c>
      <c r="K24" s="52">
        <v>303.95</v>
      </c>
      <c r="L24" s="52">
        <v>42.04</v>
      </c>
      <c r="M24" s="52">
        <v>19.670000000000002</v>
      </c>
      <c r="N24" s="52">
        <v>229.1</v>
      </c>
      <c r="O24" s="52">
        <v>0</v>
      </c>
      <c r="P24" s="52">
        <v>0.51</v>
      </c>
      <c r="Q24" s="52">
        <v>5.71</v>
      </c>
    </row>
    <row r="25" spans="1:17" customFormat="1">
      <c r="A25" s="53" t="s">
        <v>339</v>
      </c>
      <c r="B25" s="52">
        <v>6.67</v>
      </c>
      <c r="C25" s="52">
        <v>63.46</v>
      </c>
      <c r="D25" s="52">
        <v>37.46</v>
      </c>
      <c r="E25" s="52">
        <v>11.84</v>
      </c>
      <c r="F25" s="52">
        <v>48.47</v>
      </c>
      <c r="G25" s="52">
        <v>33.44</v>
      </c>
      <c r="H25" s="52">
        <v>17.47</v>
      </c>
      <c r="I25" s="52">
        <v>5.35</v>
      </c>
      <c r="J25" s="52">
        <v>0.98</v>
      </c>
      <c r="K25" s="52">
        <v>279.70999999999998</v>
      </c>
      <c r="L25" s="52">
        <v>42.18</v>
      </c>
      <c r="M25" s="52">
        <v>22.38</v>
      </c>
      <c r="N25" s="52">
        <v>293.39999999999998</v>
      </c>
      <c r="O25" s="52">
        <v>0</v>
      </c>
      <c r="P25" s="52">
        <v>0.53</v>
      </c>
      <c r="Q25" s="52">
        <v>5.72</v>
      </c>
    </row>
    <row r="26" spans="1:17" customFormat="1">
      <c r="A26" s="53" t="s">
        <v>340</v>
      </c>
      <c r="B26" s="52">
        <v>5.44</v>
      </c>
      <c r="C26" s="52">
        <v>45.77</v>
      </c>
      <c r="D26" s="52">
        <v>27.23</v>
      </c>
      <c r="E26" s="52">
        <v>10.47</v>
      </c>
      <c r="F26" s="52">
        <v>39.94</v>
      </c>
      <c r="G26" s="52">
        <v>34.15</v>
      </c>
      <c r="H26" s="52">
        <v>17.47</v>
      </c>
      <c r="I26" s="52">
        <v>5.4</v>
      </c>
      <c r="J26" s="52">
        <v>0.78</v>
      </c>
      <c r="K26" s="52">
        <v>257.77999999999997</v>
      </c>
      <c r="L26" s="52">
        <v>40.21</v>
      </c>
      <c r="M26" s="52">
        <v>23.39</v>
      </c>
      <c r="N26" s="52">
        <v>71.099999999999994</v>
      </c>
      <c r="O26" s="52">
        <v>0</v>
      </c>
      <c r="P26" s="52">
        <v>0.46</v>
      </c>
      <c r="Q26" s="52">
        <v>5.37</v>
      </c>
    </row>
    <row r="27" spans="1:17" customFormat="1">
      <c r="A27" s="53" t="s">
        <v>341</v>
      </c>
      <c r="B27" s="52">
        <v>5.16</v>
      </c>
      <c r="C27" s="52">
        <v>38.659999999999997</v>
      </c>
      <c r="D27" s="52">
        <v>23.29</v>
      </c>
      <c r="E27" s="52">
        <v>12.09</v>
      </c>
      <c r="F27" s="52">
        <v>54.31</v>
      </c>
      <c r="G27" s="52">
        <v>34.15</v>
      </c>
      <c r="H27" s="52">
        <v>17.100000000000001</v>
      </c>
      <c r="I27" s="52">
        <v>4.51</v>
      </c>
      <c r="J27" s="52">
        <v>0.71</v>
      </c>
      <c r="K27" s="52">
        <v>250.32</v>
      </c>
      <c r="L27" s="52">
        <v>38.44</v>
      </c>
      <c r="M27" s="52">
        <v>25.45</v>
      </c>
      <c r="N27" s="52">
        <v>10.3</v>
      </c>
      <c r="O27" s="52">
        <v>0</v>
      </c>
      <c r="P27" s="52">
        <v>0.43</v>
      </c>
      <c r="Q27" s="52">
        <v>4.95</v>
      </c>
    </row>
    <row r="28" spans="1:17" customFormat="1">
      <c r="A28" s="53" t="s">
        <v>342</v>
      </c>
      <c r="B28" s="52">
        <v>10.25</v>
      </c>
      <c r="C28" s="52">
        <v>47.59</v>
      </c>
      <c r="D28" s="52">
        <v>32.03</v>
      </c>
      <c r="E28" s="52">
        <v>16.23</v>
      </c>
      <c r="F28" s="52">
        <v>49.63</v>
      </c>
      <c r="G28" s="52">
        <v>33.51</v>
      </c>
      <c r="H28" s="52">
        <v>16.46</v>
      </c>
      <c r="I28" s="52">
        <v>4.63</v>
      </c>
      <c r="J28" s="52">
        <v>1.63</v>
      </c>
      <c r="K28" s="52">
        <v>166.9</v>
      </c>
      <c r="L28" s="52">
        <v>37.619999999999997</v>
      </c>
      <c r="M28" s="52">
        <v>33.619999999999997</v>
      </c>
      <c r="N28" s="52">
        <v>1.9</v>
      </c>
      <c r="O28" s="52">
        <v>0</v>
      </c>
      <c r="P28" s="52">
        <v>0.69</v>
      </c>
      <c r="Q28" s="52">
        <v>4.8899999999999997</v>
      </c>
    </row>
    <row r="29" spans="1:17" customFormat="1">
      <c r="A29" s="53" t="s">
        <v>343</v>
      </c>
      <c r="B29" s="52">
        <v>7</v>
      </c>
      <c r="C29" s="52">
        <v>46.77</v>
      </c>
      <c r="D29" s="52">
        <v>28.62</v>
      </c>
      <c r="E29" s="52">
        <v>13.54</v>
      </c>
      <c r="F29" s="52">
        <v>26.27</v>
      </c>
      <c r="G29" s="52">
        <v>60.12</v>
      </c>
      <c r="H29" s="52">
        <v>17.329999999999998</v>
      </c>
      <c r="I29" s="52">
        <v>5.26</v>
      </c>
      <c r="J29" s="52">
        <v>2.2200000000000002</v>
      </c>
      <c r="K29" s="52">
        <v>293.7</v>
      </c>
      <c r="L29" s="52">
        <v>33.840000000000003</v>
      </c>
      <c r="M29" s="52">
        <v>49.14</v>
      </c>
      <c r="N29" s="52">
        <v>0</v>
      </c>
      <c r="O29" s="52">
        <v>0</v>
      </c>
      <c r="P29" s="52">
        <v>0.63</v>
      </c>
      <c r="Q29" s="52">
        <v>4.87</v>
      </c>
    </row>
    <row r="30" spans="1:17" customFormat="1">
      <c r="A30" s="53" t="s">
        <v>344</v>
      </c>
      <c r="B30" s="52">
        <v>6.3</v>
      </c>
      <c r="C30" s="52">
        <v>45.21</v>
      </c>
      <c r="D30" s="52">
        <v>27.57</v>
      </c>
      <c r="E30" s="52">
        <v>13.35</v>
      </c>
      <c r="F30" s="52">
        <v>25.83</v>
      </c>
      <c r="G30" s="52">
        <v>60.12</v>
      </c>
      <c r="H30" s="52">
        <v>18.07</v>
      </c>
      <c r="I30" s="52">
        <v>5.88</v>
      </c>
      <c r="J30" s="52">
        <v>0.56000000000000005</v>
      </c>
      <c r="K30" s="52">
        <v>272.39999999999998</v>
      </c>
      <c r="L30" s="52">
        <v>33.47</v>
      </c>
      <c r="M30" s="52">
        <v>50.09</v>
      </c>
      <c r="N30" s="52">
        <v>0</v>
      </c>
      <c r="O30" s="52">
        <v>0</v>
      </c>
      <c r="P30" s="52">
        <v>0.64</v>
      </c>
      <c r="Q30" s="52">
        <v>5.04</v>
      </c>
    </row>
    <row r="31" spans="1:17" customFormat="1">
      <c r="A31" s="53" t="s">
        <v>345</v>
      </c>
      <c r="B31" s="52">
        <v>6.97</v>
      </c>
      <c r="C31" s="52">
        <v>43.19</v>
      </c>
      <c r="D31" s="52">
        <v>27.11</v>
      </c>
      <c r="E31" s="52">
        <v>13.94</v>
      </c>
      <c r="F31" s="52">
        <v>25.72</v>
      </c>
      <c r="G31" s="52">
        <v>59.33</v>
      </c>
      <c r="H31" s="52">
        <v>18.07</v>
      </c>
      <c r="I31" s="52">
        <v>5.0199999999999996</v>
      </c>
      <c r="J31" s="52">
        <v>0.67</v>
      </c>
      <c r="K31" s="52">
        <v>259.77999999999997</v>
      </c>
      <c r="L31" s="52">
        <v>33.380000000000003</v>
      </c>
      <c r="M31" s="52">
        <v>49.58</v>
      </c>
      <c r="N31" s="52">
        <v>0</v>
      </c>
      <c r="O31" s="52">
        <v>0</v>
      </c>
      <c r="P31" s="52">
        <v>0.53</v>
      </c>
      <c r="Q31" s="52">
        <v>4.92</v>
      </c>
    </row>
    <row r="32" spans="1:17" customFormat="1">
      <c r="A32" s="53" t="s">
        <v>346</v>
      </c>
      <c r="B32" s="52">
        <v>15.11</v>
      </c>
      <c r="C32" s="52">
        <v>47.8</v>
      </c>
      <c r="D32" s="52">
        <v>36.049999999999997</v>
      </c>
      <c r="E32" s="52">
        <v>15.07</v>
      </c>
      <c r="F32" s="52">
        <v>20.64</v>
      </c>
      <c r="G32" s="52">
        <v>53.33</v>
      </c>
      <c r="H32" s="52">
        <v>17.28</v>
      </c>
      <c r="I32" s="52">
        <v>4.7</v>
      </c>
      <c r="J32" s="52">
        <v>0.59</v>
      </c>
      <c r="K32" s="52">
        <v>359.36</v>
      </c>
      <c r="L32" s="52">
        <v>33.28</v>
      </c>
      <c r="M32" s="52">
        <v>41.77</v>
      </c>
      <c r="N32" s="52">
        <v>0</v>
      </c>
      <c r="O32" s="52">
        <v>0</v>
      </c>
      <c r="P32" s="52">
        <v>0.5</v>
      </c>
      <c r="Q32" s="52">
        <v>4.92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4.4000000000000004</v>
      </c>
      <c r="C34" s="41">
        <f t="shared" si="0"/>
        <v>38.659999999999997</v>
      </c>
      <c r="D34" s="41">
        <f t="shared" si="0"/>
        <v>23.29</v>
      </c>
      <c r="E34" s="41">
        <f t="shared" si="0"/>
        <v>7.88</v>
      </c>
      <c r="F34" s="41">
        <f t="shared" si="0"/>
        <v>8.76</v>
      </c>
      <c r="G34" s="41">
        <f t="shared" si="0"/>
        <v>33.44</v>
      </c>
      <c r="H34" s="41">
        <f t="shared" si="0"/>
        <v>12.58</v>
      </c>
      <c r="I34" s="41">
        <f t="shared" si="0"/>
        <v>4.51</v>
      </c>
      <c r="J34" s="41">
        <f t="shared" si="0"/>
        <v>0.31</v>
      </c>
      <c r="K34" s="41">
        <f t="shared" si="0"/>
        <v>166.9</v>
      </c>
      <c r="L34" s="41">
        <f t="shared" si="0"/>
        <v>30.82</v>
      </c>
      <c r="M34" s="41">
        <f t="shared" si="0"/>
        <v>17.8</v>
      </c>
      <c r="N34" s="41">
        <f t="shared" si="0"/>
        <v>0</v>
      </c>
      <c r="O34" s="41">
        <f t="shared" si="0"/>
        <v>0</v>
      </c>
      <c r="P34" s="41">
        <f t="shared" si="0"/>
        <v>0.43</v>
      </c>
      <c r="Q34" s="41">
        <f t="shared" si="0"/>
        <v>4.87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16.63</v>
      </c>
      <c r="C35" s="33">
        <f t="shared" si="1"/>
        <v>66.58</v>
      </c>
      <c r="D35" s="33">
        <f t="shared" si="1"/>
        <v>43.57</v>
      </c>
      <c r="E35" s="33">
        <f t="shared" si="1"/>
        <v>25.51</v>
      </c>
      <c r="F35" s="33">
        <f t="shared" si="1"/>
        <v>54.31</v>
      </c>
      <c r="G35" s="33">
        <f t="shared" si="1"/>
        <v>60.12</v>
      </c>
      <c r="H35" s="33">
        <f t="shared" si="1"/>
        <v>20.11</v>
      </c>
      <c r="I35" s="33">
        <f t="shared" si="1"/>
        <v>8.1</v>
      </c>
      <c r="J35" s="33">
        <f t="shared" si="1"/>
        <v>2.2200000000000002</v>
      </c>
      <c r="K35" s="33">
        <f t="shared" si="1"/>
        <v>359.36</v>
      </c>
      <c r="L35" s="33">
        <f t="shared" si="1"/>
        <v>44.09</v>
      </c>
      <c r="M35" s="33">
        <f t="shared" si="1"/>
        <v>50.09</v>
      </c>
      <c r="N35" s="33">
        <f t="shared" si="1"/>
        <v>824.3</v>
      </c>
      <c r="O35" s="33">
        <f t="shared" si="1"/>
        <v>0</v>
      </c>
      <c r="P35" s="33">
        <f t="shared" si="1"/>
        <v>0.97</v>
      </c>
      <c r="Q35" s="33">
        <f t="shared" si="1"/>
        <v>5.72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10.032083333333333</v>
      </c>
      <c r="C36" s="41">
        <f t="shared" si="2"/>
        <v>52.185416666666669</v>
      </c>
      <c r="D36" s="41">
        <f t="shared" si="2"/>
        <v>34.099583333333335</v>
      </c>
      <c r="E36" s="41">
        <f t="shared" si="2"/>
        <v>13.631666666666668</v>
      </c>
      <c r="F36" s="41">
        <f t="shared" si="2"/>
        <v>26.079166666666666</v>
      </c>
      <c r="G36" s="41">
        <f t="shared" si="2"/>
        <v>43.580416666666672</v>
      </c>
      <c r="H36" s="41">
        <f t="shared" si="2"/>
        <v>17.624166666666667</v>
      </c>
      <c r="I36" s="41">
        <f t="shared" si="2"/>
        <v>6.2158333333333324</v>
      </c>
      <c r="J36" s="41">
        <f t="shared" si="2"/>
        <v>0.97083333333333321</v>
      </c>
      <c r="K36" s="41">
        <f t="shared" si="2"/>
        <v>273.39708333333323</v>
      </c>
      <c r="L36" s="41">
        <f t="shared" si="2"/>
        <v>36.447499999999998</v>
      </c>
      <c r="M36" s="41">
        <f t="shared" si="2"/>
        <v>35.477916666666665</v>
      </c>
      <c r="N36" s="41">
        <f t="shared" si="2"/>
        <v>175.35416666666666</v>
      </c>
      <c r="O36" s="41">
        <f t="shared" si="2"/>
        <v>0</v>
      </c>
      <c r="P36" s="41">
        <f t="shared" si="2"/>
        <v>0.68375000000000019</v>
      </c>
      <c r="Q36" s="41">
        <f t="shared" si="2"/>
        <v>5.3025000000000011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4.2486611488763177</v>
      </c>
      <c r="C37" s="41">
        <f t="shared" ref="C37:Q37" si="3">STDEV(C9:C32)</f>
        <v>6.7730546568042582</v>
      </c>
      <c r="D37" s="41">
        <f t="shared" si="3"/>
        <v>5.5747680623748979</v>
      </c>
      <c r="E37" s="41">
        <f t="shared" si="3"/>
        <v>3.6495022491658542</v>
      </c>
      <c r="F37" s="41">
        <f t="shared" si="3"/>
        <v>12.935923662981812</v>
      </c>
      <c r="G37" s="41">
        <f t="shared" si="3"/>
        <v>8.1223093092108325</v>
      </c>
      <c r="H37" s="41">
        <f t="shared" si="3"/>
        <v>1.8350759175544487</v>
      </c>
      <c r="I37" s="41">
        <f t="shared" si="3"/>
        <v>1.0520452819923352</v>
      </c>
      <c r="J37" s="41">
        <f t="shared" si="3"/>
        <v>0.47727411380688289</v>
      </c>
      <c r="K37" s="41">
        <f t="shared" si="3"/>
        <v>36.545398744358067</v>
      </c>
      <c r="L37" s="41">
        <f t="shared" si="3"/>
        <v>4.4663585498314626</v>
      </c>
      <c r="M37" s="41">
        <f t="shared" si="3"/>
        <v>10.915178892424221</v>
      </c>
      <c r="N37" s="41">
        <f t="shared" si="3"/>
        <v>279.92775462245794</v>
      </c>
      <c r="O37" s="41">
        <f t="shared" si="3"/>
        <v>0</v>
      </c>
      <c r="P37" s="41">
        <f t="shared" si="3"/>
        <v>0.1530505031737536</v>
      </c>
      <c r="Q37" s="41">
        <f t="shared" si="3"/>
        <v>0.30710782697823891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13/06/2023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347</v>
      </c>
      <c r="B9" s="52">
        <v>11.62</v>
      </c>
      <c r="C9" s="52">
        <v>47.09</v>
      </c>
      <c r="D9" s="52">
        <v>32.56</v>
      </c>
      <c r="E9" s="52">
        <v>19.04</v>
      </c>
      <c r="F9" s="52">
        <v>15.05</v>
      </c>
      <c r="G9" s="52">
        <v>50.81</v>
      </c>
      <c r="H9" s="52">
        <v>17.260000000000002</v>
      </c>
      <c r="I9" s="52">
        <v>4.5199999999999996</v>
      </c>
      <c r="J9" s="52">
        <v>0.5</v>
      </c>
      <c r="K9" s="52">
        <v>319.14999999999998</v>
      </c>
      <c r="L9" s="52">
        <v>33.200000000000003</v>
      </c>
      <c r="M9" s="52">
        <v>48.08</v>
      </c>
      <c r="N9" s="52">
        <v>0</v>
      </c>
      <c r="O9" s="52">
        <v>0</v>
      </c>
      <c r="P9" s="52">
        <v>0.52</v>
      </c>
      <c r="Q9" s="52">
        <v>5.0599999999999996</v>
      </c>
    </row>
    <row r="10" spans="1:21" customFormat="1">
      <c r="A10" s="53" t="s">
        <v>348</v>
      </c>
      <c r="B10" s="52">
        <v>9.7200000000000006</v>
      </c>
      <c r="C10" s="52">
        <v>46.49</v>
      </c>
      <c r="D10" s="52">
        <v>30.8</v>
      </c>
      <c r="E10" s="52">
        <v>14.26</v>
      </c>
      <c r="F10" s="52">
        <v>15.47</v>
      </c>
      <c r="G10" s="52">
        <v>47.44</v>
      </c>
      <c r="H10" s="52">
        <v>16.28</v>
      </c>
      <c r="I10" s="52">
        <v>4.68</v>
      </c>
      <c r="J10" s="52">
        <v>0.34</v>
      </c>
      <c r="K10" s="52">
        <v>230.42</v>
      </c>
      <c r="L10" s="52">
        <v>31.74</v>
      </c>
      <c r="M10" s="52">
        <v>48.34</v>
      </c>
      <c r="N10" s="52">
        <v>0</v>
      </c>
      <c r="O10" s="52">
        <v>0</v>
      </c>
      <c r="P10" s="52">
        <v>0.47</v>
      </c>
      <c r="Q10" s="52">
        <v>5.15</v>
      </c>
    </row>
    <row r="11" spans="1:21" customFormat="1">
      <c r="A11" s="53" t="s">
        <v>349</v>
      </c>
      <c r="B11" s="52">
        <v>10.54</v>
      </c>
      <c r="C11" s="52">
        <v>46.47</v>
      </c>
      <c r="D11" s="52">
        <v>31.46</v>
      </c>
      <c r="E11" s="52">
        <v>11.02</v>
      </c>
      <c r="F11" s="52">
        <v>17.260000000000002</v>
      </c>
      <c r="G11" s="52">
        <v>44.19</v>
      </c>
      <c r="H11" s="52">
        <v>15.44</v>
      </c>
      <c r="I11" s="52">
        <v>4.33</v>
      </c>
      <c r="J11" s="52">
        <v>0.41</v>
      </c>
      <c r="K11" s="52">
        <v>232.43</v>
      </c>
      <c r="L11" s="52">
        <v>31.35</v>
      </c>
      <c r="M11" s="52">
        <v>51.7</v>
      </c>
      <c r="N11" s="52">
        <v>0</v>
      </c>
      <c r="O11" s="52">
        <v>0</v>
      </c>
      <c r="P11" s="52">
        <v>0.46</v>
      </c>
      <c r="Q11" s="52">
        <v>5.12</v>
      </c>
    </row>
    <row r="12" spans="1:21" customFormat="1">
      <c r="A12" s="53" t="s">
        <v>350</v>
      </c>
      <c r="B12" s="52">
        <v>11.26</v>
      </c>
      <c r="C12" s="52">
        <v>46.99</v>
      </c>
      <c r="D12" s="52">
        <v>32.19</v>
      </c>
      <c r="E12" s="52">
        <v>7.9</v>
      </c>
      <c r="F12" s="52">
        <v>12.72</v>
      </c>
      <c r="G12" s="52">
        <v>35.840000000000003</v>
      </c>
      <c r="H12" s="52">
        <v>14.58</v>
      </c>
      <c r="I12" s="52">
        <v>4.32</v>
      </c>
      <c r="J12" s="52">
        <v>0.57999999999999996</v>
      </c>
      <c r="K12" s="52">
        <v>256.58</v>
      </c>
      <c r="L12" s="52">
        <v>31.13</v>
      </c>
      <c r="M12" s="52">
        <v>51.15</v>
      </c>
      <c r="N12" s="52">
        <v>0</v>
      </c>
      <c r="O12" s="52">
        <v>0</v>
      </c>
      <c r="P12" s="52">
        <v>0.45</v>
      </c>
      <c r="Q12" s="52">
        <v>5.18</v>
      </c>
    </row>
    <row r="13" spans="1:21" customFormat="1">
      <c r="A13" s="53" t="s">
        <v>351</v>
      </c>
      <c r="B13" s="52">
        <v>10.45</v>
      </c>
      <c r="C13" s="52">
        <v>46.06</v>
      </c>
      <c r="D13" s="52">
        <v>31.4</v>
      </c>
      <c r="E13" s="52">
        <v>7.65</v>
      </c>
      <c r="F13" s="52">
        <v>18.670000000000002</v>
      </c>
      <c r="G13" s="52">
        <v>35.78</v>
      </c>
      <c r="H13" s="52">
        <v>15.28</v>
      </c>
      <c r="I13" s="52">
        <v>4.16</v>
      </c>
      <c r="J13" s="52">
        <v>0.28000000000000003</v>
      </c>
      <c r="K13" s="52">
        <v>210</v>
      </c>
      <c r="L13" s="52">
        <v>31.05</v>
      </c>
      <c r="M13" s="52">
        <v>50.39</v>
      </c>
      <c r="N13" s="52">
        <v>0</v>
      </c>
      <c r="O13" s="52">
        <v>0</v>
      </c>
      <c r="P13" s="52">
        <v>0.41</v>
      </c>
      <c r="Q13" s="52">
        <v>5.17</v>
      </c>
    </row>
    <row r="14" spans="1:21" customFormat="1">
      <c r="A14" s="53" t="s">
        <v>352</v>
      </c>
      <c r="B14" s="52">
        <v>11.31</v>
      </c>
      <c r="C14" s="52">
        <v>46.02</v>
      </c>
      <c r="D14" s="52">
        <v>31.73</v>
      </c>
      <c r="E14" s="52">
        <v>7.64</v>
      </c>
      <c r="F14" s="52">
        <v>15.67</v>
      </c>
      <c r="G14" s="52">
        <v>30.45</v>
      </c>
      <c r="H14" s="52">
        <v>15.28</v>
      </c>
      <c r="I14" s="52">
        <v>3.83</v>
      </c>
      <c r="J14" s="52">
        <v>0.17</v>
      </c>
      <c r="K14" s="52">
        <v>259.45999999999998</v>
      </c>
      <c r="L14" s="52">
        <v>30.48</v>
      </c>
      <c r="M14" s="52">
        <v>53.06</v>
      </c>
      <c r="N14" s="52">
        <v>0</v>
      </c>
      <c r="O14" s="52">
        <v>0</v>
      </c>
      <c r="P14" s="52">
        <v>0.42</v>
      </c>
      <c r="Q14" s="52">
        <v>5.25</v>
      </c>
    </row>
    <row r="15" spans="1:21" customFormat="1">
      <c r="A15" s="53" t="s">
        <v>353</v>
      </c>
      <c r="B15" s="52">
        <v>13.45</v>
      </c>
      <c r="C15" s="52">
        <v>52.4</v>
      </c>
      <c r="D15" s="52">
        <v>37.119999999999997</v>
      </c>
      <c r="E15" s="52">
        <v>7.5</v>
      </c>
      <c r="F15" s="52">
        <v>13.39</v>
      </c>
      <c r="G15" s="52">
        <v>24.77</v>
      </c>
      <c r="H15" s="52">
        <v>11.88</v>
      </c>
      <c r="I15" s="52">
        <v>3.94</v>
      </c>
      <c r="J15" s="52">
        <v>0.26</v>
      </c>
      <c r="K15" s="52">
        <v>245.55</v>
      </c>
      <c r="L15" s="52">
        <v>30.8</v>
      </c>
      <c r="M15" s="52">
        <v>53.21</v>
      </c>
      <c r="N15" s="52">
        <v>22.8</v>
      </c>
      <c r="O15" s="52">
        <v>0</v>
      </c>
      <c r="P15" s="52">
        <v>0.45</v>
      </c>
      <c r="Q15" s="52">
        <v>5.27</v>
      </c>
    </row>
    <row r="16" spans="1:21" customFormat="1">
      <c r="A16" s="53" t="s">
        <v>354</v>
      </c>
      <c r="B16" s="52">
        <v>13.7</v>
      </c>
      <c r="C16" s="52">
        <v>50.57</v>
      </c>
      <c r="D16" s="52">
        <v>36.36</v>
      </c>
      <c r="E16" s="52">
        <v>7.89</v>
      </c>
      <c r="F16" s="52">
        <v>13.23</v>
      </c>
      <c r="G16" s="52">
        <v>24.77</v>
      </c>
      <c r="H16" s="52">
        <v>12.51</v>
      </c>
      <c r="I16" s="52">
        <v>4.5</v>
      </c>
      <c r="J16" s="52">
        <v>0.27</v>
      </c>
      <c r="K16" s="52">
        <v>193.3</v>
      </c>
      <c r="L16" s="52">
        <v>31.87</v>
      </c>
      <c r="M16" s="52">
        <v>51.99</v>
      </c>
      <c r="N16" s="52">
        <v>85.6</v>
      </c>
      <c r="O16" s="52">
        <v>0</v>
      </c>
      <c r="P16" s="52">
        <v>0.46</v>
      </c>
      <c r="Q16" s="52">
        <v>5.35</v>
      </c>
    </row>
    <row r="17" spans="1:17" customFormat="1">
      <c r="A17" s="53" t="s">
        <v>355</v>
      </c>
      <c r="B17" s="52">
        <v>13.51</v>
      </c>
      <c r="C17" s="52">
        <v>46.29</v>
      </c>
      <c r="D17" s="52">
        <v>33.619999999999997</v>
      </c>
      <c r="E17" s="52">
        <v>8.33</v>
      </c>
      <c r="F17" s="52">
        <v>17.8</v>
      </c>
      <c r="G17" s="52">
        <v>25.57</v>
      </c>
      <c r="H17" s="52">
        <v>12.51</v>
      </c>
      <c r="I17" s="52">
        <v>4.58</v>
      </c>
      <c r="J17" s="52">
        <v>0.57999999999999996</v>
      </c>
      <c r="K17" s="52">
        <v>259.11</v>
      </c>
      <c r="L17" s="52">
        <v>33.72</v>
      </c>
      <c r="M17" s="52">
        <v>47.96</v>
      </c>
      <c r="N17" s="52">
        <v>211</v>
      </c>
      <c r="O17" s="52">
        <v>0</v>
      </c>
      <c r="P17" s="52">
        <v>0.45</v>
      </c>
      <c r="Q17" s="52">
        <v>5.31</v>
      </c>
    </row>
    <row r="18" spans="1:17" customFormat="1">
      <c r="A18" s="53" t="s">
        <v>356</v>
      </c>
      <c r="B18" s="52">
        <v>12.24</v>
      </c>
      <c r="C18" s="52">
        <v>46.01</v>
      </c>
      <c r="D18" s="52">
        <v>32.81</v>
      </c>
      <c r="E18" s="52">
        <v>10.79</v>
      </c>
      <c r="F18" s="52">
        <v>19.73</v>
      </c>
      <c r="G18" s="52">
        <v>25.57</v>
      </c>
      <c r="H18" s="52">
        <v>12.84</v>
      </c>
      <c r="I18" s="52">
        <v>4.63</v>
      </c>
      <c r="J18" s="52">
        <v>0.85</v>
      </c>
      <c r="K18" s="52">
        <v>257.63</v>
      </c>
      <c r="L18" s="52">
        <v>34.9</v>
      </c>
      <c r="M18" s="52">
        <v>42.86</v>
      </c>
      <c r="N18" s="52">
        <v>254.1</v>
      </c>
      <c r="O18" s="52">
        <v>0</v>
      </c>
      <c r="P18" s="52">
        <v>0.45</v>
      </c>
      <c r="Q18" s="52">
        <v>5.22</v>
      </c>
    </row>
    <row r="19" spans="1:17" customFormat="1">
      <c r="A19" s="53" t="s">
        <v>357</v>
      </c>
      <c r="B19" s="52">
        <v>8.24</v>
      </c>
      <c r="C19" s="52">
        <v>43.29</v>
      </c>
      <c r="D19" s="52">
        <v>26.92</v>
      </c>
      <c r="E19" s="52">
        <v>10.64</v>
      </c>
      <c r="F19" s="52">
        <v>25.57</v>
      </c>
      <c r="G19" s="52">
        <v>34.24</v>
      </c>
      <c r="H19" s="52">
        <v>17.38</v>
      </c>
      <c r="I19" s="52">
        <v>4.49</v>
      </c>
      <c r="J19" s="52">
        <v>0.76</v>
      </c>
      <c r="K19" s="52">
        <v>268.14999999999998</v>
      </c>
      <c r="L19" s="52">
        <v>38.67</v>
      </c>
      <c r="M19" s="52">
        <v>37.89</v>
      </c>
      <c r="N19" s="52">
        <v>301</v>
      </c>
      <c r="O19" s="52">
        <v>0</v>
      </c>
      <c r="P19" s="52">
        <v>0.44</v>
      </c>
      <c r="Q19" s="52">
        <v>4.9400000000000004</v>
      </c>
    </row>
    <row r="20" spans="1:17" customFormat="1">
      <c r="A20" s="53" t="s">
        <v>358</v>
      </c>
      <c r="B20" s="52">
        <v>6.07</v>
      </c>
      <c r="C20" s="52">
        <v>46.4</v>
      </c>
      <c r="D20" s="52">
        <v>27.01</v>
      </c>
      <c r="E20" s="52">
        <v>8.7100000000000009</v>
      </c>
      <c r="F20" s="52">
        <v>20.54</v>
      </c>
      <c r="G20" s="52">
        <v>34.24</v>
      </c>
      <c r="H20" s="52">
        <v>17.38</v>
      </c>
      <c r="I20" s="52">
        <v>4.74</v>
      </c>
      <c r="J20" s="52">
        <v>1.1599999999999999</v>
      </c>
      <c r="K20" s="52">
        <v>285.52999999999997</v>
      </c>
      <c r="L20" s="52">
        <v>39.57</v>
      </c>
      <c r="M20" s="52">
        <v>29.25</v>
      </c>
      <c r="N20" s="52">
        <v>725.8</v>
      </c>
      <c r="O20" s="52">
        <v>0</v>
      </c>
      <c r="P20" s="52">
        <v>0.46</v>
      </c>
      <c r="Q20" s="52">
        <v>4.9000000000000004</v>
      </c>
    </row>
    <row r="21" spans="1:17" customFormat="1">
      <c r="A21" s="53" t="s">
        <v>359</v>
      </c>
      <c r="B21" s="52">
        <v>4.38</v>
      </c>
      <c r="C21" s="52">
        <v>43.55</v>
      </c>
      <c r="D21" s="52">
        <v>24.99</v>
      </c>
      <c r="E21" s="52">
        <v>18.309999999999999</v>
      </c>
      <c r="F21" s="52">
        <v>38.020000000000003</v>
      </c>
      <c r="G21" s="52">
        <v>31.13</v>
      </c>
      <c r="H21" s="52">
        <v>19.98</v>
      </c>
      <c r="I21" s="52">
        <v>5.51</v>
      </c>
      <c r="J21" s="52">
        <v>1.1000000000000001</v>
      </c>
      <c r="K21" s="52">
        <v>301.7</v>
      </c>
      <c r="L21" s="52">
        <v>40.71</v>
      </c>
      <c r="M21" s="52">
        <v>25.1</v>
      </c>
      <c r="N21" s="52">
        <v>780</v>
      </c>
      <c r="O21" s="52">
        <v>0</v>
      </c>
      <c r="P21" s="52">
        <v>0.57999999999999996</v>
      </c>
      <c r="Q21" s="52">
        <v>4.8499999999999996</v>
      </c>
    </row>
    <row r="22" spans="1:17" customFormat="1">
      <c r="A22" s="53" t="s">
        <v>360</v>
      </c>
      <c r="B22" s="52">
        <v>4.17</v>
      </c>
      <c r="C22" s="52">
        <v>42.47</v>
      </c>
      <c r="D22" s="52">
        <v>23.78</v>
      </c>
      <c r="E22" s="52">
        <v>9.2899999999999991</v>
      </c>
      <c r="F22" s="52">
        <v>35.590000000000003</v>
      </c>
      <c r="G22" s="52">
        <v>37.78</v>
      </c>
      <c r="H22" s="52">
        <v>19.98</v>
      </c>
      <c r="I22" s="52">
        <v>5.92</v>
      </c>
      <c r="J22" s="52">
        <v>1.46</v>
      </c>
      <c r="K22" s="52">
        <v>293.04000000000002</v>
      </c>
      <c r="L22" s="52">
        <v>41.67</v>
      </c>
      <c r="M22" s="52">
        <v>23.18</v>
      </c>
      <c r="N22" s="52">
        <v>745.4</v>
      </c>
      <c r="O22" s="52">
        <v>0</v>
      </c>
      <c r="P22" s="52">
        <v>0.46</v>
      </c>
      <c r="Q22" s="52">
        <v>4.6900000000000004</v>
      </c>
    </row>
    <row r="23" spans="1:17" customFormat="1">
      <c r="A23" s="53" t="s">
        <v>361</v>
      </c>
      <c r="B23" s="52">
        <v>4.82</v>
      </c>
      <c r="C23" s="52">
        <v>46.14</v>
      </c>
      <c r="D23" s="52">
        <v>26.93</v>
      </c>
      <c r="E23" s="52">
        <v>7.82</v>
      </c>
      <c r="F23" s="52">
        <v>23.56</v>
      </c>
      <c r="G23" s="52">
        <v>37.78</v>
      </c>
      <c r="H23" s="52">
        <v>19.920000000000002</v>
      </c>
      <c r="I23" s="52">
        <v>5.23</v>
      </c>
      <c r="J23" s="52">
        <v>1.4</v>
      </c>
      <c r="K23" s="52">
        <v>359.55</v>
      </c>
      <c r="L23" s="52">
        <v>42.25</v>
      </c>
      <c r="M23" s="52">
        <v>20.14</v>
      </c>
      <c r="N23" s="52">
        <v>673.2</v>
      </c>
      <c r="O23" s="52">
        <v>0</v>
      </c>
      <c r="P23" s="52">
        <v>0.47</v>
      </c>
      <c r="Q23" s="52">
        <v>4.88</v>
      </c>
    </row>
    <row r="24" spans="1:17" customFormat="1">
      <c r="A24" s="53" t="s">
        <v>362</v>
      </c>
      <c r="B24" s="52">
        <v>7.6</v>
      </c>
      <c r="C24" s="52">
        <v>49.01</v>
      </c>
      <c r="D24" s="52">
        <v>30.5</v>
      </c>
      <c r="E24" s="52">
        <v>9.07</v>
      </c>
      <c r="F24" s="52">
        <v>35.119999999999997</v>
      </c>
      <c r="G24" s="52">
        <v>34.94</v>
      </c>
      <c r="H24" s="52">
        <v>18.309999999999999</v>
      </c>
      <c r="I24" s="52">
        <v>4.99</v>
      </c>
      <c r="J24" s="52">
        <v>0.73</v>
      </c>
      <c r="K24" s="52">
        <v>330.22</v>
      </c>
      <c r="L24" s="52">
        <v>41.57</v>
      </c>
      <c r="M24" s="52">
        <v>21.09</v>
      </c>
      <c r="N24" s="52">
        <v>245.2</v>
      </c>
      <c r="O24" s="52">
        <v>0</v>
      </c>
      <c r="P24" s="52">
        <v>0.47</v>
      </c>
      <c r="Q24" s="52">
        <v>5.09</v>
      </c>
    </row>
    <row r="25" spans="1:17" customFormat="1">
      <c r="A25" s="53" t="s">
        <v>363</v>
      </c>
      <c r="B25" s="52">
        <v>7.65</v>
      </c>
      <c r="C25" s="52">
        <v>50.77</v>
      </c>
      <c r="D25" s="52">
        <v>31.39</v>
      </c>
      <c r="E25" s="52">
        <v>9.64</v>
      </c>
      <c r="F25" s="52">
        <v>32.31</v>
      </c>
      <c r="G25" s="52">
        <v>41.55</v>
      </c>
      <c r="H25" s="52">
        <v>18.82</v>
      </c>
      <c r="I25" s="52">
        <v>4.13</v>
      </c>
      <c r="J25" s="52">
        <v>0.52</v>
      </c>
      <c r="K25" s="52">
        <v>335.27</v>
      </c>
      <c r="L25" s="52">
        <v>40.630000000000003</v>
      </c>
      <c r="M25" s="52">
        <v>22.5</v>
      </c>
      <c r="N25" s="52">
        <v>127.4</v>
      </c>
      <c r="O25" s="52">
        <v>0</v>
      </c>
      <c r="P25" s="52">
        <v>0.5</v>
      </c>
      <c r="Q25" s="52">
        <v>5.25</v>
      </c>
    </row>
    <row r="26" spans="1:17" customFormat="1">
      <c r="A26" s="53" t="s">
        <v>364</v>
      </c>
      <c r="B26" s="52">
        <v>10.06</v>
      </c>
      <c r="C26" s="52">
        <v>50.45</v>
      </c>
      <c r="D26" s="52">
        <v>32.450000000000003</v>
      </c>
      <c r="E26" s="52">
        <v>12.8</v>
      </c>
      <c r="F26" s="52">
        <v>30.18</v>
      </c>
      <c r="G26" s="52">
        <v>46.62</v>
      </c>
      <c r="H26" s="52">
        <v>21.35</v>
      </c>
      <c r="I26" s="52">
        <v>4.7699999999999996</v>
      </c>
      <c r="J26" s="52">
        <v>0.85</v>
      </c>
      <c r="K26" s="52">
        <v>335.1</v>
      </c>
      <c r="L26" s="52">
        <v>39.700000000000003</v>
      </c>
      <c r="M26" s="52">
        <v>27.94</v>
      </c>
      <c r="N26" s="52">
        <v>44.7</v>
      </c>
      <c r="O26" s="52">
        <v>0</v>
      </c>
      <c r="P26" s="52">
        <v>0.56000000000000005</v>
      </c>
      <c r="Q26" s="52">
        <v>5.22</v>
      </c>
    </row>
    <row r="27" spans="1:17" customFormat="1">
      <c r="A27" s="53" t="s">
        <v>365</v>
      </c>
      <c r="B27" s="52">
        <v>10.130000000000001</v>
      </c>
      <c r="C27" s="52">
        <v>53.24</v>
      </c>
      <c r="D27" s="52">
        <v>34.28</v>
      </c>
      <c r="E27" s="52">
        <v>8.6999999999999993</v>
      </c>
      <c r="F27" s="52">
        <v>23.22</v>
      </c>
      <c r="G27" s="52">
        <v>58.68</v>
      </c>
      <c r="H27" s="52">
        <v>23.87</v>
      </c>
      <c r="I27" s="52">
        <v>4.74</v>
      </c>
      <c r="J27" s="52">
        <v>2.2799999999999998</v>
      </c>
      <c r="K27" s="52">
        <v>304.29000000000002</v>
      </c>
      <c r="L27" s="52">
        <v>37.42</v>
      </c>
      <c r="M27" s="52">
        <v>53.98</v>
      </c>
      <c r="N27" s="52">
        <v>6</v>
      </c>
      <c r="O27" s="52">
        <v>0</v>
      </c>
      <c r="P27" s="52">
        <v>0.52</v>
      </c>
      <c r="Q27" s="52">
        <v>5.0999999999999996</v>
      </c>
    </row>
    <row r="28" spans="1:17" customFormat="1">
      <c r="A28" s="53" t="s">
        <v>366</v>
      </c>
      <c r="B28" s="52">
        <v>8.56</v>
      </c>
      <c r="C28" s="52">
        <v>51.33</v>
      </c>
      <c r="D28" s="52">
        <v>32.44</v>
      </c>
      <c r="E28" s="52">
        <v>5.79</v>
      </c>
      <c r="F28" s="52">
        <v>10.95</v>
      </c>
      <c r="G28" s="52">
        <v>71.09</v>
      </c>
      <c r="H28" s="52">
        <v>25.57</v>
      </c>
      <c r="I28" s="52">
        <v>5.0599999999999996</v>
      </c>
      <c r="J28" s="52">
        <v>1.54</v>
      </c>
      <c r="K28" s="52">
        <v>264.37</v>
      </c>
      <c r="L28" s="52">
        <v>31.58</v>
      </c>
      <c r="M28" s="52">
        <v>77.53</v>
      </c>
      <c r="N28" s="52">
        <v>0</v>
      </c>
      <c r="O28" s="52">
        <v>0</v>
      </c>
      <c r="P28" s="52">
        <v>0.52</v>
      </c>
      <c r="Q28" s="52">
        <v>4.97</v>
      </c>
    </row>
    <row r="29" spans="1:17" customFormat="1">
      <c r="A29" s="53" t="s">
        <v>367</v>
      </c>
      <c r="B29" s="52">
        <v>7.22</v>
      </c>
      <c r="C29" s="52">
        <v>45.38</v>
      </c>
      <c r="D29" s="52">
        <v>28.45</v>
      </c>
      <c r="E29" s="52">
        <v>6.69</v>
      </c>
      <c r="F29" s="52">
        <v>33.81</v>
      </c>
      <c r="G29" s="52">
        <v>71.09</v>
      </c>
      <c r="H29" s="52">
        <v>25.57</v>
      </c>
      <c r="I29" s="52">
        <v>4.7699999999999996</v>
      </c>
      <c r="J29" s="52">
        <v>0.68</v>
      </c>
      <c r="K29" s="52">
        <v>258.95999999999998</v>
      </c>
      <c r="L29" s="52">
        <v>32.450000000000003</v>
      </c>
      <c r="M29" s="52">
        <v>45.52</v>
      </c>
      <c r="N29" s="52">
        <v>0</v>
      </c>
      <c r="O29" s="52">
        <v>0</v>
      </c>
      <c r="P29" s="52">
        <v>0.47</v>
      </c>
      <c r="Q29" s="52">
        <v>4.9000000000000004</v>
      </c>
    </row>
    <row r="30" spans="1:17" customFormat="1">
      <c r="A30" s="53" t="s">
        <v>368</v>
      </c>
      <c r="B30" s="52">
        <v>11.49</v>
      </c>
      <c r="C30" s="52">
        <v>56.9</v>
      </c>
      <c r="D30" s="52">
        <v>37.9</v>
      </c>
      <c r="E30" s="52">
        <v>11.03</v>
      </c>
      <c r="F30" s="52">
        <v>25.26</v>
      </c>
      <c r="G30" s="52">
        <v>43.78</v>
      </c>
      <c r="H30" s="52">
        <v>16.62</v>
      </c>
      <c r="I30" s="52">
        <v>4.83</v>
      </c>
      <c r="J30" s="52">
        <v>0.43</v>
      </c>
      <c r="K30" s="52">
        <v>252.71</v>
      </c>
      <c r="L30" s="52">
        <v>32.869999999999997</v>
      </c>
      <c r="M30" s="52">
        <v>46.57</v>
      </c>
      <c r="N30" s="52">
        <v>0</v>
      </c>
      <c r="O30" s="52">
        <v>0</v>
      </c>
      <c r="P30" s="52">
        <v>0.66</v>
      </c>
      <c r="Q30" s="52">
        <v>5.01</v>
      </c>
    </row>
    <row r="31" spans="1:17" customFormat="1">
      <c r="A31" s="53" t="s">
        <v>369</v>
      </c>
      <c r="B31" s="52">
        <v>9.35</v>
      </c>
      <c r="C31" s="52">
        <v>47.38</v>
      </c>
      <c r="D31" s="52">
        <v>31.21</v>
      </c>
      <c r="E31" s="52">
        <v>10.88</v>
      </c>
      <c r="F31" s="52">
        <v>22.41</v>
      </c>
      <c r="G31" s="52">
        <v>47.68</v>
      </c>
      <c r="H31" s="52">
        <v>18.66</v>
      </c>
      <c r="I31" s="52">
        <v>4.8899999999999997</v>
      </c>
      <c r="J31" s="52">
        <v>0.26</v>
      </c>
      <c r="K31" s="52">
        <v>217.26</v>
      </c>
      <c r="L31" s="52">
        <v>32.14</v>
      </c>
      <c r="M31" s="52">
        <v>59.33</v>
      </c>
      <c r="N31" s="52">
        <v>0</v>
      </c>
      <c r="O31" s="52">
        <v>0</v>
      </c>
      <c r="P31" s="52">
        <v>0.64</v>
      </c>
      <c r="Q31" s="52">
        <v>5.07</v>
      </c>
    </row>
    <row r="32" spans="1:17" customFormat="1">
      <c r="A32" s="53" t="s">
        <v>370</v>
      </c>
      <c r="B32" s="52">
        <v>9.76</v>
      </c>
      <c r="C32" s="52">
        <v>47.58</v>
      </c>
      <c r="D32" s="52">
        <v>31.65</v>
      </c>
      <c r="E32" s="52">
        <v>10.98</v>
      </c>
      <c r="F32" s="52">
        <v>17.63</v>
      </c>
      <c r="G32" s="52">
        <v>47.68</v>
      </c>
      <c r="H32" s="52">
        <v>18.88</v>
      </c>
      <c r="I32" s="52">
        <v>5</v>
      </c>
      <c r="J32" s="52">
        <v>0.41</v>
      </c>
      <c r="K32" s="52">
        <v>244.32</v>
      </c>
      <c r="L32" s="52">
        <v>32.119999999999997</v>
      </c>
      <c r="M32" s="52">
        <v>54.44</v>
      </c>
      <c r="N32" s="52">
        <v>0</v>
      </c>
      <c r="O32" s="52">
        <v>0</v>
      </c>
      <c r="P32" s="52">
        <v>0.64</v>
      </c>
      <c r="Q32" s="52">
        <v>5.22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4.17</v>
      </c>
      <c r="C34" s="41">
        <f t="shared" si="0"/>
        <v>42.47</v>
      </c>
      <c r="D34" s="41">
        <f t="shared" si="0"/>
        <v>23.78</v>
      </c>
      <c r="E34" s="41">
        <f t="shared" si="0"/>
        <v>5.79</v>
      </c>
      <c r="F34" s="41">
        <f t="shared" si="0"/>
        <v>10.95</v>
      </c>
      <c r="G34" s="41">
        <f t="shared" si="0"/>
        <v>24.77</v>
      </c>
      <c r="H34" s="41">
        <f t="shared" si="0"/>
        <v>11.88</v>
      </c>
      <c r="I34" s="41">
        <f t="shared" si="0"/>
        <v>3.83</v>
      </c>
      <c r="J34" s="41">
        <f t="shared" si="0"/>
        <v>0.17</v>
      </c>
      <c r="K34" s="41">
        <f t="shared" si="0"/>
        <v>193.3</v>
      </c>
      <c r="L34" s="41">
        <f t="shared" si="0"/>
        <v>30.48</v>
      </c>
      <c r="M34" s="41">
        <f t="shared" si="0"/>
        <v>20.14</v>
      </c>
      <c r="N34" s="41">
        <f t="shared" si="0"/>
        <v>0</v>
      </c>
      <c r="O34" s="41">
        <f t="shared" si="0"/>
        <v>0</v>
      </c>
      <c r="P34" s="41">
        <f t="shared" si="0"/>
        <v>0.41</v>
      </c>
      <c r="Q34" s="41">
        <f t="shared" si="0"/>
        <v>4.6900000000000004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13.7</v>
      </c>
      <c r="C35" s="33">
        <f t="shared" si="1"/>
        <v>56.9</v>
      </c>
      <c r="D35" s="33">
        <f t="shared" si="1"/>
        <v>37.9</v>
      </c>
      <c r="E35" s="33">
        <f t="shared" si="1"/>
        <v>19.04</v>
      </c>
      <c r="F35" s="33">
        <f t="shared" si="1"/>
        <v>38.020000000000003</v>
      </c>
      <c r="G35" s="33">
        <f t="shared" si="1"/>
        <v>71.09</v>
      </c>
      <c r="H35" s="33">
        <f t="shared" si="1"/>
        <v>25.57</v>
      </c>
      <c r="I35" s="33">
        <f t="shared" si="1"/>
        <v>5.92</v>
      </c>
      <c r="J35" s="33">
        <f t="shared" si="1"/>
        <v>2.2799999999999998</v>
      </c>
      <c r="K35" s="33">
        <f t="shared" si="1"/>
        <v>359.55</v>
      </c>
      <c r="L35" s="33">
        <f t="shared" si="1"/>
        <v>42.25</v>
      </c>
      <c r="M35" s="33">
        <f t="shared" si="1"/>
        <v>77.53</v>
      </c>
      <c r="N35" s="33">
        <f t="shared" si="1"/>
        <v>780</v>
      </c>
      <c r="O35" s="33">
        <f t="shared" si="1"/>
        <v>0</v>
      </c>
      <c r="P35" s="33">
        <f t="shared" si="1"/>
        <v>0.66</v>
      </c>
      <c r="Q35" s="33">
        <f t="shared" si="1"/>
        <v>5.35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9.4708333333333332</v>
      </c>
      <c r="C36" s="41">
        <f t="shared" si="2"/>
        <v>47.844999999999999</v>
      </c>
      <c r="D36" s="41">
        <f t="shared" si="2"/>
        <v>31.247916666666669</v>
      </c>
      <c r="E36" s="41">
        <f t="shared" si="2"/>
        <v>10.098749999999997</v>
      </c>
      <c r="F36" s="41">
        <f t="shared" si="2"/>
        <v>22.215</v>
      </c>
      <c r="G36" s="41">
        <f t="shared" si="2"/>
        <v>40.977916666666658</v>
      </c>
      <c r="H36" s="41">
        <f t="shared" si="2"/>
        <v>17.756250000000001</v>
      </c>
      <c r="I36" s="41">
        <f t="shared" si="2"/>
        <v>4.6899999999999995</v>
      </c>
      <c r="J36" s="41">
        <f t="shared" si="2"/>
        <v>0.74250000000000005</v>
      </c>
      <c r="K36" s="41">
        <f t="shared" si="2"/>
        <v>271.42083333333335</v>
      </c>
      <c r="L36" s="41">
        <f t="shared" si="2"/>
        <v>35.149583333333339</v>
      </c>
      <c r="M36" s="41">
        <f t="shared" si="2"/>
        <v>43.466666666666669</v>
      </c>
      <c r="N36" s="41">
        <f t="shared" si="2"/>
        <v>175.92499999999998</v>
      </c>
      <c r="O36" s="41">
        <f t="shared" si="2"/>
        <v>0</v>
      </c>
      <c r="P36" s="41">
        <f t="shared" si="2"/>
        <v>0.49708333333333338</v>
      </c>
      <c r="Q36" s="41">
        <f t="shared" si="2"/>
        <v>5.0904166666666661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2.7777358885730474</v>
      </c>
      <c r="C37" s="41">
        <f t="shared" ref="C37:Q37" si="3">STDEV(C9:C32)</f>
        <v>3.393664173388319</v>
      </c>
      <c r="D37" s="41">
        <f t="shared" si="3"/>
        <v>3.532083975522748</v>
      </c>
      <c r="E37" s="41">
        <f t="shared" si="3"/>
        <v>3.2881834716874163</v>
      </c>
      <c r="F37" s="41">
        <f t="shared" si="3"/>
        <v>8.1303425244707483</v>
      </c>
      <c r="G37" s="41">
        <f t="shared" si="3"/>
        <v>12.87832252753398</v>
      </c>
      <c r="H37" s="41">
        <f t="shared" si="3"/>
        <v>3.8218773130036596</v>
      </c>
      <c r="I37" s="41">
        <f t="shared" si="3"/>
        <v>0.47370877129308081</v>
      </c>
      <c r="J37" s="41">
        <f t="shared" si="3"/>
        <v>0.51705899083180029</v>
      </c>
      <c r="K37" s="41">
        <f t="shared" si="3"/>
        <v>43.229573403708869</v>
      </c>
      <c r="L37" s="41">
        <f t="shared" si="3"/>
        <v>4.2363617277571146</v>
      </c>
      <c r="M37" s="41">
        <f t="shared" si="3"/>
        <v>14.542779970671445</v>
      </c>
      <c r="N37" s="41">
        <f t="shared" si="3"/>
        <v>270.83914727315943</v>
      </c>
      <c r="O37" s="41">
        <f t="shared" si="3"/>
        <v>0</v>
      </c>
      <c r="P37" s="41">
        <f t="shared" si="3"/>
        <v>7.0370396855660475E-2</v>
      </c>
      <c r="Q37" s="41">
        <f t="shared" si="3"/>
        <v>0.16783737384138003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G38" sqref="G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14/06/2023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4" t="s">
        <v>371</v>
      </c>
      <c r="B9" s="55">
        <v>13.29</v>
      </c>
      <c r="C9" s="55">
        <v>50.1</v>
      </c>
      <c r="D9" s="55">
        <v>35.79</v>
      </c>
      <c r="E9" s="55">
        <v>10.25</v>
      </c>
      <c r="F9" s="55">
        <v>19.03</v>
      </c>
      <c r="G9" s="55">
        <v>46.04</v>
      </c>
      <c r="H9" s="55">
        <v>18.88</v>
      </c>
      <c r="I9" s="55">
        <v>4.91</v>
      </c>
      <c r="J9" s="55">
        <v>0.86</v>
      </c>
      <c r="K9" s="55">
        <v>263.17</v>
      </c>
      <c r="L9" s="55">
        <v>33.700000000000003</v>
      </c>
      <c r="M9" s="55">
        <v>47.46</v>
      </c>
      <c r="N9" s="55">
        <v>0</v>
      </c>
      <c r="O9" s="55">
        <v>0</v>
      </c>
      <c r="P9" s="55">
        <v>0.62</v>
      </c>
      <c r="Q9" s="55">
        <v>5.3</v>
      </c>
    </row>
    <row r="10" spans="1:21" customFormat="1">
      <c r="A10" s="54" t="s">
        <v>372</v>
      </c>
      <c r="B10" s="55">
        <v>10.74</v>
      </c>
      <c r="C10" s="55">
        <v>46.3</v>
      </c>
      <c r="D10" s="55">
        <v>31.76</v>
      </c>
      <c r="E10" s="55">
        <v>27.32</v>
      </c>
      <c r="F10" s="55">
        <v>29.44</v>
      </c>
      <c r="G10" s="55">
        <v>45.09</v>
      </c>
      <c r="H10" s="55">
        <v>16.16</v>
      </c>
      <c r="I10" s="55">
        <v>4.78</v>
      </c>
      <c r="J10" s="55">
        <v>0.65</v>
      </c>
      <c r="K10" s="55">
        <v>255.63</v>
      </c>
      <c r="L10" s="55">
        <v>33.69</v>
      </c>
      <c r="M10" s="55">
        <v>39.74</v>
      </c>
      <c r="N10" s="55">
        <v>0</v>
      </c>
      <c r="O10" s="55">
        <v>0</v>
      </c>
      <c r="P10" s="55">
        <v>0.53</v>
      </c>
      <c r="Q10" s="55">
        <v>5.23</v>
      </c>
    </row>
    <row r="11" spans="1:21" customFormat="1">
      <c r="A11" s="54" t="s">
        <v>373</v>
      </c>
      <c r="B11" s="55">
        <v>10.85</v>
      </c>
      <c r="C11" s="55">
        <v>44.69</v>
      </c>
      <c r="D11" s="55">
        <v>31.01</v>
      </c>
      <c r="E11" s="55">
        <v>17.11</v>
      </c>
      <c r="F11" s="55">
        <v>20.64</v>
      </c>
      <c r="G11" s="55">
        <v>31.61</v>
      </c>
      <c r="H11" s="55">
        <v>14.34</v>
      </c>
      <c r="I11" s="55">
        <v>4.6500000000000004</v>
      </c>
      <c r="J11" s="55">
        <v>0.82</v>
      </c>
      <c r="K11" s="55">
        <v>292.37</v>
      </c>
      <c r="L11" s="55">
        <v>33.33</v>
      </c>
      <c r="M11" s="55">
        <v>41.05</v>
      </c>
      <c r="N11" s="55">
        <v>0</v>
      </c>
      <c r="O11" s="55">
        <v>0</v>
      </c>
      <c r="P11" s="55">
        <v>0.62</v>
      </c>
      <c r="Q11" s="55">
        <v>5.09</v>
      </c>
    </row>
    <row r="12" spans="1:21" customFormat="1">
      <c r="A12" s="54" t="s">
        <v>374</v>
      </c>
      <c r="B12" s="55">
        <v>10.24</v>
      </c>
      <c r="C12" s="55">
        <v>45.01</v>
      </c>
      <c r="D12" s="55">
        <v>30.22</v>
      </c>
      <c r="E12" s="55">
        <v>17.399999999999999</v>
      </c>
      <c r="F12" s="55">
        <v>18.39</v>
      </c>
      <c r="G12" s="55">
        <v>32.32</v>
      </c>
      <c r="H12" s="55">
        <v>14.85</v>
      </c>
      <c r="I12" s="55">
        <v>6.22</v>
      </c>
      <c r="J12" s="55">
        <v>0.7</v>
      </c>
      <c r="K12" s="55">
        <v>262.75</v>
      </c>
      <c r="L12" s="55">
        <v>32.659999999999997</v>
      </c>
      <c r="M12" s="55">
        <v>42.48</v>
      </c>
      <c r="N12" s="55">
        <v>0</v>
      </c>
      <c r="O12" s="55">
        <v>0</v>
      </c>
      <c r="P12" s="55">
        <v>0.77</v>
      </c>
      <c r="Q12" s="55">
        <v>5.05</v>
      </c>
    </row>
    <row r="13" spans="1:21" customFormat="1">
      <c r="A13" s="54" t="s">
        <v>375</v>
      </c>
      <c r="B13" s="55">
        <v>9.67</v>
      </c>
      <c r="C13" s="55">
        <v>40.46</v>
      </c>
      <c r="D13" s="55">
        <v>27.85</v>
      </c>
      <c r="E13" s="55">
        <v>7.13</v>
      </c>
      <c r="F13" s="55">
        <v>23.4</v>
      </c>
      <c r="G13" s="55">
        <v>32.32</v>
      </c>
      <c r="H13" s="55">
        <v>14.85</v>
      </c>
      <c r="I13" s="55">
        <v>5.6</v>
      </c>
      <c r="J13" s="55">
        <v>0.4</v>
      </c>
      <c r="K13" s="55">
        <v>241.85</v>
      </c>
      <c r="L13" s="55">
        <v>32.22</v>
      </c>
      <c r="M13" s="55">
        <v>38.92</v>
      </c>
      <c r="N13" s="55">
        <v>0</v>
      </c>
      <c r="O13" s="55">
        <v>0</v>
      </c>
      <c r="P13" s="55">
        <v>0.49</v>
      </c>
      <c r="Q13" s="55">
        <v>5.07</v>
      </c>
    </row>
    <row r="14" spans="1:21" customFormat="1">
      <c r="A14" s="54" t="s">
        <v>376</v>
      </c>
      <c r="B14" s="55">
        <v>10.51</v>
      </c>
      <c r="C14" s="55">
        <v>42.73</v>
      </c>
      <c r="D14" s="55">
        <v>29.71</v>
      </c>
      <c r="E14" s="55">
        <v>10.74</v>
      </c>
      <c r="F14" s="55">
        <v>22.24</v>
      </c>
      <c r="G14" s="55">
        <v>28.36</v>
      </c>
      <c r="H14" s="55">
        <v>11.84</v>
      </c>
      <c r="I14" s="55">
        <v>4.0199999999999996</v>
      </c>
      <c r="J14" s="55">
        <v>0.81</v>
      </c>
      <c r="K14" s="55">
        <v>250.82</v>
      </c>
      <c r="L14" s="55">
        <v>32.58</v>
      </c>
      <c r="M14" s="55">
        <v>39.409999999999997</v>
      </c>
      <c r="N14" s="55">
        <v>28.7</v>
      </c>
      <c r="O14" s="55">
        <v>0</v>
      </c>
      <c r="P14" s="55">
        <v>0.48</v>
      </c>
      <c r="Q14" s="55">
        <v>5.08</v>
      </c>
    </row>
    <row r="15" spans="1:21" customFormat="1">
      <c r="A15" s="54" t="s">
        <v>377</v>
      </c>
      <c r="B15" s="55">
        <v>11.14</v>
      </c>
      <c r="C15" s="55">
        <v>44.35</v>
      </c>
      <c r="D15" s="55">
        <v>31.06</v>
      </c>
      <c r="E15" s="55">
        <v>9.85</v>
      </c>
      <c r="F15" s="55">
        <v>15.97</v>
      </c>
      <c r="G15" s="55">
        <v>25.67</v>
      </c>
      <c r="H15" s="55">
        <v>11.84</v>
      </c>
      <c r="I15" s="55">
        <v>4.4800000000000004</v>
      </c>
      <c r="J15" s="55">
        <v>0.81</v>
      </c>
      <c r="K15" s="55">
        <v>267.73</v>
      </c>
      <c r="L15" s="55">
        <v>33.020000000000003</v>
      </c>
      <c r="M15" s="55">
        <v>43.65</v>
      </c>
      <c r="N15" s="55">
        <v>108.1</v>
      </c>
      <c r="O15" s="55">
        <v>0</v>
      </c>
      <c r="P15" s="55">
        <v>0.48</v>
      </c>
      <c r="Q15" s="55">
        <v>5.07</v>
      </c>
    </row>
    <row r="16" spans="1:21" customFormat="1">
      <c r="A16" s="54" t="s">
        <v>378</v>
      </c>
      <c r="B16" s="55">
        <v>11.68</v>
      </c>
      <c r="C16" s="55">
        <v>47.39</v>
      </c>
      <c r="D16" s="55">
        <v>33.08</v>
      </c>
      <c r="E16" s="55">
        <v>12.84</v>
      </c>
      <c r="F16" s="55">
        <v>14.24</v>
      </c>
      <c r="G16" s="55">
        <v>30.64</v>
      </c>
      <c r="H16" s="55">
        <v>15.01</v>
      </c>
      <c r="I16" s="55">
        <v>5.41</v>
      </c>
      <c r="J16" s="55">
        <v>1.3</v>
      </c>
      <c r="K16" s="55">
        <v>295.63</v>
      </c>
      <c r="L16" s="55">
        <v>34.53</v>
      </c>
      <c r="M16" s="55">
        <v>42.85</v>
      </c>
      <c r="N16" s="55">
        <v>121.5</v>
      </c>
      <c r="O16" s="55">
        <v>0</v>
      </c>
      <c r="P16" s="55">
        <v>0.55000000000000004</v>
      </c>
      <c r="Q16" s="55">
        <v>5.04</v>
      </c>
    </row>
    <row r="17" spans="1:17" customFormat="1">
      <c r="A17" s="54" t="s">
        <v>379</v>
      </c>
      <c r="B17" s="55">
        <v>11.52</v>
      </c>
      <c r="C17" s="55">
        <v>48.07</v>
      </c>
      <c r="D17" s="55">
        <v>32.909999999999997</v>
      </c>
      <c r="E17" s="55">
        <v>8.3800000000000008</v>
      </c>
      <c r="F17" s="55">
        <v>12.37</v>
      </c>
      <c r="G17" s="55">
        <v>35.130000000000003</v>
      </c>
      <c r="H17" s="55">
        <v>16.97</v>
      </c>
      <c r="I17" s="55">
        <v>5.3</v>
      </c>
      <c r="J17" s="55">
        <v>1.85</v>
      </c>
      <c r="K17" s="55">
        <v>311.75</v>
      </c>
      <c r="L17" s="55">
        <v>36.01</v>
      </c>
      <c r="M17" s="55">
        <v>38.03</v>
      </c>
      <c r="N17" s="55">
        <v>146.1</v>
      </c>
      <c r="O17" s="55">
        <v>0</v>
      </c>
      <c r="P17" s="55">
        <v>0.55000000000000004</v>
      </c>
      <c r="Q17" s="55">
        <v>5</v>
      </c>
    </row>
    <row r="18" spans="1:17" customFormat="1">
      <c r="A18" s="54" t="s">
        <v>380</v>
      </c>
      <c r="B18" s="55">
        <v>10.34</v>
      </c>
      <c r="C18" s="55">
        <v>45.3</v>
      </c>
      <c r="D18" s="55">
        <v>30.91</v>
      </c>
      <c r="E18" s="55">
        <v>7.35</v>
      </c>
      <c r="F18" s="55">
        <v>17.579999999999998</v>
      </c>
      <c r="G18" s="55">
        <v>39.72</v>
      </c>
      <c r="H18" s="55">
        <v>16.97</v>
      </c>
      <c r="I18" s="55">
        <v>5.22</v>
      </c>
      <c r="J18" s="55">
        <v>1.56</v>
      </c>
      <c r="K18" s="55">
        <v>321.5</v>
      </c>
      <c r="L18" s="55">
        <v>37.630000000000003</v>
      </c>
      <c r="M18" s="55">
        <v>33.75</v>
      </c>
      <c r="N18" s="55">
        <v>176.4</v>
      </c>
      <c r="O18" s="55">
        <v>0</v>
      </c>
      <c r="P18" s="55">
        <v>0.55000000000000004</v>
      </c>
      <c r="Q18" s="55">
        <v>4.96</v>
      </c>
    </row>
    <row r="19" spans="1:17" customFormat="1">
      <c r="A19" s="54" t="s">
        <v>381</v>
      </c>
      <c r="B19" s="55">
        <v>8.39</v>
      </c>
      <c r="C19" s="55">
        <v>43.74</v>
      </c>
      <c r="D19" s="55">
        <v>28.05</v>
      </c>
      <c r="E19" s="55">
        <v>7.65</v>
      </c>
      <c r="F19" s="55">
        <v>22.53</v>
      </c>
      <c r="G19" s="55">
        <v>40.72</v>
      </c>
      <c r="H19" s="55">
        <v>18.03</v>
      </c>
      <c r="I19" s="55">
        <v>5.07</v>
      </c>
      <c r="J19" s="55">
        <v>1.45</v>
      </c>
      <c r="K19" s="55">
        <v>317.2</v>
      </c>
      <c r="L19" s="55">
        <v>38.94</v>
      </c>
      <c r="M19" s="55">
        <v>29.92</v>
      </c>
      <c r="N19" s="55">
        <v>221.3</v>
      </c>
      <c r="O19" s="55">
        <v>0</v>
      </c>
      <c r="P19" s="55">
        <v>0.53</v>
      </c>
      <c r="Q19" s="55">
        <v>4.8499999999999996</v>
      </c>
    </row>
    <row r="20" spans="1:17" customFormat="1">
      <c r="A20" s="54" t="s">
        <v>382</v>
      </c>
      <c r="B20" s="55">
        <v>7.03</v>
      </c>
      <c r="C20" s="55">
        <v>40.24</v>
      </c>
      <c r="D20" s="55">
        <v>25.44</v>
      </c>
      <c r="E20" s="55">
        <v>7.45</v>
      </c>
      <c r="F20" s="55">
        <v>23.63</v>
      </c>
      <c r="G20" s="55">
        <v>47.39</v>
      </c>
      <c r="H20" s="55">
        <v>18.03</v>
      </c>
      <c r="I20" s="55">
        <v>4.9000000000000004</v>
      </c>
      <c r="J20" s="55">
        <v>1.38</v>
      </c>
      <c r="K20" s="55">
        <v>339.02</v>
      </c>
      <c r="L20" s="55">
        <v>40.159999999999997</v>
      </c>
      <c r="M20" s="55">
        <v>27.48</v>
      </c>
      <c r="N20" s="55">
        <v>460.5</v>
      </c>
      <c r="O20" s="55">
        <v>0</v>
      </c>
      <c r="P20" s="55">
        <v>0.52</v>
      </c>
      <c r="Q20" s="55">
        <v>4.8</v>
      </c>
    </row>
    <row r="21" spans="1:17" customFormat="1">
      <c r="A21" s="54" t="s">
        <v>383</v>
      </c>
      <c r="B21" s="55">
        <v>5.13</v>
      </c>
      <c r="C21" s="55">
        <v>39.75</v>
      </c>
      <c r="D21" s="55">
        <v>23.68</v>
      </c>
      <c r="E21" s="55">
        <v>8.3000000000000007</v>
      </c>
      <c r="F21" s="55">
        <v>32.979999999999997</v>
      </c>
      <c r="G21" s="11" t="s">
        <v>12</v>
      </c>
      <c r="H21" s="11" t="s">
        <v>12</v>
      </c>
      <c r="I21" s="55">
        <v>4.67</v>
      </c>
      <c r="J21" s="55">
        <v>1.03</v>
      </c>
      <c r="K21" s="55">
        <v>350.93</v>
      </c>
      <c r="L21" s="55">
        <v>39.950000000000003</v>
      </c>
      <c r="M21" s="55">
        <v>88.16</v>
      </c>
      <c r="N21" s="55">
        <v>501.5</v>
      </c>
      <c r="O21" s="55">
        <v>0</v>
      </c>
      <c r="P21" s="55">
        <v>0.52</v>
      </c>
      <c r="Q21" s="55">
        <v>4.9400000000000004</v>
      </c>
    </row>
    <row r="22" spans="1:17" customFormat="1">
      <c r="A22" s="54" t="s">
        <v>384</v>
      </c>
      <c r="B22" s="55">
        <v>3.32</v>
      </c>
      <c r="C22" s="55">
        <v>40.630000000000003</v>
      </c>
      <c r="D22" s="55">
        <v>22.85</v>
      </c>
      <c r="E22" s="55">
        <v>5.09</v>
      </c>
      <c r="F22" s="55">
        <v>16.690000000000001</v>
      </c>
      <c r="G22" s="11" t="s">
        <v>12</v>
      </c>
      <c r="H22" s="11" t="s">
        <v>12</v>
      </c>
      <c r="I22" s="55">
        <v>4.4800000000000004</v>
      </c>
      <c r="J22" s="55">
        <v>2.15</v>
      </c>
      <c r="K22" s="55">
        <v>335.63</v>
      </c>
      <c r="L22" s="55">
        <v>29.11</v>
      </c>
      <c r="M22" s="55">
        <v>90.19</v>
      </c>
      <c r="N22" s="55">
        <v>123</v>
      </c>
      <c r="O22" s="55">
        <v>0</v>
      </c>
      <c r="P22" s="55">
        <v>0.45</v>
      </c>
      <c r="Q22" s="55">
        <v>4.5999999999999996</v>
      </c>
    </row>
    <row r="23" spans="1:17" customFormat="1">
      <c r="A23" s="54" t="s">
        <v>385</v>
      </c>
      <c r="B23" s="55">
        <v>2.02</v>
      </c>
      <c r="C23" s="55">
        <v>31.63</v>
      </c>
      <c r="D23" s="55">
        <v>16.03</v>
      </c>
      <c r="E23" s="55">
        <v>3.88</v>
      </c>
      <c r="F23" s="55">
        <v>32.659999999999997</v>
      </c>
      <c r="G23" s="55">
        <v>39.97</v>
      </c>
      <c r="H23" s="55">
        <v>1.7</v>
      </c>
      <c r="I23" s="55">
        <v>3.82</v>
      </c>
      <c r="J23" s="55">
        <v>2.8</v>
      </c>
      <c r="K23" s="55">
        <v>297.38</v>
      </c>
      <c r="L23" s="55">
        <v>26.5</v>
      </c>
      <c r="M23" s="55">
        <v>90.93</v>
      </c>
      <c r="N23" s="55">
        <v>39.4</v>
      </c>
      <c r="O23" s="55">
        <v>0</v>
      </c>
      <c r="P23" s="55">
        <v>0.37</v>
      </c>
      <c r="Q23" s="55">
        <v>4.12</v>
      </c>
    </row>
    <row r="24" spans="1:17" customFormat="1">
      <c r="A24" s="54" t="s">
        <v>386</v>
      </c>
      <c r="B24" s="55">
        <v>6.36</v>
      </c>
      <c r="C24" s="55">
        <v>39.22</v>
      </c>
      <c r="D24" s="55">
        <v>23.77</v>
      </c>
      <c r="E24" s="55">
        <v>3.7</v>
      </c>
      <c r="F24" s="55">
        <v>10.62</v>
      </c>
      <c r="G24" s="55">
        <v>39.97</v>
      </c>
      <c r="H24" s="55">
        <v>3.9</v>
      </c>
      <c r="I24" s="55">
        <v>1.95</v>
      </c>
      <c r="J24" s="55">
        <v>0.7</v>
      </c>
      <c r="K24" s="55">
        <v>176.99</v>
      </c>
      <c r="L24" s="55">
        <v>27.99</v>
      </c>
      <c r="M24" s="55">
        <v>81.45</v>
      </c>
      <c r="N24" s="55">
        <v>32.1</v>
      </c>
      <c r="O24" s="55">
        <v>0</v>
      </c>
      <c r="P24" s="55">
        <v>0.43</v>
      </c>
      <c r="Q24" s="55">
        <v>4.4400000000000004</v>
      </c>
    </row>
    <row r="25" spans="1:17" customFormat="1">
      <c r="A25" s="54" t="s">
        <v>387</v>
      </c>
      <c r="B25" s="55">
        <v>16.3</v>
      </c>
      <c r="C25" s="55">
        <v>42.87</v>
      </c>
      <c r="D25" s="55">
        <v>33.71</v>
      </c>
      <c r="E25" s="55">
        <v>5.01</v>
      </c>
      <c r="F25" s="55">
        <v>11.62</v>
      </c>
      <c r="G25" s="55">
        <v>41.84</v>
      </c>
      <c r="H25" s="55">
        <v>5.03</v>
      </c>
      <c r="I25" s="55">
        <v>2.96</v>
      </c>
      <c r="J25" s="55">
        <v>0.54</v>
      </c>
      <c r="K25" s="55">
        <v>149.88999999999999</v>
      </c>
      <c r="L25" s="55">
        <v>29.53</v>
      </c>
      <c r="M25" s="55">
        <v>81.41</v>
      </c>
      <c r="N25" s="55">
        <v>55.4</v>
      </c>
      <c r="O25" s="55">
        <v>0</v>
      </c>
      <c r="P25" s="55">
        <v>0.56999999999999995</v>
      </c>
      <c r="Q25" s="55">
        <v>4.84</v>
      </c>
    </row>
    <row r="26" spans="1:17" customFormat="1">
      <c r="A26" s="54" t="s">
        <v>388</v>
      </c>
      <c r="B26" s="55">
        <v>17.16</v>
      </c>
      <c r="C26" s="55">
        <v>48.5</v>
      </c>
      <c r="D26" s="55">
        <v>38.06</v>
      </c>
      <c r="E26" s="55">
        <v>4.9400000000000004</v>
      </c>
      <c r="F26" s="55">
        <v>13.6</v>
      </c>
      <c r="G26" s="55">
        <v>47.34</v>
      </c>
      <c r="H26" s="55">
        <v>14.78</v>
      </c>
      <c r="I26" s="55">
        <v>3.19</v>
      </c>
      <c r="J26" s="55">
        <v>0.22</v>
      </c>
      <c r="K26" s="55">
        <v>276.24</v>
      </c>
      <c r="L26" s="55">
        <v>29.84</v>
      </c>
      <c r="M26" s="55">
        <v>74.41</v>
      </c>
      <c r="N26" s="55">
        <v>53.2</v>
      </c>
      <c r="O26" s="55">
        <v>0</v>
      </c>
      <c r="P26" s="55">
        <v>0.59</v>
      </c>
      <c r="Q26" s="55">
        <v>5.0599999999999996</v>
      </c>
    </row>
    <row r="27" spans="1:17" customFormat="1">
      <c r="A27" s="54" t="s">
        <v>389</v>
      </c>
      <c r="B27" s="55">
        <v>27.99</v>
      </c>
      <c r="C27" s="55">
        <v>49.78</v>
      </c>
      <c r="D27" s="55">
        <v>47.41</v>
      </c>
      <c r="E27" s="55">
        <v>5.35</v>
      </c>
      <c r="F27" s="55">
        <v>8.7100000000000009</v>
      </c>
      <c r="G27" s="55">
        <v>75.2</v>
      </c>
      <c r="H27" s="55">
        <v>16.78</v>
      </c>
      <c r="I27" s="55">
        <v>4.09</v>
      </c>
      <c r="J27" s="55">
        <v>0.51</v>
      </c>
      <c r="K27" s="55">
        <v>246.76</v>
      </c>
      <c r="L27" s="55">
        <v>30.35</v>
      </c>
      <c r="M27" s="55">
        <v>76.64</v>
      </c>
      <c r="N27" s="55">
        <v>23.7</v>
      </c>
      <c r="O27" s="55">
        <v>0</v>
      </c>
      <c r="P27" s="55">
        <v>0.74</v>
      </c>
      <c r="Q27" s="55">
        <v>5.43</v>
      </c>
    </row>
    <row r="28" spans="1:17" customFormat="1">
      <c r="A28" s="54" t="s">
        <v>390</v>
      </c>
      <c r="B28" s="55">
        <v>15.21</v>
      </c>
      <c r="C28" s="55">
        <v>40.619999999999997</v>
      </c>
      <c r="D28" s="55">
        <v>31.76</v>
      </c>
      <c r="E28" s="55">
        <v>6.43</v>
      </c>
      <c r="F28" s="55">
        <v>22.97</v>
      </c>
      <c r="G28" s="55">
        <v>75.2</v>
      </c>
      <c r="H28" s="55">
        <v>16.78</v>
      </c>
      <c r="I28" s="55">
        <v>4.0199999999999996</v>
      </c>
      <c r="J28" s="55">
        <v>0.45</v>
      </c>
      <c r="K28" s="55">
        <v>254.93</v>
      </c>
      <c r="L28" s="55">
        <v>30.95</v>
      </c>
      <c r="M28" s="55">
        <v>56.13</v>
      </c>
      <c r="N28" s="55">
        <v>0</v>
      </c>
      <c r="O28" s="55">
        <v>0</v>
      </c>
      <c r="P28" s="55">
        <v>0.54</v>
      </c>
      <c r="Q28" s="55">
        <v>5.43</v>
      </c>
    </row>
    <row r="29" spans="1:17" customFormat="1">
      <c r="A29" s="54" t="s">
        <v>391</v>
      </c>
      <c r="B29" s="55">
        <v>18.55</v>
      </c>
      <c r="C29" s="55">
        <v>51.98</v>
      </c>
      <c r="D29" s="55">
        <v>40.99</v>
      </c>
      <c r="E29" s="55">
        <v>6.15</v>
      </c>
      <c r="F29" s="55">
        <v>12.34</v>
      </c>
      <c r="G29" s="55">
        <v>54.25</v>
      </c>
      <c r="H29" s="55">
        <v>17.21</v>
      </c>
      <c r="I29" s="55">
        <v>4.5199999999999996</v>
      </c>
      <c r="J29" s="55">
        <v>0.24</v>
      </c>
      <c r="K29" s="55">
        <v>180.93</v>
      </c>
      <c r="L29" s="55">
        <v>30.49</v>
      </c>
      <c r="M29" s="55">
        <v>62.65</v>
      </c>
      <c r="N29" s="55">
        <v>0</v>
      </c>
      <c r="O29" s="55">
        <v>0</v>
      </c>
      <c r="P29" s="55">
        <v>0.7</v>
      </c>
      <c r="Q29" s="55">
        <v>5.47</v>
      </c>
    </row>
    <row r="30" spans="1:17" customFormat="1">
      <c r="A30" s="54" t="s">
        <v>392</v>
      </c>
      <c r="B30" s="55">
        <v>17.88</v>
      </c>
      <c r="C30" s="55">
        <v>48.26</v>
      </c>
      <c r="D30" s="55">
        <v>38.51</v>
      </c>
      <c r="E30" s="55">
        <v>5.91</v>
      </c>
      <c r="F30" s="55">
        <v>9.33</v>
      </c>
      <c r="G30" s="55">
        <v>52.73</v>
      </c>
      <c r="H30" s="55">
        <v>17.21</v>
      </c>
      <c r="I30" s="55">
        <v>4.99</v>
      </c>
      <c r="J30" s="55">
        <v>0.24</v>
      </c>
      <c r="K30" s="55">
        <v>180.18</v>
      </c>
      <c r="L30" s="55">
        <v>29.13</v>
      </c>
      <c r="M30" s="55">
        <v>75.23</v>
      </c>
      <c r="N30" s="55">
        <v>0</v>
      </c>
      <c r="O30" s="55">
        <v>0</v>
      </c>
      <c r="P30" s="55">
        <v>0.7</v>
      </c>
      <c r="Q30" s="55">
        <v>5.52</v>
      </c>
    </row>
    <row r="31" spans="1:17" customFormat="1">
      <c r="A31" s="54" t="s">
        <v>393</v>
      </c>
      <c r="B31" s="55">
        <v>20.149999999999999</v>
      </c>
      <c r="C31" s="55">
        <v>49.03</v>
      </c>
      <c r="D31" s="55">
        <v>40.729999999999997</v>
      </c>
      <c r="E31" s="55">
        <v>6.21</v>
      </c>
      <c r="F31" s="55">
        <v>7.56</v>
      </c>
      <c r="G31" s="55">
        <v>48.71</v>
      </c>
      <c r="H31" s="55">
        <v>16.87</v>
      </c>
      <c r="I31" s="55">
        <v>5.79</v>
      </c>
      <c r="J31" s="55">
        <v>0.15</v>
      </c>
      <c r="K31" s="55">
        <v>206.69</v>
      </c>
      <c r="L31" s="55">
        <v>28.87</v>
      </c>
      <c r="M31" s="55">
        <v>73.83</v>
      </c>
      <c r="N31" s="55">
        <v>0</v>
      </c>
      <c r="O31" s="55">
        <v>0</v>
      </c>
      <c r="P31" s="55">
        <v>0.75</v>
      </c>
      <c r="Q31" s="55">
        <v>5.62</v>
      </c>
    </row>
    <row r="32" spans="1:17" customFormat="1">
      <c r="A32" s="54" t="s">
        <v>394</v>
      </c>
      <c r="B32" s="55">
        <v>23.46</v>
      </c>
      <c r="C32" s="55">
        <v>50.05</v>
      </c>
      <c r="D32" s="55">
        <v>43.92</v>
      </c>
      <c r="E32" s="55">
        <v>5.59</v>
      </c>
      <c r="F32" s="55">
        <v>5.04</v>
      </c>
      <c r="G32" s="55">
        <v>51.78</v>
      </c>
      <c r="H32" s="55">
        <v>16.87</v>
      </c>
      <c r="I32" s="55">
        <v>6.49</v>
      </c>
      <c r="J32" s="55">
        <v>0.16</v>
      </c>
      <c r="K32" s="55">
        <v>206.05</v>
      </c>
      <c r="L32" s="55">
        <v>28.39</v>
      </c>
      <c r="M32" s="55">
        <v>80.739999999999995</v>
      </c>
      <c r="N32" s="55">
        <v>0</v>
      </c>
      <c r="O32" s="55">
        <v>0</v>
      </c>
      <c r="P32" s="55">
        <v>0.82</v>
      </c>
      <c r="Q32" s="55">
        <v>5.74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2.02</v>
      </c>
      <c r="C34" s="41">
        <f t="shared" si="0"/>
        <v>31.63</v>
      </c>
      <c r="D34" s="41">
        <f t="shared" si="0"/>
        <v>16.03</v>
      </c>
      <c r="E34" s="41">
        <f t="shared" si="0"/>
        <v>3.7</v>
      </c>
      <c r="F34" s="41">
        <f t="shared" si="0"/>
        <v>5.04</v>
      </c>
      <c r="G34" s="41">
        <f t="shared" si="0"/>
        <v>25.67</v>
      </c>
      <c r="H34" s="41">
        <f t="shared" si="0"/>
        <v>1.7</v>
      </c>
      <c r="I34" s="41">
        <f t="shared" si="0"/>
        <v>1.95</v>
      </c>
      <c r="J34" s="41">
        <f t="shared" si="0"/>
        <v>0.15</v>
      </c>
      <c r="K34" s="41">
        <f t="shared" si="0"/>
        <v>149.88999999999999</v>
      </c>
      <c r="L34" s="41">
        <f t="shared" si="0"/>
        <v>26.5</v>
      </c>
      <c r="M34" s="41">
        <f t="shared" si="0"/>
        <v>27.48</v>
      </c>
      <c r="N34" s="41">
        <f t="shared" si="0"/>
        <v>0</v>
      </c>
      <c r="O34" s="41">
        <f t="shared" si="0"/>
        <v>0</v>
      </c>
      <c r="P34" s="41">
        <f t="shared" si="0"/>
        <v>0.37</v>
      </c>
      <c r="Q34" s="41">
        <f t="shared" si="0"/>
        <v>4.12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27.99</v>
      </c>
      <c r="C35" s="33">
        <f t="shared" si="1"/>
        <v>51.98</v>
      </c>
      <c r="D35" s="33">
        <f t="shared" si="1"/>
        <v>47.41</v>
      </c>
      <c r="E35" s="33">
        <f t="shared" si="1"/>
        <v>27.32</v>
      </c>
      <c r="F35" s="33">
        <f t="shared" si="1"/>
        <v>32.979999999999997</v>
      </c>
      <c r="G35" s="33">
        <f t="shared" si="1"/>
        <v>75.2</v>
      </c>
      <c r="H35" s="33">
        <f t="shared" si="1"/>
        <v>18.88</v>
      </c>
      <c r="I35" s="33">
        <f t="shared" si="1"/>
        <v>6.49</v>
      </c>
      <c r="J35" s="33">
        <f t="shared" si="1"/>
        <v>2.8</v>
      </c>
      <c r="K35" s="33">
        <f t="shared" si="1"/>
        <v>350.93</v>
      </c>
      <c r="L35" s="33">
        <f t="shared" si="1"/>
        <v>40.159999999999997</v>
      </c>
      <c r="M35" s="33">
        <f t="shared" si="1"/>
        <v>90.93</v>
      </c>
      <c r="N35" s="33">
        <f t="shared" si="1"/>
        <v>501.5</v>
      </c>
      <c r="O35" s="33">
        <f t="shared" si="1"/>
        <v>0</v>
      </c>
      <c r="P35" s="33">
        <f t="shared" si="1"/>
        <v>0.82</v>
      </c>
      <c r="Q35" s="33">
        <f t="shared" si="1"/>
        <v>5.74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12.455416666666666</v>
      </c>
      <c r="C36" s="41">
        <f t="shared" si="2"/>
        <v>44.612500000000004</v>
      </c>
      <c r="D36" s="41">
        <f t="shared" si="2"/>
        <v>32.050416666666663</v>
      </c>
      <c r="E36" s="41">
        <f t="shared" si="2"/>
        <v>8.7512499999999989</v>
      </c>
      <c r="F36" s="41">
        <f t="shared" si="2"/>
        <v>17.649166666666662</v>
      </c>
      <c r="G36" s="41">
        <f t="shared" si="2"/>
        <v>43.727272727272741</v>
      </c>
      <c r="H36" s="41">
        <f t="shared" si="2"/>
        <v>14.313636363636363</v>
      </c>
      <c r="I36" s="41">
        <f t="shared" si="2"/>
        <v>4.6470833333333328</v>
      </c>
      <c r="J36" s="41">
        <f t="shared" si="2"/>
        <v>0.90749999999999975</v>
      </c>
      <c r="K36" s="41">
        <f t="shared" si="2"/>
        <v>261.75083333333333</v>
      </c>
      <c r="L36" s="41">
        <f t="shared" si="2"/>
        <v>32.482083333333335</v>
      </c>
      <c r="M36" s="41">
        <f t="shared" si="2"/>
        <v>58.187916666666688</v>
      </c>
      <c r="N36" s="41">
        <f t="shared" si="2"/>
        <v>87.120833333333323</v>
      </c>
      <c r="O36" s="41">
        <f t="shared" si="2"/>
        <v>0</v>
      </c>
      <c r="P36" s="41">
        <f t="shared" si="2"/>
        <v>0.57791666666666652</v>
      </c>
      <c r="Q36" s="41">
        <f t="shared" si="2"/>
        <v>5.072916666666667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6.2282113973551754</v>
      </c>
      <c r="C37" s="41">
        <f t="shared" ref="C37:Q37" si="3">STDEV(C9:C32)</f>
        <v>4.7023927766709948</v>
      </c>
      <c r="D37" s="41">
        <f t="shared" si="3"/>
        <v>7.2173393141352706</v>
      </c>
      <c r="E37" s="41">
        <f t="shared" si="3"/>
        <v>5.3602922636899146</v>
      </c>
      <c r="F37" s="41">
        <f t="shared" si="3"/>
        <v>7.6223783328614338</v>
      </c>
      <c r="G37" s="41">
        <f t="shared" si="3"/>
        <v>13.0339758148128</v>
      </c>
      <c r="H37" s="41">
        <f t="shared" si="3"/>
        <v>4.7572476490934665</v>
      </c>
      <c r="I37" s="41">
        <f t="shared" si="3"/>
        <v>1.0207732753702699</v>
      </c>
      <c r="J37" s="41">
        <f t="shared" si="3"/>
        <v>0.67770873569313195</v>
      </c>
      <c r="K37" s="41">
        <f t="shared" si="3"/>
        <v>55.939061246935331</v>
      </c>
      <c r="L37" s="41">
        <f t="shared" si="3"/>
        <v>3.8365938008542861</v>
      </c>
      <c r="M37" s="41">
        <f t="shared" si="3"/>
        <v>21.526836634094945</v>
      </c>
      <c r="N37" s="41">
        <f t="shared" si="3"/>
        <v>137.41112852587167</v>
      </c>
      <c r="O37" s="41">
        <f t="shared" si="3"/>
        <v>0</v>
      </c>
      <c r="P37" s="41">
        <f t="shared" si="3"/>
        <v>0.11579514019488815</v>
      </c>
      <c r="Q37" s="41">
        <f t="shared" si="3"/>
        <v>0.37193359817213001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15/06/2023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4" t="s">
        <v>395</v>
      </c>
      <c r="B9" s="55">
        <v>26.03</v>
      </c>
      <c r="C9" s="55">
        <v>51.38</v>
      </c>
      <c r="D9" s="55">
        <v>46.67</v>
      </c>
      <c r="E9" s="55">
        <v>6.69</v>
      </c>
      <c r="F9" s="55">
        <v>4.6500000000000004</v>
      </c>
      <c r="G9" s="55">
        <v>51.78</v>
      </c>
      <c r="H9" s="55">
        <v>14.88</v>
      </c>
      <c r="I9" s="55">
        <v>7.74</v>
      </c>
      <c r="J9" s="55">
        <v>0.15</v>
      </c>
      <c r="K9" s="55">
        <v>183.17</v>
      </c>
      <c r="L9" s="55">
        <v>27.56</v>
      </c>
      <c r="M9" s="55">
        <v>75.819999999999993</v>
      </c>
      <c r="N9" s="55">
        <v>0</v>
      </c>
      <c r="O9" s="55">
        <v>0</v>
      </c>
      <c r="P9" s="55">
        <v>0.87</v>
      </c>
      <c r="Q9" s="55">
        <v>5.9</v>
      </c>
    </row>
    <row r="10" spans="1:21" customFormat="1">
      <c r="A10" s="54" t="s">
        <v>396</v>
      </c>
      <c r="B10" s="55">
        <v>35.15</v>
      </c>
      <c r="C10" s="55">
        <v>52.55</v>
      </c>
      <c r="D10" s="55">
        <v>53.74</v>
      </c>
      <c r="E10" s="55">
        <v>6.02</v>
      </c>
      <c r="F10" s="55">
        <v>5.41</v>
      </c>
      <c r="G10" s="55">
        <v>47.26</v>
      </c>
      <c r="H10" s="55">
        <v>14.47</v>
      </c>
      <c r="I10" s="55">
        <v>7.62</v>
      </c>
      <c r="J10" s="55">
        <v>0.2</v>
      </c>
      <c r="K10" s="55">
        <v>209.18</v>
      </c>
      <c r="L10" s="55">
        <v>27.6</v>
      </c>
      <c r="M10" s="55">
        <v>72.459999999999994</v>
      </c>
      <c r="N10" s="55">
        <v>0</v>
      </c>
      <c r="O10" s="55">
        <v>0</v>
      </c>
      <c r="P10" s="55">
        <v>0.8</v>
      </c>
      <c r="Q10" s="55">
        <v>6.07</v>
      </c>
    </row>
    <row r="11" spans="1:21" customFormat="1">
      <c r="A11" s="54" t="s">
        <v>397</v>
      </c>
      <c r="B11" s="55">
        <v>31.26</v>
      </c>
      <c r="C11" s="55">
        <v>52.08</v>
      </c>
      <c r="D11" s="55">
        <v>51</v>
      </c>
      <c r="E11" s="55">
        <v>8.56</v>
      </c>
      <c r="F11" s="55">
        <v>8.51</v>
      </c>
      <c r="G11" s="55">
        <v>40.07</v>
      </c>
      <c r="H11" s="55">
        <v>10.99</v>
      </c>
      <c r="I11" s="55">
        <v>6.67</v>
      </c>
      <c r="J11" s="55">
        <v>0.18</v>
      </c>
      <c r="K11" s="55">
        <v>230.63</v>
      </c>
      <c r="L11" s="55">
        <v>28.12</v>
      </c>
      <c r="M11" s="55">
        <v>69.739999999999995</v>
      </c>
      <c r="N11" s="55">
        <v>0</v>
      </c>
      <c r="O11" s="55">
        <v>0</v>
      </c>
      <c r="P11" s="55">
        <v>0.79</v>
      </c>
      <c r="Q11" s="55">
        <v>6.22</v>
      </c>
    </row>
    <row r="12" spans="1:21" customFormat="1">
      <c r="A12" s="54" t="s">
        <v>398</v>
      </c>
      <c r="B12" s="55">
        <v>30.42</v>
      </c>
      <c r="C12" s="55">
        <v>49.86</v>
      </c>
      <c r="D12" s="55">
        <v>48.47</v>
      </c>
      <c r="E12" s="55">
        <v>7.78</v>
      </c>
      <c r="F12" s="55">
        <v>7.97</v>
      </c>
      <c r="G12" s="55">
        <v>40.950000000000003</v>
      </c>
      <c r="H12" s="55">
        <v>11.89</v>
      </c>
      <c r="I12" s="55">
        <v>6.08</v>
      </c>
      <c r="J12" s="55">
        <v>0.22</v>
      </c>
      <c r="K12" s="55">
        <v>228.91</v>
      </c>
      <c r="L12" s="55">
        <v>28.05</v>
      </c>
      <c r="M12" s="55">
        <v>62.31</v>
      </c>
      <c r="N12" s="55">
        <v>0</v>
      </c>
      <c r="O12" s="55">
        <v>0</v>
      </c>
      <c r="P12" s="55">
        <v>0.73</v>
      </c>
      <c r="Q12" s="55">
        <v>6.2</v>
      </c>
    </row>
    <row r="13" spans="1:21" customFormat="1">
      <c r="A13" s="54" t="s">
        <v>399</v>
      </c>
      <c r="B13" s="55">
        <v>30.91</v>
      </c>
      <c r="C13" s="55">
        <v>49.83</v>
      </c>
      <c r="D13" s="55">
        <v>49.34</v>
      </c>
      <c r="E13" s="55">
        <v>10.67</v>
      </c>
      <c r="F13" s="55">
        <v>6.72</v>
      </c>
      <c r="G13" s="55">
        <v>40.950000000000003</v>
      </c>
      <c r="H13" s="55">
        <v>11.89</v>
      </c>
      <c r="I13" s="55">
        <v>5.99</v>
      </c>
      <c r="J13" s="55">
        <v>0.56000000000000005</v>
      </c>
      <c r="K13" s="55">
        <v>252.11</v>
      </c>
      <c r="L13" s="55">
        <v>28.77</v>
      </c>
      <c r="M13" s="55">
        <v>59.83</v>
      </c>
      <c r="N13" s="55">
        <v>0</v>
      </c>
      <c r="O13" s="55">
        <v>0</v>
      </c>
      <c r="P13" s="55">
        <v>0.81</v>
      </c>
      <c r="Q13" s="55">
        <v>6.18</v>
      </c>
    </row>
    <row r="14" spans="1:21" customFormat="1">
      <c r="A14" s="54" t="s">
        <v>400</v>
      </c>
      <c r="B14" s="55">
        <v>31.46</v>
      </c>
      <c r="C14" s="55">
        <v>50.93</v>
      </c>
      <c r="D14" s="55">
        <v>50.58</v>
      </c>
      <c r="E14" s="55">
        <v>12.94</v>
      </c>
      <c r="F14" s="55">
        <v>5.1100000000000003</v>
      </c>
      <c r="G14" s="55">
        <v>38.700000000000003</v>
      </c>
      <c r="H14" s="55">
        <v>12.1</v>
      </c>
      <c r="I14" s="55">
        <v>6.54</v>
      </c>
      <c r="J14" s="55">
        <v>0.55000000000000004</v>
      </c>
      <c r="K14" s="55">
        <v>250.87</v>
      </c>
      <c r="L14" s="55">
        <v>28.91</v>
      </c>
      <c r="M14" s="55">
        <v>60.81</v>
      </c>
      <c r="N14" s="55">
        <v>23.4</v>
      </c>
      <c r="O14" s="55">
        <v>0</v>
      </c>
      <c r="P14" s="55">
        <v>0.83</v>
      </c>
      <c r="Q14" s="55">
        <v>6.2</v>
      </c>
    </row>
    <row r="15" spans="1:21" customFormat="1">
      <c r="A15" s="54" t="s">
        <v>401</v>
      </c>
      <c r="B15" s="55">
        <v>32.090000000000003</v>
      </c>
      <c r="C15" s="55">
        <v>52.14</v>
      </c>
      <c r="D15" s="55">
        <v>51.93</v>
      </c>
      <c r="E15" s="55">
        <v>13.87</v>
      </c>
      <c r="F15" s="55">
        <v>5.31</v>
      </c>
      <c r="G15" s="55">
        <v>38.700000000000003</v>
      </c>
      <c r="H15" s="55">
        <v>14</v>
      </c>
      <c r="I15" s="55">
        <v>6.86</v>
      </c>
      <c r="J15" s="55">
        <v>0.62</v>
      </c>
      <c r="K15" s="55">
        <v>256.77999999999997</v>
      </c>
      <c r="L15" s="55">
        <v>30.13</v>
      </c>
      <c r="M15" s="55">
        <v>61.58</v>
      </c>
      <c r="N15" s="55">
        <v>77.7</v>
      </c>
      <c r="O15" s="55">
        <v>0</v>
      </c>
      <c r="P15" s="55">
        <v>0.88</v>
      </c>
      <c r="Q15" s="55">
        <v>6.2</v>
      </c>
    </row>
    <row r="16" spans="1:21" customFormat="1">
      <c r="A16" s="54" t="s">
        <v>402</v>
      </c>
      <c r="B16" s="55">
        <v>32.090000000000003</v>
      </c>
      <c r="C16" s="55">
        <v>52.57</v>
      </c>
      <c r="D16" s="55">
        <v>51.91</v>
      </c>
      <c r="E16" s="55">
        <v>15.86</v>
      </c>
      <c r="F16" s="55">
        <v>7.29</v>
      </c>
      <c r="G16" s="55">
        <v>44.66</v>
      </c>
      <c r="H16" s="55">
        <v>14.38</v>
      </c>
      <c r="I16" s="55">
        <v>8.02</v>
      </c>
      <c r="J16" s="55">
        <v>0.77</v>
      </c>
      <c r="K16" s="55">
        <v>275.33999999999997</v>
      </c>
      <c r="L16" s="55">
        <v>32.49</v>
      </c>
      <c r="M16" s="55">
        <v>54.54</v>
      </c>
      <c r="N16" s="55">
        <v>124.8</v>
      </c>
      <c r="O16" s="55">
        <v>0</v>
      </c>
      <c r="P16" s="55">
        <v>1</v>
      </c>
      <c r="Q16" s="55">
        <v>6.17</v>
      </c>
    </row>
    <row r="17" spans="1:17" customFormat="1">
      <c r="A17" s="54" t="s">
        <v>403</v>
      </c>
      <c r="B17" s="55">
        <v>29.85</v>
      </c>
      <c r="C17" s="55">
        <v>50.58</v>
      </c>
      <c r="D17" s="55">
        <v>49.11</v>
      </c>
      <c r="E17" s="55">
        <v>15.51</v>
      </c>
      <c r="F17" s="55">
        <v>9.1300000000000008</v>
      </c>
      <c r="G17" s="55">
        <v>51.34</v>
      </c>
      <c r="H17" s="55">
        <v>17.29</v>
      </c>
      <c r="I17" s="55">
        <v>8.6300000000000008</v>
      </c>
      <c r="J17" s="55">
        <v>1.64</v>
      </c>
      <c r="K17" s="55">
        <v>306.20999999999998</v>
      </c>
      <c r="L17" s="55">
        <v>34.090000000000003</v>
      </c>
      <c r="M17" s="55">
        <v>46.27</v>
      </c>
      <c r="N17" s="55">
        <v>161.4</v>
      </c>
      <c r="O17" s="55">
        <v>0</v>
      </c>
      <c r="P17" s="55">
        <v>0.97</v>
      </c>
      <c r="Q17" s="55">
        <v>6.08</v>
      </c>
    </row>
    <row r="18" spans="1:17" customFormat="1">
      <c r="A18" s="54" t="s">
        <v>404</v>
      </c>
      <c r="B18" s="55">
        <v>23.79</v>
      </c>
      <c r="C18" s="55">
        <v>47.86</v>
      </c>
      <c r="D18" s="55">
        <v>42.1</v>
      </c>
      <c r="E18" s="55">
        <v>10.19</v>
      </c>
      <c r="F18" s="55">
        <v>13.98</v>
      </c>
      <c r="G18" s="55">
        <v>52.04</v>
      </c>
      <c r="H18" s="55">
        <v>22.03</v>
      </c>
      <c r="I18" s="55">
        <v>7.69</v>
      </c>
      <c r="J18" s="55">
        <v>1.36</v>
      </c>
      <c r="K18" s="55">
        <v>305.86</v>
      </c>
      <c r="L18" s="55">
        <v>35.86</v>
      </c>
      <c r="M18" s="55">
        <v>43.48</v>
      </c>
      <c r="N18" s="55">
        <v>182.7</v>
      </c>
      <c r="O18" s="55">
        <v>0</v>
      </c>
      <c r="P18" s="55">
        <v>0.85</v>
      </c>
      <c r="Q18" s="55">
        <v>5.83</v>
      </c>
    </row>
    <row r="19" spans="1:17" customFormat="1">
      <c r="A19" s="54" t="s">
        <v>405</v>
      </c>
      <c r="B19" s="55">
        <v>20.010000000000002</v>
      </c>
      <c r="C19" s="55">
        <v>45.21</v>
      </c>
      <c r="D19" s="55">
        <v>38.49</v>
      </c>
      <c r="E19" s="55">
        <v>6.08</v>
      </c>
      <c r="F19" s="55">
        <v>24.4</v>
      </c>
      <c r="G19" s="55">
        <v>53.32</v>
      </c>
      <c r="H19" s="55">
        <v>24.7</v>
      </c>
      <c r="I19" s="55">
        <v>7.12</v>
      </c>
      <c r="J19" s="55">
        <v>1.37</v>
      </c>
      <c r="K19" s="55">
        <v>308.38</v>
      </c>
      <c r="L19" s="55">
        <v>37.54</v>
      </c>
      <c r="M19" s="55">
        <v>39.53</v>
      </c>
      <c r="N19" s="55">
        <v>243</v>
      </c>
      <c r="O19" s="55">
        <v>0</v>
      </c>
      <c r="P19" s="55">
        <v>0.8</v>
      </c>
      <c r="Q19" s="55">
        <v>5.62</v>
      </c>
    </row>
    <row r="20" spans="1:17" customFormat="1">
      <c r="A20" s="54" t="s">
        <v>406</v>
      </c>
      <c r="B20" s="55">
        <v>7.78</v>
      </c>
      <c r="C20" s="55">
        <v>32.43</v>
      </c>
      <c r="D20" s="55">
        <v>22.13</v>
      </c>
      <c r="E20" s="55">
        <v>7.07</v>
      </c>
      <c r="F20" s="55">
        <v>49.95</v>
      </c>
      <c r="G20" s="55">
        <v>53.32</v>
      </c>
      <c r="H20" s="55">
        <v>24.7</v>
      </c>
      <c r="I20" s="55">
        <v>6.26</v>
      </c>
      <c r="J20" s="55">
        <v>1.1499999999999999</v>
      </c>
      <c r="K20" s="55">
        <v>295.06</v>
      </c>
      <c r="L20" s="55">
        <v>38.840000000000003</v>
      </c>
      <c r="M20" s="55">
        <v>36.58</v>
      </c>
      <c r="N20" s="55">
        <v>829.3</v>
      </c>
      <c r="O20" s="55">
        <v>0</v>
      </c>
      <c r="P20" s="55">
        <v>0.61</v>
      </c>
      <c r="Q20" s="55">
        <v>5.21</v>
      </c>
    </row>
    <row r="21" spans="1:17" customFormat="1">
      <c r="A21" s="54" t="s">
        <v>407</v>
      </c>
      <c r="B21" s="55">
        <v>2.89</v>
      </c>
      <c r="C21" s="55">
        <v>36.770000000000003</v>
      </c>
      <c r="D21" s="55">
        <v>20.27</v>
      </c>
      <c r="E21" s="55">
        <v>4.24</v>
      </c>
      <c r="F21" s="55">
        <v>22.99</v>
      </c>
      <c r="G21" s="55">
        <v>52.06</v>
      </c>
      <c r="H21" s="55">
        <v>21.72</v>
      </c>
      <c r="I21" s="55">
        <v>3.82</v>
      </c>
      <c r="J21" s="55">
        <v>1.34</v>
      </c>
      <c r="K21" s="55">
        <v>295.31</v>
      </c>
      <c r="L21" s="55">
        <v>39.65</v>
      </c>
      <c r="M21" s="55">
        <v>34.14</v>
      </c>
      <c r="N21" s="55">
        <v>855.7</v>
      </c>
      <c r="O21" s="55">
        <v>0</v>
      </c>
      <c r="P21" s="55">
        <v>0.56000000000000005</v>
      </c>
      <c r="Q21" s="55">
        <v>4.5</v>
      </c>
    </row>
    <row r="22" spans="1:17" customFormat="1">
      <c r="A22" s="54" t="s">
        <v>408</v>
      </c>
      <c r="B22" s="55">
        <v>3.77</v>
      </c>
      <c r="C22" s="55">
        <v>34.92</v>
      </c>
      <c r="D22" s="55">
        <v>19.809999999999999</v>
      </c>
      <c r="E22" s="55">
        <v>4.4800000000000004</v>
      </c>
      <c r="F22" s="55">
        <v>25.51</v>
      </c>
      <c r="G22" s="55">
        <v>52.2</v>
      </c>
      <c r="H22" s="55">
        <v>21.72</v>
      </c>
      <c r="I22" s="55">
        <v>3.92</v>
      </c>
      <c r="J22" s="55">
        <v>1.39</v>
      </c>
      <c r="K22" s="55">
        <v>286.45999999999998</v>
      </c>
      <c r="L22" s="55">
        <v>39.89</v>
      </c>
      <c r="M22" s="55">
        <v>31.48</v>
      </c>
      <c r="N22" s="55">
        <v>834.4</v>
      </c>
      <c r="O22" s="55">
        <v>0</v>
      </c>
      <c r="P22" s="55">
        <v>0.47</v>
      </c>
      <c r="Q22" s="55">
        <v>4.38</v>
      </c>
    </row>
    <row r="23" spans="1:17" customFormat="1">
      <c r="A23" s="54" t="s">
        <v>409</v>
      </c>
      <c r="B23" s="55">
        <v>4.43</v>
      </c>
      <c r="C23" s="55">
        <v>34.89</v>
      </c>
      <c r="D23" s="55">
        <v>20.74</v>
      </c>
      <c r="E23" s="55">
        <v>4.51</v>
      </c>
      <c r="F23" s="55">
        <v>22.97</v>
      </c>
      <c r="G23" s="55">
        <v>52.2</v>
      </c>
      <c r="H23" s="55">
        <v>20.12</v>
      </c>
      <c r="I23" s="55">
        <v>4.0199999999999996</v>
      </c>
      <c r="J23" s="55">
        <v>1.53</v>
      </c>
      <c r="K23" s="55">
        <v>290.02999999999997</v>
      </c>
      <c r="L23" s="55">
        <v>40.28</v>
      </c>
      <c r="M23" s="55">
        <v>28.49</v>
      </c>
      <c r="N23" s="55">
        <v>710.9</v>
      </c>
      <c r="O23" s="55">
        <v>0</v>
      </c>
      <c r="P23" s="55">
        <v>0.42</v>
      </c>
      <c r="Q23" s="55">
        <v>4.3099999999999996</v>
      </c>
    </row>
    <row r="24" spans="1:17" customFormat="1">
      <c r="A24" s="54" t="s">
        <v>410</v>
      </c>
      <c r="B24" s="55">
        <v>7.52</v>
      </c>
      <c r="C24" s="55">
        <v>36.93</v>
      </c>
      <c r="D24" s="55">
        <v>24.01</v>
      </c>
      <c r="E24" s="55">
        <v>5.39</v>
      </c>
      <c r="F24" s="55">
        <v>29.64</v>
      </c>
      <c r="G24" s="55">
        <v>49.21</v>
      </c>
      <c r="H24" s="55">
        <v>20.12</v>
      </c>
      <c r="I24" s="55">
        <v>3.94</v>
      </c>
      <c r="J24" s="55">
        <v>0.92</v>
      </c>
      <c r="K24" s="55">
        <v>291.47000000000003</v>
      </c>
      <c r="L24" s="55">
        <v>39.19</v>
      </c>
      <c r="M24" s="55">
        <v>31.92</v>
      </c>
      <c r="N24" s="55">
        <v>235.9</v>
      </c>
      <c r="O24" s="55">
        <v>0</v>
      </c>
      <c r="P24" s="55">
        <v>0.43</v>
      </c>
      <c r="Q24" s="55">
        <v>4.37</v>
      </c>
    </row>
    <row r="25" spans="1:17" customFormat="1">
      <c r="A25" s="54" t="s">
        <v>411</v>
      </c>
      <c r="B25" s="55">
        <v>7.76</v>
      </c>
      <c r="C25" s="55">
        <v>37.92</v>
      </c>
      <c r="D25" s="55">
        <v>24.84</v>
      </c>
      <c r="E25" s="55">
        <v>7.07</v>
      </c>
      <c r="F25" s="55">
        <v>21.47</v>
      </c>
      <c r="G25" s="55">
        <v>50.04</v>
      </c>
      <c r="H25" s="55">
        <v>19.38</v>
      </c>
      <c r="I25" s="55">
        <v>3.57</v>
      </c>
      <c r="J25" s="55">
        <v>1.33</v>
      </c>
      <c r="K25" s="55">
        <v>52.41</v>
      </c>
      <c r="L25" s="55">
        <v>36.58</v>
      </c>
      <c r="M25" s="55">
        <v>40.74</v>
      </c>
      <c r="N25" s="55">
        <v>114.5</v>
      </c>
      <c r="O25" s="55">
        <v>0</v>
      </c>
      <c r="P25" s="55">
        <v>0.42</v>
      </c>
      <c r="Q25" s="55">
        <v>4.53</v>
      </c>
    </row>
    <row r="26" spans="1:17" customFormat="1">
      <c r="A26" s="54" t="s">
        <v>412</v>
      </c>
      <c r="B26" s="55">
        <v>15.2</v>
      </c>
      <c r="C26" s="55">
        <v>42.41</v>
      </c>
      <c r="D26" s="55">
        <v>33.299999999999997</v>
      </c>
      <c r="E26" s="55">
        <v>46.67</v>
      </c>
      <c r="F26" s="55">
        <v>16.7</v>
      </c>
      <c r="G26" s="55">
        <v>50.6</v>
      </c>
      <c r="H26" s="55">
        <v>19.38</v>
      </c>
      <c r="I26" s="55">
        <v>3.7</v>
      </c>
      <c r="J26" s="55">
        <v>0.78</v>
      </c>
      <c r="K26" s="55">
        <v>195.91</v>
      </c>
      <c r="L26" s="55">
        <v>34.9</v>
      </c>
      <c r="M26" s="55">
        <v>41.87</v>
      </c>
      <c r="N26" s="55">
        <v>133.1</v>
      </c>
      <c r="O26" s="55">
        <v>0</v>
      </c>
      <c r="P26" s="55">
        <v>0.59</v>
      </c>
      <c r="Q26" s="55">
        <v>4.74</v>
      </c>
    </row>
    <row r="27" spans="1:17" customFormat="1">
      <c r="A27" s="54" t="s">
        <v>413</v>
      </c>
      <c r="B27" s="55">
        <v>16.68</v>
      </c>
      <c r="C27" s="55">
        <v>47.82</v>
      </c>
      <c r="D27" s="55">
        <v>37.32</v>
      </c>
      <c r="E27" s="55">
        <v>28.53</v>
      </c>
      <c r="F27" s="55">
        <v>11.91</v>
      </c>
      <c r="G27" s="55">
        <v>71.790000000000006</v>
      </c>
      <c r="H27" s="55">
        <v>24.12</v>
      </c>
      <c r="I27" s="55">
        <v>4.75</v>
      </c>
      <c r="J27" s="55">
        <v>0.32</v>
      </c>
      <c r="K27" s="55">
        <v>196.78</v>
      </c>
      <c r="L27" s="55">
        <v>34.369999999999997</v>
      </c>
      <c r="M27" s="55">
        <v>51.14</v>
      </c>
      <c r="N27" s="55">
        <v>12.3</v>
      </c>
      <c r="O27" s="55">
        <v>0</v>
      </c>
      <c r="P27" s="55">
        <v>0.7</v>
      </c>
      <c r="Q27" s="55">
        <v>4.97</v>
      </c>
    </row>
    <row r="28" spans="1:17" customFormat="1">
      <c r="A28" s="54" t="s">
        <v>414</v>
      </c>
      <c r="B28" s="55">
        <v>36.880000000000003</v>
      </c>
      <c r="C28" s="55">
        <v>56.1</v>
      </c>
      <c r="D28" s="55">
        <v>57.84</v>
      </c>
      <c r="E28" s="55">
        <v>20.67</v>
      </c>
      <c r="F28" s="55">
        <v>8.2799999999999994</v>
      </c>
      <c r="G28" s="55">
        <v>78.62</v>
      </c>
      <c r="H28" s="55">
        <v>24.44</v>
      </c>
      <c r="I28" s="55">
        <v>6.22</v>
      </c>
      <c r="J28" s="55">
        <v>0.37</v>
      </c>
      <c r="K28" s="55">
        <v>174.63</v>
      </c>
      <c r="L28" s="55">
        <v>33.07</v>
      </c>
      <c r="M28" s="55">
        <v>58.99</v>
      </c>
      <c r="N28" s="55">
        <v>0</v>
      </c>
      <c r="O28" s="55">
        <v>0</v>
      </c>
      <c r="P28" s="55">
        <v>1.1000000000000001</v>
      </c>
      <c r="Q28" s="55">
        <v>5.32</v>
      </c>
    </row>
    <row r="29" spans="1:17" customFormat="1">
      <c r="A29" s="54" t="s">
        <v>415</v>
      </c>
      <c r="B29" s="55">
        <v>22.48</v>
      </c>
      <c r="C29" s="55">
        <v>50.48</v>
      </c>
      <c r="D29" s="55">
        <v>43.36</v>
      </c>
      <c r="E29" s="55">
        <v>16.489999999999998</v>
      </c>
      <c r="F29" s="55">
        <v>6.32</v>
      </c>
      <c r="G29" s="55">
        <v>79.05</v>
      </c>
      <c r="H29" s="55">
        <v>24.44</v>
      </c>
      <c r="I29" s="55">
        <v>7.02</v>
      </c>
      <c r="J29" s="55">
        <v>0.26</v>
      </c>
      <c r="K29" s="55">
        <v>228.28</v>
      </c>
      <c r="L29" s="55">
        <v>31.56</v>
      </c>
      <c r="M29" s="55">
        <v>62.8</v>
      </c>
      <c r="N29" s="55">
        <v>0</v>
      </c>
      <c r="O29" s="55">
        <v>0</v>
      </c>
      <c r="P29" s="55">
        <v>0.78</v>
      </c>
      <c r="Q29" s="55">
        <v>5.66</v>
      </c>
    </row>
    <row r="30" spans="1:17" customFormat="1">
      <c r="A30" s="54" t="s">
        <v>416</v>
      </c>
      <c r="B30" s="55">
        <v>20.73</v>
      </c>
      <c r="C30" s="55">
        <v>49.5</v>
      </c>
      <c r="D30" s="55">
        <v>41.44</v>
      </c>
      <c r="E30" s="55">
        <v>14.92</v>
      </c>
      <c r="F30" s="55">
        <v>4.87</v>
      </c>
      <c r="G30" s="55">
        <v>79.05</v>
      </c>
      <c r="H30" s="55">
        <v>23.17</v>
      </c>
      <c r="I30" s="55">
        <v>6.77</v>
      </c>
      <c r="J30" s="55">
        <v>0.17</v>
      </c>
      <c r="K30" s="55">
        <v>221.6</v>
      </c>
      <c r="L30" s="55">
        <v>31.02</v>
      </c>
      <c r="M30" s="55">
        <v>58.86</v>
      </c>
      <c r="N30" s="55">
        <v>0</v>
      </c>
      <c r="O30" s="55">
        <v>0</v>
      </c>
      <c r="P30" s="55">
        <v>0.8</v>
      </c>
      <c r="Q30" s="55">
        <v>5.75</v>
      </c>
    </row>
    <row r="31" spans="1:17" customFormat="1">
      <c r="A31" s="54" t="s">
        <v>417</v>
      </c>
      <c r="B31" s="55">
        <v>25.03</v>
      </c>
      <c r="C31" s="55">
        <v>47.71</v>
      </c>
      <c r="D31" s="55">
        <v>43.94</v>
      </c>
      <c r="E31" s="55">
        <v>12.22</v>
      </c>
      <c r="F31" s="55">
        <v>4.4000000000000004</v>
      </c>
      <c r="G31" s="55">
        <v>78.78</v>
      </c>
      <c r="H31" s="55">
        <v>24.79</v>
      </c>
      <c r="I31" s="55">
        <v>6.89</v>
      </c>
      <c r="J31" s="55">
        <v>0.16</v>
      </c>
      <c r="K31" s="55">
        <v>218.15</v>
      </c>
      <c r="L31" s="55">
        <v>30.49</v>
      </c>
      <c r="M31" s="55">
        <v>64.680000000000007</v>
      </c>
      <c r="N31" s="55">
        <v>0</v>
      </c>
      <c r="O31" s="55">
        <v>0</v>
      </c>
      <c r="P31" s="55">
        <v>0.8</v>
      </c>
      <c r="Q31" s="55">
        <v>5.84</v>
      </c>
    </row>
    <row r="32" spans="1:17" customFormat="1">
      <c r="A32" s="54" t="s">
        <v>418</v>
      </c>
      <c r="B32" s="55">
        <v>28.35</v>
      </c>
      <c r="C32" s="55">
        <v>46.53</v>
      </c>
      <c r="D32" s="55">
        <v>45.87</v>
      </c>
      <c r="E32" s="55">
        <v>9.8000000000000007</v>
      </c>
      <c r="F32" s="55">
        <v>3.96</v>
      </c>
      <c r="G32" s="55">
        <v>74.94</v>
      </c>
      <c r="H32" s="55">
        <v>24.79</v>
      </c>
      <c r="I32" s="55">
        <v>7.14</v>
      </c>
      <c r="J32" s="55">
        <v>0.19</v>
      </c>
      <c r="K32" s="55">
        <v>196.56</v>
      </c>
      <c r="L32" s="55">
        <v>30.16</v>
      </c>
      <c r="M32" s="55">
        <v>70.84</v>
      </c>
      <c r="N32" s="55">
        <v>0</v>
      </c>
      <c r="O32" s="55">
        <v>0</v>
      </c>
      <c r="P32" s="55">
        <v>0.82</v>
      </c>
      <c r="Q32" s="55">
        <v>5.99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2.89</v>
      </c>
      <c r="C34" s="41">
        <f t="shared" si="0"/>
        <v>32.43</v>
      </c>
      <c r="D34" s="41">
        <f t="shared" si="0"/>
        <v>19.809999999999999</v>
      </c>
      <c r="E34" s="41">
        <f t="shared" si="0"/>
        <v>4.24</v>
      </c>
      <c r="F34" s="41">
        <f t="shared" si="0"/>
        <v>3.96</v>
      </c>
      <c r="G34" s="41">
        <f t="shared" si="0"/>
        <v>38.700000000000003</v>
      </c>
      <c r="H34" s="41">
        <f t="shared" si="0"/>
        <v>10.99</v>
      </c>
      <c r="I34" s="41">
        <f t="shared" si="0"/>
        <v>3.57</v>
      </c>
      <c r="J34" s="41">
        <f t="shared" si="0"/>
        <v>0.15</v>
      </c>
      <c r="K34" s="41">
        <f t="shared" si="0"/>
        <v>52.41</v>
      </c>
      <c r="L34" s="41">
        <f t="shared" si="0"/>
        <v>27.56</v>
      </c>
      <c r="M34" s="41">
        <f t="shared" si="0"/>
        <v>28.49</v>
      </c>
      <c r="N34" s="41">
        <f t="shared" si="0"/>
        <v>0</v>
      </c>
      <c r="O34" s="41">
        <f t="shared" si="0"/>
        <v>0</v>
      </c>
      <c r="P34" s="41">
        <f t="shared" si="0"/>
        <v>0.42</v>
      </c>
      <c r="Q34" s="41">
        <f t="shared" si="0"/>
        <v>4.3099999999999996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36.880000000000003</v>
      </c>
      <c r="C35" s="33">
        <f t="shared" si="1"/>
        <v>56.1</v>
      </c>
      <c r="D35" s="33">
        <f t="shared" si="1"/>
        <v>57.84</v>
      </c>
      <c r="E35" s="33">
        <f t="shared" si="1"/>
        <v>46.67</v>
      </c>
      <c r="F35" s="33">
        <f t="shared" si="1"/>
        <v>49.95</v>
      </c>
      <c r="G35" s="33">
        <f t="shared" si="1"/>
        <v>79.05</v>
      </c>
      <c r="H35" s="33">
        <f t="shared" si="1"/>
        <v>24.79</v>
      </c>
      <c r="I35" s="33">
        <f t="shared" si="1"/>
        <v>8.6300000000000008</v>
      </c>
      <c r="J35" s="33">
        <f t="shared" si="1"/>
        <v>1.64</v>
      </c>
      <c r="K35" s="33">
        <f t="shared" si="1"/>
        <v>308.38</v>
      </c>
      <c r="L35" s="33">
        <f t="shared" si="1"/>
        <v>40.28</v>
      </c>
      <c r="M35" s="33">
        <f t="shared" si="1"/>
        <v>75.819999999999993</v>
      </c>
      <c r="N35" s="33">
        <f t="shared" si="1"/>
        <v>855.7</v>
      </c>
      <c r="O35" s="33">
        <f t="shared" si="1"/>
        <v>0</v>
      </c>
      <c r="P35" s="33">
        <f t="shared" si="1"/>
        <v>1.1000000000000001</v>
      </c>
      <c r="Q35" s="33">
        <f t="shared" si="1"/>
        <v>6.22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21.773333333333337</v>
      </c>
      <c r="C36" s="41">
        <f t="shared" si="2"/>
        <v>46.224999999999994</v>
      </c>
      <c r="D36" s="41">
        <f t="shared" si="2"/>
        <v>40.342083333333342</v>
      </c>
      <c r="E36" s="41">
        <f t="shared" si="2"/>
        <v>12.342916666666667</v>
      </c>
      <c r="F36" s="41">
        <f t="shared" si="2"/>
        <v>13.643749999999997</v>
      </c>
      <c r="G36" s="41">
        <f t="shared" si="2"/>
        <v>55.067916666666669</v>
      </c>
      <c r="H36" s="41">
        <f t="shared" si="2"/>
        <v>19.229583333333334</v>
      </c>
      <c r="I36" s="41">
        <f t="shared" si="2"/>
        <v>6.1241666666666648</v>
      </c>
      <c r="J36" s="41">
        <f t="shared" si="2"/>
        <v>0.73041666666666683</v>
      </c>
      <c r="K36" s="41">
        <f t="shared" si="2"/>
        <v>239.58708333333334</v>
      </c>
      <c r="L36" s="41">
        <f t="shared" si="2"/>
        <v>33.296666666666667</v>
      </c>
      <c r="M36" s="41">
        <f t="shared" si="2"/>
        <v>52.454166666666659</v>
      </c>
      <c r="N36" s="41">
        <f t="shared" si="2"/>
        <v>189.12916666666669</v>
      </c>
      <c r="O36" s="41">
        <f t="shared" si="2"/>
        <v>0</v>
      </c>
      <c r="P36" s="41">
        <f t="shared" si="2"/>
        <v>0.74291666666666656</v>
      </c>
      <c r="Q36" s="41">
        <f t="shared" si="2"/>
        <v>5.5100000000000007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10.942630502710061</v>
      </c>
      <c r="C37" s="41">
        <f t="shared" ref="C37:Q37" si="3">STDEV(C9:C32)</f>
        <v>6.8658569242555885</v>
      </c>
      <c r="D37" s="41">
        <f t="shared" si="3"/>
        <v>12.163053456433436</v>
      </c>
      <c r="E37" s="41">
        <f t="shared" si="3"/>
        <v>9.3521248360613392</v>
      </c>
      <c r="F37" s="41">
        <f t="shared" si="3"/>
        <v>11.181049889452908</v>
      </c>
      <c r="G37" s="41">
        <f t="shared" si="3"/>
        <v>13.855602533198288</v>
      </c>
      <c r="H37" s="41">
        <f t="shared" si="3"/>
        <v>4.9342066708858505</v>
      </c>
      <c r="I37" s="41">
        <f t="shared" si="3"/>
        <v>1.5564394055627173</v>
      </c>
      <c r="J37" s="41">
        <f t="shared" si="3"/>
        <v>0.52589037679519934</v>
      </c>
      <c r="K37" s="41">
        <f t="shared" si="3"/>
        <v>58.64248515399246</v>
      </c>
      <c r="L37" s="41">
        <f t="shared" si="3"/>
        <v>4.343101142758683</v>
      </c>
      <c r="M37" s="41">
        <f t="shared" si="3"/>
        <v>14.434739471954087</v>
      </c>
      <c r="N37" s="41">
        <f t="shared" si="3"/>
        <v>294.17172222325701</v>
      </c>
      <c r="O37" s="41">
        <f t="shared" si="3"/>
        <v>0</v>
      </c>
      <c r="P37" s="41">
        <f t="shared" si="3"/>
        <v>0.18459071451201986</v>
      </c>
      <c r="Q37" s="41">
        <f t="shared" si="3"/>
        <v>0.69623209523461549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16/06/2023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4" t="s">
        <v>419</v>
      </c>
      <c r="B9" s="55">
        <v>29.07</v>
      </c>
      <c r="C9" s="55">
        <v>45.31</v>
      </c>
      <c r="D9" s="55">
        <v>45.94</v>
      </c>
      <c r="E9" s="55">
        <v>8.6</v>
      </c>
      <c r="F9" s="55">
        <v>10.48</v>
      </c>
      <c r="G9" s="55">
        <v>72.56</v>
      </c>
      <c r="H9" s="55">
        <v>23.99</v>
      </c>
      <c r="I9" s="55">
        <v>6.95</v>
      </c>
      <c r="J9" s="55">
        <v>0.4</v>
      </c>
      <c r="K9" s="55">
        <v>238.28</v>
      </c>
      <c r="L9" s="55">
        <v>31.06</v>
      </c>
      <c r="M9" s="55">
        <v>65.19</v>
      </c>
      <c r="N9" s="55">
        <v>0</v>
      </c>
      <c r="O9" s="55">
        <v>0</v>
      </c>
      <c r="P9" s="55">
        <v>0.74</v>
      </c>
      <c r="Q9" s="55">
        <v>6.04</v>
      </c>
    </row>
    <row r="10" spans="1:21" customFormat="1">
      <c r="A10" s="54" t="s">
        <v>420</v>
      </c>
      <c r="B10" s="55">
        <v>24.07</v>
      </c>
      <c r="C10" s="55">
        <v>41.54</v>
      </c>
      <c r="D10" s="55">
        <v>38.54</v>
      </c>
      <c r="E10" s="55">
        <v>7.23</v>
      </c>
      <c r="F10" s="55">
        <v>17.2</v>
      </c>
      <c r="G10" s="55">
        <v>69.89</v>
      </c>
      <c r="H10" s="55">
        <v>20.22</v>
      </c>
      <c r="I10" s="55">
        <v>6.16</v>
      </c>
      <c r="J10" s="55">
        <v>0.45</v>
      </c>
      <c r="K10" s="55">
        <v>246.37</v>
      </c>
      <c r="L10" s="55">
        <v>31.9</v>
      </c>
      <c r="M10" s="55">
        <v>49.21</v>
      </c>
      <c r="N10" s="55">
        <v>0</v>
      </c>
      <c r="O10" s="55">
        <v>0</v>
      </c>
      <c r="P10" s="55">
        <v>0.63</v>
      </c>
      <c r="Q10" s="55">
        <v>6.04</v>
      </c>
    </row>
    <row r="11" spans="1:21" customFormat="1">
      <c r="A11" s="54" t="s">
        <v>421</v>
      </c>
      <c r="B11" s="55">
        <v>24.4</v>
      </c>
      <c r="C11" s="55">
        <v>40.18</v>
      </c>
      <c r="D11" s="55">
        <v>39.51</v>
      </c>
      <c r="E11" s="55">
        <v>7.55</v>
      </c>
      <c r="F11" s="55">
        <v>13.97</v>
      </c>
      <c r="G11" s="55">
        <v>56.99</v>
      </c>
      <c r="H11" s="55">
        <v>17.95</v>
      </c>
      <c r="I11" s="55">
        <v>5.28</v>
      </c>
      <c r="J11" s="55">
        <v>0.22</v>
      </c>
      <c r="K11" s="55">
        <v>199.83</v>
      </c>
      <c r="L11" s="55">
        <v>30.72</v>
      </c>
      <c r="M11" s="55">
        <v>56.38</v>
      </c>
      <c r="N11" s="55">
        <v>0</v>
      </c>
      <c r="O11" s="55">
        <v>0</v>
      </c>
      <c r="P11" s="55">
        <v>0.59</v>
      </c>
      <c r="Q11" s="55">
        <v>5.9</v>
      </c>
    </row>
    <row r="12" spans="1:21" customFormat="1">
      <c r="A12" s="54" t="s">
        <v>422</v>
      </c>
      <c r="B12" s="55">
        <v>24.85</v>
      </c>
      <c r="C12" s="55">
        <v>43.09</v>
      </c>
      <c r="D12" s="55">
        <v>41.4</v>
      </c>
      <c r="E12" s="55">
        <v>8.08</v>
      </c>
      <c r="F12" s="55">
        <v>9.94</v>
      </c>
      <c r="G12" s="55">
        <v>53.25</v>
      </c>
      <c r="H12" s="55">
        <v>17.239999999999998</v>
      </c>
      <c r="I12" s="55">
        <v>5.33</v>
      </c>
      <c r="J12" s="55">
        <v>0.2</v>
      </c>
      <c r="K12" s="55">
        <v>197.3</v>
      </c>
      <c r="L12" s="55">
        <v>29.99</v>
      </c>
      <c r="M12" s="55">
        <v>61.28</v>
      </c>
      <c r="N12" s="55">
        <v>0</v>
      </c>
      <c r="O12" s="55">
        <v>0</v>
      </c>
      <c r="P12" s="55">
        <v>0.6</v>
      </c>
      <c r="Q12" s="55">
        <v>5.82</v>
      </c>
    </row>
    <row r="13" spans="1:21" customFormat="1">
      <c r="A13" s="54" t="s">
        <v>423</v>
      </c>
      <c r="B13" s="55">
        <v>26.42</v>
      </c>
      <c r="C13" s="55">
        <v>45.24</v>
      </c>
      <c r="D13" s="55">
        <v>43.78</v>
      </c>
      <c r="E13" s="55">
        <v>7.84</v>
      </c>
      <c r="F13" s="55">
        <v>6.66</v>
      </c>
      <c r="G13" s="55">
        <v>53.25</v>
      </c>
      <c r="H13" s="55">
        <v>15.34</v>
      </c>
      <c r="I13" s="55">
        <v>5.35</v>
      </c>
      <c r="J13" s="55">
        <v>0.2</v>
      </c>
      <c r="K13" s="55">
        <v>196.05</v>
      </c>
      <c r="L13" s="55">
        <v>29.1</v>
      </c>
      <c r="M13" s="55">
        <v>67.13</v>
      </c>
      <c r="N13" s="55">
        <v>0</v>
      </c>
      <c r="O13" s="55">
        <v>0</v>
      </c>
      <c r="P13" s="55">
        <v>0.57999999999999996</v>
      </c>
      <c r="Q13" s="55">
        <v>5.8</v>
      </c>
    </row>
    <row r="14" spans="1:21" customFormat="1">
      <c r="A14" s="54" t="s">
        <v>424</v>
      </c>
      <c r="B14" s="55">
        <v>25.6</v>
      </c>
      <c r="C14" s="55">
        <v>44.62</v>
      </c>
      <c r="D14" s="55">
        <v>42.77</v>
      </c>
      <c r="E14" s="55">
        <v>9.01</v>
      </c>
      <c r="F14" s="55">
        <v>8.3699999999999992</v>
      </c>
      <c r="G14" s="55">
        <v>47.79</v>
      </c>
      <c r="H14" s="55">
        <v>15.77</v>
      </c>
      <c r="I14" s="55">
        <v>5.33</v>
      </c>
      <c r="J14" s="55">
        <v>0.19</v>
      </c>
      <c r="K14" s="55">
        <v>231.01</v>
      </c>
      <c r="L14" s="55">
        <v>28.68</v>
      </c>
      <c r="M14" s="55">
        <v>62.79</v>
      </c>
      <c r="N14" s="55">
        <v>21.8</v>
      </c>
      <c r="O14" s="55">
        <v>0</v>
      </c>
      <c r="P14" s="55">
        <v>0.57999999999999996</v>
      </c>
      <c r="Q14" s="55">
        <v>5.84</v>
      </c>
    </row>
    <row r="15" spans="1:21" customFormat="1">
      <c r="A15" s="54" t="s">
        <v>425</v>
      </c>
      <c r="B15" s="55">
        <v>25.49</v>
      </c>
      <c r="C15" s="55">
        <v>45.51</v>
      </c>
      <c r="D15" s="55">
        <v>42.97</v>
      </c>
      <c r="E15" s="55">
        <v>10.9</v>
      </c>
      <c r="F15" s="55">
        <v>7.65</v>
      </c>
      <c r="G15" s="55">
        <v>50.76</v>
      </c>
      <c r="H15" s="55">
        <v>15.77</v>
      </c>
      <c r="I15" s="55">
        <v>5.96</v>
      </c>
      <c r="J15" s="55">
        <v>0.22</v>
      </c>
      <c r="K15" s="55">
        <v>188.61</v>
      </c>
      <c r="L15" s="55">
        <v>30.91</v>
      </c>
      <c r="M15" s="55">
        <v>62.23</v>
      </c>
      <c r="N15" s="55">
        <v>85.4</v>
      </c>
      <c r="O15" s="55">
        <v>0</v>
      </c>
      <c r="P15" s="55">
        <v>0.65</v>
      </c>
      <c r="Q15" s="55">
        <v>5.87</v>
      </c>
    </row>
    <row r="16" spans="1:21" customFormat="1">
      <c r="A16" s="54" t="s">
        <v>426</v>
      </c>
      <c r="B16" s="55">
        <v>25.54</v>
      </c>
      <c r="C16" s="55">
        <v>46.33</v>
      </c>
      <c r="D16" s="55">
        <v>43.64</v>
      </c>
      <c r="E16" s="55">
        <v>14.79</v>
      </c>
      <c r="F16" s="55">
        <v>13.46</v>
      </c>
      <c r="G16" s="55">
        <v>50.76</v>
      </c>
      <c r="H16" s="55">
        <v>16.010000000000002</v>
      </c>
      <c r="I16" s="55">
        <v>7</v>
      </c>
      <c r="J16" s="55">
        <v>0.47</v>
      </c>
      <c r="K16" s="55">
        <v>296.95</v>
      </c>
      <c r="L16" s="55">
        <v>34.33</v>
      </c>
      <c r="M16" s="55">
        <v>55.23</v>
      </c>
      <c r="N16" s="55">
        <v>112.7</v>
      </c>
      <c r="O16" s="55">
        <v>0</v>
      </c>
      <c r="P16" s="55">
        <v>0.65</v>
      </c>
      <c r="Q16" s="55">
        <v>5.88</v>
      </c>
    </row>
    <row r="17" spans="1:17" customFormat="1">
      <c r="A17" s="54" t="s">
        <v>427</v>
      </c>
      <c r="B17" s="55">
        <v>24.02</v>
      </c>
      <c r="C17" s="55">
        <v>45.69</v>
      </c>
      <c r="D17" s="55">
        <v>41.59</v>
      </c>
      <c r="E17" s="55">
        <v>14.87</v>
      </c>
      <c r="F17" s="55">
        <v>15.54</v>
      </c>
      <c r="G17" s="55">
        <v>64.55</v>
      </c>
      <c r="H17" s="55">
        <v>22.97</v>
      </c>
      <c r="I17" s="55">
        <v>6.69</v>
      </c>
      <c r="J17" s="55">
        <v>1.04</v>
      </c>
      <c r="K17" s="55">
        <v>317.83999999999997</v>
      </c>
      <c r="L17" s="55">
        <v>36.03</v>
      </c>
      <c r="M17" s="55">
        <v>39.33</v>
      </c>
      <c r="N17" s="55">
        <v>141.80000000000001</v>
      </c>
      <c r="O17" s="55">
        <v>0</v>
      </c>
      <c r="P17" s="55">
        <v>0.64</v>
      </c>
      <c r="Q17" s="55">
        <v>5.74</v>
      </c>
    </row>
    <row r="18" spans="1:17" customFormat="1">
      <c r="A18" s="54" t="s">
        <v>428</v>
      </c>
      <c r="B18" s="55">
        <v>20.25</v>
      </c>
      <c r="C18" s="55">
        <v>45.12</v>
      </c>
      <c r="D18" s="55">
        <v>38.770000000000003</v>
      </c>
      <c r="E18" s="55">
        <v>11.13</v>
      </c>
      <c r="F18" s="55">
        <v>18.53</v>
      </c>
      <c r="G18" s="55">
        <v>64.55</v>
      </c>
      <c r="H18" s="55">
        <v>25.23</v>
      </c>
      <c r="I18" s="55">
        <v>6.41</v>
      </c>
      <c r="J18" s="55">
        <v>1.1499999999999999</v>
      </c>
      <c r="K18" s="55">
        <v>311.54000000000002</v>
      </c>
      <c r="L18" s="55">
        <v>37.97</v>
      </c>
      <c r="M18" s="55">
        <v>34.270000000000003</v>
      </c>
      <c r="N18" s="55">
        <v>171.7</v>
      </c>
      <c r="O18" s="55">
        <v>0</v>
      </c>
      <c r="P18" s="55">
        <v>0.65</v>
      </c>
      <c r="Q18" s="55">
        <v>5.61</v>
      </c>
    </row>
    <row r="19" spans="1:17" customFormat="1">
      <c r="A19" s="54" t="s">
        <v>429</v>
      </c>
      <c r="B19" s="55">
        <v>15.58</v>
      </c>
      <c r="C19" s="55">
        <v>43.29</v>
      </c>
      <c r="D19" s="55">
        <v>33.200000000000003</v>
      </c>
      <c r="E19" s="55">
        <v>7.58</v>
      </c>
      <c r="F19" s="55">
        <v>18.760000000000002</v>
      </c>
      <c r="G19" s="55">
        <v>64.95</v>
      </c>
      <c r="H19" s="55">
        <v>26.5</v>
      </c>
      <c r="I19" s="55">
        <v>6.02</v>
      </c>
      <c r="J19" s="55">
        <v>1.1000000000000001</v>
      </c>
      <c r="K19" s="55">
        <v>303.66000000000003</v>
      </c>
      <c r="L19" s="55">
        <v>39.43</v>
      </c>
      <c r="M19" s="55">
        <v>29.96</v>
      </c>
      <c r="N19" s="55">
        <v>196.6</v>
      </c>
      <c r="O19" s="55">
        <v>0</v>
      </c>
      <c r="P19" s="55">
        <v>0.61</v>
      </c>
      <c r="Q19" s="55">
        <v>5.34</v>
      </c>
    </row>
    <row r="20" spans="1:17" customFormat="1">
      <c r="A20" s="54" t="s">
        <v>430</v>
      </c>
      <c r="B20" s="55">
        <v>13.49</v>
      </c>
      <c r="C20" s="55">
        <v>41.48</v>
      </c>
      <c r="D20" s="55">
        <v>31.45</v>
      </c>
      <c r="E20" s="55">
        <v>6.12</v>
      </c>
      <c r="F20" s="55">
        <v>19.03</v>
      </c>
      <c r="G20" s="55">
        <v>64.95</v>
      </c>
      <c r="H20" s="55">
        <v>26.5</v>
      </c>
      <c r="I20" s="55">
        <v>5.58</v>
      </c>
      <c r="J20" s="55">
        <v>1.28</v>
      </c>
      <c r="K20" s="55">
        <v>311.11</v>
      </c>
      <c r="L20" s="55">
        <v>40.54</v>
      </c>
      <c r="M20" s="55">
        <v>25.31</v>
      </c>
      <c r="N20" s="55">
        <v>798.4</v>
      </c>
      <c r="O20" s="55">
        <v>0</v>
      </c>
      <c r="P20" s="55">
        <v>0.56999999999999995</v>
      </c>
      <c r="Q20" s="55">
        <v>5.14</v>
      </c>
    </row>
    <row r="21" spans="1:17" customFormat="1">
      <c r="A21" s="54" t="s">
        <v>431</v>
      </c>
      <c r="B21" s="55">
        <v>11.88</v>
      </c>
      <c r="C21" s="55">
        <v>41.6</v>
      </c>
      <c r="D21" s="55">
        <v>29.04</v>
      </c>
      <c r="E21" s="55">
        <v>5.56</v>
      </c>
      <c r="F21" s="55">
        <v>21.73</v>
      </c>
      <c r="G21" s="55">
        <v>61.9</v>
      </c>
      <c r="H21" s="55">
        <v>24.9</v>
      </c>
      <c r="I21" s="55">
        <v>5.12</v>
      </c>
      <c r="J21" s="55">
        <v>1.29</v>
      </c>
      <c r="K21" s="55">
        <v>309.83</v>
      </c>
      <c r="L21" s="55">
        <v>41.41</v>
      </c>
      <c r="M21" s="55">
        <v>23.82</v>
      </c>
      <c r="N21" s="55">
        <v>856.2</v>
      </c>
      <c r="O21" s="55">
        <v>0</v>
      </c>
      <c r="P21" s="55">
        <v>0.54</v>
      </c>
      <c r="Q21" s="55">
        <v>5.0599999999999996</v>
      </c>
    </row>
    <row r="22" spans="1:17" customFormat="1">
      <c r="A22" s="54" t="s">
        <v>432</v>
      </c>
      <c r="B22" s="55">
        <v>10.49</v>
      </c>
      <c r="C22" s="55">
        <v>39.07</v>
      </c>
      <c r="D22" s="55">
        <v>27.78</v>
      </c>
      <c r="E22" s="55">
        <v>5.71</v>
      </c>
      <c r="F22" s="55">
        <v>20.58</v>
      </c>
      <c r="G22" s="55">
        <v>56.93</v>
      </c>
      <c r="H22" s="55">
        <v>22.95</v>
      </c>
      <c r="I22" s="55">
        <v>4.8099999999999996</v>
      </c>
      <c r="J22" s="55">
        <v>1.37</v>
      </c>
      <c r="K22" s="55">
        <v>317.20999999999998</v>
      </c>
      <c r="L22" s="55">
        <v>41.74</v>
      </c>
      <c r="M22" s="55">
        <v>20.94</v>
      </c>
      <c r="N22" s="55">
        <v>850.5</v>
      </c>
      <c r="O22" s="55">
        <v>0</v>
      </c>
      <c r="P22" s="55">
        <v>0.49</v>
      </c>
      <c r="Q22" s="55">
        <v>4.95</v>
      </c>
    </row>
    <row r="23" spans="1:17" customFormat="1">
      <c r="A23" s="54" t="s">
        <v>433</v>
      </c>
      <c r="B23" s="55">
        <v>8.6</v>
      </c>
      <c r="C23" s="55">
        <v>38.08</v>
      </c>
      <c r="D23" s="55">
        <v>25.75</v>
      </c>
      <c r="E23" s="55">
        <v>6.42</v>
      </c>
      <c r="F23" s="55">
        <v>24.41</v>
      </c>
      <c r="G23" s="55">
        <v>51.67</v>
      </c>
      <c r="H23" s="55">
        <v>22.42</v>
      </c>
      <c r="I23" s="55">
        <v>4.8</v>
      </c>
      <c r="J23" s="55">
        <v>1.1299999999999999</v>
      </c>
      <c r="K23" s="55">
        <v>311.48</v>
      </c>
      <c r="L23" s="55">
        <v>42.04</v>
      </c>
      <c r="M23" s="55">
        <v>19.940000000000001</v>
      </c>
      <c r="N23" s="55">
        <v>738.7</v>
      </c>
      <c r="O23" s="55">
        <v>0</v>
      </c>
      <c r="P23" s="55">
        <v>0.42</v>
      </c>
      <c r="Q23" s="55">
        <v>4.82</v>
      </c>
    </row>
    <row r="24" spans="1:17" customFormat="1">
      <c r="A24" s="54" t="s">
        <v>434</v>
      </c>
      <c r="B24" s="55">
        <v>8.39</v>
      </c>
      <c r="C24" s="55">
        <v>39.229999999999997</v>
      </c>
      <c r="D24" s="55">
        <v>26.03</v>
      </c>
      <c r="E24" s="55">
        <v>6.06</v>
      </c>
      <c r="F24" s="55">
        <v>23.32</v>
      </c>
      <c r="G24" s="55">
        <v>53.42</v>
      </c>
      <c r="H24" s="55">
        <v>27.72</v>
      </c>
      <c r="I24" s="55">
        <v>4.57</v>
      </c>
      <c r="J24" s="55">
        <v>1.48</v>
      </c>
      <c r="K24" s="55">
        <v>313.38</v>
      </c>
      <c r="L24" s="55">
        <v>41.93</v>
      </c>
      <c r="M24" s="55">
        <v>19.170000000000002</v>
      </c>
      <c r="N24" s="55">
        <v>601.9</v>
      </c>
      <c r="O24" s="55">
        <v>0</v>
      </c>
      <c r="P24" s="55">
        <v>0.42</v>
      </c>
      <c r="Q24" s="55">
        <v>4.7699999999999996</v>
      </c>
    </row>
    <row r="25" spans="1:17" customFormat="1">
      <c r="A25" s="54" t="s">
        <v>435</v>
      </c>
      <c r="B25" s="55">
        <v>6.77</v>
      </c>
      <c r="C25" s="55">
        <v>38.61</v>
      </c>
      <c r="D25" s="55">
        <v>24.55</v>
      </c>
      <c r="E25" s="55">
        <v>6.29</v>
      </c>
      <c r="F25" s="55">
        <v>22.53</v>
      </c>
      <c r="G25" s="55">
        <v>53.42</v>
      </c>
      <c r="H25" s="55">
        <v>27.72</v>
      </c>
      <c r="I25" s="55">
        <v>4.74</v>
      </c>
      <c r="J25" s="55">
        <v>1.07</v>
      </c>
      <c r="K25" s="55">
        <v>286.33999999999997</v>
      </c>
      <c r="L25" s="55">
        <v>41.7</v>
      </c>
      <c r="M25" s="55">
        <v>19.170000000000002</v>
      </c>
      <c r="N25" s="55">
        <v>426.2</v>
      </c>
      <c r="O25" s="55">
        <v>0</v>
      </c>
      <c r="P25" s="55">
        <v>0.4</v>
      </c>
      <c r="Q25" s="55">
        <v>4.7300000000000004</v>
      </c>
    </row>
    <row r="26" spans="1:17" customFormat="1">
      <c r="A26" s="54" t="s">
        <v>436</v>
      </c>
      <c r="B26" s="55">
        <v>6.14</v>
      </c>
      <c r="C26" s="55">
        <v>40.22</v>
      </c>
      <c r="D26" s="55">
        <v>24.69</v>
      </c>
      <c r="E26" s="55">
        <v>10.41</v>
      </c>
      <c r="F26" s="55">
        <v>32.35</v>
      </c>
      <c r="G26" s="55">
        <v>51.53</v>
      </c>
      <c r="H26" s="55">
        <v>27.18</v>
      </c>
      <c r="I26" s="55">
        <v>4.22</v>
      </c>
      <c r="J26" s="55">
        <v>0.98</v>
      </c>
      <c r="K26" s="55">
        <v>266.85000000000002</v>
      </c>
      <c r="L26" s="55">
        <v>40.619999999999997</v>
      </c>
      <c r="M26" s="55">
        <v>21.11</v>
      </c>
      <c r="N26" s="55">
        <v>141.30000000000001</v>
      </c>
      <c r="O26" s="55">
        <v>0</v>
      </c>
      <c r="P26" s="55">
        <v>0.4</v>
      </c>
      <c r="Q26" s="55">
        <v>4.78</v>
      </c>
    </row>
    <row r="27" spans="1:17" customFormat="1">
      <c r="A27" s="54" t="s">
        <v>437</v>
      </c>
      <c r="B27" s="55">
        <v>5.42</v>
      </c>
      <c r="C27" s="55">
        <v>35.119999999999997</v>
      </c>
      <c r="D27" s="55">
        <v>21.64</v>
      </c>
      <c r="E27" s="55">
        <v>10.119999999999999</v>
      </c>
      <c r="F27" s="55">
        <v>35.18</v>
      </c>
      <c r="G27" s="55">
        <v>49.25</v>
      </c>
      <c r="H27" s="55">
        <v>26.25</v>
      </c>
      <c r="I27" s="55">
        <v>3.87</v>
      </c>
      <c r="J27" s="55">
        <v>0.71</v>
      </c>
      <c r="K27" s="55">
        <v>261.92</v>
      </c>
      <c r="L27" s="55">
        <v>39.090000000000003</v>
      </c>
      <c r="M27" s="55">
        <v>22.16</v>
      </c>
      <c r="N27" s="55">
        <v>27.9</v>
      </c>
      <c r="O27" s="55">
        <v>0</v>
      </c>
      <c r="P27" s="55">
        <v>0.38</v>
      </c>
      <c r="Q27" s="55">
        <v>4.66</v>
      </c>
    </row>
    <row r="28" spans="1:17" customFormat="1">
      <c r="A28" s="54" t="s">
        <v>438</v>
      </c>
      <c r="B28" s="55">
        <v>4.9400000000000004</v>
      </c>
      <c r="C28" s="55">
        <v>31.98</v>
      </c>
      <c r="D28" s="55">
        <v>19.600000000000001</v>
      </c>
      <c r="E28" s="55">
        <v>10.99</v>
      </c>
      <c r="F28" s="55">
        <v>28.55</v>
      </c>
      <c r="G28" s="55">
        <v>47.97</v>
      </c>
      <c r="H28" s="55">
        <v>21.5</v>
      </c>
      <c r="I28" s="55">
        <v>4.22</v>
      </c>
      <c r="J28" s="55">
        <v>0.66</v>
      </c>
      <c r="K28" s="55">
        <v>258.58999999999997</v>
      </c>
      <c r="L28" s="55">
        <v>37.590000000000003</v>
      </c>
      <c r="M28" s="55">
        <v>25.62</v>
      </c>
      <c r="N28" s="55">
        <v>0</v>
      </c>
      <c r="O28" s="55">
        <v>0</v>
      </c>
      <c r="P28" s="55">
        <v>0.5</v>
      </c>
      <c r="Q28" s="55">
        <v>4.6100000000000003</v>
      </c>
    </row>
    <row r="29" spans="1:17" customFormat="1">
      <c r="A29" s="54" t="s">
        <v>439</v>
      </c>
      <c r="B29" s="55">
        <v>6.88</v>
      </c>
      <c r="C29" s="55">
        <v>38.6</v>
      </c>
      <c r="D29" s="55">
        <v>24.64</v>
      </c>
      <c r="E29" s="55">
        <v>20.09</v>
      </c>
      <c r="F29" s="55">
        <v>20.28</v>
      </c>
      <c r="G29" s="55">
        <v>54.71</v>
      </c>
      <c r="H29" s="55">
        <v>21.04</v>
      </c>
      <c r="I29" s="55">
        <v>6.38</v>
      </c>
      <c r="J29" s="55">
        <v>0.81</v>
      </c>
      <c r="K29" s="55">
        <v>265.16000000000003</v>
      </c>
      <c r="L29" s="55">
        <v>36.18</v>
      </c>
      <c r="M29" s="55">
        <v>28.32</v>
      </c>
      <c r="N29" s="55">
        <v>0</v>
      </c>
      <c r="O29" s="55">
        <v>0</v>
      </c>
      <c r="P29" s="55">
        <v>0.69</v>
      </c>
      <c r="Q29" s="55">
        <v>4.78</v>
      </c>
    </row>
    <row r="30" spans="1:17" customFormat="1">
      <c r="A30" s="54" t="s">
        <v>440</v>
      </c>
      <c r="B30" s="55">
        <v>7.44</v>
      </c>
      <c r="C30" s="55">
        <v>38.19</v>
      </c>
      <c r="D30" s="55">
        <v>24.87</v>
      </c>
      <c r="E30" s="55">
        <v>16.079999999999998</v>
      </c>
      <c r="F30" s="55">
        <v>21.15</v>
      </c>
      <c r="G30" s="55">
        <v>54.74</v>
      </c>
      <c r="H30" s="55">
        <v>20.64</v>
      </c>
      <c r="I30" s="55">
        <v>5.61</v>
      </c>
      <c r="J30" s="55">
        <v>0.83</v>
      </c>
      <c r="K30" s="55">
        <v>261.87</v>
      </c>
      <c r="L30" s="55">
        <v>35.82</v>
      </c>
      <c r="M30" s="55">
        <v>30.3</v>
      </c>
      <c r="N30" s="55">
        <v>0</v>
      </c>
      <c r="O30" s="55">
        <v>0</v>
      </c>
      <c r="P30" s="55">
        <v>0.74</v>
      </c>
      <c r="Q30" s="55">
        <v>4.76</v>
      </c>
    </row>
    <row r="31" spans="1:17" customFormat="1">
      <c r="A31" s="54" t="s">
        <v>441</v>
      </c>
      <c r="B31" s="55">
        <v>7.67</v>
      </c>
      <c r="C31" s="55">
        <v>38.840000000000003</v>
      </c>
      <c r="D31" s="55">
        <v>25</v>
      </c>
      <c r="E31" s="55">
        <v>31.98</v>
      </c>
      <c r="F31" s="55">
        <v>12.41</v>
      </c>
      <c r="G31" s="55">
        <v>60.89</v>
      </c>
      <c r="H31" s="55">
        <v>22.81</v>
      </c>
      <c r="I31" s="55">
        <v>13.13</v>
      </c>
      <c r="J31" s="55">
        <v>0.64</v>
      </c>
      <c r="K31" s="55">
        <v>261.67</v>
      </c>
      <c r="L31" s="55">
        <v>35.01</v>
      </c>
      <c r="M31" s="55">
        <v>32.25</v>
      </c>
      <c r="N31" s="55">
        <v>0</v>
      </c>
      <c r="O31" s="55">
        <v>0</v>
      </c>
      <c r="P31" s="55">
        <v>1.29</v>
      </c>
      <c r="Q31" s="55">
        <v>4.79</v>
      </c>
    </row>
    <row r="32" spans="1:17" customFormat="1">
      <c r="A32" s="54" t="s">
        <v>442</v>
      </c>
      <c r="B32" s="55">
        <v>9.3800000000000008</v>
      </c>
      <c r="C32" s="55">
        <v>41.34</v>
      </c>
      <c r="D32" s="55">
        <v>28.08</v>
      </c>
      <c r="E32" s="55">
        <v>25.39</v>
      </c>
      <c r="F32" s="55">
        <v>11.36</v>
      </c>
      <c r="G32" s="55">
        <v>66.59</v>
      </c>
      <c r="H32" s="55">
        <v>24.96</v>
      </c>
      <c r="I32" s="55">
        <v>14.38</v>
      </c>
      <c r="J32" s="55">
        <v>0.61</v>
      </c>
      <c r="K32" s="55">
        <v>255.55</v>
      </c>
      <c r="L32" s="55">
        <v>34.07</v>
      </c>
      <c r="M32" s="55">
        <v>32.659999999999997</v>
      </c>
      <c r="N32" s="55">
        <v>0</v>
      </c>
      <c r="O32" s="55">
        <v>0</v>
      </c>
      <c r="P32" s="55">
        <v>1.41</v>
      </c>
      <c r="Q32" s="55">
        <v>4.9800000000000004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4.9400000000000004</v>
      </c>
      <c r="C34" s="41">
        <f t="shared" si="0"/>
        <v>31.98</v>
      </c>
      <c r="D34" s="41">
        <f t="shared" si="0"/>
        <v>19.600000000000001</v>
      </c>
      <c r="E34" s="41">
        <f t="shared" si="0"/>
        <v>5.56</v>
      </c>
      <c r="F34" s="41">
        <f t="shared" si="0"/>
        <v>6.66</v>
      </c>
      <c r="G34" s="41">
        <f t="shared" si="0"/>
        <v>47.79</v>
      </c>
      <c r="H34" s="41">
        <f t="shared" si="0"/>
        <v>15.34</v>
      </c>
      <c r="I34" s="41">
        <f t="shared" si="0"/>
        <v>3.87</v>
      </c>
      <c r="J34" s="41">
        <f t="shared" si="0"/>
        <v>0.19</v>
      </c>
      <c r="K34" s="41">
        <f t="shared" si="0"/>
        <v>188.61</v>
      </c>
      <c r="L34" s="41">
        <f t="shared" si="0"/>
        <v>28.68</v>
      </c>
      <c r="M34" s="41">
        <f t="shared" si="0"/>
        <v>19.170000000000002</v>
      </c>
      <c r="N34" s="41">
        <f t="shared" si="0"/>
        <v>0</v>
      </c>
      <c r="O34" s="41">
        <f t="shared" si="0"/>
        <v>0</v>
      </c>
      <c r="P34" s="41">
        <f t="shared" si="0"/>
        <v>0.38</v>
      </c>
      <c r="Q34" s="41">
        <f t="shared" si="0"/>
        <v>4.6100000000000003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29.07</v>
      </c>
      <c r="C35" s="33">
        <f t="shared" si="1"/>
        <v>46.33</v>
      </c>
      <c r="D35" s="33">
        <f t="shared" si="1"/>
        <v>45.94</v>
      </c>
      <c r="E35" s="33">
        <f t="shared" si="1"/>
        <v>31.98</v>
      </c>
      <c r="F35" s="33">
        <f t="shared" si="1"/>
        <v>35.18</v>
      </c>
      <c r="G35" s="33">
        <f t="shared" si="1"/>
        <v>72.56</v>
      </c>
      <c r="H35" s="33">
        <f t="shared" si="1"/>
        <v>27.72</v>
      </c>
      <c r="I35" s="33">
        <f t="shared" si="1"/>
        <v>14.38</v>
      </c>
      <c r="J35" s="33">
        <f t="shared" si="1"/>
        <v>1.48</v>
      </c>
      <c r="K35" s="33">
        <f t="shared" si="1"/>
        <v>317.83999999999997</v>
      </c>
      <c r="L35" s="33">
        <f t="shared" si="1"/>
        <v>42.04</v>
      </c>
      <c r="M35" s="33">
        <f t="shared" si="1"/>
        <v>67.13</v>
      </c>
      <c r="N35" s="33">
        <f t="shared" si="1"/>
        <v>856.2</v>
      </c>
      <c r="O35" s="33">
        <f t="shared" si="1"/>
        <v>0</v>
      </c>
      <c r="P35" s="33">
        <f t="shared" si="1"/>
        <v>1.41</v>
      </c>
      <c r="Q35" s="33">
        <f t="shared" si="1"/>
        <v>6.04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15.532500000000001</v>
      </c>
      <c r="C36" s="41">
        <f t="shared" si="2"/>
        <v>41.178333333333342</v>
      </c>
      <c r="D36" s="41">
        <f t="shared" si="2"/>
        <v>32.71791666666666</v>
      </c>
      <c r="E36" s="41">
        <f t="shared" si="2"/>
        <v>11.200000000000001</v>
      </c>
      <c r="F36" s="41">
        <f t="shared" si="2"/>
        <v>18.059999999999999</v>
      </c>
      <c r="G36" s="41">
        <f t="shared" si="2"/>
        <v>57.386249999999997</v>
      </c>
      <c r="H36" s="41">
        <f t="shared" si="2"/>
        <v>22.232500000000002</v>
      </c>
      <c r="I36" s="41">
        <f t="shared" si="2"/>
        <v>6.162916666666665</v>
      </c>
      <c r="J36" s="41">
        <f t="shared" si="2"/>
        <v>0.77083333333333315</v>
      </c>
      <c r="K36" s="41">
        <f t="shared" si="2"/>
        <v>267.01666666666671</v>
      </c>
      <c r="L36" s="41">
        <f t="shared" si="2"/>
        <v>36.160833333333336</v>
      </c>
      <c r="M36" s="41">
        <f t="shared" si="2"/>
        <v>37.65708333333334</v>
      </c>
      <c r="N36" s="41">
        <f t="shared" si="2"/>
        <v>215.46249999999998</v>
      </c>
      <c r="O36" s="41">
        <f t="shared" si="2"/>
        <v>0</v>
      </c>
      <c r="P36" s="41">
        <f t="shared" si="2"/>
        <v>0.63208333333333344</v>
      </c>
      <c r="Q36" s="41">
        <f t="shared" si="2"/>
        <v>5.279583333333334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8.5886549283494222</v>
      </c>
      <c r="C37" s="41">
        <f t="shared" ref="C37:Q37" si="3">STDEV(C9:C32)</f>
        <v>3.6347222448353183</v>
      </c>
      <c r="D37" s="41">
        <f t="shared" si="3"/>
        <v>8.4962789702657435</v>
      </c>
      <c r="E37" s="41">
        <f t="shared" si="3"/>
        <v>6.5944561696862527</v>
      </c>
      <c r="F37" s="41">
        <f t="shared" si="3"/>
        <v>7.5431016570569733</v>
      </c>
      <c r="G37" s="41">
        <f t="shared" si="3"/>
        <v>7.2320312935187712</v>
      </c>
      <c r="H37" s="41">
        <f t="shared" si="3"/>
        <v>4.1013574105039146</v>
      </c>
      <c r="I37" s="41">
        <f t="shared" si="3"/>
        <v>2.49736292075682</v>
      </c>
      <c r="J37" s="41">
        <f t="shared" si="3"/>
        <v>0.41537742571919051</v>
      </c>
      <c r="K37" s="41">
        <f t="shared" si="3"/>
        <v>42.218120946246096</v>
      </c>
      <c r="L37" s="41">
        <f t="shared" si="3"/>
        <v>4.5458130919194417</v>
      </c>
      <c r="M37" s="41">
        <f t="shared" si="3"/>
        <v>17.146145587696743</v>
      </c>
      <c r="N37" s="41">
        <f t="shared" si="3"/>
        <v>309.18928606852666</v>
      </c>
      <c r="O37" s="41">
        <f t="shared" si="3"/>
        <v>0</v>
      </c>
      <c r="P37" s="41">
        <f t="shared" si="3"/>
        <v>0.24544509997441219</v>
      </c>
      <c r="Q37" s="41">
        <f t="shared" si="3"/>
        <v>0.52470678492366285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17/06/2023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4" t="s">
        <v>443</v>
      </c>
      <c r="B9" s="55">
        <v>8.85</v>
      </c>
      <c r="C9" s="55">
        <v>38.86</v>
      </c>
      <c r="D9" s="55">
        <v>26.36</v>
      </c>
      <c r="E9" s="55">
        <v>32.43</v>
      </c>
      <c r="F9" s="55">
        <v>18.05</v>
      </c>
      <c r="G9" s="55">
        <v>72.62</v>
      </c>
      <c r="H9" s="55">
        <v>25.15</v>
      </c>
      <c r="I9" s="55">
        <v>17.89</v>
      </c>
      <c r="J9" s="55">
        <v>0.35</v>
      </c>
      <c r="K9" s="55">
        <v>235.02</v>
      </c>
      <c r="L9" s="55">
        <v>33.200000000000003</v>
      </c>
      <c r="M9" s="55">
        <v>35.67</v>
      </c>
      <c r="N9" s="55">
        <v>0</v>
      </c>
      <c r="O9" s="55">
        <v>0</v>
      </c>
      <c r="P9" s="55">
        <v>1.62</v>
      </c>
      <c r="Q9" s="55">
        <v>5.0599999999999996</v>
      </c>
    </row>
    <row r="10" spans="1:21" customFormat="1">
      <c r="A10" s="54" t="s">
        <v>444</v>
      </c>
      <c r="B10" s="55">
        <v>10.54</v>
      </c>
      <c r="C10" s="55">
        <v>41.2</v>
      </c>
      <c r="D10" s="55">
        <v>28.77</v>
      </c>
      <c r="E10" s="55">
        <v>10.33</v>
      </c>
      <c r="F10" s="55">
        <v>17.239999999999998</v>
      </c>
      <c r="G10" s="55">
        <v>72.62</v>
      </c>
      <c r="H10" s="55">
        <v>25.15</v>
      </c>
      <c r="I10" s="55">
        <v>10.73</v>
      </c>
      <c r="J10" s="55">
        <v>0.34</v>
      </c>
      <c r="K10" s="55">
        <v>238.11</v>
      </c>
      <c r="L10" s="55">
        <v>32.21</v>
      </c>
      <c r="M10" s="55">
        <v>36.46</v>
      </c>
      <c r="N10" s="55">
        <v>0</v>
      </c>
      <c r="O10" s="55">
        <v>0</v>
      </c>
      <c r="P10" s="55">
        <v>0.88</v>
      </c>
      <c r="Q10" s="55">
        <v>5.08</v>
      </c>
    </row>
    <row r="11" spans="1:21" customFormat="1">
      <c r="A11" s="54" t="s">
        <v>445</v>
      </c>
      <c r="B11" s="55">
        <v>24.11</v>
      </c>
      <c r="C11" s="55">
        <v>45.41</v>
      </c>
      <c r="D11" s="55">
        <v>42.01</v>
      </c>
      <c r="E11" s="55">
        <v>8.0500000000000007</v>
      </c>
      <c r="F11" s="55">
        <v>16.41</v>
      </c>
      <c r="G11" s="55">
        <v>62.31</v>
      </c>
      <c r="H11" s="55">
        <v>22.18</v>
      </c>
      <c r="I11" s="55">
        <v>8.49</v>
      </c>
      <c r="J11" s="55">
        <v>0.18</v>
      </c>
      <c r="K11" s="55">
        <v>240.01</v>
      </c>
      <c r="L11" s="55">
        <v>31.42</v>
      </c>
      <c r="M11" s="55">
        <v>44.6</v>
      </c>
      <c r="N11" s="55">
        <v>0</v>
      </c>
      <c r="O11" s="55">
        <v>0</v>
      </c>
      <c r="P11" s="55">
        <v>0.8</v>
      </c>
      <c r="Q11" s="55">
        <v>5.13</v>
      </c>
    </row>
    <row r="12" spans="1:21" customFormat="1">
      <c r="A12" s="54" t="s">
        <v>446</v>
      </c>
      <c r="B12" s="55">
        <v>24.27</v>
      </c>
      <c r="C12" s="55">
        <v>48.17</v>
      </c>
      <c r="D12" s="55">
        <v>42.93</v>
      </c>
      <c r="E12" s="55">
        <v>10.06</v>
      </c>
      <c r="F12" s="55">
        <v>6.31</v>
      </c>
      <c r="G12" s="55">
        <v>51.25</v>
      </c>
      <c r="H12" s="55">
        <v>21.54</v>
      </c>
      <c r="I12" s="55">
        <v>8.3699999999999992</v>
      </c>
      <c r="J12" s="55">
        <v>0.31</v>
      </c>
      <c r="K12" s="55">
        <v>243.97</v>
      </c>
      <c r="L12" s="55">
        <v>31.1</v>
      </c>
      <c r="M12" s="55">
        <v>49.46</v>
      </c>
      <c r="N12" s="55">
        <v>0</v>
      </c>
      <c r="O12" s="55">
        <v>0</v>
      </c>
      <c r="P12" s="55">
        <v>0.85</v>
      </c>
      <c r="Q12" s="55">
        <v>5.41</v>
      </c>
    </row>
    <row r="13" spans="1:21" customFormat="1">
      <c r="A13" s="54" t="s">
        <v>447</v>
      </c>
      <c r="B13" s="55">
        <v>19.73</v>
      </c>
      <c r="C13" s="55">
        <v>49.91</v>
      </c>
      <c r="D13" s="55">
        <v>40.85</v>
      </c>
      <c r="E13" s="55">
        <v>8.89</v>
      </c>
      <c r="F13" s="55">
        <v>6.18</v>
      </c>
      <c r="G13" s="55">
        <v>51.25</v>
      </c>
      <c r="H13" s="55">
        <v>20.2</v>
      </c>
      <c r="I13" s="55">
        <v>8.41</v>
      </c>
      <c r="J13" s="55">
        <v>0.28999999999999998</v>
      </c>
      <c r="K13" s="55">
        <v>181.91</v>
      </c>
      <c r="L13" s="55">
        <v>29.46</v>
      </c>
      <c r="M13" s="55">
        <v>53.55</v>
      </c>
      <c r="N13" s="55">
        <v>0</v>
      </c>
      <c r="O13" s="55">
        <v>0</v>
      </c>
      <c r="P13" s="55">
        <v>0.81</v>
      </c>
      <c r="Q13" s="55">
        <v>5.5</v>
      </c>
    </row>
    <row r="14" spans="1:21" customFormat="1">
      <c r="A14" s="54" t="s">
        <v>448</v>
      </c>
      <c r="B14" s="55">
        <v>20.59</v>
      </c>
      <c r="C14" s="55">
        <v>48.66</v>
      </c>
      <c r="D14" s="55">
        <v>40.409999999999997</v>
      </c>
      <c r="E14" s="55">
        <v>11.31</v>
      </c>
      <c r="F14" s="55">
        <v>6.2</v>
      </c>
      <c r="G14" s="55">
        <v>48.03</v>
      </c>
      <c r="H14" s="55">
        <v>18.21</v>
      </c>
      <c r="I14" s="55">
        <v>8.25</v>
      </c>
      <c r="J14" s="55">
        <v>0.24</v>
      </c>
      <c r="K14" s="55">
        <v>190.92</v>
      </c>
      <c r="L14" s="55">
        <v>29.11</v>
      </c>
      <c r="M14" s="55">
        <v>54.79</v>
      </c>
      <c r="N14" s="55">
        <v>22</v>
      </c>
      <c r="O14" s="55">
        <v>0</v>
      </c>
      <c r="P14" s="55">
        <v>0.76</v>
      </c>
      <c r="Q14" s="55">
        <v>5.63</v>
      </c>
    </row>
    <row r="15" spans="1:21" customFormat="1">
      <c r="A15" s="54" t="s">
        <v>449</v>
      </c>
      <c r="B15" s="55">
        <v>22.55</v>
      </c>
      <c r="C15" s="55">
        <v>51.03</v>
      </c>
      <c r="D15" s="55">
        <v>43.48</v>
      </c>
      <c r="E15" s="55">
        <v>10.16</v>
      </c>
      <c r="F15" s="55">
        <v>7.67</v>
      </c>
      <c r="G15" s="55">
        <v>47.36</v>
      </c>
      <c r="H15" s="55">
        <v>17.95</v>
      </c>
      <c r="I15" s="55">
        <v>8</v>
      </c>
      <c r="J15" s="55">
        <v>0.28000000000000003</v>
      </c>
      <c r="K15" s="55">
        <v>248.55</v>
      </c>
      <c r="L15" s="55">
        <v>31.18</v>
      </c>
      <c r="M15" s="55">
        <v>54.57</v>
      </c>
      <c r="N15" s="55">
        <v>68.900000000000006</v>
      </c>
      <c r="O15" s="55">
        <v>0</v>
      </c>
      <c r="P15" s="55">
        <v>0.75</v>
      </c>
      <c r="Q15" s="55">
        <v>5.7</v>
      </c>
    </row>
    <row r="16" spans="1:21" customFormat="1">
      <c r="A16" s="54" t="s">
        <v>450</v>
      </c>
      <c r="B16" s="55">
        <v>22.07</v>
      </c>
      <c r="C16" s="55">
        <v>50.98</v>
      </c>
      <c r="D16" s="55">
        <v>42.36</v>
      </c>
      <c r="E16" s="55">
        <v>10.96</v>
      </c>
      <c r="F16" s="55">
        <v>10.97</v>
      </c>
      <c r="G16" s="55">
        <v>48.11</v>
      </c>
      <c r="H16" s="55">
        <v>17.95</v>
      </c>
      <c r="I16" s="55">
        <v>7.98</v>
      </c>
      <c r="J16" s="55">
        <v>0.74</v>
      </c>
      <c r="K16" s="55">
        <v>281.01</v>
      </c>
      <c r="L16" s="55">
        <v>34.07</v>
      </c>
      <c r="M16" s="55">
        <v>39.630000000000003</v>
      </c>
      <c r="N16" s="55">
        <v>117.2</v>
      </c>
      <c r="O16" s="55">
        <v>0</v>
      </c>
      <c r="P16" s="55">
        <v>0.83</v>
      </c>
      <c r="Q16" s="55">
        <v>5.73</v>
      </c>
    </row>
    <row r="17" spans="1:17" customFormat="1">
      <c r="A17" s="54" t="s">
        <v>451</v>
      </c>
      <c r="B17" s="55">
        <v>20.170000000000002</v>
      </c>
      <c r="C17" s="55">
        <v>47.06</v>
      </c>
      <c r="D17" s="55">
        <v>38.5</v>
      </c>
      <c r="E17" s="55">
        <v>11.83</v>
      </c>
      <c r="F17" s="55">
        <v>14.55</v>
      </c>
      <c r="G17" s="55">
        <v>52.76</v>
      </c>
      <c r="H17" s="55">
        <v>20.89</v>
      </c>
      <c r="I17" s="55">
        <v>8.2200000000000006</v>
      </c>
      <c r="J17" s="55">
        <v>0.99</v>
      </c>
      <c r="K17" s="55">
        <v>300.99</v>
      </c>
      <c r="L17" s="55">
        <v>36.520000000000003</v>
      </c>
      <c r="M17" s="55">
        <v>33.58</v>
      </c>
      <c r="N17" s="55">
        <v>151.6</v>
      </c>
      <c r="O17" s="55">
        <v>0</v>
      </c>
      <c r="P17" s="55">
        <v>0.76</v>
      </c>
      <c r="Q17" s="55">
        <v>5.62</v>
      </c>
    </row>
    <row r="18" spans="1:17" customFormat="1">
      <c r="A18" s="54" t="s">
        <v>452</v>
      </c>
      <c r="B18" s="55">
        <v>16.61</v>
      </c>
      <c r="C18" s="55">
        <v>48.22</v>
      </c>
      <c r="D18" s="55">
        <v>37.46</v>
      </c>
      <c r="E18" s="55">
        <v>11.67</v>
      </c>
      <c r="F18" s="55">
        <v>20.59</v>
      </c>
      <c r="G18" s="55">
        <v>54.1</v>
      </c>
      <c r="H18" s="55">
        <v>24.07</v>
      </c>
      <c r="I18" s="55">
        <v>7.83</v>
      </c>
      <c r="J18" s="55">
        <v>0.98</v>
      </c>
      <c r="K18" s="55">
        <v>335</v>
      </c>
      <c r="L18" s="55">
        <v>38.619999999999997</v>
      </c>
      <c r="M18" s="55">
        <v>27.78</v>
      </c>
      <c r="N18" s="55">
        <v>183.9</v>
      </c>
      <c r="O18" s="55">
        <v>0</v>
      </c>
      <c r="P18" s="55">
        <v>0.76</v>
      </c>
      <c r="Q18" s="55">
        <v>5.46</v>
      </c>
    </row>
    <row r="19" spans="1:17" customFormat="1">
      <c r="A19" s="54" t="s">
        <v>453</v>
      </c>
      <c r="B19" s="55">
        <v>13.53</v>
      </c>
      <c r="C19" s="55">
        <v>42.7</v>
      </c>
      <c r="D19" s="55">
        <v>32.119999999999997</v>
      </c>
      <c r="E19" s="55">
        <v>12.68</v>
      </c>
      <c r="F19" s="55">
        <v>17.940000000000001</v>
      </c>
      <c r="G19" s="55">
        <v>62.26</v>
      </c>
      <c r="H19" s="55">
        <v>24.37</v>
      </c>
      <c r="I19" s="55">
        <v>7.07</v>
      </c>
      <c r="J19" s="55">
        <v>1.07</v>
      </c>
      <c r="K19" s="55">
        <v>353.61</v>
      </c>
      <c r="L19" s="55">
        <v>39.450000000000003</v>
      </c>
      <c r="M19" s="55">
        <v>26.54</v>
      </c>
      <c r="N19" s="55">
        <v>214.8</v>
      </c>
      <c r="O19" s="55">
        <v>0</v>
      </c>
      <c r="P19" s="55">
        <v>0.69</v>
      </c>
      <c r="Q19" s="55">
        <v>5.22</v>
      </c>
    </row>
    <row r="20" spans="1:17" customFormat="1">
      <c r="A20" s="54" t="s">
        <v>454</v>
      </c>
      <c r="B20" s="55">
        <v>11.44</v>
      </c>
      <c r="C20" s="55">
        <v>42.01</v>
      </c>
      <c r="D20" s="55">
        <v>30.08</v>
      </c>
      <c r="E20" s="55">
        <v>12.98</v>
      </c>
      <c r="F20" s="55">
        <v>28.14</v>
      </c>
      <c r="G20" s="55">
        <v>66.5</v>
      </c>
      <c r="H20" s="55">
        <v>26.46</v>
      </c>
      <c r="I20" s="55">
        <v>6.45</v>
      </c>
      <c r="J20" s="55">
        <v>1.25</v>
      </c>
      <c r="K20" s="55">
        <v>332.31</v>
      </c>
      <c r="L20" s="55">
        <v>41.08</v>
      </c>
      <c r="M20" s="55">
        <v>24.25</v>
      </c>
      <c r="N20" s="55">
        <v>757.9</v>
      </c>
      <c r="O20" s="55">
        <v>0</v>
      </c>
      <c r="P20" s="55">
        <v>0.64</v>
      </c>
      <c r="Q20" s="55">
        <v>5.07</v>
      </c>
    </row>
    <row r="21" spans="1:17" customFormat="1">
      <c r="A21" s="54" t="s">
        <v>455</v>
      </c>
      <c r="B21" s="55">
        <v>9.6999999999999993</v>
      </c>
      <c r="C21" s="55">
        <v>42.12</v>
      </c>
      <c r="D21" s="55">
        <v>28.32</v>
      </c>
      <c r="E21" s="55">
        <v>10.119999999999999</v>
      </c>
      <c r="F21" s="55">
        <v>26.4</v>
      </c>
      <c r="G21" s="55">
        <v>66.5</v>
      </c>
      <c r="H21" s="55">
        <v>26.46</v>
      </c>
      <c r="I21" s="55">
        <v>5.66</v>
      </c>
      <c r="J21" s="55">
        <v>1.17</v>
      </c>
      <c r="K21" s="55">
        <v>297.43</v>
      </c>
      <c r="L21" s="55">
        <v>41.59</v>
      </c>
      <c r="M21" s="55">
        <v>23.57</v>
      </c>
      <c r="N21" s="55">
        <v>859.2</v>
      </c>
      <c r="O21" s="55">
        <v>0</v>
      </c>
      <c r="P21" s="55">
        <v>0.6</v>
      </c>
      <c r="Q21" s="55">
        <v>4.9800000000000004</v>
      </c>
    </row>
    <row r="22" spans="1:17" customFormat="1">
      <c r="A22" s="54" t="s">
        <v>456</v>
      </c>
      <c r="B22" s="55">
        <v>5.66</v>
      </c>
      <c r="C22" s="55">
        <v>40.270000000000003</v>
      </c>
      <c r="D22" s="55">
        <v>23.96</v>
      </c>
      <c r="E22" s="55">
        <v>9.14</v>
      </c>
      <c r="F22" s="55">
        <v>20.91</v>
      </c>
      <c r="G22" s="55">
        <v>57.02</v>
      </c>
      <c r="H22" s="55">
        <v>24.64</v>
      </c>
      <c r="I22" s="55">
        <v>5.24</v>
      </c>
      <c r="J22" s="55">
        <v>0.85</v>
      </c>
      <c r="K22" s="55">
        <v>289.04000000000002</v>
      </c>
      <c r="L22" s="55">
        <v>42.33</v>
      </c>
      <c r="M22" s="55">
        <v>21.67</v>
      </c>
      <c r="N22" s="55">
        <v>847.5</v>
      </c>
      <c r="O22" s="55">
        <v>0</v>
      </c>
      <c r="P22" s="55">
        <v>0.52</v>
      </c>
      <c r="Q22" s="55">
        <v>4.9000000000000004</v>
      </c>
    </row>
    <row r="23" spans="1:17" customFormat="1">
      <c r="A23" s="54" t="s">
        <v>457</v>
      </c>
      <c r="B23" s="55">
        <v>4.5999999999999996</v>
      </c>
      <c r="C23" s="55">
        <v>44.66</v>
      </c>
      <c r="D23" s="55">
        <v>25.98</v>
      </c>
      <c r="E23" s="55">
        <v>11.05</v>
      </c>
      <c r="F23" s="55">
        <v>22.95</v>
      </c>
      <c r="G23" s="55">
        <v>53.72</v>
      </c>
      <c r="H23" s="55">
        <v>23.24</v>
      </c>
      <c r="I23" s="55">
        <v>5.21</v>
      </c>
      <c r="J23" s="55">
        <v>0.87</v>
      </c>
      <c r="K23" s="55">
        <v>293.23</v>
      </c>
      <c r="L23" s="55">
        <v>42.31</v>
      </c>
      <c r="M23" s="55">
        <v>20.61</v>
      </c>
      <c r="N23" s="55">
        <v>686.5</v>
      </c>
      <c r="O23" s="55">
        <v>0</v>
      </c>
      <c r="P23" s="55">
        <v>0.45</v>
      </c>
      <c r="Q23" s="55">
        <v>5.0199999999999996</v>
      </c>
    </row>
    <row r="24" spans="1:17" customFormat="1">
      <c r="A24" s="54" t="s">
        <v>458</v>
      </c>
      <c r="B24" s="55">
        <v>5.33</v>
      </c>
      <c r="C24" s="55">
        <v>50.17</v>
      </c>
      <c r="D24" s="55">
        <v>29.44</v>
      </c>
      <c r="E24" s="55">
        <v>13.11</v>
      </c>
      <c r="F24" s="55">
        <v>22.3</v>
      </c>
      <c r="G24" s="55">
        <v>52.46</v>
      </c>
      <c r="H24" s="55">
        <v>21.71</v>
      </c>
      <c r="I24" s="55">
        <v>5.66</v>
      </c>
      <c r="J24" s="55">
        <v>0.94</v>
      </c>
      <c r="K24" s="55">
        <v>295.99</v>
      </c>
      <c r="L24" s="55">
        <v>42.19</v>
      </c>
      <c r="M24" s="55">
        <v>22.29</v>
      </c>
      <c r="N24" s="55">
        <v>583.29999999999995</v>
      </c>
      <c r="O24" s="55">
        <v>0</v>
      </c>
      <c r="P24" s="55">
        <v>0.47</v>
      </c>
      <c r="Q24" s="55">
        <v>5.13</v>
      </c>
    </row>
    <row r="25" spans="1:17" customFormat="1">
      <c r="A25" s="54" t="s">
        <v>459</v>
      </c>
      <c r="B25" s="55">
        <v>4.5</v>
      </c>
      <c r="C25" s="55">
        <v>46.17</v>
      </c>
      <c r="D25" s="55">
        <v>26.69</v>
      </c>
      <c r="E25" s="55">
        <v>15.69</v>
      </c>
      <c r="F25" s="55">
        <v>27.11</v>
      </c>
      <c r="G25" s="55">
        <v>55.42</v>
      </c>
      <c r="H25" s="55">
        <v>20.97</v>
      </c>
      <c r="I25" s="55">
        <v>5.45</v>
      </c>
      <c r="J25" s="55">
        <v>1.1599999999999999</v>
      </c>
      <c r="K25" s="55">
        <v>288.35000000000002</v>
      </c>
      <c r="L25" s="55">
        <v>41.11</v>
      </c>
      <c r="M25" s="55">
        <v>23.1</v>
      </c>
      <c r="N25" s="55">
        <v>338.1</v>
      </c>
      <c r="O25" s="55">
        <v>0</v>
      </c>
      <c r="P25" s="55">
        <v>0.47</v>
      </c>
      <c r="Q25" s="55">
        <v>5.07</v>
      </c>
    </row>
    <row r="26" spans="1:17" customFormat="1">
      <c r="A26" s="54" t="s">
        <v>460</v>
      </c>
      <c r="B26" s="55">
        <v>3.69</v>
      </c>
      <c r="C26" s="55">
        <v>42.3</v>
      </c>
      <c r="D26" s="55">
        <v>23.79</v>
      </c>
      <c r="E26" s="55">
        <v>16.32</v>
      </c>
      <c r="F26" s="55">
        <v>30.4</v>
      </c>
      <c r="G26" s="55">
        <v>55.42</v>
      </c>
      <c r="H26" s="55">
        <v>19.920000000000002</v>
      </c>
      <c r="I26" s="55">
        <v>5.21</v>
      </c>
      <c r="J26" s="55">
        <v>0.98</v>
      </c>
      <c r="K26" s="55">
        <v>267.12</v>
      </c>
      <c r="L26" s="55">
        <v>40.01</v>
      </c>
      <c r="M26" s="55">
        <v>23.84</v>
      </c>
      <c r="N26" s="55">
        <v>152.1</v>
      </c>
      <c r="O26" s="55">
        <v>0</v>
      </c>
      <c r="P26" s="55">
        <v>0.47</v>
      </c>
      <c r="Q26" s="55">
        <v>4.96</v>
      </c>
    </row>
    <row r="27" spans="1:17" customFormat="1">
      <c r="A27" s="54" t="s">
        <v>461</v>
      </c>
      <c r="B27" s="55">
        <v>3.22</v>
      </c>
      <c r="C27" s="55">
        <v>37.29</v>
      </c>
      <c r="D27" s="55">
        <v>21.02</v>
      </c>
      <c r="E27" s="55">
        <v>19.11</v>
      </c>
      <c r="F27" s="55">
        <v>44.07</v>
      </c>
      <c r="G27" s="55">
        <v>49.71</v>
      </c>
      <c r="H27" s="55">
        <v>19.920000000000002</v>
      </c>
      <c r="I27" s="55">
        <v>4.97</v>
      </c>
      <c r="J27" s="55">
        <v>0.88</v>
      </c>
      <c r="K27" s="55">
        <v>270.05</v>
      </c>
      <c r="L27" s="55">
        <v>38.86</v>
      </c>
      <c r="M27" s="55">
        <v>25.78</v>
      </c>
      <c r="N27" s="55">
        <v>27.3</v>
      </c>
      <c r="O27" s="55">
        <v>0</v>
      </c>
      <c r="P27" s="55">
        <v>0.41</v>
      </c>
      <c r="Q27" s="55">
        <v>4.7699999999999996</v>
      </c>
    </row>
    <row r="28" spans="1:17" customFormat="1">
      <c r="A28" s="54" t="s">
        <v>462</v>
      </c>
      <c r="B28" s="55">
        <v>3.1</v>
      </c>
      <c r="C28" s="55">
        <v>32.729999999999997</v>
      </c>
      <c r="D28" s="55">
        <v>18.54</v>
      </c>
      <c r="E28" s="55">
        <v>18.899999999999999</v>
      </c>
      <c r="F28" s="55">
        <v>42.97</v>
      </c>
      <c r="G28" s="55">
        <v>49</v>
      </c>
      <c r="H28" s="55">
        <v>19.05</v>
      </c>
      <c r="I28" s="55">
        <v>3.94</v>
      </c>
      <c r="J28" s="55">
        <v>0.75</v>
      </c>
      <c r="K28" s="55">
        <v>263.61</v>
      </c>
      <c r="L28" s="55">
        <v>37.659999999999997</v>
      </c>
      <c r="M28" s="55">
        <v>28.69</v>
      </c>
      <c r="N28" s="55">
        <v>0</v>
      </c>
      <c r="O28" s="55">
        <v>0</v>
      </c>
      <c r="P28" s="55">
        <v>0.41</v>
      </c>
      <c r="Q28" s="55">
        <v>4.59</v>
      </c>
    </row>
    <row r="29" spans="1:17" customFormat="1">
      <c r="A29" s="54" t="s">
        <v>463</v>
      </c>
      <c r="B29" s="55">
        <v>3.75</v>
      </c>
      <c r="C29" s="55">
        <v>31.99</v>
      </c>
      <c r="D29" s="55">
        <v>18.41</v>
      </c>
      <c r="E29" s="55">
        <v>14.7</v>
      </c>
      <c r="F29" s="55">
        <v>25.4</v>
      </c>
      <c r="G29" s="55">
        <v>49.46</v>
      </c>
      <c r="H29" s="55">
        <v>16.010000000000002</v>
      </c>
      <c r="I29" s="55">
        <v>4.2</v>
      </c>
      <c r="J29" s="55">
        <v>0.69</v>
      </c>
      <c r="K29" s="55">
        <v>260.98</v>
      </c>
      <c r="L29" s="55">
        <v>36.880000000000003</v>
      </c>
      <c r="M29" s="55">
        <v>29.15</v>
      </c>
      <c r="N29" s="55">
        <v>0</v>
      </c>
      <c r="O29" s="55">
        <v>0</v>
      </c>
      <c r="P29" s="55">
        <v>0.61</v>
      </c>
      <c r="Q29" s="55">
        <v>4.62</v>
      </c>
    </row>
    <row r="30" spans="1:17" customFormat="1">
      <c r="A30" s="54" t="s">
        <v>464</v>
      </c>
      <c r="B30" s="55">
        <v>5.23</v>
      </c>
      <c r="C30" s="55">
        <v>36.520000000000003</v>
      </c>
      <c r="D30" s="55">
        <v>22.23</v>
      </c>
      <c r="E30" s="55">
        <v>15.05</v>
      </c>
      <c r="F30" s="55">
        <v>18.399999999999999</v>
      </c>
      <c r="G30" s="55">
        <v>50.94</v>
      </c>
      <c r="H30" s="55">
        <v>15.98</v>
      </c>
      <c r="I30" s="55">
        <v>6.65</v>
      </c>
      <c r="J30" s="55">
        <v>0.79</v>
      </c>
      <c r="K30" s="55">
        <v>263.57</v>
      </c>
      <c r="L30" s="55">
        <v>36.07</v>
      </c>
      <c r="M30" s="55">
        <v>32.69</v>
      </c>
      <c r="N30" s="55">
        <v>0</v>
      </c>
      <c r="O30" s="55">
        <v>0</v>
      </c>
      <c r="P30" s="55">
        <v>0.71</v>
      </c>
      <c r="Q30" s="55">
        <v>4.75</v>
      </c>
    </row>
    <row r="31" spans="1:17" customFormat="1">
      <c r="A31" s="54" t="s">
        <v>465</v>
      </c>
      <c r="B31" s="55">
        <v>6.14</v>
      </c>
      <c r="C31" s="55">
        <v>39.82</v>
      </c>
      <c r="D31" s="55">
        <v>24.69</v>
      </c>
      <c r="E31" s="55">
        <v>14.9</v>
      </c>
      <c r="F31" s="55">
        <v>18.43</v>
      </c>
      <c r="G31" s="55">
        <v>50.98</v>
      </c>
      <c r="H31" s="55">
        <v>17.93</v>
      </c>
      <c r="I31" s="55">
        <v>8.17</v>
      </c>
      <c r="J31" s="55">
        <v>0.6</v>
      </c>
      <c r="K31" s="55">
        <v>263.47000000000003</v>
      </c>
      <c r="L31" s="55">
        <v>34.97</v>
      </c>
      <c r="M31" s="55">
        <v>33.75</v>
      </c>
      <c r="N31" s="55">
        <v>0</v>
      </c>
      <c r="O31" s="55">
        <v>0</v>
      </c>
      <c r="P31" s="55">
        <v>0.78</v>
      </c>
      <c r="Q31" s="55">
        <v>4.84</v>
      </c>
    </row>
    <row r="32" spans="1:17" customFormat="1">
      <c r="A32" s="54" t="s">
        <v>466</v>
      </c>
      <c r="B32" s="55">
        <v>7.04</v>
      </c>
      <c r="C32" s="55">
        <v>35.18</v>
      </c>
      <c r="D32" s="55">
        <v>22.98</v>
      </c>
      <c r="E32" s="55">
        <v>16.43</v>
      </c>
      <c r="F32" s="55">
        <v>19.53</v>
      </c>
      <c r="G32" s="55">
        <v>50.98</v>
      </c>
      <c r="H32" s="55">
        <v>18.54</v>
      </c>
      <c r="I32" s="55">
        <v>6.2</v>
      </c>
      <c r="J32" s="55">
        <v>0.56999999999999995</v>
      </c>
      <c r="K32" s="55">
        <v>259.11</v>
      </c>
      <c r="L32" s="55">
        <v>34.67</v>
      </c>
      <c r="M32" s="55">
        <v>35.130000000000003</v>
      </c>
      <c r="N32" s="55">
        <v>0</v>
      </c>
      <c r="O32" s="55">
        <v>0</v>
      </c>
      <c r="P32" s="55">
        <v>0.74</v>
      </c>
      <c r="Q32" s="55">
        <v>4.88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3.1</v>
      </c>
      <c r="C34" s="41">
        <f t="shared" si="0"/>
        <v>31.99</v>
      </c>
      <c r="D34" s="41">
        <f t="shared" si="0"/>
        <v>18.41</v>
      </c>
      <c r="E34" s="41">
        <f t="shared" si="0"/>
        <v>8.0500000000000007</v>
      </c>
      <c r="F34" s="41">
        <f t="shared" si="0"/>
        <v>6.18</v>
      </c>
      <c r="G34" s="41">
        <f t="shared" si="0"/>
        <v>47.36</v>
      </c>
      <c r="H34" s="41">
        <f t="shared" si="0"/>
        <v>15.98</v>
      </c>
      <c r="I34" s="41">
        <f t="shared" si="0"/>
        <v>3.94</v>
      </c>
      <c r="J34" s="41">
        <f t="shared" si="0"/>
        <v>0.18</v>
      </c>
      <c r="K34" s="41">
        <f t="shared" si="0"/>
        <v>181.91</v>
      </c>
      <c r="L34" s="41">
        <f t="shared" si="0"/>
        <v>29.11</v>
      </c>
      <c r="M34" s="41">
        <f t="shared" si="0"/>
        <v>20.61</v>
      </c>
      <c r="N34" s="41">
        <f t="shared" si="0"/>
        <v>0</v>
      </c>
      <c r="O34" s="41">
        <f t="shared" si="0"/>
        <v>0</v>
      </c>
      <c r="P34" s="41">
        <f t="shared" si="0"/>
        <v>0.41</v>
      </c>
      <c r="Q34" s="41">
        <f t="shared" si="0"/>
        <v>4.59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24.27</v>
      </c>
      <c r="C35" s="33">
        <f t="shared" si="1"/>
        <v>51.03</v>
      </c>
      <c r="D35" s="33">
        <f t="shared" si="1"/>
        <v>43.48</v>
      </c>
      <c r="E35" s="33">
        <f t="shared" si="1"/>
        <v>32.43</v>
      </c>
      <c r="F35" s="33">
        <f t="shared" si="1"/>
        <v>44.07</v>
      </c>
      <c r="G35" s="33">
        <f t="shared" si="1"/>
        <v>72.62</v>
      </c>
      <c r="H35" s="33">
        <f t="shared" si="1"/>
        <v>26.46</v>
      </c>
      <c r="I35" s="33">
        <f t="shared" si="1"/>
        <v>17.89</v>
      </c>
      <c r="J35" s="33">
        <f t="shared" si="1"/>
        <v>1.25</v>
      </c>
      <c r="K35" s="33">
        <f t="shared" si="1"/>
        <v>353.61</v>
      </c>
      <c r="L35" s="33">
        <f t="shared" si="1"/>
        <v>42.33</v>
      </c>
      <c r="M35" s="33">
        <f t="shared" si="1"/>
        <v>54.79</v>
      </c>
      <c r="N35" s="33">
        <f t="shared" si="1"/>
        <v>859.2</v>
      </c>
      <c r="O35" s="33">
        <f t="shared" si="1"/>
        <v>0</v>
      </c>
      <c r="P35" s="33">
        <f t="shared" si="1"/>
        <v>1.62</v>
      </c>
      <c r="Q35" s="33">
        <f t="shared" si="1"/>
        <v>5.73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11.5175</v>
      </c>
      <c r="C36" s="41">
        <f t="shared" si="2"/>
        <v>43.059583333333329</v>
      </c>
      <c r="D36" s="41">
        <f t="shared" si="2"/>
        <v>30.474166666666665</v>
      </c>
      <c r="E36" s="41">
        <f t="shared" si="2"/>
        <v>13.577916666666667</v>
      </c>
      <c r="F36" s="41">
        <f t="shared" si="2"/>
        <v>20.38</v>
      </c>
      <c r="G36" s="41">
        <f t="shared" si="2"/>
        <v>55.449166666666677</v>
      </c>
      <c r="H36" s="41">
        <f t="shared" si="2"/>
        <v>21.18708333333333</v>
      </c>
      <c r="I36" s="41">
        <f t="shared" si="2"/>
        <v>7.2604166666666652</v>
      </c>
      <c r="J36" s="41">
        <f t="shared" si="2"/>
        <v>0.71958333333333335</v>
      </c>
      <c r="K36" s="41">
        <f t="shared" si="2"/>
        <v>270.55666666666662</v>
      </c>
      <c r="L36" s="41">
        <f t="shared" si="2"/>
        <v>36.502916666666664</v>
      </c>
      <c r="M36" s="41">
        <f t="shared" si="2"/>
        <v>33.381250000000001</v>
      </c>
      <c r="N36" s="41">
        <f t="shared" si="2"/>
        <v>208.76250000000005</v>
      </c>
      <c r="O36" s="41">
        <f t="shared" si="2"/>
        <v>0</v>
      </c>
      <c r="P36" s="41">
        <f t="shared" si="2"/>
        <v>0.69958333333333333</v>
      </c>
      <c r="Q36" s="41">
        <f t="shared" si="2"/>
        <v>5.129999999999999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7.6321723216805113</v>
      </c>
      <c r="C37" s="41">
        <f t="shared" ref="C37:Q37" si="3">STDEV(C9:C32)</f>
        <v>5.7144420239362042</v>
      </c>
      <c r="D37" s="41">
        <f t="shared" si="3"/>
        <v>8.3489446959619915</v>
      </c>
      <c r="E37" s="41">
        <f t="shared" si="3"/>
        <v>5.0427597509495854</v>
      </c>
      <c r="F37" s="41">
        <f t="shared" si="3"/>
        <v>9.9557695747785786</v>
      </c>
      <c r="G37" s="41">
        <f t="shared" si="3"/>
        <v>7.6075162584898486</v>
      </c>
      <c r="H37" s="41">
        <f t="shared" si="3"/>
        <v>3.184334589103714</v>
      </c>
      <c r="I37" s="41">
        <f t="shared" si="3"/>
        <v>2.8124374067108935</v>
      </c>
      <c r="J37" s="41">
        <f t="shared" si="3"/>
        <v>0.33067098013198731</v>
      </c>
      <c r="K37" s="41">
        <f t="shared" si="3"/>
        <v>40.358874425924739</v>
      </c>
      <c r="L37" s="41">
        <f t="shared" si="3"/>
        <v>4.3205811597482509</v>
      </c>
      <c r="M37" s="41">
        <f t="shared" si="3"/>
        <v>10.897664413713279</v>
      </c>
      <c r="N37" s="41">
        <f t="shared" si="3"/>
        <v>299.02383620635533</v>
      </c>
      <c r="O37" s="41">
        <f t="shared" si="3"/>
        <v>0</v>
      </c>
      <c r="P37" s="41">
        <f t="shared" si="3"/>
        <v>0.24718377543961068</v>
      </c>
      <c r="Q37" s="41">
        <f t="shared" si="3"/>
        <v>0.33690406323773514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18/06/2023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4" t="s">
        <v>467</v>
      </c>
      <c r="B9" s="55">
        <v>8.24</v>
      </c>
      <c r="C9" s="55">
        <v>36.25</v>
      </c>
      <c r="D9" s="55">
        <v>24.5</v>
      </c>
      <c r="E9" s="55">
        <v>9.64</v>
      </c>
      <c r="F9" s="55">
        <v>20.74</v>
      </c>
      <c r="G9" s="55">
        <v>49.64</v>
      </c>
      <c r="H9" s="55">
        <v>18.54</v>
      </c>
      <c r="I9" s="55">
        <v>5.8</v>
      </c>
      <c r="J9" s="55">
        <v>0.56999999999999995</v>
      </c>
      <c r="K9" s="55">
        <v>262.45999999999998</v>
      </c>
      <c r="L9" s="55">
        <v>34.119999999999997</v>
      </c>
      <c r="M9" s="55">
        <v>35.81</v>
      </c>
      <c r="N9" s="55">
        <v>0</v>
      </c>
      <c r="O9" s="55">
        <v>0</v>
      </c>
      <c r="P9" s="55">
        <v>0.51</v>
      </c>
      <c r="Q9" s="55">
        <v>4.8899999999999997</v>
      </c>
    </row>
    <row r="10" spans="1:21" customFormat="1">
      <c r="A10" s="54" t="s">
        <v>468</v>
      </c>
      <c r="B10" s="55">
        <v>9.14</v>
      </c>
      <c r="C10" s="55">
        <v>38.33</v>
      </c>
      <c r="D10" s="55">
        <v>26.31</v>
      </c>
      <c r="E10" s="55">
        <v>8.44</v>
      </c>
      <c r="F10" s="55">
        <v>20.350000000000001</v>
      </c>
      <c r="G10" s="55">
        <v>47.51</v>
      </c>
      <c r="H10" s="55">
        <v>16.2</v>
      </c>
      <c r="I10" s="55">
        <v>4.59</v>
      </c>
      <c r="J10" s="55">
        <v>0.35</v>
      </c>
      <c r="K10" s="55">
        <v>248.85</v>
      </c>
      <c r="L10" s="55">
        <v>33.5</v>
      </c>
      <c r="M10" s="55">
        <v>44.44</v>
      </c>
      <c r="N10" s="55">
        <v>0</v>
      </c>
      <c r="O10" s="55">
        <v>0</v>
      </c>
      <c r="P10" s="55">
        <v>0.46</v>
      </c>
      <c r="Q10" s="55">
        <v>4.92</v>
      </c>
    </row>
    <row r="11" spans="1:21" customFormat="1">
      <c r="A11" s="54" t="s">
        <v>469</v>
      </c>
      <c r="B11" s="55">
        <v>10.97</v>
      </c>
      <c r="C11" s="55">
        <v>38</v>
      </c>
      <c r="D11" s="55">
        <v>27.6</v>
      </c>
      <c r="E11" s="55">
        <v>6.1</v>
      </c>
      <c r="F11" s="55">
        <v>14.27</v>
      </c>
      <c r="G11" s="55">
        <v>41.66</v>
      </c>
      <c r="H11" s="55">
        <v>13.96</v>
      </c>
      <c r="I11" s="55">
        <v>4.49</v>
      </c>
      <c r="J11" s="55">
        <v>0.22</v>
      </c>
      <c r="K11" s="55">
        <v>192.15</v>
      </c>
      <c r="L11" s="55">
        <v>31.28</v>
      </c>
      <c r="M11" s="55">
        <v>48.24</v>
      </c>
      <c r="N11" s="55">
        <v>0</v>
      </c>
      <c r="O11" s="55">
        <v>0</v>
      </c>
      <c r="P11" s="55">
        <v>0.45</v>
      </c>
      <c r="Q11" s="55">
        <v>4.97</v>
      </c>
    </row>
    <row r="12" spans="1:21" customFormat="1">
      <c r="A12" s="54" t="s">
        <v>470</v>
      </c>
      <c r="B12" s="55">
        <v>10.91</v>
      </c>
      <c r="C12" s="55">
        <v>36.590000000000003</v>
      </c>
      <c r="D12" s="55">
        <v>26.69</v>
      </c>
      <c r="E12" s="55">
        <v>6.27</v>
      </c>
      <c r="F12" s="55">
        <v>14.46</v>
      </c>
      <c r="G12" s="55">
        <v>40.24</v>
      </c>
      <c r="H12" s="55">
        <v>12.93</v>
      </c>
      <c r="I12" s="55">
        <v>4.4400000000000004</v>
      </c>
      <c r="J12" s="55">
        <v>0.21</v>
      </c>
      <c r="K12" s="55">
        <v>216.8</v>
      </c>
      <c r="L12" s="55">
        <v>31.29</v>
      </c>
      <c r="M12" s="55">
        <v>46.96</v>
      </c>
      <c r="N12" s="55">
        <v>0</v>
      </c>
      <c r="O12" s="55">
        <v>0</v>
      </c>
      <c r="P12" s="55">
        <v>0.43</v>
      </c>
      <c r="Q12" s="55">
        <v>4.97</v>
      </c>
    </row>
    <row r="13" spans="1:21" customFormat="1">
      <c r="A13" s="54" t="s">
        <v>471</v>
      </c>
      <c r="B13" s="55">
        <v>12.62</v>
      </c>
      <c r="C13" s="55">
        <v>40.99</v>
      </c>
      <c r="D13" s="55">
        <v>30.24</v>
      </c>
      <c r="E13" s="55">
        <v>6.48</v>
      </c>
      <c r="F13" s="55">
        <v>13.82</v>
      </c>
      <c r="G13" s="55">
        <v>38.31</v>
      </c>
      <c r="H13" s="55">
        <v>12.64</v>
      </c>
      <c r="I13" s="55">
        <v>4.5599999999999996</v>
      </c>
      <c r="J13" s="55">
        <v>0.33</v>
      </c>
      <c r="K13" s="55">
        <v>254.16</v>
      </c>
      <c r="L13" s="55">
        <v>30.7</v>
      </c>
      <c r="M13" s="55">
        <v>50.15</v>
      </c>
      <c r="N13" s="55">
        <v>0</v>
      </c>
      <c r="O13" s="55">
        <v>0</v>
      </c>
      <c r="P13" s="55">
        <v>0.43</v>
      </c>
      <c r="Q13" s="55">
        <v>5.07</v>
      </c>
    </row>
    <row r="14" spans="1:21" customFormat="1">
      <c r="A14" s="54" t="s">
        <v>472</v>
      </c>
      <c r="B14" s="55">
        <v>14.07</v>
      </c>
      <c r="C14" s="55">
        <v>42.09</v>
      </c>
      <c r="D14" s="55">
        <v>32.229999999999997</v>
      </c>
      <c r="E14" s="55">
        <v>6.53</v>
      </c>
      <c r="F14" s="55">
        <v>13.35</v>
      </c>
      <c r="G14" s="55">
        <v>37.69</v>
      </c>
      <c r="H14" s="55">
        <v>13.44</v>
      </c>
      <c r="I14" s="55">
        <v>4.33</v>
      </c>
      <c r="J14" s="55">
        <v>0.19</v>
      </c>
      <c r="K14" s="55">
        <v>197.2</v>
      </c>
      <c r="L14" s="55">
        <v>30.63</v>
      </c>
      <c r="M14" s="55">
        <v>49.05</v>
      </c>
      <c r="N14" s="55">
        <v>25.6</v>
      </c>
      <c r="O14" s="55">
        <v>0</v>
      </c>
      <c r="P14" s="55">
        <v>0.42</v>
      </c>
      <c r="Q14" s="55">
        <v>5.09</v>
      </c>
    </row>
    <row r="15" spans="1:21" customFormat="1">
      <c r="A15" s="54" t="s">
        <v>473</v>
      </c>
      <c r="B15" s="55">
        <v>15.37</v>
      </c>
      <c r="C15" s="55">
        <v>44.35</v>
      </c>
      <c r="D15" s="55">
        <v>34.450000000000003</v>
      </c>
      <c r="E15" s="55">
        <v>8.2899999999999991</v>
      </c>
      <c r="F15" s="55">
        <v>13.56</v>
      </c>
      <c r="G15" s="55">
        <v>37.69</v>
      </c>
      <c r="H15" s="55">
        <v>13.44</v>
      </c>
      <c r="I15" s="55">
        <v>4.51</v>
      </c>
      <c r="J15" s="55">
        <v>0.61</v>
      </c>
      <c r="K15" s="55">
        <v>281.19</v>
      </c>
      <c r="L15" s="55">
        <v>32.79</v>
      </c>
      <c r="M15" s="55">
        <v>48.38</v>
      </c>
      <c r="N15" s="55">
        <v>83.8</v>
      </c>
      <c r="O15" s="55">
        <v>0</v>
      </c>
      <c r="P15" s="55">
        <v>0.53</v>
      </c>
      <c r="Q15" s="55">
        <v>5.16</v>
      </c>
    </row>
    <row r="16" spans="1:21" customFormat="1">
      <c r="A16" s="54" t="s">
        <v>474</v>
      </c>
      <c r="B16" s="55">
        <v>15.54</v>
      </c>
      <c r="C16" s="55">
        <v>47.22</v>
      </c>
      <c r="D16" s="55">
        <v>36</v>
      </c>
      <c r="E16" s="55">
        <v>12.39</v>
      </c>
      <c r="F16" s="55">
        <v>11.71</v>
      </c>
      <c r="G16" s="55">
        <v>45.37</v>
      </c>
      <c r="H16" s="55">
        <v>12.53</v>
      </c>
      <c r="I16" s="55">
        <v>8.2899999999999991</v>
      </c>
      <c r="J16" s="55">
        <v>1.05</v>
      </c>
      <c r="K16" s="55">
        <v>297.91000000000003</v>
      </c>
      <c r="L16" s="55">
        <v>34.770000000000003</v>
      </c>
      <c r="M16" s="55">
        <v>41.39</v>
      </c>
      <c r="N16" s="55">
        <v>105.4</v>
      </c>
      <c r="O16" s="55">
        <v>0</v>
      </c>
      <c r="P16" s="55">
        <v>0.68</v>
      </c>
      <c r="Q16" s="55">
        <v>5.23</v>
      </c>
    </row>
    <row r="17" spans="1:17" customFormat="1">
      <c r="A17" s="54" t="s">
        <v>475</v>
      </c>
      <c r="B17" s="55">
        <v>15.3</v>
      </c>
      <c r="C17" s="55">
        <v>44.56</v>
      </c>
      <c r="D17" s="55">
        <v>34.51</v>
      </c>
      <c r="E17" s="55">
        <v>12.57</v>
      </c>
      <c r="F17" s="55">
        <v>19.72</v>
      </c>
      <c r="G17" s="55">
        <v>56.66</v>
      </c>
      <c r="H17" s="55">
        <v>17.100000000000001</v>
      </c>
      <c r="I17" s="55">
        <v>7.42</v>
      </c>
      <c r="J17" s="55">
        <v>1.25</v>
      </c>
      <c r="K17" s="55">
        <v>327.35000000000002</v>
      </c>
      <c r="L17" s="55">
        <v>36.74</v>
      </c>
      <c r="M17" s="55">
        <v>36.07</v>
      </c>
      <c r="N17" s="55">
        <v>144.1</v>
      </c>
      <c r="O17" s="55">
        <v>0</v>
      </c>
      <c r="P17" s="55">
        <v>0.61</v>
      </c>
      <c r="Q17" s="55">
        <v>5.2</v>
      </c>
    </row>
    <row r="18" spans="1:17" customFormat="1">
      <c r="A18" s="54" t="s">
        <v>476</v>
      </c>
      <c r="B18" s="55">
        <v>12.79</v>
      </c>
      <c r="C18" s="55">
        <v>37.79</v>
      </c>
      <c r="D18" s="55">
        <v>28.69</v>
      </c>
      <c r="E18" s="55">
        <v>9.52</v>
      </c>
      <c r="F18" s="55">
        <v>20.51</v>
      </c>
      <c r="G18" s="55">
        <v>59.41</v>
      </c>
      <c r="H18" s="55">
        <v>17.87</v>
      </c>
      <c r="I18" s="55">
        <v>6.13</v>
      </c>
      <c r="J18" s="55">
        <v>0.9</v>
      </c>
      <c r="K18" s="55">
        <v>353.3</v>
      </c>
      <c r="L18" s="55">
        <v>37.78</v>
      </c>
      <c r="M18" s="55">
        <v>32.31</v>
      </c>
      <c r="N18" s="55">
        <v>177.7</v>
      </c>
      <c r="O18" s="55">
        <v>0</v>
      </c>
      <c r="P18" s="55">
        <v>0.56999999999999995</v>
      </c>
      <c r="Q18" s="55">
        <v>5</v>
      </c>
    </row>
    <row r="19" spans="1:17" customFormat="1">
      <c r="A19" s="54" t="s">
        <v>477</v>
      </c>
      <c r="B19" s="55">
        <v>11.59</v>
      </c>
      <c r="C19" s="55">
        <v>36.51</v>
      </c>
      <c r="D19" s="55">
        <v>27.32</v>
      </c>
      <c r="E19" s="55">
        <v>10.31</v>
      </c>
      <c r="F19" s="55">
        <v>26.42</v>
      </c>
      <c r="G19" s="55">
        <v>65.33</v>
      </c>
      <c r="H19" s="55">
        <v>22.75</v>
      </c>
      <c r="I19" s="55">
        <v>5.72</v>
      </c>
      <c r="J19" s="55">
        <v>0.86</v>
      </c>
      <c r="K19" s="55">
        <v>339.81</v>
      </c>
      <c r="L19" s="55">
        <v>39.270000000000003</v>
      </c>
      <c r="M19" s="55">
        <v>30.47</v>
      </c>
      <c r="N19" s="55">
        <v>225.3</v>
      </c>
      <c r="O19" s="55">
        <v>0</v>
      </c>
      <c r="P19" s="55">
        <v>0.54</v>
      </c>
      <c r="Q19" s="55">
        <v>4.88</v>
      </c>
    </row>
    <row r="20" spans="1:17" customFormat="1">
      <c r="A20" s="54" t="s">
        <v>478</v>
      </c>
      <c r="B20" s="55">
        <v>10.199999999999999</v>
      </c>
      <c r="C20" s="55">
        <v>36.659999999999997</v>
      </c>
      <c r="D20" s="55">
        <v>26.29</v>
      </c>
      <c r="E20" s="55">
        <v>10.42</v>
      </c>
      <c r="F20" s="55">
        <v>27.72</v>
      </c>
      <c r="G20" s="55">
        <v>66.349999999999994</v>
      </c>
      <c r="H20" s="55">
        <v>22.75</v>
      </c>
      <c r="I20" s="55">
        <v>5.32</v>
      </c>
      <c r="J20" s="55">
        <v>1.27</v>
      </c>
      <c r="K20" s="55">
        <v>337.89</v>
      </c>
      <c r="L20" s="55">
        <v>39.68</v>
      </c>
      <c r="M20" s="55">
        <v>28.56</v>
      </c>
      <c r="N20" s="55">
        <v>688.9</v>
      </c>
      <c r="O20" s="55">
        <v>0</v>
      </c>
      <c r="P20" s="55">
        <v>0.5</v>
      </c>
      <c r="Q20" s="55">
        <v>4.8</v>
      </c>
    </row>
    <row r="21" spans="1:17" customFormat="1">
      <c r="A21" s="54" t="s">
        <v>479</v>
      </c>
      <c r="B21" s="55">
        <v>9.49</v>
      </c>
      <c r="C21" s="55">
        <v>38.14</v>
      </c>
      <c r="D21" s="55">
        <v>26.49</v>
      </c>
      <c r="E21" s="55">
        <v>6.88</v>
      </c>
      <c r="F21" s="55">
        <v>20.67</v>
      </c>
      <c r="G21" s="55">
        <v>66.349999999999994</v>
      </c>
      <c r="H21" s="55">
        <v>22.15</v>
      </c>
      <c r="I21" s="55">
        <v>5.15</v>
      </c>
      <c r="J21" s="55">
        <v>1.01</v>
      </c>
      <c r="K21" s="55">
        <v>285.95999999999998</v>
      </c>
      <c r="L21" s="55">
        <v>40.6</v>
      </c>
      <c r="M21" s="55">
        <v>26.62</v>
      </c>
      <c r="N21" s="55">
        <v>813.1</v>
      </c>
      <c r="O21" s="55">
        <v>0</v>
      </c>
      <c r="P21" s="55">
        <v>0.45</v>
      </c>
      <c r="Q21" s="55">
        <v>4.74</v>
      </c>
    </row>
    <row r="22" spans="1:17" customFormat="1">
      <c r="A22" s="54" t="s">
        <v>480</v>
      </c>
      <c r="B22" s="55">
        <v>7.14</v>
      </c>
      <c r="C22" s="55">
        <v>37.53</v>
      </c>
      <c r="D22" s="55">
        <v>24.29</v>
      </c>
      <c r="E22" s="55">
        <v>6.82</v>
      </c>
      <c r="F22" s="55">
        <v>29.07</v>
      </c>
      <c r="G22" s="55">
        <v>61.72</v>
      </c>
      <c r="H22" s="55">
        <v>20.66</v>
      </c>
      <c r="I22" s="55">
        <v>4.96</v>
      </c>
      <c r="J22" s="55">
        <v>1.01</v>
      </c>
      <c r="K22" s="55">
        <v>309.99</v>
      </c>
      <c r="L22" s="55">
        <v>41.84</v>
      </c>
      <c r="M22" s="55">
        <v>24.41</v>
      </c>
      <c r="N22" s="55">
        <v>826.4</v>
      </c>
      <c r="O22" s="55">
        <v>0</v>
      </c>
      <c r="P22" s="55">
        <v>0.42</v>
      </c>
      <c r="Q22" s="55">
        <v>4.6900000000000004</v>
      </c>
    </row>
    <row r="23" spans="1:17" customFormat="1">
      <c r="A23" s="54" t="s">
        <v>481</v>
      </c>
      <c r="B23" s="55">
        <v>6.21</v>
      </c>
      <c r="C23" s="55">
        <v>35.81</v>
      </c>
      <c r="D23" s="55">
        <v>22.64</v>
      </c>
      <c r="E23" s="55">
        <v>7.37</v>
      </c>
      <c r="F23" s="55">
        <v>29.13</v>
      </c>
      <c r="G23" s="55">
        <v>60.05</v>
      </c>
      <c r="H23" s="55">
        <v>17.55</v>
      </c>
      <c r="I23" s="55">
        <v>4.58</v>
      </c>
      <c r="J23" s="55">
        <v>1.03</v>
      </c>
      <c r="K23" s="55">
        <v>312.43</v>
      </c>
      <c r="L23" s="55">
        <v>41.96</v>
      </c>
      <c r="M23" s="55">
        <v>22.3</v>
      </c>
      <c r="N23" s="55">
        <v>705.4</v>
      </c>
      <c r="O23" s="55">
        <v>0</v>
      </c>
      <c r="P23" s="55">
        <v>0.47</v>
      </c>
      <c r="Q23" s="55">
        <v>4.5999999999999996</v>
      </c>
    </row>
    <row r="24" spans="1:17" customFormat="1">
      <c r="A24" s="54" t="s">
        <v>482</v>
      </c>
      <c r="B24" s="55">
        <v>5.83</v>
      </c>
      <c r="C24" s="55">
        <v>35.68</v>
      </c>
      <c r="D24" s="55">
        <v>22.28</v>
      </c>
      <c r="E24" s="55">
        <v>8.86</v>
      </c>
      <c r="F24" s="55">
        <v>36.880000000000003</v>
      </c>
      <c r="G24" s="55">
        <v>58.03</v>
      </c>
      <c r="H24" s="55">
        <v>20.36</v>
      </c>
      <c r="I24" s="55">
        <v>4.3899999999999997</v>
      </c>
      <c r="J24" s="55">
        <v>1.29</v>
      </c>
      <c r="K24" s="55">
        <v>312.33</v>
      </c>
      <c r="L24" s="55">
        <v>41.48</v>
      </c>
      <c r="M24" s="55">
        <v>22.75</v>
      </c>
      <c r="N24" s="55">
        <v>526.9</v>
      </c>
      <c r="O24" s="55">
        <v>0</v>
      </c>
      <c r="P24" s="55">
        <v>0.48</v>
      </c>
      <c r="Q24" s="55">
        <v>4.54</v>
      </c>
    </row>
    <row r="25" spans="1:17" customFormat="1">
      <c r="A25" s="54" t="s">
        <v>483</v>
      </c>
      <c r="B25" s="55">
        <v>5.5</v>
      </c>
      <c r="C25" s="55">
        <v>34.479999999999997</v>
      </c>
      <c r="D25" s="55">
        <v>21.24</v>
      </c>
      <c r="E25" s="55">
        <v>9.5399999999999991</v>
      </c>
      <c r="F25" s="55">
        <v>36.799999999999997</v>
      </c>
      <c r="G25" s="55">
        <v>58.03</v>
      </c>
      <c r="H25" s="55">
        <v>20.36</v>
      </c>
      <c r="I25" s="55">
        <v>4.3899999999999997</v>
      </c>
      <c r="J25" s="55">
        <v>0.89</v>
      </c>
      <c r="K25" s="55">
        <v>285.51</v>
      </c>
      <c r="L25" s="55">
        <v>41.55</v>
      </c>
      <c r="M25" s="55">
        <v>21.71</v>
      </c>
      <c r="N25" s="55">
        <v>397.2</v>
      </c>
      <c r="O25" s="55">
        <v>0</v>
      </c>
      <c r="P25" s="55">
        <v>0.47</v>
      </c>
      <c r="Q25" s="55">
        <v>4.5</v>
      </c>
    </row>
    <row r="26" spans="1:17" customFormat="1">
      <c r="A26" s="54" t="s">
        <v>484</v>
      </c>
      <c r="B26" s="55">
        <v>6.52</v>
      </c>
      <c r="C26" s="55">
        <v>40.47</v>
      </c>
      <c r="D26" s="55">
        <v>25.23</v>
      </c>
      <c r="E26" s="55">
        <v>10.7</v>
      </c>
      <c r="F26" s="55">
        <v>36.78</v>
      </c>
      <c r="G26" s="55">
        <v>54.19</v>
      </c>
      <c r="H26" s="55">
        <v>18.899999999999999</v>
      </c>
      <c r="I26" s="55">
        <v>4.1399999999999997</v>
      </c>
      <c r="J26" s="55">
        <v>0.93</v>
      </c>
      <c r="K26" s="55">
        <v>285.88</v>
      </c>
      <c r="L26" s="55">
        <v>40.49</v>
      </c>
      <c r="M26" s="55">
        <v>23.72</v>
      </c>
      <c r="N26" s="55">
        <v>125.7</v>
      </c>
      <c r="O26" s="55">
        <v>0</v>
      </c>
      <c r="P26" s="55">
        <v>0.5</v>
      </c>
      <c r="Q26" s="55">
        <v>4.58</v>
      </c>
    </row>
    <row r="27" spans="1:17" customFormat="1">
      <c r="A27" s="54" t="s">
        <v>485</v>
      </c>
      <c r="B27" s="55">
        <v>7.27</v>
      </c>
      <c r="C27" s="55">
        <v>41.55</v>
      </c>
      <c r="D27" s="55">
        <v>26.49</v>
      </c>
      <c r="E27" s="55">
        <v>14.98</v>
      </c>
      <c r="F27" s="55">
        <v>35.72</v>
      </c>
      <c r="G27" s="55">
        <v>63</v>
      </c>
      <c r="H27" s="55">
        <v>19.71</v>
      </c>
      <c r="I27" s="55">
        <v>4.05</v>
      </c>
      <c r="J27" s="55">
        <v>0.84</v>
      </c>
      <c r="K27" s="55">
        <v>288.13</v>
      </c>
      <c r="L27" s="55">
        <v>38.869999999999997</v>
      </c>
      <c r="M27" s="55">
        <v>25.9</v>
      </c>
      <c r="N27" s="55">
        <v>28.8</v>
      </c>
      <c r="O27" s="55">
        <v>0</v>
      </c>
      <c r="P27" s="55">
        <v>0.61</v>
      </c>
      <c r="Q27" s="55">
        <v>4.57</v>
      </c>
    </row>
    <row r="28" spans="1:17" customFormat="1">
      <c r="A28" s="54" t="s">
        <v>486</v>
      </c>
      <c r="B28" s="55">
        <v>8.6300000000000008</v>
      </c>
      <c r="C28" s="55">
        <v>42.48</v>
      </c>
      <c r="D28" s="55">
        <v>28.07</v>
      </c>
      <c r="E28" s="55">
        <v>11.2</v>
      </c>
      <c r="F28" s="55">
        <v>21.19</v>
      </c>
      <c r="G28" s="55">
        <v>65.78</v>
      </c>
      <c r="H28" s="55">
        <v>22.2</v>
      </c>
      <c r="I28" s="55">
        <v>4.63</v>
      </c>
      <c r="J28" s="55">
        <v>0.69</v>
      </c>
      <c r="K28" s="55">
        <v>275.02</v>
      </c>
      <c r="L28" s="55">
        <v>37.700000000000003</v>
      </c>
      <c r="M28" s="55">
        <v>28.87</v>
      </c>
      <c r="N28" s="55">
        <v>0</v>
      </c>
      <c r="O28" s="55">
        <v>0</v>
      </c>
      <c r="P28" s="55">
        <v>0.64</v>
      </c>
      <c r="Q28" s="55">
        <v>4.6500000000000004</v>
      </c>
    </row>
    <row r="29" spans="1:17" customFormat="1">
      <c r="A29" s="54" t="s">
        <v>487</v>
      </c>
      <c r="B29" s="55">
        <v>8.6199999999999992</v>
      </c>
      <c r="C29" s="55">
        <v>41.54</v>
      </c>
      <c r="D29" s="55">
        <v>27.57</v>
      </c>
      <c r="E29" s="55">
        <v>6.39</v>
      </c>
      <c r="F29" s="55">
        <v>18.39</v>
      </c>
      <c r="G29" s="55">
        <v>67.790000000000006</v>
      </c>
      <c r="H29" s="55">
        <v>22.61</v>
      </c>
      <c r="I29" s="55">
        <v>4.6500000000000004</v>
      </c>
      <c r="J29" s="55">
        <v>0.8</v>
      </c>
      <c r="K29" s="55">
        <v>288.75</v>
      </c>
      <c r="L29" s="55">
        <v>37.020000000000003</v>
      </c>
      <c r="M29" s="55">
        <v>29.71</v>
      </c>
      <c r="N29" s="55">
        <v>0</v>
      </c>
      <c r="O29" s="55">
        <v>0</v>
      </c>
      <c r="P29" s="55">
        <v>0.64</v>
      </c>
      <c r="Q29" s="55">
        <v>4.7300000000000004</v>
      </c>
    </row>
    <row r="30" spans="1:17" customFormat="1">
      <c r="A30" s="54" t="s">
        <v>488</v>
      </c>
      <c r="B30" s="55">
        <v>11.28</v>
      </c>
      <c r="C30" s="55">
        <v>45.85</v>
      </c>
      <c r="D30" s="55">
        <v>30.45</v>
      </c>
      <c r="E30" s="55">
        <v>10.98</v>
      </c>
      <c r="F30" s="55">
        <v>15.52</v>
      </c>
      <c r="G30" s="55">
        <v>71.099999999999994</v>
      </c>
      <c r="H30" s="55">
        <v>22.61</v>
      </c>
      <c r="I30" s="55">
        <v>4.72</v>
      </c>
      <c r="J30" s="55">
        <v>0.91</v>
      </c>
      <c r="K30" s="55">
        <v>290.47000000000003</v>
      </c>
      <c r="L30" s="55">
        <v>36.29</v>
      </c>
      <c r="M30" s="55">
        <v>31.05</v>
      </c>
      <c r="N30" s="55">
        <v>0</v>
      </c>
      <c r="O30" s="55">
        <v>0</v>
      </c>
      <c r="P30" s="55">
        <v>0.65</v>
      </c>
      <c r="Q30" s="55">
        <v>4.9000000000000004</v>
      </c>
    </row>
    <row r="31" spans="1:17" customFormat="1">
      <c r="A31" s="54" t="s">
        <v>489</v>
      </c>
      <c r="B31" s="55">
        <v>11.17</v>
      </c>
      <c r="C31" s="55">
        <v>50.5</v>
      </c>
      <c r="D31" s="55">
        <v>34.299999999999997</v>
      </c>
      <c r="E31" s="55">
        <v>11.54</v>
      </c>
      <c r="F31" s="55">
        <v>16.829999999999998</v>
      </c>
      <c r="G31" s="55">
        <v>74.319999999999993</v>
      </c>
      <c r="H31" s="55">
        <v>23.21</v>
      </c>
      <c r="I31" s="55">
        <v>4.72</v>
      </c>
      <c r="J31" s="55">
        <v>0.63</v>
      </c>
      <c r="K31" s="55">
        <v>276.94</v>
      </c>
      <c r="L31" s="55">
        <v>35.58</v>
      </c>
      <c r="M31" s="55">
        <v>32.65</v>
      </c>
      <c r="N31" s="55">
        <v>0</v>
      </c>
      <c r="O31" s="55">
        <v>0</v>
      </c>
      <c r="P31" s="55">
        <v>0.65</v>
      </c>
      <c r="Q31" s="55">
        <v>5.0199999999999996</v>
      </c>
    </row>
    <row r="32" spans="1:17" customFormat="1">
      <c r="A32" s="54" t="s">
        <v>490</v>
      </c>
      <c r="B32" s="55">
        <v>11.1</v>
      </c>
      <c r="C32" s="55">
        <v>44.82</v>
      </c>
      <c r="D32" s="55">
        <v>31.27</v>
      </c>
      <c r="E32" s="55">
        <v>17.579999999999998</v>
      </c>
      <c r="F32" s="55">
        <v>15.64</v>
      </c>
      <c r="G32" s="55">
        <v>74.319999999999993</v>
      </c>
      <c r="H32" s="55">
        <v>23.21</v>
      </c>
      <c r="I32" s="55">
        <v>4.5</v>
      </c>
      <c r="J32" s="55">
        <v>0.56999999999999995</v>
      </c>
      <c r="K32" s="55">
        <v>277.47000000000003</v>
      </c>
      <c r="L32" s="55">
        <v>35.090000000000003</v>
      </c>
      <c r="M32" s="55">
        <v>35.85</v>
      </c>
      <c r="N32" s="55">
        <v>0</v>
      </c>
      <c r="O32" s="55">
        <v>0</v>
      </c>
      <c r="P32" s="55">
        <v>0.59</v>
      </c>
      <c r="Q32" s="55">
        <v>5.0199999999999996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5.5</v>
      </c>
      <c r="C34" s="41">
        <f t="shared" si="0"/>
        <v>34.479999999999997</v>
      </c>
      <c r="D34" s="41">
        <f t="shared" si="0"/>
        <v>21.24</v>
      </c>
      <c r="E34" s="41">
        <f t="shared" si="0"/>
        <v>6.1</v>
      </c>
      <c r="F34" s="41">
        <f t="shared" si="0"/>
        <v>11.71</v>
      </c>
      <c r="G34" s="41">
        <f t="shared" si="0"/>
        <v>37.69</v>
      </c>
      <c r="H34" s="41">
        <f t="shared" si="0"/>
        <v>12.53</v>
      </c>
      <c r="I34" s="41">
        <f t="shared" si="0"/>
        <v>4.05</v>
      </c>
      <c r="J34" s="41">
        <f t="shared" si="0"/>
        <v>0.19</v>
      </c>
      <c r="K34" s="41">
        <f t="shared" si="0"/>
        <v>192.15</v>
      </c>
      <c r="L34" s="41">
        <f t="shared" si="0"/>
        <v>30.63</v>
      </c>
      <c r="M34" s="41">
        <f t="shared" si="0"/>
        <v>21.71</v>
      </c>
      <c r="N34" s="41">
        <f t="shared" si="0"/>
        <v>0</v>
      </c>
      <c r="O34" s="41">
        <f t="shared" si="0"/>
        <v>0</v>
      </c>
      <c r="P34" s="41">
        <f t="shared" si="0"/>
        <v>0.42</v>
      </c>
      <c r="Q34" s="41">
        <f t="shared" si="0"/>
        <v>4.5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15.54</v>
      </c>
      <c r="C35" s="33">
        <f t="shared" si="1"/>
        <v>50.5</v>
      </c>
      <c r="D35" s="33">
        <f t="shared" si="1"/>
        <v>36</v>
      </c>
      <c r="E35" s="33">
        <f t="shared" si="1"/>
        <v>17.579999999999998</v>
      </c>
      <c r="F35" s="33">
        <f t="shared" si="1"/>
        <v>36.880000000000003</v>
      </c>
      <c r="G35" s="33">
        <f t="shared" si="1"/>
        <v>74.319999999999993</v>
      </c>
      <c r="H35" s="33">
        <f t="shared" si="1"/>
        <v>23.21</v>
      </c>
      <c r="I35" s="33">
        <f t="shared" si="1"/>
        <v>8.2899999999999991</v>
      </c>
      <c r="J35" s="33">
        <f t="shared" si="1"/>
        <v>1.29</v>
      </c>
      <c r="K35" s="33">
        <f t="shared" si="1"/>
        <v>353.3</v>
      </c>
      <c r="L35" s="33">
        <f t="shared" si="1"/>
        <v>41.96</v>
      </c>
      <c r="M35" s="33">
        <f t="shared" si="1"/>
        <v>50.15</v>
      </c>
      <c r="N35" s="33">
        <f t="shared" si="1"/>
        <v>826.4</v>
      </c>
      <c r="O35" s="33">
        <f t="shared" si="1"/>
        <v>0</v>
      </c>
      <c r="P35" s="33">
        <f t="shared" si="1"/>
        <v>0.68</v>
      </c>
      <c r="Q35" s="33">
        <f t="shared" si="1"/>
        <v>5.23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10.229166666666668</v>
      </c>
      <c r="C36" s="41">
        <f t="shared" si="2"/>
        <v>40.341249999999995</v>
      </c>
      <c r="D36" s="41">
        <f t="shared" si="2"/>
        <v>28.131250000000005</v>
      </c>
      <c r="E36" s="41">
        <f t="shared" si="2"/>
        <v>9.5749999999999957</v>
      </c>
      <c r="F36" s="41">
        <f t="shared" si="2"/>
        <v>22.052083333333329</v>
      </c>
      <c r="G36" s="41">
        <f t="shared" si="2"/>
        <v>56.689166666666658</v>
      </c>
      <c r="H36" s="41">
        <f t="shared" si="2"/>
        <v>18.653333333333332</v>
      </c>
      <c r="I36" s="41">
        <f t="shared" si="2"/>
        <v>5.0199999999999996</v>
      </c>
      <c r="J36" s="41">
        <f t="shared" si="2"/>
        <v>0.76708333333333323</v>
      </c>
      <c r="K36" s="41">
        <f t="shared" si="2"/>
        <v>283.24791666666675</v>
      </c>
      <c r="L36" s="41">
        <f t="shared" si="2"/>
        <v>36.709166666666668</v>
      </c>
      <c r="M36" s="41">
        <f t="shared" si="2"/>
        <v>34.057083333333331</v>
      </c>
      <c r="N36" s="41">
        <f t="shared" si="2"/>
        <v>203.0958333333333</v>
      </c>
      <c r="O36" s="41">
        <f t="shared" si="2"/>
        <v>0</v>
      </c>
      <c r="P36" s="41">
        <f t="shared" si="2"/>
        <v>0.52916666666666667</v>
      </c>
      <c r="Q36" s="41">
        <f t="shared" si="2"/>
        <v>4.8633333333333342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3.0485234011790365</v>
      </c>
      <c r="C37" s="41">
        <f t="shared" ref="C37:Q37" si="3">STDEV(C9:C32)</f>
        <v>4.2231085938740112</v>
      </c>
      <c r="D37" s="41">
        <f t="shared" si="3"/>
        <v>4.0702657882448641</v>
      </c>
      <c r="E37" s="41">
        <f t="shared" si="3"/>
        <v>2.9218234330488135</v>
      </c>
      <c r="F37" s="41">
        <f t="shared" si="3"/>
        <v>8.2671807818451892</v>
      </c>
      <c r="G37" s="41">
        <f t="shared" si="3"/>
        <v>11.810998896263515</v>
      </c>
      <c r="H37" s="41">
        <f t="shared" si="3"/>
        <v>3.8182042975685602</v>
      </c>
      <c r="I37" s="41">
        <f t="shared" si="3"/>
        <v>1.0233364018270596</v>
      </c>
      <c r="J37" s="41">
        <f t="shared" si="3"/>
        <v>0.33338160882305656</v>
      </c>
      <c r="K37" s="41">
        <f t="shared" si="3"/>
        <v>40.921678742729462</v>
      </c>
      <c r="L37" s="41">
        <f t="shared" si="3"/>
        <v>3.7527276070550939</v>
      </c>
      <c r="M37" s="41">
        <f t="shared" si="3"/>
        <v>9.490804922645431</v>
      </c>
      <c r="N37" s="41">
        <f t="shared" si="3"/>
        <v>287.43252135015996</v>
      </c>
      <c r="O37" s="41">
        <f t="shared" si="3"/>
        <v>0</v>
      </c>
      <c r="P37" s="41">
        <f t="shared" si="3"/>
        <v>8.5308476905194261E-2</v>
      </c>
      <c r="Q37" s="41">
        <f t="shared" si="3"/>
        <v>0.21975612306186748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19/06/2023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4" t="s">
        <v>491</v>
      </c>
      <c r="B9" s="55">
        <v>10.44</v>
      </c>
      <c r="C9" s="55">
        <v>40.590000000000003</v>
      </c>
      <c r="D9" s="55">
        <v>28.53</v>
      </c>
      <c r="E9" s="55">
        <v>35.659999999999997</v>
      </c>
      <c r="F9" s="55">
        <v>20.170000000000002</v>
      </c>
      <c r="G9" s="55">
        <v>73.81</v>
      </c>
      <c r="H9" s="55">
        <v>22.7</v>
      </c>
      <c r="I9" s="55">
        <v>5.43</v>
      </c>
      <c r="J9" s="55">
        <v>0.28000000000000003</v>
      </c>
      <c r="K9" s="55">
        <v>245.87</v>
      </c>
      <c r="L9" s="55">
        <v>34.090000000000003</v>
      </c>
      <c r="M9" s="55">
        <v>41.11</v>
      </c>
      <c r="N9" s="55">
        <v>0</v>
      </c>
      <c r="O9" s="55">
        <v>0</v>
      </c>
      <c r="P9" s="55">
        <v>0.65</v>
      </c>
      <c r="Q9" s="55">
        <v>5.12</v>
      </c>
    </row>
    <row r="10" spans="1:21" customFormat="1">
      <c r="A10" s="54" t="s">
        <v>492</v>
      </c>
      <c r="B10" s="55">
        <v>10.32</v>
      </c>
      <c r="C10" s="55">
        <v>38.58</v>
      </c>
      <c r="D10" s="55">
        <v>27.39</v>
      </c>
      <c r="E10" s="55">
        <v>11.28</v>
      </c>
      <c r="F10" s="55">
        <v>18</v>
      </c>
      <c r="G10" s="55">
        <v>74.25</v>
      </c>
      <c r="H10" s="55">
        <v>22.37</v>
      </c>
      <c r="I10" s="55">
        <v>6.23</v>
      </c>
      <c r="J10" s="55">
        <v>0.36</v>
      </c>
      <c r="K10" s="55">
        <v>258.88</v>
      </c>
      <c r="L10" s="55">
        <v>32.979999999999997</v>
      </c>
      <c r="M10" s="55">
        <v>41.32</v>
      </c>
      <c r="N10" s="55">
        <v>0</v>
      </c>
      <c r="O10" s="55">
        <v>0</v>
      </c>
      <c r="P10" s="55">
        <v>0.64</v>
      </c>
      <c r="Q10" s="55">
        <v>5.05</v>
      </c>
    </row>
    <row r="11" spans="1:21" customFormat="1">
      <c r="A11" s="54" t="s">
        <v>493</v>
      </c>
      <c r="B11" s="55">
        <v>11.14</v>
      </c>
      <c r="C11" s="55">
        <v>40.479999999999997</v>
      </c>
      <c r="D11" s="55">
        <v>29.04</v>
      </c>
      <c r="E11" s="55">
        <v>14.51</v>
      </c>
      <c r="F11" s="55">
        <v>14.12</v>
      </c>
      <c r="G11" s="55">
        <v>75.03</v>
      </c>
      <c r="H11" s="55">
        <v>21.94</v>
      </c>
      <c r="I11" s="55">
        <v>7.32</v>
      </c>
      <c r="J11" s="55">
        <v>0.59</v>
      </c>
      <c r="K11" s="55">
        <v>253.56</v>
      </c>
      <c r="L11" s="55">
        <v>32.880000000000003</v>
      </c>
      <c r="M11" s="55">
        <v>42.33</v>
      </c>
      <c r="N11" s="55">
        <v>0</v>
      </c>
      <c r="O11" s="55">
        <v>0</v>
      </c>
      <c r="P11" s="55">
        <v>0.79</v>
      </c>
      <c r="Q11" s="55">
        <v>5.04</v>
      </c>
    </row>
    <row r="12" spans="1:21" customFormat="1">
      <c r="A12" s="54" t="s">
        <v>494</v>
      </c>
      <c r="B12" s="55">
        <v>12.05</v>
      </c>
      <c r="C12" s="55">
        <v>42</v>
      </c>
      <c r="D12" s="55">
        <v>30.56</v>
      </c>
      <c r="E12" s="55">
        <v>19.190000000000001</v>
      </c>
      <c r="F12" s="55">
        <v>12.56</v>
      </c>
      <c r="G12" s="55">
        <v>75.03</v>
      </c>
      <c r="H12" s="55">
        <v>22.22</v>
      </c>
      <c r="I12" s="55">
        <v>7.76</v>
      </c>
      <c r="J12" s="55">
        <v>0.64</v>
      </c>
      <c r="K12" s="55">
        <v>262.07</v>
      </c>
      <c r="L12" s="55">
        <v>33.049999999999997</v>
      </c>
      <c r="M12" s="55">
        <v>39.43</v>
      </c>
      <c r="N12" s="55">
        <v>0</v>
      </c>
      <c r="O12" s="55">
        <v>0</v>
      </c>
      <c r="P12" s="55">
        <v>0.67</v>
      </c>
      <c r="Q12" s="55">
        <v>5.04</v>
      </c>
    </row>
    <row r="13" spans="1:21" customFormat="1">
      <c r="A13" s="54" t="s">
        <v>495</v>
      </c>
      <c r="B13" s="55">
        <v>12.93</v>
      </c>
      <c r="C13" s="55">
        <v>43.31</v>
      </c>
      <c r="D13" s="55">
        <v>31.95</v>
      </c>
      <c r="E13" s="55">
        <v>21.92</v>
      </c>
      <c r="F13" s="55">
        <v>12.1</v>
      </c>
      <c r="G13" s="55">
        <v>74.72</v>
      </c>
      <c r="H13" s="55">
        <v>22.22</v>
      </c>
      <c r="I13" s="55">
        <v>6.1</v>
      </c>
      <c r="J13" s="55">
        <v>0.38</v>
      </c>
      <c r="K13" s="55">
        <v>275.39999999999998</v>
      </c>
      <c r="L13" s="55">
        <v>32.25</v>
      </c>
      <c r="M13" s="55">
        <v>43.15</v>
      </c>
      <c r="N13" s="55">
        <v>0</v>
      </c>
      <c r="O13" s="55">
        <v>0</v>
      </c>
      <c r="P13" s="55">
        <v>0.57999999999999996</v>
      </c>
      <c r="Q13" s="55">
        <v>5.09</v>
      </c>
    </row>
    <row r="14" spans="1:21" customFormat="1">
      <c r="A14" s="54" t="s">
        <v>496</v>
      </c>
      <c r="B14" s="55">
        <v>15.25</v>
      </c>
      <c r="C14" s="55">
        <v>45.46</v>
      </c>
      <c r="D14" s="55">
        <v>34.94</v>
      </c>
      <c r="E14" s="55">
        <v>11.42</v>
      </c>
      <c r="F14" s="55">
        <v>7.87</v>
      </c>
      <c r="G14" s="55">
        <v>74.72</v>
      </c>
      <c r="H14" s="55">
        <v>21.45</v>
      </c>
      <c r="I14" s="55">
        <v>6.38</v>
      </c>
      <c r="J14" s="55">
        <v>0.34</v>
      </c>
      <c r="K14" s="55">
        <v>183.96</v>
      </c>
      <c r="L14" s="55">
        <v>30.81</v>
      </c>
      <c r="M14" s="55">
        <v>54.42</v>
      </c>
      <c r="N14" s="55">
        <v>30.5</v>
      </c>
      <c r="O14" s="55">
        <v>0</v>
      </c>
      <c r="P14" s="55">
        <v>0.65</v>
      </c>
      <c r="Q14" s="55">
        <v>5.18</v>
      </c>
    </row>
    <row r="15" spans="1:21" customFormat="1">
      <c r="A15" s="54" t="s">
        <v>497</v>
      </c>
      <c r="B15" s="55">
        <v>16.07</v>
      </c>
      <c r="C15" s="55">
        <v>44.68</v>
      </c>
      <c r="D15" s="55">
        <v>35.049999999999997</v>
      </c>
      <c r="E15" s="55">
        <v>9.3699999999999992</v>
      </c>
      <c r="F15" s="55">
        <v>10.41</v>
      </c>
      <c r="G15" s="55">
        <v>69.099999999999994</v>
      </c>
      <c r="H15" s="55">
        <v>19.47</v>
      </c>
      <c r="I15" s="55">
        <v>6.5</v>
      </c>
      <c r="J15" s="55">
        <v>0.24</v>
      </c>
      <c r="K15" s="55">
        <v>218.62</v>
      </c>
      <c r="L15" s="55">
        <v>32.6</v>
      </c>
      <c r="M15" s="55">
        <v>52.96</v>
      </c>
      <c r="N15" s="55">
        <v>110</v>
      </c>
      <c r="O15" s="55">
        <v>0</v>
      </c>
      <c r="P15" s="55">
        <v>0.64</v>
      </c>
      <c r="Q15" s="55">
        <v>5.28</v>
      </c>
    </row>
    <row r="16" spans="1:21" customFormat="1">
      <c r="A16" s="54" t="s">
        <v>498</v>
      </c>
      <c r="B16" s="55">
        <v>18.5</v>
      </c>
      <c r="C16" s="55">
        <v>44.26</v>
      </c>
      <c r="D16" s="55">
        <v>36.200000000000003</v>
      </c>
      <c r="E16" s="55">
        <v>31.71</v>
      </c>
      <c r="F16" s="55">
        <v>12.14</v>
      </c>
      <c r="G16" s="55">
        <v>70.98</v>
      </c>
      <c r="H16" s="55">
        <v>22.32</v>
      </c>
      <c r="I16" s="55">
        <v>6.48</v>
      </c>
      <c r="J16" s="55">
        <v>0.22</v>
      </c>
      <c r="K16" s="55">
        <v>312.83999999999997</v>
      </c>
      <c r="L16" s="55">
        <v>34.380000000000003</v>
      </c>
      <c r="M16" s="55">
        <v>44.97</v>
      </c>
      <c r="N16" s="55">
        <v>147.69999999999999</v>
      </c>
      <c r="O16" s="55">
        <v>0</v>
      </c>
      <c r="P16" s="55">
        <v>0.67</v>
      </c>
      <c r="Q16" s="55">
        <v>5.27</v>
      </c>
    </row>
    <row r="17" spans="1:17" customFormat="1">
      <c r="A17" s="54" t="s">
        <v>499</v>
      </c>
      <c r="B17" s="55">
        <v>19.399999999999999</v>
      </c>
      <c r="C17" s="55">
        <v>46.37</v>
      </c>
      <c r="D17" s="55">
        <v>38.74</v>
      </c>
      <c r="E17" s="55">
        <v>49.51</v>
      </c>
      <c r="F17" s="55">
        <v>16.27</v>
      </c>
      <c r="G17" s="55">
        <v>86.2</v>
      </c>
      <c r="H17" s="55">
        <v>32.86</v>
      </c>
      <c r="I17" s="55">
        <v>6.36</v>
      </c>
      <c r="J17" s="55">
        <v>1.29</v>
      </c>
      <c r="K17" s="55">
        <v>60.64</v>
      </c>
      <c r="L17" s="55">
        <v>36.54</v>
      </c>
      <c r="M17" s="55">
        <v>37.24</v>
      </c>
      <c r="N17" s="55">
        <v>194.3</v>
      </c>
      <c r="O17" s="55">
        <v>0</v>
      </c>
      <c r="P17" s="55">
        <v>0.72</v>
      </c>
      <c r="Q17" s="55">
        <v>5.32</v>
      </c>
    </row>
    <row r="18" spans="1:17" customFormat="1">
      <c r="A18" s="54" t="s">
        <v>500</v>
      </c>
      <c r="B18" s="55">
        <v>15.89</v>
      </c>
      <c r="C18" s="55">
        <v>39.43</v>
      </c>
      <c r="D18" s="55">
        <v>31.81</v>
      </c>
      <c r="E18" s="55">
        <v>35.86</v>
      </c>
      <c r="F18" s="55">
        <v>23.68</v>
      </c>
      <c r="G18" s="55">
        <v>86.2</v>
      </c>
      <c r="H18" s="55">
        <v>32.86</v>
      </c>
      <c r="I18" s="55">
        <v>5.99</v>
      </c>
      <c r="J18" s="55">
        <v>0.82</v>
      </c>
      <c r="K18" s="55">
        <v>50.95</v>
      </c>
      <c r="L18" s="55">
        <v>38.25</v>
      </c>
      <c r="M18" s="55">
        <v>32.08</v>
      </c>
      <c r="N18" s="55">
        <v>196.1</v>
      </c>
      <c r="O18" s="55">
        <v>0</v>
      </c>
      <c r="P18" s="55">
        <v>0.63</v>
      </c>
      <c r="Q18" s="55">
        <v>5.25</v>
      </c>
    </row>
    <row r="19" spans="1:17" customFormat="1">
      <c r="A19" s="54" t="s">
        <v>501</v>
      </c>
      <c r="B19" s="55">
        <v>14.81</v>
      </c>
      <c r="C19" s="55">
        <v>37.85</v>
      </c>
      <c r="D19" s="55">
        <v>30.55</v>
      </c>
      <c r="E19" s="55">
        <v>34.29</v>
      </c>
      <c r="F19" s="55">
        <v>33.200000000000003</v>
      </c>
      <c r="G19" s="55">
        <v>84.72</v>
      </c>
      <c r="H19" s="55">
        <v>33.82</v>
      </c>
      <c r="I19" s="55">
        <v>5.47</v>
      </c>
      <c r="J19" s="55">
        <v>0.81</v>
      </c>
      <c r="K19" s="55">
        <v>316.93</v>
      </c>
      <c r="L19" s="55">
        <v>39.76</v>
      </c>
      <c r="M19" s="55">
        <v>30.7</v>
      </c>
      <c r="N19" s="55">
        <v>229.3</v>
      </c>
      <c r="O19" s="55">
        <v>0</v>
      </c>
      <c r="P19" s="55">
        <v>0.62</v>
      </c>
      <c r="Q19" s="55">
        <v>5.1100000000000003</v>
      </c>
    </row>
    <row r="20" spans="1:17" customFormat="1">
      <c r="A20" s="54" t="s">
        <v>502</v>
      </c>
      <c r="B20" s="55">
        <v>10.64</v>
      </c>
      <c r="C20" s="55">
        <v>39.89</v>
      </c>
      <c r="D20" s="55">
        <v>28.3</v>
      </c>
      <c r="E20" s="55">
        <v>17.18</v>
      </c>
      <c r="F20" s="55">
        <v>36.03</v>
      </c>
      <c r="G20" s="55">
        <v>82.95</v>
      </c>
      <c r="H20" s="55">
        <v>33.82</v>
      </c>
      <c r="I20" s="55">
        <v>5.29</v>
      </c>
      <c r="J20" s="55">
        <v>1.1000000000000001</v>
      </c>
      <c r="K20" s="55">
        <v>314.64</v>
      </c>
      <c r="L20" s="55">
        <v>40.049999999999997</v>
      </c>
      <c r="M20" s="55">
        <v>28.11</v>
      </c>
      <c r="N20" s="55">
        <v>754.9</v>
      </c>
      <c r="O20" s="55">
        <v>0</v>
      </c>
      <c r="P20" s="55">
        <v>0.59</v>
      </c>
      <c r="Q20" s="55">
        <v>4.9400000000000004</v>
      </c>
    </row>
    <row r="21" spans="1:17" customFormat="1">
      <c r="A21" s="54" t="s">
        <v>503</v>
      </c>
      <c r="B21" s="55">
        <v>7.82</v>
      </c>
      <c r="C21" s="55">
        <v>37.89</v>
      </c>
      <c r="D21" s="55">
        <v>24.01</v>
      </c>
      <c r="E21" s="55">
        <v>15.25</v>
      </c>
      <c r="F21" s="55">
        <v>32.520000000000003</v>
      </c>
      <c r="G21" s="55">
        <v>82.95</v>
      </c>
      <c r="H21" s="55">
        <v>33.19</v>
      </c>
      <c r="I21" s="55">
        <v>5.3</v>
      </c>
      <c r="J21" s="55">
        <v>0.94</v>
      </c>
      <c r="K21" s="55">
        <v>304.83999999999997</v>
      </c>
      <c r="L21" s="55">
        <v>40.99</v>
      </c>
      <c r="M21" s="55">
        <v>26.31</v>
      </c>
      <c r="N21" s="55">
        <v>821</v>
      </c>
      <c r="O21" s="55">
        <v>0</v>
      </c>
      <c r="P21" s="55">
        <v>0.61</v>
      </c>
      <c r="Q21" s="55">
        <v>4.72</v>
      </c>
    </row>
    <row r="22" spans="1:17" customFormat="1">
      <c r="A22" s="54" t="s">
        <v>504</v>
      </c>
      <c r="B22" s="55">
        <v>6.43</v>
      </c>
      <c r="C22" s="55">
        <v>44.83</v>
      </c>
      <c r="D22" s="55">
        <v>27.53</v>
      </c>
      <c r="E22" s="55">
        <v>14.42</v>
      </c>
      <c r="F22" s="55">
        <v>33.369999999999997</v>
      </c>
      <c r="G22" s="55">
        <v>81.319999999999993</v>
      </c>
      <c r="H22" s="55">
        <v>32.81</v>
      </c>
      <c r="I22" s="55">
        <v>5.92</v>
      </c>
      <c r="J22" s="55">
        <v>1.06</v>
      </c>
      <c r="K22" s="55">
        <v>295.47000000000003</v>
      </c>
      <c r="L22" s="55">
        <v>41.35</v>
      </c>
      <c r="M22" s="55">
        <v>24.96</v>
      </c>
      <c r="N22" s="55">
        <v>762.9</v>
      </c>
      <c r="O22" s="55">
        <v>0</v>
      </c>
      <c r="P22" s="55">
        <v>0.61</v>
      </c>
      <c r="Q22" s="55">
        <v>4.72</v>
      </c>
    </row>
    <row r="23" spans="1:17" customFormat="1">
      <c r="A23" s="54" t="s">
        <v>505</v>
      </c>
      <c r="B23" s="55">
        <v>5.22</v>
      </c>
      <c r="C23" s="55">
        <v>39.6</v>
      </c>
      <c r="D23" s="55">
        <v>23.76</v>
      </c>
      <c r="E23" s="55">
        <v>13.88</v>
      </c>
      <c r="F23" s="55">
        <v>26.6</v>
      </c>
      <c r="G23" s="55">
        <v>77.459999999999994</v>
      </c>
      <c r="H23" s="55">
        <v>30.32</v>
      </c>
      <c r="I23" s="55">
        <v>5.85</v>
      </c>
      <c r="J23" s="55">
        <v>1.29</v>
      </c>
      <c r="K23" s="55">
        <v>299.25</v>
      </c>
      <c r="L23" s="55">
        <v>41.86</v>
      </c>
      <c r="M23" s="55">
        <v>23.1</v>
      </c>
      <c r="N23" s="55">
        <v>685.5</v>
      </c>
      <c r="O23" s="55">
        <v>0</v>
      </c>
      <c r="P23" s="55">
        <v>0.61</v>
      </c>
      <c r="Q23" s="55">
        <v>4.58</v>
      </c>
    </row>
    <row r="24" spans="1:17" customFormat="1">
      <c r="A24" s="54" t="s">
        <v>506</v>
      </c>
      <c r="B24" s="55">
        <v>4.8499999999999996</v>
      </c>
      <c r="C24" s="55">
        <v>37.31</v>
      </c>
      <c r="D24" s="55">
        <v>22.34</v>
      </c>
      <c r="E24" s="55">
        <v>11.26</v>
      </c>
      <c r="F24" s="55">
        <v>24.81</v>
      </c>
      <c r="G24" s="55">
        <v>72.06</v>
      </c>
      <c r="H24" s="55">
        <v>30.32</v>
      </c>
      <c r="I24" s="55">
        <v>6.17</v>
      </c>
      <c r="J24" s="55">
        <v>1.24</v>
      </c>
      <c r="K24" s="55">
        <v>283.45</v>
      </c>
      <c r="L24" s="55">
        <v>41.6</v>
      </c>
      <c r="M24" s="55">
        <v>21.53</v>
      </c>
      <c r="N24" s="55">
        <v>522.1</v>
      </c>
      <c r="O24" s="55">
        <v>0</v>
      </c>
      <c r="P24" s="55">
        <v>0.6</v>
      </c>
      <c r="Q24" s="55">
        <v>4.53</v>
      </c>
    </row>
    <row r="25" spans="1:17" customFormat="1">
      <c r="A25" s="54" t="s">
        <v>507</v>
      </c>
      <c r="B25" s="55">
        <v>5.0199999999999996</v>
      </c>
      <c r="C25" s="55">
        <v>36.64</v>
      </c>
      <c r="D25" s="55">
        <v>22.02</v>
      </c>
      <c r="E25" s="55">
        <v>10.75</v>
      </c>
      <c r="F25" s="55">
        <v>25.43</v>
      </c>
      <c r="G25" s="55">
        <v>73.680000000000007</v>
      </c>
      <c r="H25" s="55">
        <v>29.66</v>
      </c>
      <c r="I25" s="55">
        <v>6.2</v>
      </c>
      <c r="J25" s="55">
        <v>1.23</v>
      </c>
      <c r="K25" s="55">
        <v>291.66000000000003</v>
      </c>
      <c r="L25" s="55">
        <v>40.86</v>
      </c>
      <c r="M25" s="55">
        <v>22.7</v>
      </c>
      <c r="N25" s="55">
        <v>330.5</v>
      </c>
      <c r="O25" s="55">
        <v>0</v>
      </c>
      <c r="P25" s="55">
        <v>0.6</v>
      </c>
      <c r="Q25" s="55">
        <v>4.51</v>
      </c>
    </row>
    <row r="26" spans="1:17" customFormat="1">
      <c r="A26" s="54" t="s">
        <v>508</v>
      </c>
      <c r="B26" s="55">
        <v>6.29</v>
      </c>
      <c r="C26" s="55">
        <v>40.840000000000003</v>
      </c>
      <c r="D26" s="55">
        <v>25.34</v>
      </c>
      <c r="E26" s="55">
        <v>13.26</v>
      </c>
      <c r="F26" s="55">
        <v>27.02</v>
      </c>
      <c r="G26" s="55">
        <v>73.680000000000007</v>
      </c>
      <c r="H26" s="55">
        <v>29.66</v>
      </c>
      <c r="I26" s="55">
        <v>5.7</v>
      </c>
      <c r="J26" s="55">
        <v>0.95</v>
      </c>
      <c r="K26" s="55">
        <v>276.73</v>
      </c>
      <c r="L26" s="55">
        <v>40.090000000000003</v>
      </c>
      <c r="M26" s="55">
        <v>24.2</v>
      </c>
      <c r="N26" s="55">
        <v>128.19999999999999</v>
      </c>
      <c r="O26" s="55">
        <v>0</v>
      </c>
      <c r="P26" s="55">
        <v>0.64</v>
      </c>
      <c r="Q26" s="55">
        <v>4.55</v>
      </c>
    </row>
    <row r="27" spans="1:17" customFormat="1">
      <c r="A27" s="54" t="s">
        <v>509</v>
      </c>
      <c r="B27" s="55">
        <v>6.03</v>
      </c>
      <c r="C27" s="55">
        <v>38.79</v>
      </c>
      <c r="D27" s="55">
        <v>23.81</v>
      </c>
      <c r="E27" s="55">
        <v>15.5</v>
      </c>
      <c r="F27" s="55">
        <v>33.18</v>
      </c>
      <c r="G27" s="55">
        <v>69.44</v>
      </c>
      <c r="H27" s="55">
        <v>26.24</v>
      </c>
      <c r="I27" s="55">
        <v>5.57</v>
      </c>
      <c r="J27" s="55">
        <v>0.99</v>
      </c>
      <c r="K27" s="55">
        <v>282.45</v>
      </c>
      <c r="L27" s="55">
        <v>38.69</v>
      </c>
      <c r="M27" s="55">
        <v>27.98</v>
      </c>
      <c r="N27" s="55">
        <v>15.1</v>
      </c>
      <c r="O27" s="55">
        <v>0</v>
      </c>
      <c r="P27" s="55">
        <v>0.66</v>
      </c>
      <c r="Q27" s="55">
        <v>4.57</v>
      </c>
    </row>
    <row r="28" spans="1:17" customFormat="1">
      <c r="A28" s="54" t="s">
        <v>510</v>
      </c>
      <c r="B28" s="55">
        <v>4.84</v>
      </c>
      <c r="C28" s="55">
        <v>33.81</v>
      </c>
      <c r="D28" s="55">
        <v>20.5</v>
      </c>
      <c r="E28" s="55">
        <v>11.29</v>
      </c>
      <c r="F28" s="55">
        <v>34.94</v>
      </c>
      <c r="G28" s="55">
        <v>72.12</v>
      </c>
      <c r="H28" s="55">
        <v>23.72</v>
      </c>
      <c r="I28" s="55">
        <v>4.99</v>
      </c>
      <c r="J28" s="55">
        <v>0.76</v>
      </c>
      <c r="K28" s="55">
        <v>259.33999999999997</v>
      </c>
      <c r="L28" s="55">
        <v>37.65</v>
      </c>
      <c r="M28" s="55">
        <v>28.64</v>
      </c>
      <c r="N28" s="55">
        <v>0</v>
      </c>
      <c r="O28" s="55">
        <v>0</v>
      </c>
      <c r="P28" s="55">
        <v>0.55000000000000004</v>
      </c>
      <c r="Q28" s="55">
        <v>4.55</v>
      </c>
    </row>
    <row r="29" spans="1:17" customFormat="1">
      <c r="A29" s="54" t="s">
        <v>511</v>
      </c>
      <c r="B29" s="55">
        <v>5.04</v>
      </c>
      <c r="C29" s="55">
        <v>30.36</v>
      </c>
      <c r="D29" s="55">
        <v>18.760000000000002</v>
      </c>
      <c r="E29" s="55">
        <v>7.66</v>
      </c>
      <c r="F29" s="55">
        <v>30.29</v>
      </c>
      <c r="G29" s="55">
        <v>72.12</v>
      </c>
      <c r="H29" s="55">
        <v>20.65</v>
      </c>
      <c r="I29" s="55">
        <v>4.38</v>
      </c>
      <c r="J29" s="55">
        <v>0.7</v>
      </c>
      <c r="K29" s="55">
        <v>263.02</v>
      </c>
      <c r="L29" s="55">
        <v>36.78</v>
      </c>
      <c r="M29" s="55">
        <v>29.85</v>
      </c>
      <c r="N29" s="55">
        <v>0</v>
      </c>
      <c r="O29" s="55">
        <v>0</v>
      </c>
      <c r="P29" s="55">
        <v>0.55000000000000004</v>
      </c>
      <c r="Q29" s="55">
        <v>4.49</v>
      </c>
    </row>
    <row r="30" spans="1:17" customFormat="1">
      <c r="A30" s="54" t="s">
        <v>512</v>
      </c>
      <c r="B30" s="55">
        <v>5.27</v>
      </c>
      <c r="C30" s="55">
        <v>31.25</v>
      </c>
      <c r="D30" s="55">
        <v>19.41</v>
      </c>
      <c r="E30" s="55">
        <v>6.94</v>
      </c>
      <c r="F30" s="55">
        <v>26.51</v>
      </c>
      <c r="G30" s="55">
        <v>68.11</v>
      </c>
      <c r="H30" s="55">
        <v>20.8</v>
      </c>
      <c r="I30" s="55">
        <v>4.5199999999999996</v>
      </c>
      <c r="J30" s="55">
        <v>0.72</v>
      </c>
      <c r="K30" s="55">
        <v>258.7</v>
      </c>
      <c r="L30" s="55">
        <v>36.119999999999997</v>
      </c>
      <c r="M30" s="55">
        <v>31.72</v>
      </c>
      <c r="N30" s="55">
        <v>0</v>
      </c>
      <c r="O30" s="55">
        <v>0</v>
      </c>
      <c r="P30" s="55">
        <v>0.56000000000000005</v>
      </c>
      <c r="Q30" s="55">
        <v>4.4800000000000004</v>
      </c>
    </row>
    <row r="31" spans="1:17" customFormat="1">
      <c r="A31" s="54" t="s">
        <v>513</v>
      </c>
      <c r="B31" s="55">
        <v>6.3</v>
      </c>
      <c r="C31" s="55">
        <v>32.32</v>
      </c>
      <c r="D31" s="55">
        <v>20.7</v>
      </c>
      <c r="E31" s="55">
        <v>6.77</v>
      </c>
      <c r="F31" s="55">
        <v>25.12</v>
      </c>
      <c r="G31" s="55">
        <v>65.92</v>
      </c>
      <c r="H31" s="55">
        <v>20.8</v>
      </c>
      <c r="I31" s="55">
        <v>4.34</v>
      </c>
      <c r="J31" s="55">
        <v>0.56999999999999995</v>
      </c>
      <c r="K31" s="55">
        <v>252.44</v>
      </c>
      <c r="L31" s="55">
        <v>35.26</v>
      </c>
      <c r="M31" s="55">
        <v>34.200000000000003</v>
      </c>
      <c r="N31" s="55">
        <v>0</v>
      </c>
      <c r="O31" s="55">
        <v>0</v>
      </c>
      <c r="P31" s="55">
        <v>0.54</v>
      </c>
      <c r="Q31" s="55">
        <v>4.54</v>
      </c>
    </row>
    <row r="32" spans="1:17" customFormat="1">
      <c r="A32" s="54" t="s">
        <v>514</v>
      </c>
      <c r="B32" s="55">
        <v>6.65</v>
      </c>
      <c r="C32" s="55">
        <v>30.7</v>
      </c>
      <c r="D32" s="55">
        <v>20.329999999999998</v>
      </c>
      <c r="E32" s="55">
        <v>6.4</v>
      </c>
      <c r="F32" s="55">
        <v>20.58</v>
      </c>
      <c r="G32" s="55">
        <v>62.46</v>
      </c>
      <c r="H32" s="55">
        <v>20.45</v>
      </c>
      <c r="I32" s="55">
        <v>4.18</v>
      </c>
      <c r="J32" s="55">
        <v>0.69</v>
      </c>
      <c r="K32" s="55">
        <v>250.33</v>
      </c>
      <c r="L32" s="55">
        <v>34.81</v>
      </c>
      <c r="M32" s="55">
        <v>35.33</v>
      </c>
      <c r="N32" s="55">
        <v>0</v>
      </c>
      <c r="O32" s="55">
        <v>0</v>
      </c>
      <c r="P32" s="55">
        <v>0.48</v>
      </c>
      <c r="Q32" s="55">
        <v>4.53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4.84</v>
      </c>
      <c r="C34" s="41">
        <f t="shared" si="0"/>
        <v>30.36</v>
      </c>
      <c r="D34" s="41">
        <f t="shared" si="0"/>
        <v>18.760000000000002</v>
      </c>
      <c r="E34" s="41">
        <f t="shared" si="0"/>
        <v>6.4</v>
      </c>
      <c r="F34" s="41">
        <f t="shared" si="0"/>
        <v>7.87</v>
      </c>
      <c r="G34" s="41">
        <f t="shared" si="0"/>
        <v>62.46</v>
      </c>
      <c r="H34" s="41">
        <f t="shared" si="0"/>
        <v>19.47</v>
      </c>
      <c r="I34" s="41">
        <f t="shared" si="0"/>
        <v>4.18</v>
      </c>
      <c r="J34" s="41">
        <f t="shared" si="0"/>
        <v>0.22</v>
      </c>
      <c r="K34" s="41">
        <f t="shared" si="0"/>
        <v>50.95</v>
      </c>
      <c r="L34" s="41">
        <f t="shared" si="0"/>
        <v>30.81</v>
      </c>
      <c r="M34" s="41">
        <f t="shared" si="0"/>
        <v>21.53</v>
      </c>
      <c r="N34" s="41">
        <f t="shared" si="0"/>
        <v>0</v>
      </c>
      <c r="O34" s="41">
        <f t="shared" si="0"/>
        <v>0</v>
      </c>
      <c r="P34" s="41">
        <f t="shared" si="0"/>
        <v>0.48</v>
      </c>
      <c r="Q34" s="41">
        <f t="shared" si="0"/>
        <v>4.4800000000000004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19.399999999999999</v>
      </c>
      <c r="C35" s="33">
        <f t="shared" si="1"/>
        <v>46.37</v>
      </c>
      <c r="D35" s="33">
        <f t="shared" si="1"/>
        <v>38.74</v>
      </c>
      <c r="E35" s="33">
        <f t="shared" si="1"/>
        <v>49.51</v>
      </c>
      <c r="F35" s="33">
        <f t="shared" si="1"/>
        <v>36.03</v>
      </c>
      <c r="G35" s="33">
        <f t="shared" si="1"/>
        <v>86.2</v>
      </c>
      <c r="H35" s="33">
        <f t="shared" si="1"/>
        <v>33.82</v>
      </c>
      <c r="I35" s="33">
        <f t="shared" si="1"/>
        <v>7.76</v>
      </c>
      <c r="J35" s="33">
        <f t="shared" si="1"/>
        <v>1.29</v>
      </c>
      <c r="K35" s="33">
        <f t="shared" si="1"/>
        <v>316.93</v>
      </c>
      <c r="L35" s="33">
        <f t="shared" si="1"/>
        <v>41.86</v>
      </c>
      <c r="M35" s="33">
        <f t="shared" si="1"/>
        <v>54.42</v>
      </c>
      <c r="N35" s="33">
        <f t="shared" si="1"/>
        <v>821</v>
      </c>
      <c r="O35" s="33">
        <f t="shared" si="1"/>
        <v>0</v>
      </c>
      <c r="P35" s="33">
        <f t="shared" si="1"/>
        <v>0.79</v>
      </c>
      <c r="Q35" s="33">
        <f t="shared" si="1"/>
        <v>5.32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9.8833333333333346</v>
      </c>
      <c r="C36" s="41">
        <f t="shared" si="2"/>
        <v>39.051666666666677</v>
      </c>
      <c r="D36" s="41">
        <f t="shared" si="2"/>
        <v>27.148749999999996</v>
      </c>
      <c r="E36" s="41">
        <f t="shared" si="2"/>
        <v>17.720000000000002</v>
      </c>
      <c r="F36" s="41">
        <f t="shared" si="2"/>
        <v>23.205000000000002</v>
      </c>
      <c r="G36" s="41">
        <f t="shared" si="2"/>
        <v>74.959583333333356</v>
      </c>
      <c r="H36" s="41">
        <f t="shared" si="2"/>
        <v>26.111249999999998</v>
      </c>
      <c r="I36" s="41">
        <f t="shared" si="2"/>
        <v>5.7679166666666672</v>
      </c>
      <c r="J36" s="41">
        <f t="shared" si="2"/>
        <v>0.75875000000000004</v>
      </c>
      <c r="K36" s="41">
        <f t="shared" si="2"/>
        <v>253.00166666666655</v>
      </c>
      <c r="L36" s="41">
        <f t="shared" si="2"/>
        <v>36.820833333333333</v>
      </c>
      <c r="M36" s="41">
        <f t="shared" si="2"/>
        <v>34.097500000000004</v>
      </c>
      <c r="N36" s="41">
        <f t="shared" si="2"/>
        <v>205.33750000000001</v>
      </c>
      <c r="O36" s="41">
        <f t="shared" si="2"/>
        <v>0</v>
      </c>
      <c r="P36" s="41">
        <f t="shared" si="2"/>
        <v>0.61916666666666664</v>
      </c>
      <c r="Q36" s="41">
        <f t="shared" si="2"/>
        <v>4.8525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4.741205741587045</v>
      </c>
      <c r="C37" s="41">
        <f t="shared" ref="C37:Q37" si="3">STDEV(C9:C32)</f>
        <v>4.724045490583336</v>
      </c>
      <c r="D37" s="41">
        <f t="shared" si="3"/>
        <v>5.7564438845221417</v>
      </c>
      <c r="E37" s="41">
        <f t="shared" si="3"/>
        <v>11.357330136351887</v>
      </c>
      <c r="F37" s="41">
        <f t="shared" si="3"/>
        <v>8.652918080297983</v>
      </c>
      <c r="G37" s="41">
        <f t="shared" si="3"/>
        <v>6.3163923929973054</v>
      </c>
      <c r="H37" s="41">
        <f t="shared" si="3"/>
        <v>5.28775970685047</v>
      </c>
      <c r="I37" s="41">
        <f t="shared" si="3"/>
        <v>0.89053466678935322</v>
      </c>
      <c r="J37" s="41">
        <f t="shared" si="3"/>
        <v>0.34318599976511638</v>
      </c>
      <c r="K37" s="41">
        <f t="shared" si="3"/>
        <v>68.071279436029627</v>
      </c>
      <c r="L37" s="41">
        <f t="shared" si="3"/>
        <v>3.4780503242435725</v>
      </c>
      <c r="M37" s="41">
        <f t="shared" si="3"/>
        <v>9.2575845520918829</v>
      </c>
      <c r="N37" s="41">
        <f t="shared" si="3"/>
        <v>283.30591671486877</v>
      </c>
      <c r="O37" s="41">
        <f t="shared" si="3"/>
        <v>0</v>
      </c>
      <c r="P37" s="41">
        <f t="shared" si="3"/>
        <v>6.3102171578885091E-2</v>
      </c>
      <c r="Q37" s="41">
        <f t="shared" si="3"/>
        <v>0.3105009976879412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20/06/2023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4" t="s">
        <v>515</v>
      </c>
      <c r="B9" s="55">
        <v>6.23</v>
      </c>
      <c r="C9" s="55">
        <v>32.78</v>
      </c>
      <c r="D9" s="55">
        <v>21.08</v>
      </c>
      <c r="E9" s="55">
        <v>6.65</v>
      </c>
      <c r="F9" s="55">
        <v>18.600000000000001</v>
      </c>
      <c r="G9" s="55">
        <v>61.47</v>
      </c>
      <c r="H9" s="55">
        <v>19.149999999999999</v>
      </c>
      <c r="I9" s="55">
        <v>3.83</v>
      </c>
      <c r="J9" s="55">
        <v>0.19</v>
      </c>
      <c r="K9" s="55">
        <v>214.48</v>
      </c>
      <c r="L9" s="55">
        <v>33.29</v>
      </c>
      <c r="M9" s="55">
        <v>39.909999999999997</v>
      </c>
      <c r="N9" s="55">
        <v>0</v>
      </c>
      <c r="O9" s="55">
        <v>0</v>
      </c>
      <c r="P9" s="55">
        <v>0.45</v>
      </c>
      <c r="Q9" s="55">
        <v>4.6399999999999997</v>
      </c>
    </row>
    <row r="10" spans="1:21" customFormat="1">
      <c r="A10" s="54" t="s">
        <v>516</v>
      </c>
      <c r="B10" s="55">
        <v>7.92</v>
      </c>
      <c r="C10" s="55">
        <v>35.5</v>
      </c>
      <c r="D10" s="55">
        <v>23.72</v>
      </c>
      <c r="E10" s="55">
        <v>6.82</v>
      </c>
      <c r="F10" s="55">
        <v>15.36</v>
      </c>
      <c r="G10" s="55">
        <v>59.69</v>
      </c>
      <c r="H10" s="55">
        <v>19.149999999999999</v>
      </c>
      <c r="I10" s="55">
        <v>3.71</v>
      </c>
      <c r="J10" s="55">
        <v>0.21</v>
      </c>
      <c r="K10" s="55">
        <v>202.42</v>
      </c>
      <c r="L10" s="55">
        <v>32.11</v>
      </c>
      <c r="M10" s="55">
        <v>44.98</v>
      </c>
      <c r="N10" s="55">
        <v>0</v>
      </c>
      <c r="O10" s="55">
        <v>0</v>
      </c>
      <c r="P10" s="55">
        <v>0.44</v>
      </c>
      <c r="Q10" s="55">
        <v>4.71</v>
      </c>
    </row>
    <row r="11" spans="1:21" customFormat="1">
      <c r="A11" s="54" t="s">
        <v>517</v>
      </c>
      <c r="B11" s="55">
        <v>9.42</v>
      </c>
      <c r="C11" s="55">
        <v>37.4</v>
      </c>
      <c r="D11" s="55">
        <v>26.06</v>
      </c>
      <c r="E11" s="55">
        <v>5.92</v>
      </c>
      <c r="F11" s="55">
        <v>13.16</v>
      </c>
      <c r="G11" s="55">
        <v>57.61</v>
      </c>
      <c r="H11" s="55">
        <v>16.600000000000001</v>
      </c>
      <c r="I11" s="55">
        <v>3.68</v>
      </c>
      <c r="J11" s="55">
        <v>0.2</v>
      </c>
      <c r="K11" s="55">
        <v>203.68</v>
      </c>
      <c r="L11" s="55">
        <v>31.16</v>
      </c>
      <c r="M11" s="55">
        <v>44.4</v>
      </c>
      <c r="N11" s="55">
        <v>0</v>
      </c>
      <c r="O11" s="55">
        <v>0</v>
      </c>
      <c r="P11" s="55">
        <v>0.43</v>
      </c>
      <c r="Q11" s="55">
        <v>4.8499999999999996</v>
      </c>
    </row>
    <row r="12" spans="1:21" customFormat="1">
      <c r="A12" s="54" t="s">
        <v>518</v>
      </c>
      <c r="B12" s="55">
        <v>11.24</v>
      </c>
      <c r="C12" s="55">
        <v>39.29</v>
      </c>
      <c r="D12" s="55">
        <v>28.5</v>
      </c>
      <c r="E12" s="55">
        <v>6.52</v>
      </c>
      <c r="F12" s="55">
        <v>13.82</v>
      </c>
      <c r="G12" s="55">
        <v>55.17</v>
      </c>
      <c r="H12" s="55">
        <v>16.600000000000001</v>
      </c>
      <c r="I12" s="55">
        <v>3.74</v>
      </c>
      <c r="J12" s="55">
        <v>0.16</v>
      </c>
      <c r="K12" s="55">
        <v>222.63</v>
      </c>
      <c r="L12" s="55">
        <v>30.93</v>
      </c>
      <c r="M12" s="55">
        <v>44.75</v>
      </c>
      <c r="N12" s="55">
        <v>0</v>
      </c>
      <c r="O12" s="55">
        <v>0</v>
      </c>
      <c r="P12" s="55">
        <v>0.44</v>
      </c>
      <c r="Q12" s="55">
        <v>4.8899999999999997</v>
      </c>
    </row>
    <row r="13" spans="1:21" customFormat="1">
      <c r="A13" s="54" t="s">
        <v>519</v>
      </c>
      <c r="B13" s="55">
        <v>12.49</v>
      </c>
      <c r="C13" s="55">
        <v>39.86</v>
      </c>
      <c r="D13" s="55">
        <v>29.79</v>
      </c>
      <c r="E13" s="55">
        <v>6.32</v>
      </c>
      <c r="F13" s="55">
        <v>12.67</v>
      </c>
      <c r="G13" s="55">
        <v>55.17</v>
      </c>
      <c r="H13" s="55">
        <v>15.22</v>
      </c>
      <c r="I13" s="55">
        <v>3.69</v>
      </c>
      <c r="J13" s="55">
        <v>0.21</v>
      </c>
      <c r="K13" s="55">
        <v>214.25</v>
      </c>
      <c r="L13" s="55">
        <v>30.55</v>
      </c>
      <c r="M13" s="55">
        <v>51.05</v>
      </c>
      <c r="N13" s="55">
        <v>0</v>
      </c>
      <c r="O13" s="55">
        <v>0</v>
      </c>
      <c r="P13" s="55">
        <v>0.43</v>
      </c>
      <c r="Q13" s="55">
        <v>4.95</v>
      </c>
    </row>
    <row r="14" spans="1:21" customFormat="1">
      <c r="A14" s="54" t="s">
        <v>520</v>
      </c>
      <c r="B14" s="55">
        <v>12.91</v>
      </c>
      <c r="C14" s="55">
        <v>41.18</v>
      </c>
      <c r="D14" s="55">
        <v>30.62</v>
      </c>
      <c r="E14" s="55">
        <v>6.74</v>
      </c>
      <c r="F14" s="55">
        <v>9.2799999999999994</v>
      </c>
      <c r="G14" s="55">
        <v>54.49</v>
      </c>
      <c r="H14" s="55">
        <v>15.91</v>
      </c>
      <c r="I14" s="55">
        <v>3.87</v>
      </c>
      <c r="J14" s="55">
        <v>0.18</v>
      </c>
      <c r="K14" s="55">
        <v>253.49</v>
      </c>
      <c r="L14" s="55">
        <v>30.17</v>
      </c>
      <c r="M14" s="55">
        <v>50.31</v>
      </c>
      <c r="N14" s="55">
        <v>23</v>
      </c>
      <c r="O14" s="55">
        <v>0</v>
      </c>
      <c r="P14" s="55">
        <v>0.44</v>
      </c>
      <c r="Q14" s="55">
        <v>5.0599999999999996</v>
      </c>
    </row>
    <row r="15" spans="1:21" customFormat="1">
      <c r="A15" s="54" t="s">
        <v>521</v>
      </c>
      <c r="B15" s="55">
        <v>14.04</v>
      </c>
      <c r="C15" s="55">
        <v>42.75</v>
      </c>
      <c r="D15" s="55">
        <v>32.549999999999997</v>
      </c>
      <c r="E15" s="55">
        <v>7.38</v>
      </c>
      <c r="F15" s="55">
        <v>10.029999999999999</v>
      </c>
      <c r="G15" s="55">
        <v>54.49</v>
      </c>
      <c r="H15" s="55">
        <v>15.91</v>
      </c>
      <c r="I15" s="55">
        <v>4.1900000000000004</v>
      </c>
      <c r="J15" s="55">
        <v>0.37</v>
      </c>
      <c r="K15" s="55">
        <v>168.79</v>
      </c>
      <c r="L15" s="55">
        <v>32.44</v>
      </c>
      <c r="M15" s="55">
        <v>49.61</v>
      </c>
      <c r="N15" s="55">
        <v>73.599999999999994</v>
      </c>
      <c r="O15" s="55">
        <v>0</v>
      </c>
      <c r="P15" s="55">
        <v>0.48</v>
      </c>
      <c r="Q15" s="55">
        <v>5.14</v>
      </c>
    </row>
    <row r="16" spans="1:21" customFormat="1">
      <c r="A16" s="54" t="s">
        <v>522</v>
      </c>
      <c r="B16" s="55">
        <v>17.8</v>
      </c>
      <c r="C16" s="55">
        <v>44.44</v>
      </c>
      <c r="D16" s="55">
        <v>35.28</v>
      </c>
      <c r="E16" s="55">
        <v>42.7</v>
      </c>
      <c r="F16" s="55">
        <v>14.4</v>
      </c>
      <c r="G16" s="55">
        <v>57.9</v>
      </c>
      <c r="H16" s="55">
        <v>15.7</v>
      </c>
      <c r="I16" s="55">
        <v>4.75</v>
      </c>
      <c r="J16" s="55">
        <v>0.96</v>
      </c>
      <c r="K16" s="55">
        <v>160.83000000000001</v>
      </c>
      <c r="L16" s="55">
        <v>34.92</v>
      </c>
      <c r="M16" s="55">
        <v>42.97</v>
      </c>
      <c r="N16" s="55">
        <v>116.3</v>
      </c>
      <c r="O16" s="55">
        <v>0</v>
      </c>
      <c r="P16" s="55">
        <v>0.56999999999999995</v>
      </c>
      <c r="Q16" s="55">
        <v>5.18</v>
      </c>
    </row>
    <row r="17" spans="1:17" customFormat="1">
      <c r="A17" s="54" t="s">
        <v>523</v>
      </c>
      <c r="B17" s="55">
        <v>16.05</v>
      </c>
      <c r="C17" s="55">
        <v>44.82</v>
      </c>
      <c r="D17" s="55">
        <v>35.130000000000003</v>
      </c>
      <c r="E17" s="55">
        <v>28.11</v>
      </c>
      <c r="F17" s="55">
        <v>16.899999999999999</v>
      </c>
      <c r="G17" s="55">
        <v>70.19</v>
      </c>
      <c r="H17" s="55">
        <v>19.41</v>
      </c>
      <c r="I17" s="55">
        <v>4.8600000000000003</v>
      </c>
      <c r="J17" s="55">
        <v>1.23</v>
      </c>
      <c r="K17" s="55">
        <v>45</v>
      </c>
      <c r="L17" s="55">
        <v>36.14</v>
      </c>
      <c r="M17" s="55">
        <v>40.770000000000003</v>
      </c>
      <c r="N17" s="55">
        <v>146</v>
      </c>
      <c r="O17" s="55">
        <v>0</v>
      </c>
      <c r="P17" s="55">
        <v>0.54</v>
      </c>
      <c r="Q17" s="55">
        <v>5.24</v>
      </c>
    </row>
    <row r="18" spans="1:17" customFormat="1">
      <c r="A18" s="54" t="s">
        <v>524</v>
      </c>
      <c r="B18" s="55">
        <v>14.73</v>
      </c>
      <c r="C18" s="55">
        <v>40.119999999999997</v>
      </c>
      <c r="D18" s="55">
        <v>31.73</v>
      </c>
      <c r="E18" s="55">
        <v>26.65</v>
      </c>
      <c r="F18" s="55">
        <v>21.59</v>
      </c>
      <c r="G18" s="55">
        <v>73.069999999999993</v>
      </c>
      <c r="H18" s="55">
        <v>21.21</v>
      </c>
      <c r="I18" s="55">
        <v>4.45</v>
      </c>
      <c r="J18" s="55">
        <v>0.81</v>
      </c>
      <c r="K18" s="55">
        <v>323.93</v>
      </c>
      <c r="L18" s="55">
        <v>37.840000000000003</v>
      </c>
      <c r="M18" s="55">
        <v>37.81</v>
      </c>
      <c r="N18" s="55">
        <v>183.7</v>
      </c>
      <c r="O18" s="55">
        <v>0</v>
      </c>
      <c r="P18" s="55">
        <v>0.56000000000000005</v>
      </c>
      <c r="Q18" s="55">
        <v>5.19</v>
      </c>
    </row>
    <row r="19" spans="1:17" customFormat="1">
      <c r="A19" s="54" t="s">
        <v>525</v>
      </c>
      <c r="B19" s="55">
        <v>11.93</v>
      </c>
      <c r="C19" s="55">
        <v>37.94</v>
      </c>
      <c r="D19" s="55">
        <v>28.34</v>
      </c>
      <c r="E19" s="55">
        <v>12.44</v>
      </c>
      <c r="F19" s="55">
        <v>23.27</v>
      </c>
      <c r="G19" s="55">
        <v>73.069999999999993</v>
      </c>
      <c r="H19" s="55">
        <v>22.38</v>
      </c>
      <c r="I19" s="55">
        <v>4.55</v>
      </c>
      <c r="J19" s="55">
        <v>0.8</v>
      </c>
      <c r="K19" s="55">
        <v>309.82</v>
      </c>
      <c r="L19" s="55">
        <v>39.11</v>
      </c>
      <c r="M19" s="55">
        <v>33.950000000000003</v>
      </c>
      <c r="N19" s="55">
        <v>249.4</v>
      </c>
      <c r="O19" s="55">
        <v>0</v>
      </c>
      <c r="P19" s="55">
        <v>0.55000000000000004</v>
      </c>
      <c r="Q19" s="55">
        <v>5.0199999999999996</v>
      </c>
    </row>
    <row r="20" spans="1:17" customFormat="1">
      <c r="A20" s="54" t="s">
        <v>526</v>
      </c>
      <c r="B20" s="55">
        <v>8.9</v>
      </c>
      <c r="C20" s="55">
        <v>35.31</v>
      </c>
      <c r="D20" s="55">
        <v>24.52</v>
      </c>
      <c r="E20" s="55">
        <v>9.92</v>
      </c>
      <c r="F20" s="55">
        <v>24.96</v>
      </c>
      <c r="G20" s="55">
        <v>68.209999999999994</v>
      </c>
      <c r="H20" s="55">
        <v>22.38</v>
      </c>
      <c r="I20" s="55">
        <v>4.51</v>
      </c>
      <c r="J20" s="55">
        <v>1.06</v>
      </c>
      <c r="K20" s="55">
        <v>299.04000000000002</v>
      </c>
      <c r="L20" s="55">
        <v>39.56</v>
      </c>
      <c r="M20" s="55">
        <v>31.88</v>
      </c>
      <c r="N20" s="55">
        <v>645.29999999999995</v>
      </c>
      <c r="O20" s="55">
        <v>0</v>
      </c>
      <c r="P20" s="55">
        <v>0.53</v>
      </c>
      <c r="Q20" s="55">
        <v>4.83</v>
      </c>
    </row>
    <row r="21" spans="1:17" customFormat="1">
      <c r="A21" s="54" t="s">
        <v>527</v>
      </c>
      <c r="B21" s="55">
        <v>4.26</v>
      </c>
      <c r="C21" s="55">
        <v>33.53</v>
      </c>
      <c r="D21" s="55">
        <v>19.399999999999999</v>
      </c>
      <c r="E21" s="55">
        <v>7.67</v>
      </c>
      <c r="F21" s="55">
        <v>24.93</v>
      </c>
      <c r="G21" s="55">
        <v>68.209999999999994</v>
      </c>
      <c r="H21" s="55">
        <v>20.98</v>
      </c>
      <c r="I21" s="55">
        <v>4.34</v>
      </c>
      <c r="J21" s="55">
        <v>0.85</v>
      </c>
      <c r="K21" s="55">
        <v>356.1</v>
      </c>
      <c r="L21" s="55">
        <v>40.5</v>
      </c>
      <c r="M21" s="55">
        <v>30.12</v>
      </c>
      <c r="N21" s="55">
        <v>825.4</v>
      </c>
      <c r="O21" s="55">
        <v>0</v>
      </c>
      <c r="P21" s="55">
        <v>0.5</v>
      </c>
      <c r="Q21" s="55">
        <v>4.55</v>
      </c>
    </row>
    <row r="22" spans="1:17" customFormat="1">
      <c r="A22" s="54" t="s">
        <v>528</v>
      </c>
      <c r="B22" s="55">
        <v>4.01</v>
      </c>
      <c r="C22" s="55">
        <v>37.83</v>
      </c>
      <c r="D22" s="55">
        <v>21.93</v>
      </c>
      <c r="E22" s="55">
        <v>8.33</v>
      </c>
      <c r="F22" s="55">
        <v>28.5</v>
      </c>
      <c r="G22" s="55">
        <v>63.66</v>
      </c>
      <c r="H22" s="55">
        <v>16.82</v>
      </c>
      <c r="I22" s="55">
        <v>4.43</v>
      </c>
      <c r="J22" s="55">
        <v>1.18</v>
      </c>
      <c r="K22" s="55">
        <v>288.24</v>
      </c>
      <c r="L22" s="55">
        <v>41.44</v>
      </c>
      <c r="M22" s="55">
        <v>26.65</v>
      </c>
      <c r="N22" s="55">
        <v>792.9</v>
      </c>
      <c r="O22" s="55">
        <v>0</v>
      </c>
      <c r="P22" s="55">
        <v>0.53</v>
      </c>
      <c r="Q22" s="55">
        <v>4.6399999999999997</v>
      </c>
    </row>
    <row r="23" spans="1:17" customFormat="1">
      <c r="A23" s="54" t="s">
        <v>529</v>
      </c>
      <c r="B23" s="55">
        <v>1.55</v>
      </c>
      <c r="C23" s="55">
        <v>35.799999999999997</v>
      </c>
      <c r="D23" s="55">
        <v>18.91</v>
      </c>
      <c r="E23" s="55">
        <v>13.47</v>
      </c>
      <c r="F23" s="55">
        <v>29.44</v>
      </c>
      <c r="G23" s="55">
        <v>59.27</v>
      </c>
      <c r="H23" s="55">
        <v>19.170000000000002</v>
      </c>
      <c r="I23" s="55">
        <v>4.7</v>
      </c>
      <c r="J23" s="55">
        <v>1.02</v>
      </c>
      <c r="K23" s="55">
        <v>277.41000000000003</v>
      </c>
      <c r="L23" s="55">
        <v>41.31</v>
      </c>
      <c r="M23" s="55">
        <v>25.12</v>
      </c>
      <c r="N23" s="55">
        <v>682.5</v>
      </c>
      <c r="O23" s="55">
        <v>0</v>
      </c>
      <c r="P23" s="55">
        <v>0.53</v>
      </c>
      <c r="Q23" s="55">
        <v>4.49</v>
      </c>
    </row>
    <row r="24" spans="1:17" customFormat="1">
      <c r="A24" s="54" t="s">
        <v>530</v>
      </c>
      <c r="B24" s="55">
        <v>2.69</v>
      </c>
      <c r="C24" s="55">
        <v>36.520000000000003</v>
      </c>
      <c r="D24" s="55">
        <v>19.850000000000001</v>
      </c>
      <c r="E24" s="55">
        <v>15.94</v>
      </c>
      <c r="F24" s="55">
        <v>28.87</v>
      </c>
      <c r="G24" s="55">
        <v>59.27</v>
      </c>
      <c r="H24" s="55">
        <v>23.87</v>
      </c>
      <c r="I24" s="55">
        <v>5.18</v>
      </c>
      <c r="J24" s="55">
        <v>1.2</v>
      </c>
      <c r="K24" s="55">
        <v>301.57</v>
      </c>
      <c r="L24" s="55">
        <v>41.44</v>
      </c>
      <c r="M24" s="55">
        <v>24.28</v>
      </c>
      <c r="N24" s="55">
        <v>528.79999999999995</v>
      </c>
      <c r="O24" s="55">
        <v>0</v>
      </c>
      <c r="P24" s="55">
        <v>0.56000000000000005</v>
      </c>
      <c r="Q24" s="55">
        <v>4.54</v>
      </c>
    </row>
    <row r="25" spans="1:17" customFormat="1">
      <c r="A25" s="54" t="s">
        <v>531</v>
      </c>
      <c r="B25" s="55">
        <v>3.21</v>
      </c>
      <c r="C25" s="55">
        <v>35.99</v>
      </c>
      <c r="D25" s="55">
        <v>19.86</v>
      </c>
      <c r="E25" s="55">
        <v>16.420000000000002</v>
      </c>
      <c r="F25" s="55">
        <v>34.39</v>
      </c>
      <c r="G25" s="55">
        <v>59.04</v>
      </c>
      <c r="H25" s="55">
        <v>23.87</v>
      </c>
      <c r="I25" s="55">
        <v>5.0999999999999996</v>
      </c>
      <c r="J25" s="55">
        <v>1.03</v>
      </c>
      <c r="K25" s="55">
        <v>276.87</v>
      </c>
      <c r="L25" s="55">
        <v>41.3</v>
      </c>
      <c r="M25" s="55">
        <v>23.97</v>
      </c>
      <c r="N25" s="55">
        <v>357</v>
      </c>
      <c r="O25" s="55">
        <v>0</v>
      </c>
      <c r="P25" s="55">
        <v>0.55000000000000004</v>
      </c>
      <c r="Q25" s="55">
        <v>4.54</v>
      </c>
    </row>
    <row r="26" spans="1:17" customFormat="1">
      <c r="A26" s="54" t="s">
        <v>532</v>
      </c>
      <c r="B26" s="55">
        <v>4.21</v>
      </c>
      <c r="C26" s="55">
        <v>37.35</v>
      </c>
      <c r="D26" s="55">
        <v>21.84</v>
      </c>
      <c r="E26" s="55">
        <v>18.850000000000001</v>
      </c>
      <c r="F26" s="55">
        <v>27.55</v>
      </c>
      <c r="G26" s="55">
        <v>61.76</v>
      </c>
      <c r="H26" s="55">
        <v>21.74</v>
      </c>
      <c r="I26" s="55">
        <v>5.14</v>
      </c>
      <c r="J26" s="55">
        <v>0.98</v>
      </c>
      <c r="K26" s="55">
        <v>285.77</v>
      </c>
      <c r="L26" s="55">
        <v>40.28</v>
      </c>
      <c r="M26" s="55">
        <v>25.56</v>
      </c>
      <c r="N26" s="55">
        <v>132</v>
      </c>
      <c r="O26" s="55">
        <v>0</v>
      </c>
      <c r="P26" s="55">
        <v>0.56000000000000005</v>
      </c>
      <c r="Q26" s="55">
        <v>4.55</v>
      </c>
    </row>
    <row r="27" spans="1:17" customFormat="1">
      <c r="A27" s="54" t="s">
        <v>533</v>
      </c>
      <c r="B27" s="55">
        <v>2.71</v>
      </c>
      <c r="C27" s="55">
        <v>34.31</v>
      </c>
      <c r="D27" s="55">
        <v>19.05</v>
      </c>
      <c r="E27" s="55">
        <v>14.75</v>
      </c>
      <c r="F27" s="55">
        <v>33.68</v>
      </c>
      <c r="G27" s="55">
        <v>65.319999999999993</v>
      </c>
      <c r="H27" s="55">
        <v>22.77</v>
      </c>
      <c r="I27" s="55">
        <v>5.04</v>
      </c>
      <c r="J27" s="55">
        <v>0.89</v>
      </c>
      <c r="K27" s="55">
        <v>254.95</v>
      </c>
      <c r="L27" s="55">
        <v>39.25</v>
      </c>
      <c r="M27" s="55">
        <v>40.659999999999997</v>
      </c>
      <c r="N27" s="55">
        <v>48.5</v>
      </c>
      <c r="O27" s="55">
        <v>0</v>
      </c>
      <c r="P27" s="55">
        <v>0.56999999999999995</v>
      </c>
      <c r="Q27" s="55">
        <v>4.54</v>
      </c>
    </row>
    <row r="28" spans="1:17" customFormat="1">
      <c r="A28" s="54" t="s">
        <v>534</v>
      </c>
      <c r="B28" s="55">
        <v>2.8</v>
      </c>
      <c r="C28" s="55">
        <v>30.03</v>
      </c>
      <c r="D28" s="55">
        <v>16.84</v>
      </c>
      <c r="E28" s="55">
        <v>6.81</v>
      </c>
      <c r="F28" s="55">
        <v>30.19</v>
      </c>
      <c r="G28" s="55">
        <v>65.319999999999993</v>
      </c>
      <c r="H28" s="55">
        <v>22.77</v>
      </c>
      <c r="I28" s="55">
        <v>3.87</v>
      </c>
      <c r="J28" s="55">
        <v>0.72</v>
      </c>
      <c r="K28" s="55">
        <v>254.92</v>
      </c>
      <c r="L28" s="55">
        <v>34.04</v>
      </c>
      <c r="M28" s="55">
        <v>44</v>
      </c>
      <c r="N28" s="55">
        <v>0</v>
      </c>
      <c r="O28" s="55">
        <v>0</v>
      </c>
      <c r="P28" s="55">
        <v>0.45</v>
      </c>
      <c r="Q28" s="55">
        <v>4.37</v>
      </c>
    </row>
    <row r="29" spans="1:17" customFormat="1">
      <c r="A29" s="54" t="s">
        <v>535</v>
      </c>
      <c r="B29" s="55">
        <v>3.31</v>
      </c>
      <c r="C29" s="55">
        <v>28.82</v>
      </c>
      <c r="D29" s="55">
        <v>16.649999999999999</v>
      </c>
      <c r="E29" s="55">
        <v>7.29</v>
      </c>
      <c r="F29" s="55">
        <v>27.08</v>
      </c>
      <c r="G29" s="55">
        <v>60.28</v>
      </c>
      <c r="H29" s="55">
        <v>19.13</v>
      </c>
      <c r="I29" s="55">
        <v>3.7</v>
      </c>
      <c r="J29" s="55">
        <v>0.53</v>
      </c>
      <c r="K29" s="55">
        <v>242.54</v>
      </c>
      <c r="L29" s="55">
        <v>33.79</v>
      </c>
      <c r="M29" s="55">
        <v>43.83</v>
      </c>
      <c r="N29" s="55">
        <v>0</v>
      </c>
      <c r="O29" s="55">
        <v>0</v>
      </c>
      <c r="P29" s="55">
        <v>0.44</v>
      </c>
      <c r="Q29" s="55">
        <v>4.4400000000000004</v>
      </c>
    </row>
    <row r="30" spans="1:17" customFormat="1">
      <c r="A30" s="54" t="s">
        <v>536</v>
      </c>
      <c r="B30" s="55">
        <v>4.33</v>
      </c>
      <c r="C30" s="55">
        <v>30.86</v>
      </c>
      <c r="D30" s="55">
        <v>18.36</v>
      </c>
      <c r="E30" s="55">
        <v>7.24</v>
      </c>
      <c r="F30" s="55">
        <v>29.11</v>
      </c>
      <c r="G30" s="55">
        <v>48.77</v>
      </c>
      <c r="H30" s="55">
        <v>16.05</v>
      </c>
      <c r="I30" s="55">
        <v>3.46</v>
      </c>
      <c r="J30" s="55">
        <v>0.67</v>
      </c>
      <c r="K30" s="55">
        <v>222.54</v>
      </c>
      <c r="L30" s="55">
        <v>33.51</v>
      </c>
      <c r="M30" s="55">
        <v>46.73</v>
      </c>
      <c r="N30" s="55">
        <v>0</v>
      </c>
      <c r="O30" s="55">
        <v>0</v>
      </c>
      <c r="P30" s="55">
        <v>0.44</v>
      </c>
      <c r="Q30" s="55">
        <v>4.43</v>
      </c>
    </row>
    <row r="31" spans="1:17" customFormat="1">
      <c r="A31" s="54" t="s">
        <v>537</v>
      </c>
      <c r="B31" s="55">
        <v>4.99</v>
      </c>
      <c r="C31" s="55">
        <v>34.69</v>
      </c>
      <c r="D31" s="55">
        <v>20.72</v>
      </c>
      <c r="E31" s="55">
        <v>6.98</v>
      </c>
      <c r="F31" s="55">
        <v>19.420000000000002</v>
      </c>
      <c r="G31" s="55">
        <v>38.409999999999997</v>
      </c>
      <c r="H31" s="55">
        <v>16.05</v>
      </c>
      <c r="I31" s="55">
        <v>3.79</v>
      </c>
      <c r="J31" s="55">
        <v>0.47</v>
      </c>
      <c r="K31" s="55">
        <v>135.15</v>
      </c>
      <c r="L31" s="55">
        <v>32.840000000000003</v>
      </c>
      <c r="M31" s="55">
        <v>51.27</v>
      </c>
      <c r="N31" s="55">
        <v>0</v>
      </c>
      <c r="O31" s="55">
        <v>0</v>
      </c>
      <c r="P31" s="55">
        <v>0.46</v>
      </c>
      <c r="Q31" s="55">
        <v>4.45</v>
      </c>
    </row>
    <row r="32" spans="1:17" customFormat="1">
      <c r="A32" s="54" t="s">
        <v>538</v>
      </c>
      <c r="B32" s="55">
        <v>5</v>
      </c>
      <c r="C32" s="55">
        <v>36.22</v>
      </c>
      <c r="D32" s="55">
        <v>21.86</v>
      </c>
      <c r="E32" s="55">
        <v>7.42</v>
      </c>
      <c r="F32" s="55">
        <v>19.54</v>
      </c>
      <c r="G32" s="55">
        <v>32.79</v>
      </c>
      <c r="H32" s="55">
        <v>14.95</v>
      </c>
      <c r="I32" s="55">
        <v>3.63</v>
      </c>
      <c r="J32" s="55">
        <v>0.43</v>
      </c>
      <c r="K32" s="55">
        <v>149.13999999999999</v>
      </c>
      <c r="L32" s="55">
        <v>31.62</v>
      </c>
      <c r="M32" s="55">
        <v>55.31</v>
      </c>
      <c r="N32" s="55">
        <v>0</v>
      </c>
      <c r="O32" s="55">
        <v>0</v>
      </c>
      <c r="P32" s="55">
        <v>0.43</v>
      </c>
      <c r="Q32" s="55">
        <v>4.4800000000000004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1.55</v>
      </c>
      <c r="C34" s="41">
        <f t="shared" si="0"/>
        <v>28.82</v>
      </c>
      <c r="D34" s="41">
        <f t="shared" si="0"/>
        <v>16.649999999999999</v>
      </c>
      <c r="E34" s="41">
        <f t="shared" si="0"/>
        <v>5.92</v>
      </c>
      <c r="F34" s="41">
        <f t="shared" si="0"/>
        <v>9.2799999999999994</v>
      </c>
      <c r="G34" s="41">
        <f t="shared" si="0"/>
        <v>32.79</v>
      </c>
      <c r="H34" s="41">
        <f t="shared" si="0"/>
        <v>14.95</v>
      </c>
      <c r="I34" s="41">
        <f t="shared" si="0"/>
        <v>3.46</v>
      </c>
      <c r="J34" s="41">
        <f t="shared" si="0"/>
        <v>0.16</v>
      </c>
      <c r="K34" s="41">
        <f t="shared" si="0"/>
        <v>45</v>
      </c>
      <c r="L34" s="41">
        <f t="shared" si="0"/>
        <v>30.17</v>
      </c>
      <c r="M34" s="41">
        <f t="shared" si="0"/>
        <v>23.97</v>
      </c>
      <c r="N34" s="41">
        <f t="shared" si="0"/>
        <v>0</v>
      </c>
      <c r="O34" s="41">
        <f t="shared" si="0"/>
        <v>0</v>
      </c>
      <c r="P34" s="41">
        <f t="shared" si="0"/>
        <v>0.43</v>
      </c>
      <c r="Q34" s="41">
        <f t="shared" si="0"/>
        <v>4.37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17.8</v>
      </c>
      <c r="C35" s="33">
        <f t="shared" si="1"/>
        <v>44.82</v>
      </c>
      <c r="D35" s="33">
        <f t="shared" si="1"/>
        <v>35.28</v>
      </c>
      <c r="E35" s="33">
        <f t="shared" si="1"/>
        <v>42.7</v>
      </c>
      <c r="F35" s="33">
        <f t="shared" si="1"/>
        <v>34.39</v>
      </c>
      <c r="G35" s="33">
        <f t="shared" si="1"/>
        <v>73.069999999999993</v>
      </c>
      <c r="H35" s="33">
        <f t="shared" si="1"/>
        <v>23.87</v>
      </c>
      <c r="I35" s="33">
        <f t="shared" si="1"/>
        <v>5.18</v>
      </c>
      <c r="J35" s="33">
        <f t="shared" si="1"/>
        <v>1.23</v>
      </c>
      <c r="K35" s="33">
        <f t="shared" si="1"/>
        <v>356.1</v>
      </c>
      <c r="L35" s="33">
        <f t="shared" si="1"/>
        <v>41.44</v>
      </c>
      <c r="M35" s="33">
        <f t="shared" si="1"/>
        <v>55.31</v>
      </c>
      <c r="N35" s="33">
        <f t="shared" si="1"/>
        <v>825.4</v>
      </c>
      <c r="O35" s="33">
        <f t="shared" si="1"/>
        <v>0</v>
      </c>
      <c r="P35" s="33">
        <f t="shared" si="1"/>
        <v>0.56999999999999995</v>
      </c>
      <c r="Q35" s="33">
        <f t="shared" si="1"/>
        <v>5.24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7.7804166666666683</v>
      </c>
      <c r="C36" s="41">
        <f t="shared" si="2"/>
        <v>36.805833333333339</v>
      </c>
      <c r="D36" s="41">
        <f t="shared" si="2"/>
        <v>24.274583333333336</v>
      </c>
      <c r="E36" s="41">
        <f t="shared" si="2"/>
        <v>12.38916666666667</v>
      </c>
      <c r="F36" s="41">
        <f t="shared" si="2"/>
        <v>21.947500000000002</v>
      </c>
      <c r="G36" s="41">
        <f t="shared" si="2"/>
        <v>59.276249999999997</v>
      </c>
      <c r="H36" s="41">
        <f t="shared" si="2"/>
        <v>19.074583333333333</v>
      </c>
      <c r="I36" s="41">
        <f t="shared" si="2"/>
        <v>4.25875</v>
      </c>
      <c r="J36" s="41">
        <f t="shared" si="2"/>
        <v>0.68124999999999991</v>
      </c>
      <c r="K36" s="41">
        <f t="shared" si="2"/>
        <v>235.98166666666665</v>
      </c>
      <c r="L36" s="41">
        <f t="shared" si="2"/>
        <v>35.814166666666665</v>
      </c>
      <c r="M36" s="41">
        <f t="shared" si="2"/>
        <v>39.578749999999992</v>
      </c>
      <c r="N36" s="41">
        <f t="shared" si="2"/>
        <v>200.18333333333331</v>
      </c>
      <c r="O36" s="41">
        <f t="shared" si="2"/>
        <v>0</v>
      </c>
      <c r="P36" s="41">
        <f t="shared" si="2"/>
        <v>0.49500000000000005</v>
      </c>
      <c r="Q36" s="41">
        <f t="shared" si="2"/>
        <v>4.7383333333333333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4.9484292449982146</v>
      </c>
      <c r="C37" s="41">
        <f t="shared" ref="C37:Q37" si="3">STDEV(C9:C32)</f>
        <v>4.1450262669399942</v>
      </c>
      <c r="D37" s="41">
        <f t="shared" si="3"/>
        <v>5.8198797082792435</v>
      </c>
      <c r="E37" s="41">
        <f t="shared" si="3"/>
        <v>9.0003241084958141</v>
      </c>
      <c r="F37" s="41">
        <f t="shared" si="3"/>
        <v>7.5680887541904678</v>
      </c>
      <c r="G37" s="41">
        <f t="shared" si="3"/>
        <v>9.544560395962435</v>
      </c>
      <c r="H37" s="41">
        <f t="shared" si="3"/>
        <v>3.0180644231558365</v>
      </c>
      <c r="I37" s="41">
        <f t="shared" si="3"/>
        <v>0.56128976086525151</v>
      </c>
      <c r="J37" s="41">
        <f t="shared" si="3"/>
        <v>0.36935092892214633</v>
      </c>
      <c r="K37" s="41">
        <f t="shared" si="3"/>
        <v>70.207115065334392</v>
      </c>
      <c r="L37" s="41">
        <f t="shared" si="3"/>
        <v>4.0794297519934535</v>
      </c>
      <c r="M37" s="41">
        <f t="shared" si="3"/>
        <v>9.6630633870289699</v>
      </c>
      <c r="N37" s="41">
        <f t="shared" si="3"/>
        <v>279.28647388076928</v>
      </c>
      <c r="O37" s="41">
        <f t="shared" si="3"/>
        <v>0</v>
      </c>
      <c r="P37" s="41">
        <f t="shared" si="3"/>
        <v>5.4772255750515884E-2</v>
      </c>
      <c r="Q37" s="41">
        <f t="shared" si="3"/>
        <v>0.2816051300586741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21/06/2023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4" t="s">
        <v>539</v>
      </c>
      <c r="B9" s="55">
        <v>7.05</v>
      </c>
      <c r="C9" s="55">
        <v>35.21</v>
      </c>
      <c r="D9" s="55">
        <v>23</v>
      </c>
      <c r="E9" s="55">
        <v>7</v>
      </c>
      <c r="F9" s="55">
        <v>19.399999999999999</v>
      </c>
      <c r="G9" s="55">
        <v>32.79</v>
      </c>
      <c r="H9" s="55">
        <v>12.05</v>
      </c>
      <c r="I9" s="55">
        <v>3.61</v>
      </c>
      <c r="J9" s="55">
        <v>0.3</v>
      </c>
      <c r="K9" s="55">
        <v>233.1</v>
      </c>
      <c r="L9" s="55">
        <v>30.49</v>
      </c>
      <c r="M9" s="55">
        <v>55.73</v>
      </c>
      <c r="N9" s="55">
        <v>0</v>
      </c>
      <c r="O9" s="55">
        <v>0</v>
      </c>
      <c r="P9" s="55">
        <v>0.42</v>
      </c>
      <c r="Q9" s="55">
        <v>4.49</v>
      </c>
    </row>
    <row r="10" spans="1:21" customFormat="1">
      <c r="A10" s="54" t="s">
        <v>540</v>
      </c>
      <c r="B10" s="55">
        <v>7.62</v>
      </c>
      <c r="C10" s="55">
        <v>34.659999999999997</v>
      </c>
      <c r="D10" s="55">
        <v>23.17</v>
      </c>
      <c r="E10" s="55">
        <v>7.14</v>
      </c>
      <c r="F10" s="55">
        <v>20.11</v>
      </c>
      <c r="G10" s="55">
        <v>25.59</v>
      </c>
      <c r="H10" s="55">
        <v>11.65</v>
      </c>
      <c r="I10" s="55">
        <v>3.32</v>
      </c>
      <c r="J10" s="55">
        <v>0.66</v>
      </c>
      <c r="K10" s="55">
        <v>254.58</v>
      </c>
      <c r="L10" s="55">
        <v>30.12</v>
      </c>
      <c r="M10" s="55">
        <v>57.36</v>
      </c>
      <c r="N10" s="55">
        <v>0</v>
      </c>
      <c r="O10" s="55">
        <v>0</v>
      </c>
      <c r="P10" s="55">
        <v>0.41</v>
      </c>
      <c r="Q10" s="55">
        <v>4.51</v>
      </c>
    </row>
    <row r="11" spans="1:21" customFormat="1">
      <c r="A11" s="54" t="s">
        <v>541</v>
      </c>
      <c r="B11" s="55">
        <v>7.9</v>
      </c>
      <c r="C11" s="55">
        <v>37.74</v>
      </c>
      <c r="D11" s="55">
        <v>25.01</v>
      </c>
      <c r="E11" s="55">
        <v>4.9800000000000004</v>
      </c>
      <c r="F11" s="55">
        <v>15.64</v>
      </c>
      <c r="G11" s="55">
        <v>24.42</v>
      </c>
      <c r="H11" s="55">
        <v>9.5399999999999991</v>
      </c>
      <c r="I11" s="55">
        <v>3.3</v>
      </c>
      <c r="J11" s="55">
        <v>0.7</v>
      </c>
      <c r="K11" s="55">
        <v>252.15</v>
      </c>
      <c r="L11" s="55">
        <v>29.93</v>
      </c>
      <c r="M11" s="55">
        <v>59.41</v>
      </c>
      <c r="N11" s="55">
        <v>0</v>
      </c>
      <c r="O11" s="55">
        <v>0</v>
      </c>
      <c r="P11" s="55">
        <v>0.4</v>
      </c>
      <c r="Q11" s="55">
        <v>4.5199999999999996</v>
      </c>
    </row>
    <row r="12" spans="1:21" customFormat="1">
      <c r="A12" s="54" t="s">
        <v>542</v>
      </c>
      <c r="B12" s="55">
        <v>8.61</v>
      </c>
      <c r="C12" s="55">
        <v>37.22</v>
      </c>
      <c r="D12" s="55">
        <v>25.07</v>
      </c>
      <c r="E12" s="55">
        <v>5.16</v>
      </c>
      <c r="F12" s="55">
        <v>10.55</v>
      </c>
      <c r="G12" s="55">
        <v>24.42</v>
      </c>
      <c r="H12" s="55">
        <v>9.5399999999999991</v>
      </c>
      <c r="I12" s="55">
        <v>3.33</v>
      </c>
      <c r="J12" s="55">
        <v>0.78</v>
      </c>
      <c r="K12" s="55">
        <v>253.72</v>
      </c>
      <c r="L12" s="55">
        <v>29.37</v>
      </c>
      <c r="M12" s="55">
        <v>61.74</v>
      </c>
      <c r="N12" s="55">
        <v>0</v>
      </c>
      <c r="O12" s="55">
        <v>0</v>
      </c>
      <c r="P12" s="55">
        <v>0.42</v>
      </c>
      <c r="Q12" s="55">
        <v>4.54</v>
      </c>
    </row>
    <row r="13" spans="1:21" customFormat="1">
      <c r="A13" s="54" t="s">
        <v>543</v>
      </c>
      <c r="B13" s="55">
        <v>9.1199999999999992</v>
      </c>
      <c r="C13" s="55">
        <v>39.83</v>
      </c>
      <c r="D13" s="55">
        <v>26.99</v>
      </c>
      <c r="E13" s="55">
        <v>5.01</v>
      </c>
      <c r="F13" s="55">
        <v>9.24</v>
      </c>
      <c r="G13" s="55">
        <v>21.16</v>
      </c>
      <c r="H13" s="55">
        <v>9.4700000000000006</v>
      </c>
      <c r="I13" s="55">
        <v>3.32</v>
      </c>
      <c r="J13" s="55">
        <v>0.79</v>
      </c>
      <c r="K13" s="55">
        <v>243.77</v>
      </c>
      <c r="L13" s="55">
        <v>28.96</v>
      </c>
      <c r="M13" s="55">
        <v>63.79</v>
      </c>
      <c r="N13" s="55">
        <v>0</v>
      </c>
      <c r="O13" s="55">
        <v>0</v>
      </c>
      <c r="P13" s="55">
        <v>0.41</v>
      </c>
      <c r="Q13" s="55">
        <v>4.59</v>
      </c>
    </row>
    <row r="14" spans="1:21" customFormat="1">
      <c r="A14" s="54" t="s">
        <v>544</v>
      </c>
      <c r="B14" s="55">
        <v>10.43</v>
      </c>
      <c r="C14" s="55">
        <v>39.61</v>
      </c>
      <c r="D14" s="55">
        <v>28.01</v>
      </c>
      <c r="E14" s="55">
        <v>5.31</v>
      </c>
      <c r="F14" s="55">
        <v>11.2</v>
      </c>
      <c r="G14" s="55">
        <v>23.48</v>
      </c>
      <c r="H14" s="55">
        <v>10.28</v>
      </c>
      <c r="I14" s="55">
        <v>3.24</v>
      </c>
      <c r="J14" s="55">
        <v>0.47</v>
      </c>
      <c r="K14" s="55">
        <v>242.6</v>
      </c>
      <c r="L14" s="55">
        <v>29.02</v>
      </c>
      <c r="M14" s="55">
        <v>64.48</v>
      </c>
      <c r="N14" s="55">
        <v>19.8</v>
      </c>
      <c r="O14" s="55">
        <v>0</v>
      </c>
      <c r="P14" s="55">
        <v>0.41</v>
      </c>
      <c r="Q14" s="55">
        <v>4.68</v>
      </c>
    </row>
    <row r="15" spans="1:21" customFormat="1">
      <c r="A15" s="54" t="s">
        <v>545</v>
      </c>
      <c r="B15" s="55">
        <v>11.24</v>
      </c>
      <c r="C15" s="55">
        <v>38.76</v>
      </c>
      <c r="D15" s="55">
        <v>28.22</v>
      </c>
      <c r="E15" s="55">
        <v>5.0199999999999996</v>
      </c>
      <c r="F15" s="55">
        <v>13.01</v>
      </c>
      <c r="G15" s="55">
        <v>23.48</v>
      </c>
      <c r="H15" s="55">
        <v>10.38</v>
      </c>
      <c r="I15" s="55">
        <v>3.25</v>
      </c>
      <c r="J15" s="55">
        <v>0.53</v>
      </c>
      <c r="K15" s="55">
        <v>251.96</v>
      </c>
      <c r="L15" s="55">
        <v>30.43</v>
      </c>
      <c r="M15" s="55">
        <v>63.74</v>
      </c>
      <c r="N15" s="55">
        <v>87.6</v>
      </c>
      <c r="O15" s="55">
        <v>0</v>
      </c>
      <c r="P15" s="55">
        <v>0.41</v>
      </c>
      <c r="Q15" s="55">
        <v>4.71</v>
      </c>
    </row>
    <row r="16" spans="1:21" customFormat="1">
      <c r="A16" s="54" t="s">
        <v>546</v>
      </c>
      <c r="B16" s="55">
        <v>11.43</v>
      </c>
      <c r="C16" s="55">
        <v>39.96</v>
      </c>
      <c r="D16" s="55">
        <v>28.79</v>
      </c>
      <c r="E16" s="55">
        <v>6.49</v>
      </c>
      <c r="F16" s="55">
        <v>10.4</v>
      </c>
      <c r="G16" s="55">
        <v>22.31</v>
      </c>
      <c r="H16" s="55">
        <v>10.38</v>
      </c>
      <c r="I16" s="55">
        <v>3.35</v>
      </c>
      <c r="J16" s="55">
        <v>1.07</v>
      </c>
      <c r="K16" s="55">
        <v>276.57</v>
      </c>
      <c r="L16" s="55">
        <v>32.369999999999997</v>
      </c>
      <c r="M16" s="55">
        <v>57.74</v>
      </c>
      <c r="N16" s="55">
        <v>131</v>
      </c>
      <c r="O16" s="55">
        <v>0</v>
      </c>
      <c r="P16" s="55">
        <v>0.43</v>
      </c>
      <c r="Q16" s="55">
        <v>4.7300000000000004</v>
      </c>
    </row>
    <row r="17" spans="1:17" customFormat="1">
      <c r="A17" s="54" t="s">
        <v>547</v>
      </c>
      <c r="B17" s="55">
        <v>10.94</v>
      </c>
      <c r="C17" s="55">
        <v>40.380000000000003</v>
      </c>
      <c r="D17" s="55">
        <v>28.47</v>
      </c>
      <c r="E17" s="55">
        <v>9.85</v>
      </c>
      <c r="F17" s="55">
        <v>10.96</v>
      </c>
      <c r="G17" s="55">
        <v>25.84</v>
      </c>
      <c r="H17" s="55">
        <v>10.24</v>
      </c>
      <c r="I17" s="55">
        <v>4.05</v>
      </c>
      <c r="J17" s="55">
        <v>1.19</v>
      </c>
      <c r="K17" s="55">
        <v>263.66000000000003</v>
      </c>
      <c r="L17" s="55">
        <v>34.08</v>
      </c>
      <c r="M17" s="55">
        <v>49.83</v>
      </c>
      <c r="N17" s="55">
        <v>160.6</v>
      </c>
      <c r="O17" s="55">
        <v>0</v>
      </c>
      <c r="P17" s="55">
        <v>0.53</v>
      </c>
      <c r="Q17" s="55">
        <v>4.66</v>
      </c>
    </row>
    <row r="18" spans="1:17" customFormat="1">
      <c r="A18" s="54" t="s">
        <v>548</v>
      </c>
      <c r="B18" s="55">
        <v>9.1300000000000008</v>
      </c>
      <c r="C18" s="55">
        <v>36.79</v>
      </c>
      <c r="D18" s="55">
        <v>25.28</v>
      </c>
      <c r="E18" s="55">
        <v>10.37</v>
      </c>
      <c r="F18" s="55">
        <v>17.059999999999999</v>
      </c>
      <c r="G18" s="55">
        <v>37.630000000000003</v>
      </c>
      <c r="H18" s="55">
        <v>14.85</v>
      </c>
      <c r="I18" s="55">
        <v>4.95</v>
      </c>
      <c r="J18" s="55">
        <v>1.02</v>
      </c>
      <c r="K18" s="55">
        <v>295.49</v>
      </c>
      <c r="L18" s="55">
        <v>36.049999999999997</v>
      </c>
      <c r="M18" s="55">
        <v>45.95</v>
      </c>
      <c r="N18" s="55">
        <v>196.8</v>
      </c>
      <c r="O18" s="55">
        <v>0</v>
      </c>
      <c r="P18" s="55">
        <v>0.56000000000000005</v>
      </c>
      <c r="Q18" s="55">
        <v>4.5999999999999996</v>
      </c>
    </row>
    <row r="19" spans="1:17" customFormat="1">
      <c r="A19" s="54" t="s">
        <v>549</v>
      </c>
      <c r="B19" s="55">
        <v>8.73</v>
      </c>
      <c r="C19" s="55">
        <v>35.75</v>
      </c>
      <c r="D19" s="55">
        <v>24.63</v>
      </c>
      <c r="E19" s="55">
        <v>9.64</v>
      </c>
      <c r="F19" s="55">
        <v>24.08</v>
      </c>
      <c r="G19" s="55">
        <v>41.95</v>
      </c>
      <c r="H19" s="55">
        <v>15.98</v>
      </c>
      <c r="I19" s="55">
        <v>4.76</v>
      </c>
      <c r="J19" s="55">
        <v>1.31</v>
      </c>
      <c r="K19" s="55">
        <v>318.32</v>
      </c>
      <c r="L19" s="55">
        <v>37.409999999999997</v>
      </c>
      <c r="M19" s="55">
        <v>41.16</v>
      </c>
      <c r="N19" s="55">
        <v>220.6</v>
      </c>
      <c r="O19" s="55">
        <v>0</v>
      </c>
      <c r="P19" s="55">
        <v>0.56000000000000005</v>
      </c>
      <c r="Q19" s="55">
        <v>4.47</v>
      </c>
    </row>
    <row r="20" spans="1:17" customFormat="1">
      <c r="A20" s="54" t="s">
        <v>550</v>
      </c>
      <c r="B20" s="55">
        <v>6.6</v>
      </c>
      <c r="C20" s="55">
        <v>31.81</v>
      </c>
      <c r="D20" s="55">
        <v>20.87</v>
      </c>
      <c r="E20" s="55">
        <v>12.05</v>
      </c>
      <c r="F20" s="55">
        <v>33.57</v>
      </c>
      <c r="G20" s="55">
        <v>45.79</v>
      </c>
      <c r="H20" s="55">
        <v>17.850000000000001</v>
      </c>
      <c r="I20" s="55">
        <v>4.47</v>
      </c>
      <c r="J20" s="55">
        <v>0.75</v>
      </c>
      <c r="K20" s="55">
        <v>358.8</v>
      </c>
      <c r="L20" s="55">
        <v>38.97</v>
      </c>
      <c r="M20" s="55">
        <v>36.72</v>
      </c>
      <c r="N20" s="55">
        <v>711.6</v>
      </c>
      <c r="O20" s="55">
        <v>0</v>
      </c>
      <c r="P20" s="55">
        <v>0.54</v>
      </c>
      <c r="Q20" s="55">
        <v>4.4400000000000004</v>
      </c>
    </row>
    <row r="21" spans="1:17" customFormat="1">
      <c r="A21" s="54" t="s">
        <v>551</v>
      </c>
      <c r="B21" s="55">
        <v>6.07</v>
      </c>
      <c r="C21" s="55">
        <v>32.57</v>
      </c>
      <c r="D21" s="55">
        <v>20.82</v>
      </c>
      <c r="E21" s="55">
        <v>11.92</v>
      </c>
      <c r="F21" s="55">
        <v>36.89</v>
      </c>
      <c r="G21" s="55">
        <v>50.19</v>
      </c>
      <c r="H21" s="55">
        <v>18.309999999999999</v>
      </c>
      <c r="I21" s="55">
        <v>4.5</v>
      </c>
      <c r="J21" s="55">
        <v>0.77</v>
      </c>
      <c r="K21" s="55">
        <v>330.54</v>
      </c>
      <c r="L21" s="55">
        <v>40.619999999999997</v>
      </c>
      <c r="M21" s="55">
        <v>32.5</v>
      </c>
      <c r="N21" s="55">
        <v>820.9</v>
      </c>
      <c r="O21" s="55">
        <v>0</v>
      </c>
      <c r="P21" s="55">
        <v>0.52</v>
      </c>
      <c r="Q21" s="55">
        <v>4.4000000000000004</v>
      </c>
    </row>
    <row r="22" spans="1:17" customFormat="1">
      <c r="A22" s="54" t="s">
        <v>552</v>
      </c>
      <c r="B22" s="55">
        <v>5.35</v>
      </c>
      <c r="C22" s="55">
        <v>33.79</v>
      </c>
      <c r="D22" s="55">
        <v>20.85</v>
      </c>
      <c r="E22" s="55">
        <v>12.13</v>
      </c>
      <c r="F22" s="55">
        <v>41.6</v>
      </c>
      <c r="G22" s="55">
        <v>50.19</v>
      </c>
      <c r="H22" s="55">
        <v>18.309999999999999</v>
      </c>
      <c r="I22" s="55">
        <v>4.3600000000000003</v>
      </c>
      <c r="J22" s="55">
        <v>0.78</v>
      </c>
      <c r="K22" s="55">
        <v>261.01</v>
      </c>
      <c r="L22" s="55">
        <v>40.840000000000003</v>
      </c>
      <c r="M22" s="55">
        <v>29.8</v>
      </c>
      <c r="N22" s="55">
        <v>792.3</v>
      </c>
      <c r="O22" s="55">
        <v>0</v>
      </c>
      <c r="P22" s="55">
        <v>0.54</v>
      </c>
      <c r="Q22" s="55">
        <v>4.4400000000000004</v>
      </c>
    </row>
    <row r="23" spans="1:17" customFormat="1">
      <c r="A23" s="54" t="s">
        <v>553</v>
      </c>
      <c r="B23" s="55">
        <v>6.85</v>
      </c>
      <c r="C23" s="55">
        <v>37.04</v>
      </c>
      <c r="D23" s="55">
        <v>23.8</v>
      </c>
      <c r="E23" s="55">
        <v>8.8800000000000008</v>
      </c>
      <c r="F23" s="55">
        <v>29.44</v>
      </c>
      <c r="G23" s="55">
        <v>48.68</v>
      </c>
      <c r="H23" s="55">
        <v>18.71</v>
      </c>
      <c r="I23" s="55">
        <v>4.59</v>
      </c>
      <c r="J23" s="55">
        <v>1.46</v>
      </c>
      <c r="K23" s="55">
        <v>302.64</v>
      </c>
      <c r="L23" s="55">
        <v>41.15</v>
      </c>
      <c r="M23" s="55">
        <v>33.78</v>
      </c>
      <c r="N23" s="55">
        <v>648.4</v>
      </c>
      <c r="O23" s="55">
        <v>0</v>
      </c>
      <c r="P23" s="55">
        <v>0.44</v>
      </c>
      <c r="Q23" s="55">
        <v>4.4000000000000004</v>
      </c>
    </row>
    <row r="24" spans="1:17" customFormat="1">
      <c r="A24" s="54" t="s">
        <v>554</v>
      </c>
      <c r="B24" s="55">
        <v>6.57</v>
      </c>
      <c r="C24" s="55">
        <v>33.65</v>
      </c>
      <c r="D24" s="55">
        <v>21.51</v>
      </c>
      <c r="E24" s="55">
        <v>9.98</v>
      </c>
      <c r="F24" s="55">
        <v>33.659999999999997</v>
      </c>
      <c r="G24" s="55">
        <v>51.87</v>
      </c>
      <c r="H24" s="55">
        <v>20.03</v>
      </c>
      <c r="I24" s="55">
        <v>4.51</v>
      </c>
      <c r="J24" s="55">
        <v>1.63</v>
      </c>
      <c r="K24" s="55">
        <v>354.34</v>
      </c>
      <c r="L24" s="55">
        <v>37.86</v>
      </c>
      <c r="M24" s="55">
        <v>33.96</v>
      </c>
      <c r="N24" s="55">
        <v>256.8</v>
      </c>
      <c r="O24" s="55">
        <v>0</v>
      </c>
      <c r="P24" s="55">
        <v>0.42</v>
      </c>
      <c r="Q24" s="55">
        <v>4.32</v>
      </c>
    </row>
    <row r="25" spans="1:17" customFormat="1">
      <c r="A25" s="54" t="s">
        <v>555</v>
      </c>
      <c r="B25" s="55">
        <v>6.39</v>
      </c>
      <c r="C25" s="55">
        <v>35.51</v>
      </c>
      <c r="D25" s="55">
        <v>22.62</v>
      </c>
      <c r="E25" s="55">
        <v>11.8</v>
      </c>
      <c r="F25" s="55">
        <v>16.989999999999998</v>
      </c>
      <c r="G25" s="55">
        <v>56.98</v>
      </c>
      <c r="H25" s="55">
        <v>20.03</v>
      </c>
      <c r="I25" s="55">
        <v>4.29</v>
      </c>
      <c r="J25" s="55">
        <v>1.86</v>
      </c>
      <c r="K25" s="55">
        <v>297.47000000000003</v>
      </c>
      <c r="L25" s="55">
        <v>37.049999999999997</v>
      </c>
      <c r="M25" s="55">
        <v>43.75</v>
      </c>
      <c r="N25" s="55">
        <v>144.69999999999999</v>
      </c>
      <c r="O25" s="55">
        <v>0</v>
      </c>
      <c r="P25" s="55">
        <v>0.38</v>
      </c>
      <c r="Q25" s="55">
        <v>4.29</v>
      </c>
    </row>
    <row r="26" spans="1:17" customFormat="1">
      <c r="A26" s="54" t="s">
        <v>556</v>
      </c>
      <c r="B26" s="55">
        <v>5.87</v>
      </c>
      <c r="C26" s="55">
        <v>31.76</v>
      </c>
      <c r="D26" s="55">
        <v>19.850000000000001</v>
      </c>
      <c r="E26" s="55">
        <v>8.3800000000000008</v>
      </c>
      <c r="F26" s="55">
        <v>25.93</v>
      </c>
      <c r="G26" s="55">
        <v>56.98</v>
      </c>
      <c r="H26" s="55">
        <v>19.739999999999998</v>
      </c>
      <c r="I26" s="55">
        <v>4.18</v>
      </c>
      <c r="J26" s="55">
        <v>0.26</v>
      </c>
      <c r="K26" s="55">
        <v>250.63</v>
      </c>
      <c r="L26" s="55">
        <v>33.51</v>
      </c>
      <c r="M26" s="55">
        <v>57.43</v>
      </c>
      <c r="N26" s="55">
        <v>36.6</v>
      </c>
      <c r="O26" s="55">
        <v>0</v>
      </c>
      <c r="P26" s="55">
        <v>0.39</v>
      </c>
      <c r="Q26" s="55">
        <v>4.3499999999999996</v>
      </c>
    </row>
    <row r="27" spans="1:17" customFormat="1">
      <c r="A27" s="54" t="s">
        <v>557</v>
      </c>
      <c r="B27" s="55">
        <v>6.38</v>
      </c>
      <c r="C27" s="55">
        <v>35.22</v>
      </c>
      <c r="D27" s="55">
        <v>22.47</v>
      </c>
      <c r="E27" s="55">
        <v>7.17</v>
      </c>
      <c r="F27" s="55">
        <v>22.79</v>
      </c>
      <c r="G27" s="55">
        <v>52.34</v>
      </c>
      <c r="H27" s="55">
        <v>17.190000000000001</v>
      </c>
      <c r="I27" s="55">
        <v>4.16</v>
      </c>
      <c r="J27" s="55">
        <v>0.43</v>
      </c>
      <c r="K27" s="55">
        <v>244</v>
      </c>
      <c r="L27" s="55">
        <v>30.41</v>
      </c>
      <c r="M27" s="55">
        <v>62.27</v>
      </c>
      <c r="N27" s="55">
        <v>11.7</v>
      </c>
      <c r="O27" s="55">
        <v>0</v>
      </c>
      <c r="P27" s="55">
        <v>0.41</v>
      </c>
      <c r="Q27" s="55">
        <v>4.34</v>
      </c>
    </row>
    <row r="28" spans="1:17" customFormat="1">
      <c r="A28" s="54" t="s">
        <v>558</v>
      </c>
      <c r="B28" s="55">
        <v>7.06</v>
      </c>
      <c r="C28" s="55">
        <v>38.14</v>
      </c>
      <c r="D28" s="55">
        <v>24.54</v>
      </c>
      <c r="E28" s="55">
        <v>7</v>
      </c>
      <c r="F28" s="55">
        <v>14.97</v>
      </c>
      <c r="G28" s="55">
        <v>41.05</v>
      </c>
      <c r="H28" s="55">
        <v>13.96</v>
      </c>
      <c r="I28" s="55">
        <v>4.12</v>
      </c>
      <c r="J28" s="55">
        <v>0.32</v>
      </c>
      <c r="K28" s="55">
        <v>231.04</v>
      </c>
      <c r="L28" s="55">
        <v>29.78</v>
      </c>
      <c r="M28" s="55">
        <v>63.72</v>
      </c>
      <c r="N28" s="55">
        <v>0</v>
      </c>
      <c r="O28" s="55">
        <v>0</v>
      </c>
      <c r="P28" s="55">
        <v>0.4</v>
      </c>
      <c r="Q28" s="55">
        <v>4.46</v>
      </c>
    </row>
    <row r="29" spans="1:17" customFormat="1">
      <c r="A29" s="54" t="s">
        <v>559</v>
      </c>
      <c r="B29" s="55">
        <v>8.25</v>
      </c>
      <c r="C29" s="55">
        <v>39.4</v>
      </c>
      <c r="D29" s="55">
        <v>26.12</v>
      </c>
      <c r="E29" s="55">
        <v>7.15</v>
      </c>
      <c r="F29" s="55">
        <v>13.19</v>
      </c>
      <c r="G29" s="55">
        <v>33.75</v>
      </c>
      <c r="H29" s="55">
        <v>18.23</v>
      </c>
      <c r="I29" s="55">
        <v>4.0599999999999996</v>
      </c>
      <c r="J29" s="55">
        <v>0.35</v>
      </c>
      <c r="K29" s="55">
        <v>248.92</v>
      </c>
      <c r="L29" s="55">
        <v>29.39</v>
      </c>
      <c r="M29" s="55">
        <v>74.739999999999995</v>
      </c>
      <c r="N29" s="55">
        <v>0</v>
      </c>
      <c r="O29" s="55">
        <v>0</v>
      </c>
      <c r="P29" s="55">
        <v>0.4</v>
      </c>
      <c r="Q29" s="55">
        <v>4.5</v>
      </c>
    </row>
    <row r="30" spans="1:17" customFormat="1">
      <c r="A30" s="54" t="s">
        <v>560</v>
      </c>
      <c r="B30" s="55">
        <v>9.41</v>
      </c>
      <c r="C30" s="55">
        <v>39.43</v>
      </c>
      <c r="D30" s="55">
        <v>26.8</v>
      </c>
      <c r="E30" s="55">
        <v>7.05</v>
      </c>
      <c r="F30" s="55">
        <v>10.92</v>
      </c>
      <c r="G30" s="55">
        <v>31.19</v>
      </c>
      <c r="H30" s="55">
        <v>18.23</v>
      </c>
      <c r="I30" s="55">
        <v>4.05</v>
      </c>
      <c r="J30" s="55">
        <v>0.44</v>
      </c>
      <c r="K30" s="55">
        <v>250.76</v>
      </c>
      <c r="L30" s="55">
        <v>28.17</v>
      </c>
      <c r="M30" s="55">
        <v>74.39</v>
      </c>
      <c r="N30" s="55">
        <v>0</v>
      </c>
      <c r="O30" s="55">
        <v>0</v>
      </c>
      <c r="P30" s="55">
        <v>0.4</v>
      </c>
      <c r="Q30" s="55">
        <v>4.6100000000000003</v>
      </c>
    </row>
    <row r="31" spans="1:17" customFormat="1">
      <c r="A31" s="54" t="s">
        <v>561</v>
      </c>
      <c r="B31" s="55">
        <v>10.68</v>
      </c>
      <c r="C31" s="55">
        <v>41.56</v>
      </c>
      <c r="D31" s="55">
        <v>29.23</v>
      </c>
      <c r="E31" s="55">
        <v>6.9</v>
      </c>
      <c r="F31" s="55">
        <v>10.61</v>
      </c>
      <c r="G31" s="55">
        <v>20.239999999999998</v>
      </c>
      <c r="H31" s="55">
        <v>13.37</v>
      </c>
      <c r="I31" s="55">
        <v>3.92</v>
      </c>
      <c r="J31" s="55">
        <v>1.1000000000000001</v>
      </c>
      <c r="K31" s="55">
        <v>300.27999999999997</v>
      </c>
      <c r="L31" s="55">
        <v>29.12</v>
      </c>
      <c r="M31" s="55">
        <v>72.09</v>
      </c>
      <c r="N31" s="55">
        <v>0</v>
      </c>
      <c r="O31" s="55">
        <v>0</v>
      </c>
      <c r="P31" s="55">
        <v>0.41</v>
      </c>
      <c r="Q31" s="55">
        <v>4.67</v>
      </c>
    </row>
    <row r="32" spans="1:17" customFormat="1">
      <c r="A32" s="54" t="s">
        <v>562</v>
      </c>
      <c r="B32" s="55">
        <v>10.79</v>
      </c>
      <c r="C32" s="55">
        <v>41.52</v>
      </c>
      <c r="D32" s="55">
        <v>29.3</v>
      </c>
      <c r="E32" s="55">
        <v>7</v>
      </c>
      <c r="F32" s="55">
        <v>8.41</v>
      </c>
      <c r="G32" s="55">
        <v>20.149999999999999</v>
      </c>
      <c r="H32" s="55">
        <v>11.59</v>
      </c>
      <c r="I32" s="55">
        <v>3.94</v>
      </c>
      <c r="J32" s="55">
        <v>1.0900000000000001</v>
      </c>
      <c r="K32" s="55">
        <v>255.51</v>
      </c>
      <c r="L32" s="55">
        <v>29.31</v>
      </c>
      <c r="M32" s="55">
        <v>71.39</v>
      </c>
      <c r="N32" s="55">
        <v>0</v>
      </c>
      <c r="O32" s="55">
        <v>0</v>
      </c>
      <c r="P32" s="55">
        <v>0.39</v>
      </c>
      <c r="Q32" s="55">
        <v>4.6500000000000004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5.35</v>
      </c>
      <c r="C34" s="41">
        <f t="shared" si="0"/>
        <v>31.76</v>
      </c>
      <c r="D34" s="41">
        <f t="shared" si="0"/>
        <v>19.850000000000001</v>
      </c>
      <c r="E34" s="41">
        <f t="shared" si="0"/>
        <v>4.9800000000000004</v>
      </c>
      <c r="F34" s="41">
        <f t="shared" si="0"/>
        <v>8.41</v>
      </c>
      <c r="G34" s="41">
        <f t="shared" si="0"/>
        <v>20.149999999999999</v>
      </c>
      <c r="H34" s="41">
        <f t="shared" si="0"/>
        <v>9.4700000000000006</v>
      </c>
      <c r="I34" s="41">
        <f t="shared" si="0"/>
        <v>3.24</v>
      </c>
      <c r="J34" s="41">
        <f t="shared" si="0"/>
        <v>0.26</v>
      </c>
      <c r="K34" s="41">
        <f t="shared" si="0"/>
        <v>231.04</v>
      </c>
      <c r="L34" s="41">
        <f t="shared" si="0"/>
        <v>28.17</v>
      </c>
      <c r="M34" s="41">
        <f t="shared" si="0"/>
        <v>29.8</v>
      </c>
      <c r="N34" s="41">
        <f t="shared" si="0"/>
        <v>0</v>
      </c>
      <c r="O34" s="41">
        <f t="shared" si="0"/>
        <v>0</v>
      </c>
      <c r="P34" s="41">
        <f t="shared" si="0"/>
        <v>0.38</v>
      </c>
      <c r="Q34" s="41">
        <f t="shared" si="0"/>
        <v>4.29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11.43</v>
      </c>
      <c r="C35" s="33">
        <f t="shared" si="1"/>
        <v>41.56</v>
      </c>
      <c r="D35" s="33">
        <f t="shared" si="1"/>
        <v>29.3</v>
      </c>
      <c r="E35" s="33">
        <f t="shared" si="1"/>
        <v>12.13</v>
      </c>
      <c r="F35" s="33">
        <f t="shared" si="1"/>
        <v>41.6</v>
      </c>
      <c r="G35" s="33">
        <f t="shared" si="1"/>
        <v>56.98</v>
      </c>
      <c r="H35" s="33">
        <f t="shared" si="1"/>
        <v>20.03</v>
      </c>
      <c r="I35" s="33">
        <f t="shared" si="1"/>
        <v>4.95</v>
      </c>
      <c r="J35" s="33">
        <f t="shared" si="1"/>
        <v>1.86</v>
      </c>
      <c r="K35" s="33">
        <f t="shared" si="1"/>
        <v>358.8</v>
      </c>
      <c r="L35" s="33">
        <f t="shared" si="1"/>
        <v>41.15</v>
      </c>
      <c r="M35" s="33">
        <f t="shared" si="1"/>
        <v>74.739999999999995</v>
      </c>
      <c r="N35" s="33">
        <f t="shared" si="1"/>
        <v>820.9</v>
      </c>
      <c r="O35" s="33">
        <f t="shared" si="1"/>
        <v>0</v>
      </c>
      <c r="P35" s="33">
        <f t="shared" si="1"/>
        <v>0.56000000000000005</v>
      </c>
      <c r="Q35" s="33">
        <f t="shared" si="1"/>
        <v>4.7300000000000004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8.2695833333333315</v>
      </c>
      <c r="C36" s="41">
        <f t="shared" si="2"/>
        <v>36.971249999999998</v>
      </c>
      <c r="D36" s="41">
        <f t="shared" si="2"/>
        <v>24.80916666666667</v>
      </c>
      <c r="E36" s="41">
        <f t="shared" si="2"/>
        <v>8.057500000000001</v>
      </c>
      <c r="F36" s="41">
        <f t="shared" si="2"/>
        <v>19.192500000000006</v>
      </c>
      <c r="G36" s="41">
        <f t="shared" si="2"/>
        <v>35.936250000000001</v>
      </c>
      <c r="H36" s="41">
        <f t="shared" si="2"/>
        <v>14.579583333333332</v>
      </c>
      <c r="I36" s="41">
        <f t="shared" si="2"/>
        <v>3.9845833333333331</v>
      </c>
      <c r="J36" s="41">
        <f t="shared" si="2"/>
        <v>0.83583333333333343</v>
      </c>
      <c r="K36" s="41">
        <f t="shared" si="2"/>
        <v>273.82750000000004</v>
      </c>
      <c r="L36" s="41">
        <f t="shared" si="2"/>
        <v>33.100416666666661</v>
      </c>
      <c r="M36" s="41">
        <f t="shared" si="2"/>
        <v>54.477916666666665</v>
      </c>
      <c r="N36" s="41">
        <f t="shared" si="2"/>
        <v>176.64166666666668</v>
      </c>
      <c r="O36" s="41">
        <f t="shared" si="2"/>
        <v>0</v>
      </c>
      <c r="P36" s="41">
        <f t="shared" si="2"/>
        <v>0.44166666666666682</v>
      </c>
      <c r="Q36" s="41">
        <f t="shared" si="2"/>
        <v>4.5154166666666669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1.9029598893775239</v>
      </c>
      <c r="C37" s="41">
        <f t="shared" ref="C37:Q37" si="3">STDEV(C9:C32)</f>
        <v>2.9788447023753375</v>
      </c>
      <c r="D37" s="41">
        <f t="shared" si="3"/>
        <v>2.9601511663319142</v>
      </c>
      <c r="E37" s="41">
        <f t="shared" si="3"/>
        <v>2.391478076693224</v>
      </c>
      <c r="F37" s="41">
        <f t="shared" si="3"/>
        <v>9.7235774638582395</v>
      </c>
      <c r="G37" s="41">
        <f t="shared" si="3"/>
        <v>12.956462484362605</v>
      </c>
      <c r="H37" s="41">
        <f t="shared" si="3"/>
        <v>3.9142520848890219</v>
      </c>
      <c r="I37" s="41">
        <f t="shared" si="3"/>
        <v>0.52901039002426375</v>
      </c>
      <c r="J37" s="41">
        <f t="shared" si="3"/>
        <v>0.43646720746054402</v>
      </c>
      <c r="K37" s="41">
        <f t="shared" si="3"/>
        <v>37.147537486410883</v>
      </c>
      <c r="L37" s="41">
        <f t="shared" si="3"/>
        <v>4.4233505687005303</v>
      </c>
      <c r="M37" s="41">
        <f t="shared" si="3"/>
        <v>14.098658887551556</v>
      </c>
      <c r="N37" s="41">
        <f t="shared" si="3"/>
        <v>272.37546642483227</v>
      </c>
      <c r="O37" s="41">
        <f t="shared" si="3"/>
        <v>0</v>
      </c>
      <c r="P37" s="41">
        <f t="shared" si="3"/>
        <v>6.0768031259769054E-2</v>
      </c>
      <c r="Q37" s="41">
        <f t="shared" si="3"/>
        <v>0.12978172868876955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22/06/2023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4" t="s">
        <v>563</v>
      </c>
      <c r="B9" s="55">
        <v>8.7799999999999994</v>
      </c>
      <c r="C9" s="55">
        <v>44.33</v>
      </c>
      <c r="D9" s="55">
        <v>28.91</v>
      </c>
      <c r="E9" s="55">
        <v>6.54</v>
      </c>
      <c r="F9" s="55">
        <v>8.6199999999999992</v>
      </c>
      <c r="G9" s="55">
        <v>19.36</v>
      </c>
      <c r="H9" s="55">
        <v>11.59</v>
      </c>
      <c r="I9" s="55">
        <v>3.85</v>
      </c>
      <c r="J9" s="55">
        <v>0.77</v>
      </c>
      <c r="K9" s="55">
        <v>81.94</v>
      </c>
      <c r="L9" s="55">
        <v>27.41</v>
      </c>
      <c r="M9" s="55">
        <v>91.83</v>
      </c>
      <c r="N9" s="55">
        <v>0</v>
      </c>
      <c r="O9" s="55">
        <v>0</v>
      </c>
      <c r="P9" s="55">
        <v>0.38</v>
      </c>
      <c r="Q9" s="55">
        <v>4.6100000000000003</v>
      </c>
    </row>
    <row r="10" spans="1:21" customFormat="1">
      <c r="A10" s="54" t="s">
        <v>564</v>
      </c>
      <c r="B10" s="55">
        <v>10.23</v>
      </c>
      <c r="C10" s="55">
        <v>45.38</v>
      </c>
      <c r="D10" s="55">
        <v>30.86</v>
      </c>
      <c r="E10" s="55">
        <v>6.88</v>
      </c>
      <c r="F10" s="55">
        <v>4.46</v>
      </c>
      <c r="G10" s="55">
        <v>18.190000000000001</v>
      </c>
      <c r="H10" s="55">
        <v>8.3800000000000008</v>
      </c>
      <c r="I10" s="55">
        <v>3.69</v>
      </c>
      <c r="J10" s="55">
        <v>0.94</v>
      </c>
      <c r="K10" s="55">
        <v>82.62</v>
      </c>
      <c r="L10" s="55">
        <v>24.93</v>
      </c>
      <c r="M10" s="55">
        <v>94.86</v>
      </c>
      <c r="N10" s="55">
        <v>0</v>
      </c>
      <c r="O10" s="55">
        <v>0</v>
      </c>
      <c r="P10" s="55">
        <v>0.36</v>
      </c>
      <c r="Q10" s="55">
        <v>4.6500000000000004</v>
      </c>
    </row>
    <row r="11" spans="1:21" customFormat="1">
      <c r="A11" s="54" t="s">
        <v>565</v>
      </c>
      <c r="B11" s="55">
        <v>12.63</v>
      </c>
      <c r="C11" s="55">
        <v>46.08</v>
      </c>
      <c r="D11" s="55">
        <v>33.159999999999997</v>
      </c>
      <c r="E11" s="55">
        <v>5.49</v>
      </c>
      <c r="F11" s="55">
        <v>5.33</v>
      </c>
      <c r="G11" s="55">
        <v>17.940000000000001</v>
      </c>
      <c r="H11" s="55">
        <v>7.42</v>
      </c>
      <c r="I11" s="55">
        <v>3.69</v>
      </c>
      <c r="J11" s="55">
        <v>0.57999999999999996</v>
      </c>
      <c r="K11" s="55">
        <v>219.49</v>
      </c>
      <c r="L11" s="55">
        <v>25.09</v>
      </c>
      <c r="M11" s="55">
        <v>96.53</v>
      </c>
      <c r="N11" s="55">
        <v>0</v>
      </c>
      <c r="O11" s="55">
        <v>0</v>
      </c>
      <c r="P11" s="55">
        <v>0.36</v>
      </c>
      <c r="Q11" s="55">
        <v>4.79</v>
      </c>
    </row>
    <row r="12" spans="1:21" customFormat="1">
      <c r="A12" s="54" t="s">
        <v>566</v>
      </c>
      <c r="B12" s="55">
        <v>14.14</v>
      </c>
      <c r="C12" s="55">
        <v>48.4</v>
      </c>
      <c r="D12" s="55">
        <v>35.58</v>
      </c>
      <c r="E12" s="55">
        <v>6.1</v>
      </c>
      <c r="F12" s="55">
        <v>5.39</v>
      </c>
      <c r="G12" s="55">
        <v>16.100000000000001</v>
      </c>
      <c r="H12" s="55">
        <v>7.78</v>
      </c>
      <c r="I12" s="55">
        <v>3.69</v>
      </c>
      <c r="J12" s="55">
        <v>0.57999999999999996</v>
      </c>
      <c r="K12" s="55">
        <v>269.12</v>
      </c>
      <c r="L12" s="55">
        <v>25.63</v>
      </c>
      <c r="M12" s="55">
        <v>97.72</v>
      </c>
      <c r="N12" s="55">
        <v>0</v>
      </c>
      <c r="O12" s="55">
        <v>0</v>
      </c>
      <c r="P12" s="55">
        <v>0.37</v>
      </c>
      <c r="Q12" s="55">
        <v>4.91</v>
      </c>
    </row>
    <row r="13" spans="1:21" customFormat="1">
      <c r="A13" s="54" t="s">
        <v>567</v>
      </c>
      <c r="B13" s="55">
        <v>15.79</v>
      </c>
      <c r="C13" s="55">
        <v>44.66</v>
      </c>
      <c r="D13" s="55">
        <v>34.950000000000003</v>
      </c>
      <c r="E13" s="55">
        <v>5.79</v>
      </c>
      <c r="F13" s="55">
        <v>5.36</v>
      </c>
      <c r="G13" s="55">
        <v>13.61</v>
      </c>
      <c r="H13" s="55">
        <v>7.78</v>
      </c>
      <c r="I13" s="55">
        <v>3.62</v>
      </c>
      <c r="J13" s="55">
        <v>0.41</v>
      </c>
      <c r="K13" s="55">
        <v>245.07</v>
      </c>
      <c r="L13" s="55">
        <v>26.1</v>
      </c>
      <c r="M13" s="55">
        <v>97.39</v>
      </c>
      <c r="N13" s="55">
        <v>0</v>
      </c>
      <c r="O13" s="55">
        <v>0</v>
      </c>
      <c r="P13" s="55">
        <v>0.36</v>
      </c>
      <c r="Q13" s="55">
        <v>5</v>
      </c>
    </row>
    <row r="14" spans="1:21" customFormat="1">
      <c r="A14" s="54" t="s">
        <v>568</v>
      </c>
      <c r="B14" s="55">
        <v>17.04</v>
      </c>
      <c r="C14" s="55">
        <v>45.81</v>
      </c>
      <c r="D14" s="55">
        <v>36.130000000000003</v>
      </c>
      <c r="E14" s="55">
        <v>5.66</v>
      </c>
      <c r="F14" s="55">
        <v>5.0199999999999996</v>
      </c>
      <c r="G14" s="55">
        <v>15.87</v>
      </c>
      <c r="H14" s="55">
        <v>6.49</v>
      </c>
      <c r="I14" s="55">
        <v>3.55</v>
      </c>
      <c r="J14" s="55">
        <v>0.36</v>
      </c>
      <c r="K14" s="55">
        <v>245.73</v>
      </c>
      <c r="L14" s="55">
        <v>26.21</v>
      </c>
      <c r="M14" s="55">
        <v>93.29</v>
      </c>
      <c r="N14" s="55">
        <v>41.6</v>
      </c>
      <c r="O14" s="55">
        <v>0</v>
      </c>
      <c r="P14" s="55">
        <v>0.36</v>
      </c>
      <c r="Q14" s="55">
        <v>5.0599999999999996</v>
      </c>
    </row>
    <row r="15" spans="1:21" customFormat="1">
      <c r="A15" s="54" t="s">
        <v>569</v>
      </c>
      <c r="B15" s="55">
        <v>17.98</v>
      </c>
      <c r="C15" s="55">
        <v>46.96</v>
      </c>
      <c r="D15" s="55">
        <v>37.590000000000003</v>
      </c>
      <c r="E15" s="55">
        <v>5.82</v>
      </c>
      <c r="F15" s="55">
        <v>6.97</v>
      </c>
      <c r="G15" s="55">
        <v>15.87</v>
      </c>
      <c r="H15" s="55">
        <v>7.38</v>
      </c>
      <c r="I15" s="55">
        <v>3.62</v>
      </c>
      <c r="J15" s="55">
        <v>0.41</v>
      </c>
      <c r="K15" s="55">
        <v>243.61</v>
      </c>
      <c r="L15" s="55">
        <v>26.94</v>
      </c>
      <c r="M15" s="55">
        <v>89.7</v>
      </c>
      <c r="N15" s="55">
        <v>67.7</v>
      </c>
      <c r="O15" s="55">
        <v>0</v>
      </c>
      <c r="P15" s="55">
        <v>0.37</v>
      </c>
      <c r="Q15" s="55">
        <v>5.13</v>
      </c>
    </row>
    <row r="16" spans="1:21" customFormat="1">
      <c r="A16" s="54" t="s">
        <v>570</v>
      </c>
      <c r="B16" s="55">
        <v>18.100000000000001</v>
      </c>
      <c r="C16" s="55">
        <v>44.44</v>
      </c>
      <c r="D16" s="55">
        <v>36.53</v>
      </c>
      <c r="E16" s="55">
        <v>5.8</v>
      </c>
      <c r="F16" s="55">
        <v>7.02</v>
      </c>
      <c r="G16" s="55">
        <v>13.45</v>
      </c>
      <c r="H16" s="55">
        <v>7.86</v>
      </c>
      <c r="I16" s="55">
        <v>3.54</v>
      </c>
      <c r="J16" s="55">
        <v>0.61</v>
      </c>
      <c r="K16" s="55">
        <v>262.32</v>
      </c>
      <c r="L16" s="55">
        <v>29.07</v>
      </c>
      <c r="M16" s="55">
        <v>85.48</v>
      </c>
      <c r="N16" s="55">
        <v>143.1</v>
      </c>
      <c r="O16" s="55">
        <v>0</v>
      </c>
      <c r="P16" s="55">
        <v>0.36</v>
      </c>
      <c r="Q16" s="55">
        <v>5.17</v>
      </c>
    </row>
    <row r="17" spans="1:17" customFormat="1">
      <c r="A17" s="54" t="s">
        <v>571</v>
      </c>
      <c r="B17" s="55">
        <v>18.309999999999999</v>
      </c>
      <c r="C17" s="55">
        <v>46.23</v>
      </c>
      <c r="D17" s="55">
        <v>37.799999999999997</v>
      </c>
      <c r="E17" s="55">
        <v>5.67</v>
      </c>
      <c r="F17" s="55">
        <v>8.7799999999999994</v>
      </c>
      <c r="G17" s="55">
        <v>18.7</v>
      </c>
      <c r="H17" s="55">
        <v>7.86</v>
      </c>
      <c r="I17" s="55">
        <v>3.7</v>
      </c>
      <c r="J17" s="55">
        <v>0.84</v>
      </c>
      <c r="K17" s="55">
        <v>271.35000000000002</v>
      </c>
      <c r="L17" s="55">
        <v>29.48</v>
      </c>
      <c r="M17" s="55">
        <v>74.58</v>
      </c>
      <c r="N17" s="55">
        <v>194</v>
      </c>
      <c r="O17" s="55">
        <v>0</v>
      </c>
      <c r="P17" s="55">
        <v>0.37</v>
      </c>
      <c r="Q17" s="55">
        <v>5.12</v>
      </c>
    </row>
    <row r="18" spans="1:17" customFormat="1">
      <c r="A18" s="54" t="s">
        <v>572</v>
      </c>
      <c r="B18" s="55">
        <v>15.46</v>
      </c>
      <c r="C18" s="55">
        <v>43.19</v>
      </c>
      <c r="D18" s="55">
        <v>33.51</v>
      </c>
      <c r="E18" s="55">
        <v>5.87</v>
      </c>
      <c r="F18" s="55">
        <v>13.19</v>
      </c>
      <c r="G18" s="55">
        <v>18.7</v>
      </c>
      <c r="H18" s="55">
        <v>10.59</v>
      </c>
      <c r="I18" s="55">
        <v>3.59</v>
      </c>
      <c r="J18" s="55">
        <v>0.56000000000000005</v>
      </c>
      <c r="K18" s="55">
        <v>264.74</v>
      </c>
      <c r="L18" s="55">
        <v>30.26</v>
      </c>
      <c r="M18" s="55">
        <v>73.3</v>
      </c>
      <c r="N18" s="55">
        <v>223.5</v>
      </c>
      <c r="O18" s="55">
        <v>0</v>
      </c>
      <c r="P18" s="55">
        <v>0.38</v>
      </c>
      <c r="Q18" s="55">
        <v>4.99</v>
      </c>
    </row>
    <row r="19" spans="1:17" customFormat="1">
      <c r="A19" s="54" t="s">
        <v>573</v>
      </c>
      <c r="B19" s="55">
        <v>12.64</v>
      </c>
      <c r="C19" s="55">
        <v>41.85</v>
      </c>
      <c r="D19" s="55">
        <v>30.24</v>
      </c>
      <c r="E19" s="55">
        <v>11.08</v>
      </c>
      <c r="F19" s="55">
        <v>19.23</v>
      </c>
      <c r="G19" s="55">
        <v>18.47</v>
      </c>
      <c r="H19" s="55">
        <v>11.7</v>
      </c>
      <c r="I19" s="55">
        <v>3.92</v>
      </c>
      <c r="J19" s="55">
        <v>0.4</v>
      </c>
      <c r="K19" s="55">
        <v>264.06</v>
      </c>
      <c r="L19" s="55">
        <v>30.75</v>
      </c>
      <c r="M19" s="55">
        <v>70.709999999999994</v>
      </c>
      <c r="N19" s="55">
        <v>212.2</v>
      </c>
      <c r="O19" s="55">
        <v>0</v>
      </c>
      <c r="P19" s="55">
        <v>0.48</v>
      </c>
      <c r="Q19" s="55">
        <v>4.92</v>
      </c>
    </row>
    <row r="20" spans="1:17" customFormat="1">
      <c r="A20" s="54" t="s">
        <v>574</v>
      </c>
      <c r="B20" s="55">
        <v>11.2</v>
      </c>
      <c r="C20" s="55">
        <v>40.909999999999997</v>
      </c>
      <c r="D20" s="55">
        <v>29.31</v>
      </c>
      <c r="E20" s="55">
        <v>10.3</v>
      </c>
      <c r="F20" s="55">
        <v>22.69</v>
      </c>
      <c r="G20" s="55">
        <v>29.01</v>
      </c>
      <c r="H20" s="55">
        <v>12.44</v>
      </c>
      <c r="I20" s="55">
        <v>4.2699999999999996</v>
      </c>
      <c r="J20" s="55">
        <v>0.35</v>
      </c>
      <c r="K20" s="55">
        <v>240.64</v>
      </c>
      <c r="L20" s="55">
        <v>31.3</v>
      </c>
      <c r="M20" s="55">
        <v>66.959999999999994</v>
      </c>
      <c r="N20" s="55">
        <v>188.1</v>
      </c>
      <c r="O20" s="55">
        <v>0</v>
      </c>
      <c r="P20" s="55">
        <v>0.44</v>
      </c>
      <c r="Q20" s="55">
        <v>4.8099999999999996</v>
      </c>
    </row>
    <row r="21" spans="1:17" customFormat="1">
      <c r="A21" s="56">
        <v>45099.541666666664</v>
      </c>
      <c r="B21" s="55">
        <v>9.44</v>
      </c>
      <c r="C21" s="55">
        <v>39.159999999999997</v>
      </c>
      <c r="D21" s="55">
        <v>26.31</v>
      </c>
      <c r="E21" s="55">
        <v>9.4700000000000006</v>
      </c>
      <c r="F21" s="55">
        <v>25.73</v>
      </c>
      <c r="G21" s="55">
        <v>30.4</v>
      </c>
      <c r="H21" s="55">
        <v>13.75</v>
      </c>
      <c r="I21" s="55">
        <v>4.72</v>
      </c>
      <c r="J21" s="55">
        <v>0.26</v>
      </c>
      <c r="K21" s="55">
        <v>228.73</v>
      </c>
      <c r="L21" s="55">
        <v>30.98</v>
      </c>
      <c r="M21" s="55">
        <v>70.22</v>
      </c>
      <c r="N21" s="55">
        <v>135.9</v>
      </c>
      <c r="O21" s="55">
        <v>0</v>
      </c>
      <c r="P21" s="55">
        <v>0.48</v>
      </c>
      <c r="Q21" s="55">
        <v>4.78</v>
      </c>
    </row>
    <row r="22" spans="1:17" customFormat="1">
      <c r="A22" s="54" t="s">
        <v>575</v>
      </c>
      <c r="B22" s="55">
        <v>9.14</v>
      </c>
      <c r="C22" s="55">
        <v>41.33</v>
      </c>
      <c r="D22" s="55">
        <v>27.88</v>
      </c>
      <c r="E22" s="55">
        <v>10.39</v>
      </c>
      <c r="F22" s="55">
        <v>19.75</v>
      </c>
      <c r="G22" s="55">
        <v>35.020000000000003</v>
      </c>
      <c r="H22" s="55">
        <v>15.29</v>
      </c>
      <c r="I22" s="55">
        <v>5.38</v>
      </c>
      <c r="J22" s="55">
        <v>0.72</v>
      </c>
      <c r="K22" s="55">
        <v>304.43</v>
      </c>
      <c r="L22" s="55">
        <v>34.04</v>
      </c>
      <c r="M22" s="55">
        <v>63.62</v>
      </c>
      <c r="N22" s="55">
        <v>738.3</v>
      </c>
      <c r="O22" s="55">
        <v>0</v>
      </c>
      <c r="P22" s="55">
        <v>0.49</v>
      </c>
      <c r="Q22" s="55">
        <v>4.6900000000000004</v>
      </c>
    </row>
    <row r="23" spans="1:17" customFormat="1">
      <c r="A23" s="54" t="s">
        <v>576</v>
      </c>
      <c r="B23" s="55">
        <v>8.1300000000000008</v>
      </c>
      <c r="C23" s="55">
        <v>39.6</v>
      </c>
      <c r="D23" s="55">
        <v>26.17</v>
      </c>
      <c r="E23" s="55">
        <v>7.96</v>
      </c>
      <c r="F23" s="55">
        <v>21.06</v>
      </c>
      <c r="G23" s="55">
        <v>37.07</v>
      </c>
      <c r="H23" s="55">
        <v>23.84</v>
      </c>
      <c r="I23" s="55">
        <v>5</v>
      </c>
      <c r="J23" s="55">
        <v>0.51</v>
      </c>
      <c r="K23" s="55">
        <v>286.54000000000002</v>
      </c>
      <c r="L23" s="55">
        <v>35.049999999999997</v>
      </c>
      <c r="M23" s="55">
        <v>54.31</v>
      </c>
      <c r="N23" s="55">
        <v>685.3</v>
      </c>
      <c r="O23" s="55">
        <v>0</v>
      </c>
      <c r="P23" s="55">
        <v>0.47</v>
      </c>
      <c r="Q23" s="55">
        <v>4.5599999999999996</v>
      </c>
    </row>
    <row r="24" spans="1:17" customFormat="1">
      <c r="A24" s="54" t="s">
        <v>577</v>
      </c>
      <c r="B24" s="55">
        <v>5.75</v>
      </c>
      <c r="C24" s="55">
        <v>36.74</v>
      </c>
      <c r="D24" s="55">
        <v>22.65</v>
      </c>
      <c r="E24" s="55">
        <v>8.84</v>
      </c>
      <c r="F24" s="55">
        <v>29.22</v>
      </c>
      <c r="G24" s="55">
        <v>38.26</v>
      </c>
      <c r="H24" s="55">
        <v>24.53</v>
      </c>
      <c r="I24" s="55">
        <v>4.99</v>
      </c>
      <c r="J24" s="55">
        <v>0.73</v>
      </c>
      <c r="K24" s="55">
        <v>257.64</v>
      </c>
      <c r="L24" s="55">
        <v>35.39</v>
      </c>
      <c r="M24" s="55">
        <v>52.75</v>
      </c>
      <c r="N24" s="55">
        <v>555.70000000000005</v>
      </c>
      <c r="O24" s="55">
        <v>0</v>
      </c>
      <c r="P24" s="55">
        <v>0.47</v>
      </c>
      <c r="Q24" s="55">
        <v>4.46</v>
      </c>
    </row>
    <row r="25" spans="1:17" customFormat="1">
      <c r="A25" s="54" t="s">
        <v>578</v>
      </c>
      <c r="B25" s="55">
        <v>4.2</v>
      </c>
      <c r="C25" s="55">
        <v>34.21</v>
      </c>
      <c r="D25" s="55">
        <v>20.2</v>
      </c>
      <c r="E25" s="55">
        <v>19.559999999999999</v>
      </c>
      <c r="F25" s="55">
        <v>40.24</v>
      </c>
      <c r="G25" s="55">
        <v>39.659999999999997</v>
      </c>
      <c r="H25" s="55">
        <v>27.25</v>
      </c>
      <c r="I25" s="55">
        <v>5.72</v>
      </c>
      <c r="J25" s="55">
        <v>0.47</v>
      </c>
      <c r="K25" s="55">
        <v>244.84</v>
      </c>
      <c r="L25" s="55">
        <v>35.380000000000003</v>
      </c>
      <c r="M25" s="55">
        <v>54.31</v>
      </c>
      <c r="N25" s="55">
        <v>360</v>
      </c>
      <c r="O25" s="55">
        <v>0</v>
      </c>
      <c r="P25" s="55">
        <v>0.56999999999999995</v>
      </c>
      <c r="Q25" s="55">
        <v>4.2699999999999996</v>
      </c>
    </row>
    <row r="26" spans="1:17" customFormat="1">
      <c r="A26" s="54" t="s">
        <v>579</v>
      </c>
      <c r="B26" s="55">
        <v>4.72</v>
      </c>
      <c r="C26" s="55">
        <v>37.07</v>
      </c>
      <c r="D26" s="55">
        <v>22.06</v>
      </c>
      <c r="E26" s="55">
        <v>14.96</v>
      </c>
      <c r="F26" s="55">
        <v>44.11</v>
      </c>
      <c r="G26" s="55">
        <v>40.15</v>
      </c>
      <c r="H26" s="55">
        <v>27.25</v>
      </c>
      <c r="I26" s="55">
        <v>6.06</v>
      </c>
      <c r="J26" s="55">
        <v>2.1800000000000002</v>
      </c>
      <c r="K26" s="55">
        <v>295.02</v>
      </c>
      <c r="L26" s="55">
        <v>34.090000000000003</v>
      </c>
      <c r="M26" s="55">
        <v>58.05</v>
      </c>
      <c r="N26" s="55">
        <v>60.4</v>
      </c>
      <c r="O26" s="55">
        <v>0</v>
      </c>
      <c r="P26" s="55">
        <v>0.55000000000000004</v>
      </c>
      <c r="Q26" s="55">
        <v>4.24</v>
      </c>
    </row>
    <row r="27" spans="1:17" customFormat="1">
      <c r="A27" s="54" t="s">
        <v>580</v>
      </c>
      <c r="B27" s="55">
        <v>5.99</v>
      </c>
      <c r="C27" s="55">
        <v>41.15</v>
      </c>
      <c r="D27" s="55">
        <v>25.25</v>
      </c>
      <c r="E27" s="55">
        <v>7.41</v>
      </c>
      <c r="F27" s="55">
        <v>8.18</v>
      </c>
      <c r="G27" s="55">
        <v>40.15</v>
      </c>
      <c r="H27" s="55">
        <v>26.06</v>
      </c>
      <c r="I27" s="55">
        <v>5.6</v>
      </c>
      <c r="J27" s="55">
        <v>1.75</v>
      </c>
      <c r="K27" s="55">
        <v>311.42</v>
      </c>
      <c r="L27" s="55">
        <v>30.29</v>
      </c>
      <c r="M27" s="55">
        <v>73.81</v>
      </c>
      <c r="N27" s="55">
        <v>4.2</v>
      </c>
      <c r="O27" s="55">
        <v>0</v>
      </c>
      <c r="P27" s="55">
        <v>0.53</v>
      </c>
      <c r="Q27" s="55">
        <v>4.37</v>
      </c>
    </row>
    <row r="28" spans="1:17" customFormat="1">
      <c r="A28" s="54" t="s">
        <v>581</v>
      </c>
      <c r="B28" s="55">
        <v>7.3</v>
      </c>
      <c r="C28" s="55">
        <v>39.96</v>
      </c>
      <c r="D28" s="55">
        <v>25.26</v>
      </c>
      <c r="E28" s="55">
        <v>8.23</v>
      </c>
      <c r="F28" s="55">
        <v>9.35</v>
      </c>
      <c r="G28" s="55">
        <v>41.11</v>
      </c>
      <c r="H28" s="55">
        <v>17.88</v>
      </c>
      <c r="I28" s="55">
        <v>5.4</v>
      </c>
      <c r="J28" s="55">
        <v>0.69</v>
      </c>
      <c r="K28" s="55">
        <v>318.25</v>
      </c>
      <c r="L28" s="55">
        <v>27.91</v>
      </c>
      <c r="M28" s="55">
        <v>75.400000000000006</v>
      </c>
      <c r="N28" s="55">
        <v>0</v>
      </c>
      <c r="O28" s="55">
        <v>0</v>
      </c>
      <c r="P28" s="55">
        <v>0.59</v>
      </c>
      <c r="Q28" s="55">
        <v>4.45</v>
      </c>
    </row>
    <row r="29" spans="1:17" customFormat="1">
      <c r="A29" s="54" t="s">
        <v>582</v>
      </c>
      <c r="B29" s="55">
        <v>10.42</v>
      </c>
      <c r="C29" s="55">
        <v>43.13</v>
      </c>
      <c r="D29" s="55">
        <v>29.84</v>
      </c>
      <c r="E29" s="55">
        <v>10.59</v>
      </c>
      <c r="F29" s="55">
        <v>7.75</v>
      </c>
      <c r="G29" s="55">
        <v>41.11</v>
      </c>
      <c r="H29" s="55">
        <v>15.9</v>
      </c>
      <c r="I29" s="55">
        <v>5.66</v>
      </c>
      <c r="J29" s="55">
        <v>0.77</v>
      </c>
      <c r="K29" s="55">
        <v>333.15</v>
      </c>
      <c r="L29" s="55">
        <v>28.03</v>
      </c>
      <c r="M29" s="55">
        <v>75.64</v>
      </c>
      <c r="N29" s="55">
        <v>0</v>
      </c>
      <c r="O29" s="55">
        <v>0</v>
      </c>
      <c r="P29" s="55">
        <v>0.6</v>
      </c>
      <c r="Q29" s="55">
        <v>4.6900000000000004</v>
      </c>
    </row>
    <row r="30" spans="1:17" customFormat="1">
      <c r="A30" s="54" t="s">
        <v>583</v>
      </c>
      <c r="B30" s="55">
        <v>12.63</v>
      </c>
      <c r="C30" s="55">
        <v>45.2</v>
      </c>
      <c r="D30" s="55">
        <v>32.700000000000003</v>
      </c>
      <c r="E30" s="55">
        <v>8.7799999999999994</v>
      </c>
      <c r="F30" s="55">
        <v>6.75</v>
      </c>
      <c r="G30" s="55">
        <v>41.09</v>
      </c>
      <c r="H30" s="55">
        <v>14.86</v>
      </c>
      <c r="I30" s="55">
        <v>5.49</v>
      </c>
      <c r="J30" s="55">
        <v>1.36</v>
      </c>
      <c r="K30" s="55">
        <v>65.290000000000006</v>
      </c>
      <c r="L30" s="55">
        <v>27.26</v>
      </c>
      <c r="M30" s="55">
        <v>86.12</v>
      </c>
      <c r="N30" s="55">
        <v>0</v>
      </c>
      <c r="O30" s="55">
        <v>0</v>
      </c>
      <c r="P30" s="55">
        <v>0.57999999999999996</v>
      </c>
      <c r="Q30" s="55">
        <v>4.8099999999999996</v>
      </c>
    </row>
    <row r="31" spans="1:17" customFormat="1">
      <c r="A31" s="54" t="s">
        <v>584</v>
      </c>
      <c r="B31" s="55">
        <v>14.03</v>
      </c>
      <c r="C31" s="55">
        <v>47.71</v>
      </c>
      <c r="D31" s="55">
        <v>35.14</v>
      </c>
      <c r="E31" s="55">
        <v>7.35</v>
      </c>
      <c r="F31" s="55">
        <v>7.47</v>
      </c>
      <c r="G31" s="55">
        <v>41.09</v>
      </c>
      <c r="H31" s="55">
        <v>14.73</v>
      </c>
      <c r="I31" s="55">
        <v>5.36</v>
      </c>
      <c r="J31" s="55">
        <v>0.62</v>
      </c>
      <c r="K31" s="55">
        <v>85.19</v>
      </c>
      <c r="L31" s="55">
        <v>26.23</v>
      </c>
      <c r="M31" s="55">
        <v>85.92</v>
      </c>
      <c r="N31" s="55">
        <v>0</v>
      </c>
      <c r="O31" s="55">
        <v>0</v>
      </c>
      <c r="P31" s="55">
        <v>0.56999999999999995</v>
      </c>
      <c r="Q31" s="55">
        <v>4.8899999999999997</v>
      </c>
    </row>
    <row r="32" spans="1:17" customFormat="1">
      <c r="A32" s="54" t="s">
        <v>585</v>
      </c>
      <c r="B32" s="55">
        <v>14.96</v>
      </c>
      <c r="C32" s="55">
        <v>46.55</v>
      </c>
      <c r="D32" s="55">
        <v>34.880000000000003</v>
      </c>
      <c r="E32" s="55">
        <v>7.16</v>
      </c>
      <c r="F32" s="55">
        <v>6.75</v>
      </c>
      <c r="G32" s="55">
        <v>37.770000000000003</v>
      </c>
      <c r="H32" s="55">
        <v>12.14</v>
      </c>
      <c r="I32" s="55">
        <v>5.31</v>
      </c>
      <c r="J32" s="55">
        <v>0.26</v>
      </c>
      <c r="K32" s="55">
        <v>206.49</v>
      </c>
      <c r="L32" s="55">
        <v>26.28</v>
      </c>
      <c r="M32" s="55">
        <v>85.93</v>
      </c>
      <c r="N32" s="55">
        <v>0</v>
      </c>
      <c r="O32" s="55">
        <v>0</v>
      </c>
      <c r="P32" s="55">
        <v>0.56000000000000005</v>
      </c>
      <c r="Q32" s="55">
        <v>4.9400000000000004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4.2</v>
      </c>
      <c r="C34" s="41">
        <f t="shared" si="0"/>
        <v>34.21</v>
      </c>
      <c r="D34" s="41">
        <f t="shared" si="0"/>
        <v>20.2</v>
      </c>
      <c r="E34" s="41">
        <f t="shared" si="0"/>
        <v>5.49</v>
      </c>
      <c r="F34" s="41">
        <f t="shared" si="0"/>
        <v>4.46</v>
      </c>
      <c r="G34" s="41">
        <f t="shared" si="0"/>
        <v>13.45</v>
      </c>
      <c r="H34" s="41">
        <f t="shared" si="0"/>
        <v>6.49</v>
      </c>
      <c r="I34" s="41">
        <f t="shared" si="0"/>
        <v>3.54</v>
      </c>
      <c r="J34" s="41">
        <f t="shared" si="0"/>
        <v>0.26</v>
      </c>
      <c r="K34" s="41">
        <f t="shared" si="0"/>
        <v>65.290000000000006</v>
      </c>
      <c r="L34" s="41">
        <f t="shared" si="0"/>
        <v>24.93</v>
      </c>
      <c r="M34" s="41">
        <f t="shared" si="0"/>
        <v>52.75</v>
      </c>
      <c r="N34" s="41">
        <f t="shared" si="0"/>
        <v>0</v>
      </c>
      <c r="O34" s="41">
        <f t="shared" si="0"/>
        <v>0</v>
      </c>
      <c r="P34" s="41">
        <f t="shared" si="0"/>
        <v>0.36</v>
      </c>
      <c r="Q34" s="41">
        <f t="shared" si="0"/>
        <v>4.24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18.309999999999999</v>
      </c>
      <c r="C35" s="33">
        <f t="shared" si="1"/>
        <v>48.4</v>
      </c>
      <c r="D35" s="33">
        <f t="shared" si="1"/>
        <v>37.799999999999997</v>
      </c>
      <c r="E35" s="33">
        <f t="shared" si="1"/>
        <v>19.559999999999999</v>
      </c>
      <c r="F35" s="33">
        <f t="shared" si="1"/>
        <v>44.11</v>
      </c>
      <c r="G35" s="33">
        <f t="shared" si="1"/>
        <v>41.11</v>
      </c>
      <c r="H35" s="33">
        <f t="shared" si="1"/>
        <v>27.25</v>
      </c>
      <c r="I35" s="33">
        <f t="shared" si="1"/>
        <v>6.06</v>
      </c>
      <c r="J35" s="33">
        <f t="shared" si="1"/>
        <v>2.1800000000000002</v>
      </c>
      <c r="K35" s="33">
        <f t="shared" si="1"/>
        <v>333.15</v>
      </c>
      <c r="L35" s="33">
        <f t="shared" si="1"/>
        <v>35.39</v>
      </c>
      <c r="M35" s="33">
        <f t="shared" si="1"/>
        <v>97.72</v>
      </c>
      <c r="N35" s="33">
        <f t="shared" si="1"/>
        <v>738.3</v>
      </c>
      <c r="O35" s="33">
        <f t="shared" si="1"/>
        <v>0</v>
      </c>
      <c r="P35" s="33">
        <f t="shared" si="1"/>
        <v>0.6</v>
      </c>
      <c r="Q35" s="33">
        <f t="shared" si="1"/>
        <v>5.17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11.625416666666665</v>
      </c>
      <c r="C36" s="41">
        <f t="shared" si="2"/>
        <v>42.91875000000001</v>
      </c>
      <c r="D36" s="41">
        <f t="shared" si="2"/>
        <v>30.537916666666664</v>
      </c>
      <c r="E36" s="41">
        <f t="shared" si="2"/>
        <v>8.404166666666665</v>
      </c>
      <c r="F36" s="41">
        <f t="shared" si="2"/>
        <v>14.100833333333336</v>
      </c>
      <c r="G36" s="41">
        <f t="shared" si="2"/>
        <v>28.256249999999998</v>
      </c>
      <c r="H36" s="41">
        <f t="shared" si="2"/>
        <v>14.197916666666666</v>
      </c>
      <c r="I36" s="41">
        <f t="shared" si="2"/>
        <v>4.559166666666667</v>
      </c>
      <c r="J36" s="41">
        <f t="shared" si="2"/>
        <v>0.71375000000000011</v>
      </c>
      <c r="K36" s="41">
        <f t="shared" si="2"/>
        <v>234.48666666666659</v>
      </c>
      <c r="L36" s="41">
        <f t="shared" si="2"/>
        <v>29.337499999999995</v>
      </c>
      <c r="M36" s="41">
        <f t="shared" si="2"/>
        <v>77.851250000000007</v>
      </c>
      <c r="N36" s="41">
        <f t="shared" si="2"/>
        <v>150.41666666666666</v>
      </c>
      <c r="O36" s="41">
        <f t="shared" si="2"/>
        <v>0</v>
      </c>
      <c r="P36" s="41">
        <f t="shared" si="2"/>
        <v>0.4604166666666667</v>
      </c>
      <c r="Q36" s="41">
        <f t="shared" si="2"/>
        <v>4.7629166666666665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4.3602981341693461</v>
      </c>
      <c r="C37" s="41">
        <f t="shared" ref="C37:Q37" si="3">STDEV(C9:C32)</f>
        <v>3.7503997613007396</v>
      </c>
      <c r="D37" s="41">
        <f t="shared" si="3"/>
        <v>5.1944476872293412</v>
      </c>
      <c r="E37" s="41">
        <f t="shared" si="3"/>
        <v>3.3203652453184826</v>
      </c>
      <c r="F37" s="41">
        <f t="shared" si="3"/>
        <v>11.311475864443331</v>
      </c>
      <c r="G37" s="41">
        <f t="shared" si="3"/>
        <v>11.123143836359748</v>
      </c>
      <c r="H37" s="41">
        <f t="shared" si="3"/>
        <v>6.8572373567397138</v>
      </c>
      <c r="I37" s="41">
        <f t="shared" si="3"/>
        <v>0.89717875038641348</v>
      </c>
      <c r="J37" s="41">
        <f t="shared" si="3"/>
        <v>0.45909942562444506</v>
      </c>
      <c r="K37" s="41">
        <f t="shared" si="3"/>
        <v>77.558931460376556</v>
      </c>
      <c r="L37" s="41">
        <f t="shared" si="3"/>
        <v>3.4191179259137163</v>
      </c>
      <c r="M37" s="41">
        <f t="shared" si="3"/>
        <v>14.544365205780982</v>
      </c>
      <c r="N37" s="41">
        <f t="shared" si="3"/>
        <v>221.36396090693214</v>
      </c>
      <c r="O37" s="41">
        <f t="shared" si="3"/>
        <v>0</v>
      </c>
      <c r="P37" s="41">
        <f t="shared" si="3"/>
        <v>9.028838659331101E-2</v>
      </c>
      <c r="Q37" s="41">
        <f t="shared" si="3"/>
        <v>0.26959678695458195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5" activePane="bottomRight" state="frozen"/>
      <selection activeCell="G19" sqref="G19"/>
      <selection pane="topRight" activeCell="G19" sqref="G19"/>
      <selection pane="bottomLeft" activeCell="G19" sqref="G19"/>
      <selection pane="bottomRight" activeCell="G38" sqref="G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23/06/2023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586</v>
      </c>
      <c r="B9" s="52">
        <v>15.13</v>
      </c>
      <c r="C9" s="52">
        <v>48.84</v>
      </c>
      <c r="D9" s="52">
        <v>36.22</v>
      </c>
      <c r="E9" s="52">
        <v>6.74</v>
      </c>
      <c r="F9" s="52">
        <v>5.08</v>
      </c>
      <c r="G9" s="52">
        <v>28.8</v>
      </c>
      <c r="H9" s="52">
        <v>10.33</v>
      </c>
      <c r="I9" s="52">
        <v>5.15</v>
      </c>
      <c r="J9" s="52">
        <v>0.18</v>
      </c>
      <c r="K9" s="52">
        <v>139.76</v>
      </c>
      <c r="L9" s="52">
        <v>26.38</v>
      </c>
      <c r="M9" s="52">
        <v>85.41</v>
      </c>
      <c r="N9" s="52">
        <v>0</v>
      </c>
      <c r="O9" s="52">
        <v>0</v>
      </c>
      <c r="P9" s="52">
        <v>0.54</v>
      </c>
      <c r="Q9" s="52">
        <v>4.97</v>
      </c>
      <c r="R9" s="50"/>
      <c r="S9" s="50"/>
      <c r="T9" s="50"/>
      <c r="U9" s="50"/>
    </row>
    <row r="10" spans="1:21" customFormat="1">
      <c r="A10" s="51">
        <v>45100.083333333336</v>
      </c>
      <c r="B10" s="52">
        <v>16.010000000000002</v>
      </c>
      <c r="C10" s="52">
        <v>46.91</v>
      </c>
      <c r="D10" s="52">
        <v>36.299999999999997</v>
      </c>
      <c r="E10" s="52">
        <v>6.85</v>
      </c>
      <c r="F10" s="52">
        <v>7.63</v>
      </c>
      <c r="G10" s="52">
        <v>24.38</v>
      </c>
      <c r="H10" s="52">
        <v>8.57</v>
      </c>
      <c r="I10" s="52">
        <v>4.97</v>
      </c>
      <c r="J10" s="52">
        <v>0.2</v>
      </c>
      <c r="K10" s="52">
        <v>201.4</v>
      </c>
      <c r="L10" s="52">
        <v>26.03</v>
      </c>
      <c r="M10" s="52">
        <v>84.65</v>
      </c>
      <c r="N10" s="52">
        <v>0</v>
      </c>
      <c r="O10" s="52">
        <v>0</v>
      </c>
      <c r="P10" s="52">
        <v>0.5</v>
      </c>
      <c r="Q10" s="52">
        <v>5.0599999999999996</v>
      </c>
      <c r="R10" s="50"/>
      <c r="S10" s="50"/>
      <c r="T10" s="50"/>
      <c r="U10" s="50"/>
    </row>
    <row r="11" spans="1:21" customFormat="1">
      <c r="A11" s="53" t="s">
        <v>587</v>
      </c>
      <c r="B11" s="52">
        <v>16.71</v>
      </c>
      <c r="C11" s="52">
        <v>47.07</v>
      </c>
      <c r="D11" s="52">
        <v>36.840000000000003</v>
      </c>
      <c r="E11" s="52">
        <v>6.42</v>
      </c>
      <c r="F11" s="52">
        <v>4.47</v>
      </c>
      <c r="G11" s="52">
        <v>16.22</v>
      </c>
      <c r="H11" s="52">
        <v>6.05</v>
      </c>
      <c r="I11" s="52">
        <v>4.7699999999999996</v>
      </c>
      <c r="J11" s="52">
        <v>0.49</v>
      </c>
      <c r="K11" s="52">
        <v>250.02</v>
      </c>
      <c r="L11" s="52">
        <v>26.04</v>
      </c>
      <c r="M11" s="52">
        <v>87</v>
      </c>
      <c r="N11" s="52">
        <v>0</v>
      </c>
      <c r="O11" s="52">
        <v>0</v>
      </c>
      <c r="P11" s="52">
        <v>0.49</v>
      </c>
      <c r="Q11" s="52">
        <v>5.08</v>
      </c>
      <c r="R11" s="50"/>
      <c r="S11" s="50"/>
      <c r="T11" s="50"/>
      <c r="U11" s="50"/>
    </row>
    <row r="12" spans="1:21" customFormat="1">
      <c r="A12" s="53" t="s">
        <v>588</v>
      </c>
      <c r="B12" s="52">
        <v>17.87</v>
      </c>
      <c r="C12" s="52">
        <v>47.6</v>
      </c>
      <c r="D12" s="52">
        <v>38.15</v>
      </c>
      <c r="E12" s="52">
        <v>6.57</v>
      </c>
      <c r="F12" s="52">
        <v>4.28</v>
      </c>
      <c r="G12" s="52">
        <v>11.72</v>
      </c>
      <c r="H12" s="52">
        <v>4.6500000000000004</v>
      </c>
      <c r="I12" s="52">
        <v>4.63</v>
      </c>
      <c r="J12" s="52">
        <v>0.39</v>
      </c>
      <c r="K12" s="52">
        <v>248.25</v>
      </c>
      <c r="L12" s="52">
        <v>25.82</v>
      </c>
      <c r="M12" s="52">
        <v>90.34</v>
      </c>
      <c r="N12" s="52">
        <v>0</v>
      </c>
      <c r="O12" s="52">
        <v>0</v>
      </c>
      <c r="P12" s="52">
        <v>0.48</v>
      </c>
      <c r="Q12" s="52">
        <v>5.15</v>
      </c>
      <c r="R12" s="50"/>
      <c r="S12" s="50"/>
      <c r="T12" s="50"/>
      <c r="U12" s="50"/>
    </row>
    <row r="13" spans="1:21" customFormat="1">
      <c r="A13" s="53" t="s">
        <v>589</v>
      </c>
      <c r="B13" s="52">
        <v>19</v>
      </c>
      <c r="C13" s="52">
        <v>46.65</v>
      </c>
      <c r="D13" s="52">
        <v>38.51</v>
      </c>
      <c r="E13" s="52">
        <v>6.57</v>
      </c>
      <c r="F13" s="52">
        <v>4.18</v>
      </c>
      <c r="G13" s="52">
        <v>11.58</v>
      </c>
      <c r="H13" s="52">
        <v>4.83</v>
      </c>
      <c r="I13" s="52">
        <v>4.47</v>
      </c>
      <c r="J13" s="52">
        <v>0.52</v>
      </c>
      <c r="K13" s="52">
        <v>246.46</v>
      </c>
      <c r="L13" s="52">
        <v>25.49</v>
      </c>
      <c r="M13" s="52">
        <v>90.06</v>
      </c>
      <c r="N13" s="52">
        <v>0</v>
      </c>
      <c r="O13" s="52">
        <v>0</v>
      </c>
      <c r="P13" s="52">
        <v>0.46</v>
      </c>
      <c r="Q13" s="52">
        <v>5.18</v>
      </c>
      <c r="R13" s="50"/>
      <c r="S13" s="50"/>
      <c r="T13" s="50"/>
      <c r="U13" s="50"/>
    </row>
    <row r="14" spans="1:21" customFormat="1">
      <c r="A14" s="53" t="s">
        <v>590</v>
      </c>
      <c r="B14" s="52">
        <v>19.86</v>
      </c>
      <c r="C14" s="52">
        <v>47.86</v>
      </c>
      <c r="D14" s="52">
        <v>39.72</v>
      </c>
      <c r="E14" s="52">
        <v>5.92</v>
      </c>
      <c r="F14" s="52">
        <v>4</v>
      </c>
      <c r="G14" s="52">
        <v>14.94</v>
      </c>
      <c r="H14" s="52">
        <v>4.93</v>
      </c>
      <c r="I14" s="52">
        <v>4.38</v>
      </c>
      <c r="J14" s="52">
        <v>0.65</v>
      </c>
      <c r="K14" s="52">
        <v>250.73</v>
      </c>
      <c r="L14" s="52">
        <v>25.34</v>
      </c>
      <c r="M14" s="52">
        <v>89.82</v>
      </c>
      <c r="N14" s="52">
        <v>5.5</v>
      </c>
      <c r="O14" s="52">
        <v>0</v>
      </c>
      <c r="P14" s="52">
        <v>0.45</v>
      </c>
      <c r="Q14" s="52">
        <v>5.25</v>
      </c>
      <c r="R14" s="50"/>
      <c r="S14" s="50"/>
      <c r="T14" s="50"/>
      <c r="U14" s="50"/>
    </row>
    <row r="15" spans="1:21" customFormat="1">
      <c r="A15" s="53" t="s">
        <v>591</v>
      </c>
      <c r="B15" s="52">
        <v>19.93</v>
      </c>
      <c r="C15" s="52">
        <v>47.59</v>
      </c>
      <c r="D15" s="52">
        <v>39.799999999999997</v>
      </c>
      <c r="E15" s="52">
        <v>6.48</v>
      </c>
      <c r="F15" s="52">
        <v>4.0599999999999996</v>
      </c>
      <c r="G15" s="52">
        <v>14.94</v>
      </c>
      <c r="H15" s="52">
        <v>6.08</v>
      </c>
      <c r="I15" s="52">
        <v>4.2699999999999996</v>
      </c>
      <c r="J15" s="52">
        <v>0.76</v>
      </c>
      <c r="K15" s="52">
        <v>260.41000000000003</v>
      </c>
      <c r="L15" s="52">
        <v>25.71</v>
      </c>
      <c r="M15" s="52">
        <v>88.11</v>
      </c>
      <c r="N15" s="52">
        <v>59.2</v>
      </c>
      <c r="O15" s="52">
        <v>0</v>
      </c>
      <c r="P15" s="52">
        <v>0.44</v>
      </c>
      <c r="Q15" s="52">
        <v>5.23</v>
      </c>
      <c r="R15" s="50"/>
      <c r="S15" s="50"/>
      <c r="T15" s="50"/>
      <c r="U15" s="50"/>
    </row>
    <row r="16" spans="1:21" customFormat="1">
      <c r="A16" s="53" t="s">
        <v>592</v>
      </c>
      <c r="B16" s="52">
        <v>20.12</v>
      </c>
      <c r="C16" s="52">
        <v>47.08</v>
      </c>
      <c r="D16" s="52">
        <v>39.630000000000003</v>
      </c>
      <c r="E16" s="52">
        <v>6.26</v>
      </c>
      <c r="F16" s="52">
        <v>4.18</v>
      </c>
      <c r="G16" s="52">
        <v>12.08</v>
      </c>
      <c r="H16" s="52">
        <v>6.08</v>
      </c>
      <c r="I16" s="52">
        <v>4.13</v>
      </c>
      <c r="J16" s="52">
        <v>1.1299999999999999</v>
      </c>
      <c r="K16" s="52">
        <v>279.44</v>
      </c>
      <c r="L16" s="52">
        <v>26.21</v>
      </c>
      <c r="M16" s="52">
        <v>87.09</v>
      </c>
      <c r="N16" s="52">
        <v>112.8</v>
      </c>
      <c r="O16" s="52">
        <v>0</v>
      </c>
      <c r="P16" s="52">
        <v>0.43</v>
      </c>
      <c r="Q16" s="52">
        <v>5.24</v>
      </c>
      <c r="R16" s="50"/>
      <c r="S16" s="50"/>
      <c r="T16" s="50"/>
      <c r="U16" s="50"/>
    </row>
    <row r="17" spans="1:21" customFormat="1">
      <c r="A17" s="53" t="s">
        <v>593</v>
      </c>
      <c r="B17" s="52">
        <v>19.7</v>
      </c>
      <c r="C17" s="52">
        <v>48.85</v>
      </c>
      <c r="D17" s="52">
        <v>39.549999999999997</v>
      </c>
      <c r="E17" s="52">
        <v>6.06</v>
      </c>
      <c r="F17" s="52">
        <v>4.74</v>
      </c>
      <c r="G17" s="52">
        <v>10.94</v>
      </c>
      <c r="H17" s="52">
        <v>4.32</v>
      </c>
      <c r="I17" s="52">
        <v>4</v>
      </c>
      <c r="J17" s="52">
        <v>1.3</v>
      </c>
      <c r="K17" s="52">
        <v>267.20999999999998</v>
      </c>
      <c r="L17" s="52">
        <v>26.85</v>
      </c>
      <c r="M17" s="52">
        <v>82.65</v>
      </c>
      <c r="N17" s="52">
        <v>239.6</v>
      </c>
      <c r="O17" s="52">
        <v>0</v>
      </c>
      <c r="P17" s="52">
        <v>0.44</v>
      </c>
      <c r="Q17" s="52">
        <v>5.2</v>
      </c>
      <c r="R17" s="50"/>
      <c r="S17" s="50"/>
      <c r="T17" s="50"/>
      <c r="U17" s="50"/>
    </row>
    <row r="18" spans="1:21" customFormat="1">
      <c r="A18" s="53" t="s">
        <v>594</v>
      </c>
      <c r="B18" s="52">
        <v>17.29</v>
      </c>
      <c r="C18" s="52">
        <v>46.41</v>
      </c>
      <c r="D18" s="52">
        <v>36.74</v>
      </c>
      <c r="E18" s="52">
        <v>6.9</v>
      </c>
      <c r="F18" s="52">
        <v>5.29</v>
      </c>
      <c r="G18" s="52">
        <v>10.94</v>
      </c>
      <c r="H18" s="52">
        <v>5.79</v>
      </c>
      <c r="I18" s="52">
        <v>4.17</v>
      </c>
      <c r="J18" s="52">
        <v>1.1100000000000001</v>
      </c>
      <c r="K18" s="52">
        <v>290.39</v>
      </c>
      <c r="L18" s="52">
        <v>28.45</v>
      </c>
      <c r="M18" s="52">
        <v>78.7</v>
      </c>
      <c r="N18" s="52">
        <v>335.6</v>
      </c>
      <c r="O18" s="52">
        <v>0</v>
      </c>
      <c r="P18" s="52">
        <v>0.48</v>
      </c>
      <c r="Q18" s="52">
        <v>5.05</v>
      </c>
      <c r="R18" s="50"/>
      <c r="S18" s="50"/>
      <c r="T18" s="50"/>
      <c r="U18" s="50"/>
    </row>
    <row r="19" spans="1:21" customFormat="1">
      <c r="A19" s="53" t="s">
        <v>595</v>
      </c>
      <c r="B19" s="52">
        <v>15.6</v>
      </c>
      <c r="C19" s="52">
        <v>44.6</v>
      </c>
      <c r="D19" s="52">
        <v>34.729999999999997</v>
      </c>
      <c r="E19" s="52">
        <v>7.05</v>
      </c>
      <c r="F19" s="52">
        <v>6.21</v>
      </c>
      <c r="G19" s="52">
        <v>12.93</v>
      </c>
      <c r="H19" s="52">
        <v>5.79</v>
      </c>
      <c r="I19" s="52">
        <v>4.34</v>
      </c>
      <c r="J19" s="52">
        <v>0.87</v>
      </c>
      <c r="K19" s="52">
        <v>274.68</v>
      </c>
      <c r="L19" s="52">
        <v>29.45</v>
      </c>
      <c r="M19" s="52">
        <v>73.180000000000007</v>
      </c>
      <c r="N19" s="52">
        <v>417.4</v>
      </c>
      <c r="O19" s="52">
        <v>0</v>
      </c>
      <c r="P19" s="52">
        <v>0.47</v>
      </c>
      <c r="Q19" s="52">
        <v>5.0199999999999996</v>
      </c>
      <c r="R19" s="50"/>
      <c r="S19" s="50"/>
      <c r="T19" s="50"/>
      <c r="U19" s="50"/>
    </row>
    <row r="20" spans="1:21" customFormat="1">
      <c r="A20" s="53" t="s">
        <v>596</v>
      </c>
      <c r="B20" s="52">
        <v>12.73</v>
      </c>
      <c r="C20" s="52">
        <v>39.01</v>
      </c>
      <c r="D20" s="52">
        <v>29.51</v>
      </c>
      <c r="E20" s="52">
        <v>7.54</v>
      </c>
      <c r="F20" s="52">
        <v>8.69</v>
      </c>
      <c r="G20" s="52">
        <v>16.260000000000002</v>
      </c>
      <c r="H20" s="52">
        <v>6.69</v>
      </c>
      <c r="I20" s="52">
        <v>4.32</v>
      </c>
      <c r="J20" s="52">
        <v>1.4</v>
      </c>
      <c r="K20" s="52">
        <v>297.74</v>
      </c>
      <c r="L20" s="52">
        <v>30.82</v>
      </c>
      <c r="M20" s="52">
        <v>66.34</v>
      </c>
      <c r="N20" s="52">
        <v>479.1</v>
      </c>
      <c r="O20" s="52">
        <v>0</v>
      </c>
      <c r="P20" s="52">
        <v>0.47</v>
      </c>
      <c r="Q20" s="52">
        <v>4.84</v>
      </c>
      <c r="R20" s="50"/>
      <c r="S20" s="50"/>
      <c r="T20" s="50"/>
      <c r="U20" s="50"/>
    </row>
    <row r="21" spans="1:21" customFormat="1">
      <c r="A21" s="53" t="s">
        <v>597</v>
      </c>
      <c r="B21" s="52">
        <v>8.98</v>
      </c>
      <c r="C21" s="52">
        <v>39.72</v>
      </c>
      <c r="D21" s="52">
        <v>26.9</v>
      </c>
      <c r="E21" s="52">
        <v>22.2</v>
      </c>
      <c r="F21" s="52">
        <v>23.93</v>
      </c>
      <c r="G21" s="52">
        <v>16.260000000000002</v>
      </c>
      <c r="H21" s="52">
        <v>15.35</v>
      </c>
      <c r="I21" s="52">
        <v>6.45</v>
      </c>
      <c r="J21" s="52">
        <v>1.32</v>
      </c>
      <c r="K21" s="52">
        <v>282.45999999999998</v>
      </c>
      <c r="L21" s="52">
        <v>30.6</v>
      </c>
      <c r="M21" s="52">
        <v>68.510000000000005</v>
      </c>
      <c r="N21" s="52">
        <v>399.8</v>
      </c>
      <c r="O21" s="52">
        <v>0</v>
      </c>
      <c r="P21" s="52">
        <v>0.92</v>
      </c>
      <c r="Q21" s="52">
        <v>4.6399999999999997</v>
      </c>
      <c r="R21" s="50"/>
      <c r="S21" s="50"/>
      <c r="T21" s="50"/>
      <c r="U21" s="50"/>
    </row>
    <row r="22" spans="1:21" customFormat="1">
      <c r="A22" s="53" t="s">
        <v>598</v>
      </c>
      <c r="B22" s="52">
        <v>3.31</v>
      </c>
      <c r="C22" s="52">
        <v>29.47</v>
      </c>
      <c r="D22" s="52">
        <v>17.010000000000002</v>
      </c>
      <c r="E22" s="52">
        <v>15.11</v>
      </c>
      <c r="F22" s="52">
        <v>27.38</v>
      </c>
      <c r="G22" s="11" t="s">
        <v>12</v>
      </c>
      <c r="H22" s="11" t="s">
        <v>12</v>
      </c>
      <c r="I22" s="52">
        <v>6.98</v>
      </c>
      <c r="J22" s="52">
        <v>1.22</v>
      </c>
      <c r="K22" s="52">
        <v>288.74</v>
      </c>
      <c r="L22" s="52">
        <v>30.88</v>
      </c>
      <c r="M22" s="52">
        <v>66.430000000000007</v>
      </c>
      <c r="N22" s="52">
        <v>365.5</v>
      </c>
      <c r="O22" s="52">
        <v>0</v>
      </c>
      <c r="P22" s="52">
        <v>0.84</v>
      </c>
      <c r="Q22" s="52">
        <v>4.2</v>
      </c>
      <c r="R22" s="50"/>
      <c r="S22" s="50"/>
      <c r="T22" s="50"/>
      <c r="U22" s="50"/>
    </row>
    <row r="23" spans="1:21" customFormat="1">
      <c r="A23" s="53" t="s">
        <v>599</v>
      </c>
      <c r="B23" s="52">
        <v>3.86</v>
      </c>
      <c r="C23" s="52">
        <v>32.33</v>
      </c>
      <c r="D23" s="52">
        <v>18.649999999999999</v>
      </c>
      <c r="E23" s="52">
        <v>7.4</v>
      </c>
      <c r="F23" s="52">
        <v>16.47</v>
      </c>
      <c r="G23" s="11" t="s">
        <v>12</v>
      </c>
      <c r="H23" s="11" t="s">
        <v>12</v>
      </c>
      <c r="I23" s="52">
        <v>5.94</v>
      </c>
      <c r="J23" s="52">
        <v>1.1000000000000001</v>
      </c>
      <c r="K23" s="52">
        <v>294.99</v>
      </c>
      <c r="L23" s="52">
        <v>31.05</v>
      </c>
      <c r="M23" s="52">
        <v>64.94</v>
      </c>
      <c r="N23" s="52">
        <v>254.5</v>
      </c>
      <c r="O23" s="52">
        <v>0</v>
      </c>
      <c r="P23" s="52">
        <v>0.68</v>
      </c>
      <c r="Q23" s="52">
        <v>4.03</v>
      </c>
      <c r="R23" s="50"/>
      <c r="S23" s="50"/>
      <c r="T23" s="50"/>
      <c r="U23" s="50"/>
    </row>
    <row r="24" spans="1:21" customFormat="1">
      <c r="A24" s="53" t="s">
        <v>600</v>
      </c>
      <c r="B24" s="52">
        <v>5.13</v>
      </c>
      <c r="C24" s="52">
        <v>38.020000000000003</v>
      </c>
      <c r="D24" s="52">
        <v>22.93</v>
      </c>
      <c r="E24" s="52">
        <v>6.74</v>
      </c>
      <c r="F24" s="52">
        <v>13.56</v>
      </c>
      <c r="G24" s="52">
        <v>37.81</v>
      </c>
      <c r="H24" s="52">
        <v>10.96</v>
      </c>
      <c r="I24" s="52">
        <v>5.51</v>
      </c>
      <c r="J24" s="52">
        <v>1.19</v>
      </c>
      <c r="K24" s="52">
        <v>301.88</v>
      </c>
      <c r="L24" s="52">
        <v>31.16</v>
      </c>
      <c r="M24" s="52">
        <v>63.87</v>
      </c>
      <c r="N24" s="52">
        <v>192.1</v>
      </c>
      <c r="O24" s="52">
        <v>0</v>
      </c>
      <c r="P24" s="52">
        <v>0.64</v>
      </c>
      <c r="Q24" s="52">
        <v>4.13</v>
      </c>
      <c r="R24" s="50"/>
      <c r="S24" s="50"/>
      <c r="T24" s="50"/>
      <c r="U24" s="50"/>
    </row>
    <row r="25" spans="1:21" customFormat="1">
      <c r="A25" s="53" t="s">
        <v>601</v>
      </c>
      <c r="B25" s="52">
        <v>7.41</v>
      </c>
      <c r="C25" s="52">
        <v>38.130000000000003</v>
      </c>
      <c r="D25" s="52">
        <v>23.64</v>
      </c>
      <c r="E25" s="52">
        <v>7.09</v>
      </c>
      <c r="F25" s="52">
        <v>13.53</v>
      </c>
      <c r="G25" s="52">
        <v>34.020000000000003</v>
      </c>
      <c r="H25" s="52">
        <v>9.83</v>
      </c>
      <c r="I25" s="52">
        <v>5.37</v>
      </c>
      <c r="J25" s="52">
        <v>1.46</v>
      </c>
      <c r="K25" s="52">
        <v>304.42</v>
      </c>
      <c r="L25" s="52">
        <v>31.09</v>
      </c>
      <c r="M25" s="52">
        <v>67.010000000000005</v>
      </c>
      <c r="N25" s="52">
        <v>149</v>
      </c>
      <c r="O25" s="52">
        <v>0</v>
      </c>
      <c r="P25" s="52">
        <v>0.63</v>
      </c>
      <c r="Q25" s="52">
        <v>4.24</v>
      </c>
      <c r="R25" s="50"/>
      <c r="S25" s="50"/>
      <c r="T25" s="50"/>
      <c r="U25" s="50"/>
    </row>
    <row r="26" spans="1:21" customFormat="1">
      <c r="A26" s="53" t="s">
        <v>602</v>
      </c>
      <c r="B26" s="52">
        <v>7.53</v>
      </c>
      <c r="C26" s="52">
        <v>40.01</v>
      </c>
      <c r="D26" s="52">
        <v>25.89</v>
      </c>
      <c r="E26" s="52">
        <v>7.7</v>
      </c>
      <c r="F26" s="52">
        <v>14.56</v>
      </c>
      <c r="G26" s="52">
        <v>28.34</v>
      </c>
      <c r="H26" s="52">
        <v>8.14</v>
      </c>
      <c r="I26" s="52">
        <v>4.8</v>
      </c>
      <c r="J26" s="52">
        <v>0.81</v>
      </c>
      <c r="K26" s="52">
        <v>307.98</v>
      </c>
      <c r="L26" s="52">
        <v>29.2</v>
      </c>
      <c r="M26" s="52">
        <v>83.66</v>
      </c>
      <c r="N26" s="52">
        <v>101.7</v>
      </c>
      <c r="O26" s="52">
        <v>0</v>
      </c>
      <c r="P26" s="52">
        <v>0.61</v>
      </c>
      <c r="Q26" s="52">
        <v>4.3</v>
      </c>
      <c r="R26" s="50"/>
      <c r="S26" s="50"/>
      <c r="T26" s="50"/>
      <c r="U26" s="50"/>
    </row>
    <row r="27" spans="1:21" customFormat="1">
      <c r="A27" s="53" t="s">
        <v>603</v>
      </c>
      <c r="B27" s="52">
        <v>8.73</v>
      </c>
      <c r="C27" s="52">
        <v>40.17</v>
      </c>
      <c r="D27" s="52">
        <v>26.68</v>
      </c>
      <c r="E27" s="52">
        <v>7.12</v>
      </c>
      <c r="F27" s="52">
        <v>17.12</v>
      </c>
      <c r="G27" s="52">
        <v>28.34</v>
      </c>
      <c r="H27" s="52">
        <v>8.14</v>
      </c>
      <c r="I27" s="52">
        <v>4.84</v>
      </c>
      <c r="J27" s="52">
        <v>1.08</v>
      </c>
      <c r="K27" s="52">
        <v>296.05</v>
      </c>
      <c r="L27" s="52">
        <v>28.84</v>
      </c>
      <c r="M27" s="52">
        <v>74.55</v>
      </c>
      <c r="N27" s="52">
        <v>10.8</v>
      </c>
      <c r="O27" s="52">
        <v>0</v>
      </c>
      <c r="P27" s="52">
        <v>0.61</v>
      </c>
      <c r="Q27" s="52">
        <v>4.42</v>
      </c>
      <c r="R27" s="50"/>
      <c r="S27" s="50"/>
      <c r="T27" s="50"/>
      <c r="U27" s="50"/>
    </row>
    <row r="28" spans="1:21" customFormat="1">
      <c r="A28" s="53" t="s">
        <v>604</v>
      </c>
      <c r="B28" s="52">
        <v>8.5500000000000007</v>
      </c>
      <c r="C28" s="52">
        <v>38.840000000000003</v>
      </c>
      <c r="D28" s="52">
        <v>26.11</v>
      </c>
      <c r="E28" s="52">
        <v>6.57</v>
      </c>
      <c r="F28" s="52">
        <v>17.41</v>
      </c>
      <c r="G28" s="52">
        <v>28.34</v>
      </c>
      <c r="H28" s="52">
        <v>8.14</v>
      </c>
      <c r="I28" s="52">
        <v>4.5599999999999996</v>
      </c>
      <c r="J28" s="52">
        <v>0.74</v>
      </c>
      <c r="K28" s="52">
        <v>274.98</v>
      </c>
      <c r="L28" s="52">
        <v>28.76</v>
      </c>
      <c r="M28" s="52">
        <v>75.48</v>
      </c>
      <c r="N28" s="52">
        <v>0</v>
      </c>
      <c r="O28" s="52">
        <v>0</v>
      </c>
      <c r="P28" s="52">
        <v>0.57999999999999996</v>
      </c>
      <c r="Q28" s="52">
        <v>4.49</v>
      </c>
      <c r="R28" s="50"/>
      <c r="S28" s="50"/>
      <c r="T28" s="50"/>
      <c r="U28" s="50"/>
    </row>
    <row r="29" spans="1:21" customFormat="1">
      <c r="A29" s="53" t="s">
        <v>605</v>
      </c>
      <c r="B29" s="52">
        <v>9.73</v>
      </c>
      <c r="C29" s="52">
        <v>40.909999999999997</v>
      </c>
      <c r="D29" s="52">
        <v>27.79</v>
      </c>
      <c r="E29" s="52">
        <v>6.11</v>
      </c>
      <c r="F29" s="52">
        <v>11.11</v>
      </c>
      <c r="G29" s="52">
        <v>25.33</v>
      </c>
      <c r="H29" s="52">
        <v>7.95</v>
      </c>
      <c r="I29" s="52">
        <v>4.6500000000000004</v>
      </c>
      <c r="J29" s="52">
        <v>0.77</v>
      </c>
      <c r="K29" s="52">
        <v>252.85</v>
      </c>
      <c r="L29" s="52">
        <v>28.37</v>
      </c>
      <c r="M29" s="52">
        <v>77.77</v>
      </c>
      <c r="N29" s="52">
        <v>0</v>
      </c>
      <c r="O29" s="52">
        <v>0</v>
      </c>
      <c r="P29" s="52">
        <v>0.56999999999999995</v>
      </c>
      <c r="Q29" s="52">
        <v>4.5</v>
      </c>
      <c r="R29" s="50"/>
      <c r="S29" s="50"/>
      <c r="T29" s="50"/>
      <c r="U29" s="50"/>
    </row>
    <row r="30" spans="1:21" customFormat="1">
      <c r="A30" s="53" t="s">
        <v>606</v>
      </c>
      <c r="B30" s="52">
        <v>10.59</v>
      </c>
      <c r="C30" s="52">
        <v>40.29</v>
      </c>
      <c r="D30" s="52">
        <v>28.5</v>
      </c>
      <c r="E30" s="52">
        <v>5.66</v>
      </c>
      <c r="F30" s="52">
        <v>8.68</v>
      </c>
      <c r="G30" s="52">
        <v>20.8</v>
      </c>
      <c r="H30" s="52">
        <v>7.66</v>
      </c>
      <c r="I30" s="52">
        <v>4.6399999999999997</v>
      </c>
      <c r="J30" s="52">
        <v>0.81</v>
      </c>
      <c r="K30" s="52">
        <v>257.19</v>
      </c>
      <c r="L30" s="52">
        <v>27.51</v>
      </c>
      <c r="M30" s="52">
        <v>79.53</v>
      </c>
      <c r="N30" s="52">
        <v>0</v>
      </c>
      <c r="O30" s="52">
        <v>0</v>
      </c>
      <c r="P30" s="52">
        <v>0.54</v>
      </c>
      <c r="Q30" s="52">
        <v>4.5</v>
      </c>
      <c r="R30" s="50"/>
      <c r="S30" s="50"/>
      <c r="T30" s="50"/>
      <c r="U30" s="50"/>
    </row>
    <row r="31" spans="1:21" customFormat="1">
      <c r="A31" s="53" t="s">
        <v>607</v>
      </c>
      <c r="B31" s="52">
        <v>11.17</v>
      </c>
      <c r="C31" s="52">
        <v>41.36</v>
      </c>
      <c r="D31" s="52">
        <v>29.52</v>
      </c>
      <c r="E31" s="52">
        <v>5.86</v>
      </c>
      <c r="F31" s="52">
        <v>7.43</v>
      </c>
      <c r="G31" s="52">
        <v>20.8</v>
      </c>
      <c r="H31" s="52">
        <v>7.66</v>
      </c>
      <c r="I31" s="52">
        <v>4.41</v>
      </c>
      <c r="J31" s="52">
        <v>1.19</v>
      </c>
      <c r="K31" s="52">
        <v>270.08999999999997</v>
      </c>
      <c r="L31" s="52">
        <v>27.05</v>
      </c>
      <c r="M31" s="52">
        <v>79.790000000000006</v>
      </c>
      <c r="N31" s="52">
        <v>0</v>
      </c>
      <c r="O31" s="52">
        <v>0</v>
      </c>
      <c r="P31" s="52">
        <v>0.52</v>
      </c>
      <c r="Q31" s="52">
        <v>4.54</v>
      </c>
      <c r="R31" s="50"/>
      <c r="S31" s="50"/>
      <c r="T31" s="50"/>
      <c r="U31" s="50"/>
    </row>
    <row r="32" spans="1:21" customFormat="1">
      <c r="A32" s="53" t="s">
        <v>608</v>
      </c>
      <c r="B32" s="52">
        <v>11.53</v>
      </c>
      <c r="C32" s="52">
        <v>40.43</v>
      </c>
      <c r="D32" s="52">
        <v>29.19</v>
      </c>
      <c r="E32" s="52">
        <v>5.65</v>
      </c>
      <c r="F32" s="52">
        <v>5.68</v>
      </c>
      <c r="G32" s="52">
        <v>20.8</v>
      </c>
      <c r="H32" s="52">
        <v>7.66</v>
      </c>
      <c r="I32" s="52">
        <v>4.4000000000000004</v>
      </c>
      <c r="J32" s="52">
        <v>1.1000000000000001</v>
      </c>
      <c r="K32" s="52">
        <v>263.66000000000003</v>
      </c>
      <c r="L32" s="52">
        <v>26.88</v>
      </c>
      <c r="M32" s="52">
        <v>83.07</v>
      </c>
      <c r="N32" s="52">
        <v>0</v>
      </c>
      <c r="O32" s="52">
        <v>0</v>
      </c>
      <c r="P32" s="52">
        <v>0.52</v>
      </c>
      <c r="Q32" s="52">
        <v>4.51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3.31</v>
      </c>
      <c r="C34" s="41">
        <f t="shared" si="0"/>
        <v>29.47</v>
      </c>
      <c r="D34" s="41">
        <f t="shared" si="0"/>
        <v>17.010000000000002</v>
      </c>
      <c r="E34" s="41">
        <f t="shared" si="0"/>
        <v>5.65</v>
      </c>
      <c r="F34" s="41">
        <f t="shared" si="0"/>
        <v>4</v>
      </c>
      <c r="G34" s="41">
        <f t="shared" si="0"/>
        <v>10.94</v>
      </c>
      <c r="H34" s="41">
        <f t="shared" si="0"/>
        <v>4.32</v>
      </c>
      <c r="I34" s="41">
        <f t="shared" si="0"/>
        <v>4</v>
      </c>
      <c r="J34" s="41">
        <f t="shared" si="0"/>
        <v>0.18</v>
      </c>
      <c r="K34" s="41">
        <f t="shared" si="0"/>
        <v>139.76</v>
      </c>
      <c r="L34" s="41">
        <f t="shared" si="0"/>
        <v>25.34</v>
      </c>
      <c r="M34" s="41">
        <f t="shared" si="0"/>
        <v>63.87</v>
      </c>
      <c r="N34" s="41">
        <f t="shared" si="0"/>
        <v>0</v>
      </c>
      <c r="O34" s="41">
        <f t="shared" si="0"/>
        <v>0</v>
      </c>
      <c r="P34" s="41">
        <f t="shared" si="0"/>
        <v>0.43</v>
      </c>
      <c r="Q34" s="41">
        <f t="shared" si="0"/>
        <v>4.03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20.12</v>
      </c>
      <c r="C35" s="33">
        <f t="shared" si="1"/>
        <v>48.85</v>
      </c>
      <c r="D35" s="33">
        <f t="shared" si="1"/>
        <v>39.799999999999997</v>
      </c>
      <c r="E35" s="33">
        <f t="shared" si="1"/>
        <v>22.2</v>
      </c>
      <c r="F35" s="33">
        <f t="shared" si="1"/>
        <v>27.38</v>
      </c>
      <c r="G35" s="33">
        <f t="shared" si="1"/>
        <v>37.81</v>
      </c>
      <c r="H35" s="33">
        <f t="shared" si="1"/>
        <v>15.35</v>
      </c>
      <c r="I35" s="33">
        <f t="shared" si="1"/>
        <v>6.98</v>
      </c>
      <c r="J35" s="33">
        <f t="shared" si="1"/>
        <v>1.46</v>
      </c>
      <c r="K35" s="33">
        <f t="shared" si="1"/>
        <v>307.98</v>
      </c>
      <c r="L35" s="33">
        <f t="shared" si="1"/>
        <v>31.16</v>
      </c>
      <c r="M35" s="33">
        <f t="shared" si="1"/>
        <v>90.34</v>
      </c>
      <c r="N35" s="33">
        <f t="shared" si="1"/>
        <v>479.1</v>
      </c>
      <c r="O35" s="33">
        <f t="shared" si="1"/>
        <v>0</v>
      </c>
      <c r="P35" s="33">
        <f t="shared" si="1"/>
        <v>0.92</v>
      </c>
      <c r="Q35" s="33">
        <f t="shared" si="1"/>
        <v>5.25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12.76958333333333</v>
      </c>
      <c r="C36" s="41">
        <f t="shared" si="2"/>
        <v>42.422916666666666</v>
      </c>
      <c r="D36" s="41">
        <f t="shared" si="2"/>
        <v>31.187916666666663</v>
      </c>
      <c r="E36" s="41">
        <f t="shared" si="2"/>
        <v>7.6070833333333345</v>
      </c>
      <c r="F36" s="41">
        <f t="shared" si="2"/>
        <v>9.9862500000000001</v>
      </c>
      <c r="G36" s="41">
        <f t="shared" si="2"/>
        <v>20.298636363636362</v>
      </c>
      <c r="H36" s="41">
        <f t="shared" si="2"/>
        <v>7.5272727272727256</v>
      </c>
      <c r="I36" s="41">
        <f t="shared" si="2"/>
        <v>4.8395833333333345</v>
      </c>
      <c r="J36" s="41">
        <f t="shared" si="2"/>
        <v>0.90791666666666659</v>
      </c>
      <c r="K36" s="41">
        <f t="shared" si="2"/>
        <v>266.74083333333334</v>
      </c>
      <c r="L36" s="41">
        <f t="shared" si="2"/>
        <v>28.082499999999996</v>
      </c>
      <c r="M36" s="41">
        <f t="shared" si="2"/>
        <v>78.665000000000006</v>
      </c>
      <c r="N36" s="41">
        <f t="shared" si="2"/>
        <v>130.10833333333332</v>
      </c>
      <c r="O36" s="41">
        <f t="shared" si="2"/>
        <v>0</v>
      </c>
      <c r="P36" s="41">
        <f t="shared" si="2"/>
        <v>0.55458333333333332</v>
      </c>
      <c r="Q36" s="41">
        <f t="shared" si="2"/>
        <v>4.7404166666666674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5.431221721128507</v>
      </c>
      <c r="C37" s="41">
        <f t="shared" ref="C37:Q37" si="3">STDEV(C9:C32)</f>
        <v>5.2318427040298481</v>
      </c>
      <c r="D37" s="41">
        <f t="shared" si="3"/>
        <v>6.9823124232135925</v>
      </c>
      <c r="E37" s="41">
        <f t="shared" si="3"/>
        <v>3.6029583004099184</v>
      </c>
      <c r="F37" s="41">
        <f t="shared" si="3"/>
        <v>6.6457602126730277</v>
      </c>
      <c r="G37" s="41">
        <f t="shared" si="3"/>
        <v>8.0392449867328892</v>
      </c>
      <c r="H37" s="41">
        <f t="shared" si="3"/>
        <v>2.5286627028797457</v>
      </c>
      <c r="I37" s="41">
        <f t="shared" si="3"/>
        <v>0.74192744967395319</v>
      </c>
      <c r="J37" s="41">
        <f t="shared" si="3"/>
        <v>0.36719831351638238</v>
      </c>
      <c r="K37" s="41">
        <f t="shared" si="3"/>
        <v>36.465323959198606</v>
      </c>
      <c r="L37" s="41">
        <f t="shared" si="3"/>
        <v>2.0587823543563015</v>
      </c>
      <c r="M37" s="41">
        <f t="shared" si="3"/>
        <v>8.771511197943699</v>
      </c>
      <c r="N37" s="41">
        <f t="shared" si="3"/>
        <v>163.06054068209218</v>
      </c>
      <c r="O37" s="41">
        <f t="shared" si="3"/>
        <v>0</v>
      </c>
      <c r="P37" s="41">
        <f t="shared" si="3"/>
        <v>0.1229697441284425</v>
      </c>
      <c r="Q37" s="41">
        <f t="shared" si="3"/>
        <v>0.40503869022564487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G18" sqref="G9:H1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24/06/2023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609</v>
      </c>
      <c r="B9" s="52">
        <v>10.42</v>
      </c>
      <c r="C9" s="52">
        <v>40.32</v>
      </c>
      <c r="D9" s="52">
        <v>28.38</v>
      </c>
      <c r="E9" s="52">
        <v>5.92</v>
      </c>
      <c r="F9" s="52">
        <v>5.69</v>
      </c>
      <c r="G9" s="52">
        <v>21.49</v>
      </c>
      <c r="H9" s="52">
        <v>5.99</v>
      </c>
      <c r="I9" s="52">
        <v>4.3499999999999996</v>
      </c>
      <c r="J9" s="52">
        <v>1</v>
      </c>
      <c r="K9" s="52">
        <v>259.44</v>
      </c>
      <c r="L9" s="52">
        <v>26.6</v>
      </c>
      <c r="M9" s="52">
        <v>85.74</v>
      </c>
      <c r="N9" s="52">
        <v>0</v>
      </c>
      <c r="O9" s="52">
        <v>0</v>
      </c>
      <c r="P9" s="52">
        <v>0.56000000000000005</v>
      </c>
      <c r="Q9" s="52">
        <v>4.5999999999999996</v>
      </c>
    </row>
    <row r="10" spans="1:21" customFormat="1">
      <c r="A10" s="53" t="s">
        <v>610</v>
      </c>
      <c r="B10" s="52">
        <v>11.18</v>
      </c>
      <c r="C10" s="52">
        <v>40.31</v>
      </c>
      <c r="D10" s="52">
        <v>28.98</v>
      </c>
      <c r="E10" s="52">
        <v>7.68</v>
      </c>
      <c r="F10" s="52">
        <v>6.77</v>
      </c>
      <c r="G10" s="52">
        <v>21.49</v>
      </c>
      <c r="H10" s="52">
        <v>5.99</v>
      </c>
      <c r="I10" s="52">
        <v>4.67</v>
      </c>
      <c r="J10" s="52">
        <v>0.76</v>
      </c>
      <c r="K10" s="52">
        <v>261.95999999999998</v>
      </c>
      <c r="L10" s="52">
        <v>26.47</v>
      </c>
      <c r="M10" s="52">
        <v>85.97</v>
      </c>
      <c r="N10" s="52">
        <v>0</v>
      </c>
      <c r="O10" s="52">
        <v>0</v>
      </c>
      <c r="P10" s="52">
        <v>0.61</v>
      </c>
      <c r="Q10" s="52">
        <v>4.5999999999999996</v>
      </c>
    </row>
    <row r="11" spans="1:21" customFormat="1">
      <c r="A11" s="53" t="s">
        <v>611</v>
      </c>
      <c r="B11" s="52">
        <v>12.41</v>
      </c>
      <c r="C11" s="52">
        <v>41.88</v>
      </c>
      <c r="D11" s="52">
        <v>30.75</v>
      </c>
      <c r="E11" s="52">
        <v>6.65</v>
      </c>
      <c r="F11" s="52">
        <v>6.63</v>
      </c>
      <c r="G11" s="52">
        <v>21.43</v>
      </c>
      <c r="H11" s="52">
        <v>6.3</v>
      </c>
      <c r="I11" s="52">
        <v>4.97</v>
      </c>
      <c r="J11" s="52">
        <v>0.7</v>
      </c>
      <c r="K11" s="52">
        <v>258.52</v>
      </c>
      <c r="L11" s="52">
        <v>26.52</v>
      </c>
      <c r="M11" s="52">
        <v>86.71</v>
      </c>
      <c r="N11" s="52">
        <v>0</v>
      </c>
      <c r="O11" s="52">
        <v>0</v>
      </c>
      <c r="P11" s="52">
        <v>0.63</v>
      </c>
      <c r="Q11" s="52">
        <v>4.66</v>
      </c>
    </row>
    <row r="12" spans="1:21" customFormat="1">
      <c r="A12" s="53" t="s">
        <v>612</v>
      </c>
      <c r="B12" s="52">
        <v>13.13</v>
      </c>
      <c r="C12" s="52">
        <v>40.75</v>
      </c>
      <c r="D12" s="52">
        <v>30.63</v>
      </c>
      <c r="E12" s="52">
        <v>6.28</v>
      </c>
      <c r="F12" s="52">
        <v>6.42</v>
      </c>
      <c r="G12" s="52">
        <v>21.32</v>
      </c>
      <c r="H12" s="52">
        <v>6.75</v>
      </c>
      <c r="I12" s="52">
        <v>4.88</v>
      </c>
      <c r="J12" s="52">
        <v>0.83</v>
      </c>
      <c r="K12" s="52">
        <v>259.62</v>
      </c>
      <c r="L12" s="52">
        <v>26.15</v>
      </c>
      <c r="M12" s="52">
        <v>86.98</v>
      </c>
      <c r="N12" s="52">
        <v>0</v>
      </c>
      <c r="O12" s="52">
        <v>0</v>
      </c>
      <c r="P12" s="52">
        <v>0.62</v>
      </c>
      <c r="Q12" s="52">
        <v>4.67</v>
      </c>
    </row>
    <row r="13" spans="1:21" customFormat="1">
      <c r="A13" s="53" t="s">
        <v>613</v>
      </c>
      <c r="B13" s="52">
        <v>14.26</v>
      </c>
      <c r="C13" s="52">
        <v>41.89</v>
      </c>
      <c r="D13" s="52">
        <v>32.28</v>
      </c>
      <c r="E13" s="52">
        <v>6.15</v>
      </c>
      <c r="F13" s="52">
        <v>6.29</v>
      </c>
      <c r="G13" s="52">
        <v>21.32</v>
      </c>
      <c r="H13" s="52">
        <v>6.75</v>
      </c>
      <c r="I13" s="52">
        <v>4.68</v>
      </c>
      <c r="J13" s="52">
        <v>0.61</v>
      </c>
      <c r="K13" s="52">
        <v>259.5</v>
      </c>
      <c r="L13" s="52">
        <v>26</v>
      </c>
      <c r="M13" s="52">
        <v>87.94</v>
      </c>
      <c r="N13" s="52">
        <v>0</v>
      </c>
      <c r="O13" s="52">
        <v>0</v>
      </c>
      <c r="P13" s="52">
        <v>0.56000000000000005</v>
      </c>
      <c r="Q13" s="52">
        <v>4.74</v>
      </c>
    </row>
    <row r="14" spans="1:21" customFormat="1">
      <c r="A14" s="53" t="s">
        <v>614</v>
      </c>
      <c r="B14" s="52">
        <v>14.55</v>
      </c>
      <c r="C14" s="52">
        <v>40.24</v>
      </c>
      <c r="D14" s="52">
        <v>31.38</v>
      </c>
      <c r="E14" s="52">
        <v>5.82</v>
      </c>
      <c r="F14" s="52">
        <v>5.61</v>
      </c>
      <c r="G14" s="52">
        <v>21.32</v>
      </c>
      <c r="H14" s="52">
        <v>6.75</v>
      </c>
      <c r="I14" s="52">
        <v>4.49</v>
      </c>
      <c r="J14" s="52">
        <v>0.66</v>
      </c>
      <c r="K14" s="52">
        <v>266.44</v>
      </c>
      <c r="L14" s="52">
        <v>25.9</v>
      </c>
      <c r="M14" s="52">
        <v>88.13</v>
      </c>
      <c r="N14" s="52">
        <v>2.1</v>
      </c>
      <c r="O14" s="52">
        <v>0</v>
      </c>
      <c r="P14" s="52">
        <v>0.52</v>
      </c>
      <c r="Q14" s="52">
        <v>4.75</v>
      </c>
    </row>
    <row r="15" spans="1:21" customFormat="1">
      <c r="A15" s="53" t="s">
        <v>615</v>
      </c>
      <c r="B15" s="52">
        <v>14.84</v>
      </c>
      <c r="C15" s="52">
        <v>40.409999999999997</v>
      </c>
      <c r="D15" s="52">
        <v>31.82</v>
      </c>
      <c r="E15" s="52">
        <v>6.38</v>
      </c>
      <c r="F15" s="52">
        <v>6.01</v>
      </c>
      <c r="G15" s="52">
        <v>21.91</v>
      </c>
      <c r="H15" s="52">
        <v>8.0299999999999994</v>
      </c>
      <c r="I15" s="52">
        <v>4.29</v>
      </c>
      <c r="J15" s="52">
        <v>0.81</v>
      </c>
      <c r="K15" s="52">
        <v>271.52999999999997</v>
      </c>
      <c r="L15" s="52">
        <v>26.41</v>
      </c>
      <c r="M15" s="52">
        <v>86.86</v>
      </c>
      <c r="N15" s="52">
        <v>62.1</v>
      </c>
      <c r="O15" s="52">
        <v>0</v>
      </c>
      <c r="P15" s="52">
        <v>0.52</v>
      </c>
      <c r="Q15" s="52">
        <v>4.75</v>
      </c>
    </row>
    <row r="16" spans="1:21" customFormat="1">
      <c r="A16" s="53" t="s">
        <v>616</v>
      </c>
      <c r="B16" s="52">
        <v>15.56</v>
      </c>
      <c r="C16" s="52">
        <v>40.56</v>
      </c>
      <c r="D16" s="52">
        <v>32.630000000000003</v>
      </c>
      <c r="E16" s="52">
        <v>6.32</v>
      </c>
      <c r="F16" s="52">
        <v>5.79</v>
      </c>
      <c r="G16" s="52">
        <v>22.79</v>
      </c>
      <c r="H16" s="52">
        <v>9.9499999999999993</v>
      </c>
      <c r="I16" s="52">
        <v>4.6100000000000003</v>
      </c>
      <c r="J16" s="52">
        <v>1.28</v>
      </c>
      <c r="K16" s="52">
        <v>271.74</v>
      </c>
      <c r="L16" s="52">
        <v>27.38</v>
      </c>
      <c r="M16" s="52">
        <v>84</v>
      </c>
      <c r="N16" s="52">
        <v>163.69999999999999</v>
      </c>
      <c r="O16" s="52">
        <v>0</v>
      </c>
      <c r="P16" s="52">
        <v>0.55000000000000004</v>
      </c>
      <c r="Q16" s="52">
        <v>4.83</v>
      </c>
    </row>
    <row r="17" spans="1:17" customFormat="1">
      <c r="A17" s="53" t="s">
        <v>617</v>
      </c>
      <c r="B17" s="52">
        <v>15.35</v>
      </c>
      <c r="C17" s="52">
        <v>42.24</v>
      </c>
      <c r="D17" s="52">
        <v>33.29</v>
      </c>
      <c r="E17" s="52">
        <v>7.86</v>
      </c>
      <c r="F17" s="52">
        <v>5.78</v>
      </c>
      <c r="G17" s="52">
        <v>22.79</v>
      </c>
      <c r="H17" s="52">
        <v>9.9499999999999993</v>
      </c>
      <c r="I17" s="52">
        <v>5.9</v>
      </c>
      <c r="J17" s="52">
        <v>0.93</v>
      </c>
      <c r="K17" s="52">
        <v>286.58999999999997</v>
      </c>
      <c r="L17" s="52">
        <v>28.1</v>
      </c>
      <c r="M17" s="52">
        <v>78.150000000000006</v>
      </c>
      <c r="N17" s="52">
        <v>275.3</v>
      </c>
      <c r="O17" s="52">
        <v>0</v>
      </c>
      <c r="P17" s="52">
        <v>0.62</v>
      </c>
      <c r="Q17" s="52">
        <v>4.82</v>
      </c>
    </row>
    <row r="18" spans="1:17" customFormat="1">
      <c r="A18" s="53" t="s">
        <v>618</v>
      </c>
      <c r="B18" s="52">
        <v>15.42</v>
      </c>
      <c r="C18" s="52">
        <v>38.39</v>
      </c>
      <c r="D18" s="52">
        <v>31.38</v>
      </c>
      <c r="E18" s="52">
        <v>6.93</v>
      </c>
      <c r="F18" s="52">
        <v>7.82</v>
      </c>
      <c r="G18" s="52">
        <v>22.79</v>
      </c>
      <c r="H18" s="52">
        <v>9.9499999999999993</v>
      </c>
      <c r="I18" s="52">
        <v>6.58</v>
      </c>
      <c r="J18" s="52">
        <v>1.28</v>
      </c>
      <c r="K18" s="52">
        <v>292.36</v>
      </c>
      <c r="L18" s="52">
        <v>28.91</v>
      </c>
      <c r="M18" s="52">
        <v>70.69</v>
      </c>
      <c r="N18" s="52">
        <v>357.6</v>
      </c>
      <c r="O18" s="52">
        <v>0</v>
      </c>
      <c r="P18" s="52">
        <v>0.63</v>
      </c>
      <c r="Q18" s="52">
        <v>4.83</v>
      </c>
    </row>
    <row r="19" spans="1:17" customFormat="1">
      <c r="A19" s="53" t="s">
        <v>619</v>
      </c>
      <c r="B19" s="52">
        <v>14.37</v>
      </c>
      <c r="C19" s="52">
        <v>40.42</v>
      </c>
      <c r="D19" s="52">
        <v>31.38</v>
      </c>
      <c r="E19" s="52">
        <v>12.34</v>
      </c>
      <c r="F19" s="52">
        <v>8.7899999999999991</v>
      </c>
      <c r="G19" s="52">
        <v>28.9</v>
      </c>
      <c r="H19" s="52">
        <v>11.91</v>
      </c>
      <c r="I19" s="52">
        <v>6.22</v>
      </c>
      <c r="J19" s="52">
        <v>1.28</v>
      </c>
      <c r="K19" s="52">
        <v>288.93</v>
      </c>
      <c r="L19" s="52">
        <v>28.95</v>
      </c>
      <c r="M19" s="52">
        <v>69.38</v>
      </c>
      <c r="N19" s="52">
        <v>240.3</v>
      </c>
      <c r="O19" s="52">
        <v>0</v>
      </c>
      <c r="P19" s="52">
        <v>0.6</v>
      </c>
      <c r="Q19" s="52">
        <v>4.76</v>
      </c>
    </row>
    <row r="20" spans="1:17" customFormat="1">
      <c r="A20" s="53" t="s">
        <v>620</v>
      </c>
      <c r="B20" s="52">
        <v>12.69</v>
      </c>
      <c r="C20" s="52">
        <v>41.18</v>
      </c>
      <c r="D20" s="52">
        <v>30.65</v>
      </c>
      <c r="E20" s="52">
        <v>12.51</v>
      </c>
      <c r="F20" s="52">
        <v>11.41</v>
      </c>
      <c r="G20" s="52">
        <v>31.25</v>
      </c>
      <c r="H20" s="52">
        <v>12.71</v>
      </c>
      <c r="I20" s="52">
        <v>5.8</v>
      </c>
      <c r="J20" s="52">
        <v>0.88</v>
      </c>
      <c r="K20" s="52">
        <v>289.66000000000003</v>
      </c>
      <c r="L20" s="52">
        <v>29.51</v>
      </c>
      <c r="M20" s="52">
        <v>66.95</v>
      </c>
      <c r="N20" s="52">
        <v>239.2</v>
      </c>
      <c r="O20" s="52">
        <v>0</v>
      </c>
      <c r="P20" s="52">
        <v>0.56999999999999995</v>
      </c>
      <c r="Q20" s="52">
        <v>4.71</v>
      </c>
    </row>
    <row r="21" spans="1:17" customFormat="1">
      <c r="A21" s="53" t="s">
        <v>621</v>
      </c>
      <c r="B21" s="52">
        <v>10.42</v>
      </c>
      <c r="C21" s="52">
        <v>40.69</v>
      </c>
      <c r="D21" s="52">
        <v>28.55</v>
      </c>
      <c r="E21" s="52">
        <v>12.81</v>
      </c>
      <c r="F21" s="52">
        <v>11.83</v>
      </c>
      <c r="G21" s="52">
        <v>32</v>
      </c>
      <c r="H21" s="52">
        <v>12.71</v>
      </c>
      <c r="I21" s="52">
        <v>5.48</v>
      </c>
      <c r="J21" s="52">
        <v>0.83</v>
      </c>
      <c r="K21" s="52">
        <v>266.82</v>
      </c>
      <c r="L21" s="52">
        <v>29.67</v>
      </c>
      <c r="M21" s="52">
        <v>67.849999999999994</v>
      </c>
      <c r="N21" s="52">
        <v>175.2</v>
      </c>
      <c r="O21" s="52">
        <v>0</v>
      </c>
      <c r="P21" s="52">
        <v>0.54</v>
      </c>
      <c r="Q21" s="52">
        <v>4.6100000000000003</v>
      </c>
    </row>
    <row r="22" spans="1:17" customFormat="1">
      <c r="A22" s="53" t="s">
        <v>622</v>
      </c>
      <c r="B22" s="52">
        <v>9.2899999999999991</v>
      </c>
      <c r="C22" s="52">
        <v>40.99</v>
      </c>
      <c r="D22" s="52">
        <v>27.48</v>
      </c>
      <c r="E22" s="52">
        <v>14.02</v>
      </c>
      <c r="F22" s="52">
        <v>12.39</v>
      </c>
      <c r="G22" s="52">
        <v>32.200000000000003</v>
      </c>
      <c r="H22" s="52">
        <v>14.1</v>
      </c>
      <c r="I22" s="52">
        <v>5.7</v>
      </c>
      <c r="J22" s="52">
        <v>0.82</v>
      </c>
      <c r="K22" s="52">
        <v>263.72000000000003</v>
      </c>
      <c r="L22" s="52">
        <v>30.07</v>
      </c>
      <c r="M22" s="52">
        <v>68.3</v>
      </c>
      <c r="N22" s="52">
        <v>222.6</v>
      </c>
      <c r="O22" s="52">
        <v>0</v>
      </c>
      <c r="P22" s="52">
        <v>0.55000000000000004</v>
      </c>
      <c r="Q22" s="52">
        <v>4.51</v>
      </c>
    </row>
    <row r="23" spans="1:17" customFormat="1">
      <c r="A23" s="53" t="s">
        <v>623</v>
      </c>
      <c r="B23" s="52">
        <v>8.7200000000000006</v>
      </c>
      <c r="C23" s="52">
        <v>37.799999999999997</v>
      </c>
      <c r="D23" s="52">
        <v>25.7</v>
      </c>
      <c r="E23" s="52">
        <v>12.06</v>
      </c>
      <c r="F23" s="52">
        <v>14.96</v>
      </c>
      <c r="G23" s="52">
        <v>32.200000000000003</v>
      </c>
      <c r="H23" s="52">
        <v>14.1</v>
      </c>
      <c r="I23" s="52">
        <v>5.86</v>
      </c>
      <c r="J23" s="52">
        <v>0.96</v>
      </c>
      <c r="K23" s="52">
        <v>272.11</v>
      </c>
      <c r="L23" s="52">
        <v>30.16</v>
      </c>
      <c r="M23" s="52">
        <v>65.53</v>
      </c>
      <c r="N23" s="52">
        <v>203.9</v>
      </c>
      <c r="O23" s="52">
        <v>0</v>
      </c>
      <c r="P23" s="52">
        <v>0.55000000000000004</v>
      </c>
      <c r="Q23" s="52">
        <v>4.46</v>
      </c>
    </row>
    <row r="24" spans="1:17" customFormat="1">
      <c r="A24" s="53" t="s">
        <v>624</v>
      </c>
      <c r="B24" s="52">
        <v>7.57</v>
      </c>
      <c r="C24" s="52">
        <v>39.020000000000003</v>
      </c>
      <c r="D24" s="52">
        <v>25.32</v>
      </c>
      <c r="E24" s="52">
        <v>10.85</v>
      </c>
      <c r="F24" s="52">
        <v>15.38</v>
      </c>
      <c r="G24" s="52">
        <v>34.119999999999997</v>
      </c>
      <c r="H24" s="52">
        <v>14.09</v>
      </c>
      <c r="I24" s="52">
        <v>6.08</v>
      </c>
      <c r="J24" s="52">
        <v>0.92</v>
      </c>
      <c r="K24" s="52">
        <v>274.95999999999998</v>
      </c>
      <c r="L24" s="52">
        <v>30.69</v>
      </c>
      <c r="M24" s="52">
        <v>65.03</v>
      </c>
      <c r="N24" s="52">
        <v>233.1</v>
      </c>
      <c r="O24" s="52">
        <v>0</v>
      </c>
      <c r="P24" s="52">
        <v>0.57999999999999996</v>
      </c>
      <c r="Q24" s="52">
        <v>4.43</v>
      </c>
    </row>
    <row r="25" spans="1:17" customFormat="1">
      <c r="A25" s="53" t="s">
        <v>625</v>
      </c>
      <c r="B25" s="52">
        <v>5.93</v>
      </c>
      <c r="C25" s="52">
        <v>35.47</v>
      </c>
      <c r="D25" s="52">
        <v>22.11</v>
      </c>
      <c r="E25" s="52">
        <v>11.96</v>
      </c>
      <c r="F25" s="52">
        <v>16.579999999999998</v>
      </c>
      <c r="G25" s="52">
        <v>36.770000000000003</v>
      </c>
      <c r="H25" s="52">
        <v>13.63</v>
      </c>
      <c r="I25" s="52">
        <v>5.88</v>
      </c>
      <c r="J25" s="52">
        <v>0.73</v>
      </c>
      <c r="K25" s="52">
        <v>271.68</v>
      </c>
      <c r="L25" s="52">
        <v>30.43</v>
      </c>
      <c r="M25" s="52">
        <v>66.02</v>
      </c>
      <c r="N25" s="52">
        <v>124.9</v>
      </c>
      <c r="O25" s="52">
        <v>0</v>
      </c>
      <c r="P25" s="52">
        <v>0.54</v>
      </c>
      <c r="Q25" s="52">
        <v>4.3099999999999996</v>
      </c>
    </row>
    <row r="26" spans="1:17" customFormat="1">
      <c r="A26" s="53" t="s">
        <v>626</v>
      </c>
      <c r="B26" s="52">
        <v>5.54</v>
      </c>
      <c r="C26" s="52">
        <v>35.29</v>
      </c>
      <c r="D26" s="52">
        <v>21.49</v>
      </c>
      <c r="E26" s="52">
        <v>12.65</v>
      </c>
      <c r="F26" s="52">
        <v>20.36</v>
      </c>
      <c r="G26" s="52">
        <v>36.770000000000003</v>
      </c>
      <c r="H26" s="52">
        <v>13.63</v>
      </c>
      <c r="I26" s="52">
        <v>5.58</v>
      </c>
      <c r="J26" s="52">
        <v>0.68</v>
      </c>
      <c r="K26" s="52">
        <v>257.01</v>
      </c>
      <c r="L26" s="52">
        <v>30</v>
      </c>
      <c r="M26" s="52">
        <v>67.45</v>
      </c>
      <c r="N26" s="52">
        <v>64.7</v>
      </c>
      <c r="O26" s="52">
        <v>0</v>
      </c>
      <c r="P26" s="52">
        <v>0.5</v>
      </c>
      <c r="Q26" s="52">
        <v>4.1900000000000004</v>
      </c>
    </row>
    <row r="27" spans="1:17" customFormat="1">
      <c r="A27" s="53" t="s">
        <v>627</v>
      </c>
      <c r="B27" s="52">
        <v>5.32</v>
      </c>
      <c r="C27" s="52">
        <v>32.72</v>
      </c>
      <c r="D27" s="52">
        <v>20.170000000000002</v>
      </c>
      <c r="E27" s="52">
        <v>9.19</v>
      </c>
      <c r="F27" s="52">
        <v>24.33</v>
      </c>
      <c r="G27" s="52">
        <v>33.17</v>
      </c>
      <c r="H27" s="52">
        <v>13.19</v>
      </c>
      <c r="I27" s="52">
        <v>5.17</v>
      </c>
      <c r="J27" s="52">
        <v>0.49</v>
      </c>
      <c r="K27" s="52">
        <v>254.5</v>
      </c>
      <c r="L27" s="52">
        <v>29.63</v>
      </c>
      <c r="M27" s="52">
        <v>69.86</v>
      </c>
      <c r="N27" s="52">
        <v>10.3</v>
      </c>
      <c r="O27" s="52">
        <v>0</v>
      </c>
      <c r="P27" s="52">
        <v>0.49</v>
      </c>
      <c r="Q27" s="52">
        <v>4.2699999999999996</v>
      </c>
    </row>
    <row r="28" spans="1:17" customFormat="1">
      <c r="A28" s="53" t="s">
        <v>628</v>
      </c>
      <c r="B28" s="52">
        <v>5.26</v>
      </c>
      <c r="C28" s="52">
        <v>34.57</v>
      </c>
      <c r="D28" s="52">
        <v>21.23</v>
      </c>
      <c r="E28" s="52">
        <v>9.44</v>
      </c>
      <c r="F28" s="52">
        <v>25.41</v>
      </c>
      <c r="G28" s="52">
        <v>32.54</v>
      </c>
      <c r="H28" s="52">
        <v>13.19</v>
      </c>
      <c r="I28" s="52">
        <v>4.42</v>
      </c>
      <c r="J28" s="52">
        <v>0.22</v>
      </c>
      <c r="K28" s="52">
        <v>234.19</v>
      </c>
      <c r="L28" s="52">
        <v>29.29</v>
      </c>
      <c r="M28" s="52">
        <v>73.56</v>
      </c>
      <c r="N28" s="52">
        <v>0</v>
      </c>
      <c r="O28" s="52">
        <v>0</v>
      </c>
      <c r="P28" s="52">
        <v>0.49</v>
      </c>
      <c r="Q28" s="52">
        <v>4.3099999999999996</v>
      </c>
    </row>
    <row r="29" spans="1:17" customFormat="1">
      <c r="A29" s="53" t="s">
        <v>629</v>
      </c>
      <c r="B29" s="52">
        <v>6.56</v>
      </c>
      <c r="C29" s="52">
        <v>36.909999999999997</v>
      </c>
      <c r="D29" s="52">
        <v>23.5</v>
      </c>
      <c r="E29" s="52">
        <v>8.98</v>
      </c>
      <c r="F29" s="52">
        <v>18.25</v>
      </c>
      <c r="G29" s="52">
        <v>30.19</v>
      </c>
      <c r="H29" s="52">
        <v>11.25</v>
      </c>
      <c r="I29" s="52">
        <v>4.41</v>
      </c>
      <c r="J29" s="52">
        <v>0.35</v>
      </c>
      <c r="K29" s="52">
        <v>249.44</v>
      </c>
      <c r="L29" s="52">
        <v>28.67</v>
      </c>
      <c r="M29" s="52">
        <v>74.91</v>
      </c>
      <c r="N29" s="52">
        <v>0</v>
      </c>
      <c r="O29" s="52">
        <v>0</v>
      </c>
      <c r="P29" s="52">
        <v>0.47</v>
      </c>
      <c r="Q29" s="52">
        <v>4.3</v>
      </c>
    </row>
    <row r="30" spans="1:17" customFormat="1">
      <c r="A30" s="53" t="s">
        <v>630</v>
      </c>
      <c r="B30" s="52">
        <v>7.52</v>
      </c>
      <c r="C30" s="52">
        <v>37.42</v>
      </c>
      <c r="D30" s="52">
        <v>24.54</v>
      </c>
      <c r="E30" s="52">
        <v>8.16</v>
      </c>
      <c r="F30" s="52">
        <v>13.47</v>
      </c>
      <c r="G30" s="52">
        <v>25.72</v>
      </c>
      <c r="H30" s="52">
        <v>10.94</v>
      </c>
      <c r="I30" s="52">
        <v>4.54</v>
      </c>
      <c r="J30" s="52">
        <v>0.56999999999999995</v>
      </c>
      <c r="K30" s="52">
        <v>254.97</v>
      </c>
      <c r="L30" s="52">
        <v>28.39</v>
      </c>
      <c r="M30" s="52">
        <v>75.53</v>
      </c>
      <c r="N30" s="52">
        <v>0</v>
      </c>
      <c r="O30" s="52">
        <v>0</v>
      </c>
      <c r="P30" s="52">
        <v>0.47</v>
      </c>
      <c r="Q30" s="52">
        <v>4.3600000000000003</v>
      </c>
    </row>
    <row r="31" spans="1:17" customFormat="1">
      <c r="A31" s="53" t="s">
        <v>631</v>
      </c>
      <c r="B31" s="52">
        <v>8.33</v>
      </c>
      <c r="C31" s="52">
        <v>37.99</v>
      </c>
      <c r="D31" s="52">
        <v>25.49</v>
      </c>
      <c r="E31" s="52">
        <v>8.4700000000000006</v>
      </c>
      <c r="F31" s="52">
        <v>10.85</v>
      </c>
      <c r="G31" s="52">
        <v>27.09</v>
      </c>
      <c r="H31" s="52">
        <v>11.44</v>
      </c>
      <c r="I31" s="52">
        <v>4.45</v>
      </c>
      <c r="J31" s="52">
        <v>0.62</v>
      </c>
      <c r="K31" s="52">
        <v>259.07</v>
      </c>
      <c r="L31" s="52">
        <v>28.02</v>
      </c>
      <c r="M31" s="52">
        <v>77.150000000000006</v>
      </c>
      <c r="N31" s="52">
        <v>0</v>
      </c>
      <c r="O31" s="52">
        <v>0</v>
      </c>
      <c r="P31" s="52">
        <v>0.45</v>
      </c>
      <c r="Q31" s="52">
        <v>4.41</v>
      </c>
    </row>
    <row r="32" spans="1:17" customFormat="1">
      <c r="A32" s="53" t="s">
        <v>632</v>
      </c>
      <c r="B32" s="52">
        <v>8.98</v>
      </c>
      <c r="C32" s="52">
        <v>36.869999999999997</v>
      </c>
      <c r="D32" s="52">
        <v>25.42</v>
      </c>
      <c r="E32" s="52">
        <v>8.02</v>
      </c>
      <c r="F32" s="52">
        <v>10.8</v>
      </c>
      <c r="G32" s="52">
        <v>27.09</v>
      </c>
      <c r="H32" s="52">
        <v>11.44</v>
      </c>
      <c r="I32" s="52">
        <v>4.3600000000000003</v>
      </c>
      <c r="J32" s="52">
        <v>0.64</v>
      </c>
      <c r="K32" s="52">
        <v>256.87</v>
      </c>
      <c r="L32" s="52">
        <v>27.74</v>
      </c>
      <c r="M32" s="52">
        <v>78.069999999999993</v>
      </c>
      <c r="N32" s="52">
        <v>0</v>
      </c>
      <c r="O32" s="52">
        <v>0</v>
      </c>
      <c r="P32" s="52">
        <v>0.46</v>
      </c>
      <c r="Q32" s="52">
        <v>4.43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5.26</v>
      </c>
      <c r="C34" s="41">
        <f t="shared" si="0"/>
        <v>32.72</v>
      </c>
      <c r="D34" s="41">
        <f t="shared" si="0"/>
        <v>20.170000000000002</v>
      </c>
      <c r="E34" s="41">
        <f t="shared" si="0"/>
        <v>5.82</v>
      </c>
      <c r="F34" s="41">
        <f t="shared" si="0"/>
        <v>5.61</v>
      </c>
      <c r="G34" s="41">
        <f t="shared" si="0"/>
        <v>21.32</v>
      </c>
      <c r="H34" s="41">
        <f t="shared" si="0"/>
        <v>5.99</v>
      </c>
      <c r="I34" s="41">
        <f t="shared" si="0"/>
        <v>4.29</v>
      </c>
      <c r="J34" s="41">
        <f t="shared" si="0"/>
        <v>0.22</v>
      </c>
      <c r="K34" s="41">
        <f t="shared" si="0"/>
        <v>234.19</v>
      </c>
      <c r="L34" s="41">
        <f t="shared" si="0"/>
        <v>25.9</v>
      </c>
      <c r="M34" s="41">
        <f t="shared" si="0"/>
        <v>65.03</v>
      </c>
      <c r="N34" s="41">
        <f t="shared" si="0"/>
        <v>0</v>
      </c>
      <c r="O34" s="41">
        <f t="shared" si="0"/>
        <v>0</v>
      </c>
      <c r="P34" s="41">
        <f t="shared" si="0"/>
        <v>0.45</v>
      </c>
      <c r="Q34" s="41">
        <f t="shared" si="0"/>
        <v>4.1900000000000004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15.56</v>
      </c>
      <c r="C35" s="33">
        <f t="shared" si="1"/>
        <v>42.24</v>
      </c>
      <c r="D35" s="33">
        <f t="shared" si="1"/>
        <v>33.29</v>
      </c>
      <c r="E35" s="33">
        <f t="shared" si="1"/>
        <v>14.02</v>
      </c>
      <c r="F35" s="33">
        <f t="shared" si="1"/>
        <v>25.41</v>
      </c>
      <c r="G35" s="33">
        <f t="shared" si="1"/>
        <v>36.770000000000003</v>
      </c>
      <c r="H35" s="33">
        <f t="shared" si="1"/>
        <v>14.1</v>
      </c>
      <c r="I35" s="33">
        <f t="shared" si="1"/>
        <v>6.58</v>
      </c>
      <c r="J35" s="33">
        <f t="shared" si="1"/>
        <v>1.28</v>
      </c>
      <c r="K35" s="33">
        <f t="shared" si="1"/>
        <v>292.36</v>
      </c>
      <c r="L35" s="33">
        <f t="shared" si="1"/>
        <v>30.69</v>
      </c>
      <c r="M35" s="33">
        <f t="shared" si="1"/>
        <v>88.13</v>
      </c>
      <c r="N35" s="33">
        <f t="shared" si="1"/>
        <v>357.6</v>
      </c>
      <c r="O35" s="33">
        <f t="shared" si="1"/>
        <v>0</v>
      </c>
      <c r="P35" s="33">
        <f t="shared" si="1"/>
        <v>0.63</v>
      </c>
      <c r="Q35" s="33">
        <f t="shared" si="1"/>
        <v>4.83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10.567499999999999</v>
      </c>
      <c r="C36" s="41">
        <f t="shared" si="2"/>
        <v>38.930416666666666</v>
      </c>
      <c r="D36" s="41">
        <f t="shared" si="2"/>
        <v>27.689583333333328</v>
      </c>
      <c r="E36" s="41">
        <f t="shared" si="2"/>
        <v>9.0604166666666668</v>
      </c>
      <c r="F36" s="41">
        <f t="shared" si="2"/>
        <v>11.567500000000001</v>
      </c>
      <c r="G36" s="41">
        <f t="shared" si="2"/>
        <v>27.444166666666664</v>
      </c>
      <c r="H36" s="41">
        <f t="shared" si="2"/>
        <v>10.614166666666666</v>
      </c>
      <c r="I36" s="41">
        <f t="shared" si="2"/>
        <v>5.140416666666666</v>
      </c>
      <c r="J36" s="41">
        <f t="shared" si="2"/>
        <v>0.78541666666666676</v>
      </c>
      <c r="K36" s="41">
        <f t="shared" si="2"/>
        <v>265.90124999999995</v>
      </c>
      <c r="L36" s="41">
        <f t="shared" si="2"/>
        <v>28.319166666666664</v>
      </c>
      <c r="M36" s="41">
        <f t="shared" si="2"/>
        <v>76.114999999999995</v>
      </c>
      <c r="N36" s="41">
        <f t="shared" si="2"/>
        <v>98.958333333333329</v>
      </c>
      <c r="O36" s="41">
        <f t="shared" si="2"/>
        <v>0</v>
      </c>
      <c r="P36" s="41">
        <f t="shared" si="2"/>
        <v>0.54500000000000004</v>
      </c>
      <c r="Q36" s="41">
        <f t="shared" si="2"/>
        <v>4.5545833333333325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3.598485490603927</v>
      </c>
      <c r="C37" s="41">
        <f t="shared" ref="C37:Q37" si="3">STDEV(C9:C32)</f>
        <v>2.5759379535579723</v>
      </c>
      <c r="D37" s="41">
        <f t="shared" si="3"/>
        <v>4.0611440658007778</v>
      </c>
      <c r="E37" s="41">
        <f t="shared" si="3"/>
        <v>2.6553284889176965</v>
      </c>
      <c r="F37" s="41">
        <f t="shared" si="3"/>
        <v>5.9870231043627911</v>
      </c>
      <c r="G37" s="41">
        <f t="shared" si="3"/>
        <v>5.4606170352623229</v>
      </c>
      <c r="H37" s="41">
        <f t="shared" si="3"/>
        <v>2.906940595056668</v>
      </c>
      <c r="I37" s="41">
        <f t="shared" si="3"/>
        <v>0.71933833828563176</v>
      </c>
      <c r="J37" s="41">
        <f t="shared" si="3"/>
        <v>0.26573898875574792</v>
      </c>
      <c r="K37" s="41">
        <f t="shared" si="3"/>
        <v>13.790506599926607</v>
      </c>
      <c r="L37" s="41">
        <f t="shared" si="3"/>
        <v>1.5698599125169135</v>
      </c>
      <c r="M37" s="41">
        <f t="shared" si="3"/>
        <v>8.4401936923994878</v>
      </c>
      <c r="N37" s="41">
        <f t="shared" si="3"/>
        <v>116.1539193097439</v>
      </c>
      <c r="O37" s="41">
        <f t="shared" si="3"/>
        <v>0</v>
      </c>
      <c r="P37" s="41">
        <f t="shared" si="3"/>
        <v>5.6027943338860062E-2</v>
      </c>
      <c r="Q37" s="41">
        <f t="shared" si="3"/>
        <v>0.20108356832242921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25/06/2023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656</v>
      </c>
      <c r="B9" s="52">
        <v>9.5500000000000007</v>
      </c>
      <c r="C9" s="52">
        <v>39.64</v>
      </c>
      <c r="D9" s="52">
        <v>27.19</v>
      </c>
      <c r="E9" s="52">
        <v>8.02</v>
      </c>
      <c r="F9" s="52">
        <v>10.130000000000001</v>
      </c>
      <c r="G9" s="52">
        <v>25.62</v>
      </c>
      <c r="H9" s="52">
        <v>10.36</v>
      </c>
      <c r="I9" s="52">
        <v>4.08</v>
      </c>
      <c r="J9" s="52">
        <v>0.8</v>
      </c>
      <c r="K9" s="52">
        <v>260.05</v>
      </c>
      <c r="L9" s="52">
        <v>27.51</v>
      </c>
      <c r="M9" s="52">
        <v>80.260000000000005</v>
      </c>
      <c r="N9" s="52">
        <v>0</v>
      </c>
      <c r="O9" s="52">
        <v>0</v>
      </c>
      <c r="P9" s="52">
        <v>0.43</v>
      </c>
      <c r="Q9" s="52">
        <v>4.4400000000000004</v>
      </c>
    </row>
    <row r="10" spans="1:21" customFormat="1">
      <c r="A10" s="53" t="s">
        <v>655</v>
      </c>
      <c r="B10" s="52">
        <v>9.9499999999999993</v>
      </c>
      <c r="C10" s="52">
        <v>38.409999999999997</v>
      </c>
      <c r="D10" s="52">
        <v>26.96</v>
      </c>
      <c r="E10" s="52">
        <v>8.44</v>
      </c>
      <c r="F10" s="52">
        <v>9.3800000000000008</v>
      </c>
      <c r="G10" s="52">
        <v>25.17</v>
      </c>
      <c r="H10" s="52">
        <v>12.1</v>
      </c>
      <c r="I10" s="52">
        <v>4</v>
      </c>
      <c r="J10" s="52">
        <v>0.82</v>
      </c>
      <c r="K10" s="52">
        <v>257.94</v>
      </c>
      <c r="L10" s="52">
        <v>27.39</v>
      </c>
      <c r="M10" s="52">
        <v>82.93</v>
      </c>
      <c r="N10" s="52">
        <v>0</v>
      </c>
      <c r="O10" s="52">
        <v>0</v>
      </c>
      <c r="P10" s="52">
        <v>0.43</v>
      </c>
      <c r="Q10" s="52">
        <v>4.45</v>
      </c>
    </row>
    <row r="11" spans="1:21" customFormat="1">
      <c r="A11" s="53" t="s">
        <v>654</v>
      </c>
      <c r="B11" s="52">
        <v>10.4</v>
      </c>
      <c r="C11" s="52">
        <v>39.18</v>
      </c>
      <c r="D11" s="52">
        <v>27.76</v>
      </c>
      <c r="E11" s="52">
        <v>5.28</v>
      </c>
      <c r="F11" s="52">
        <v>7.39</v>
      </c>
      <c r="G11" s="52">
        <v>23.39</v>
      </c>
      <c r="H11" s="52">
        <v>12.1</v>
      </c>
      <c r="I11" s="52">
        <v>3.92</v>
      </c>
      <c r="J11" s="52">
        <v>0.94</v>
      </c>
      <c r="K11" s="52">
        <v>261.98</v>
      </c>
      <c r="L11" s="52">
        <v>27.12</v>
      </c>
      <c r="M11" s="52">
        <v>83.23</v>
      </c>
      <c r="N11" s="52">
        <v>0</v>
      </c>
      <c r="O11" s="52">
        <v>0</v>
      </c>
      <c r="P11" s="52">
        <v>0.43</v>
      </c>
      <c r="Q11" s="52">
        <v>4.5199999999999996</v>
      </c>
    </row>
    <row r="12" spans="1:21" customFormat="1">
      <c r="A12" s="53" t="s">
        <v>653</v>
      </c>
      <c r="B12" s="52">
        <v>10.66</v>
      </c>
      <c r="C12" s="52">
        <v>39.19</v>
      </c>
      <c r="D12" s="52">
        <v>27.85</v>
      </c>
      <c r="E12" s="52">
        <v>4.83</v>
      </c>
      <c r="F12" s="52">
        <v>6.85</v>
      </c>
      <c r="G12" s="52">
        <v>22.79</v>
      </c>
      <c r="H12" s="52">
        <v>11.63</v>
      </c>
      <c r="I12" s="52">
        <v>3.82</v>
      </c>
      <c r="J12" s="52">
        <v>0.99</v>
      </c>
      <c r="K12" s="52">
        <v>264.27999999999997</v>
      </c>
      <c r="L12" s="52">
        <v>26.65</v>
      </c>
      <c r="M12" s="52">
        <v>83.22</v>
      </c>
      <c r="N12" s="52">
        <v>0</v>
      </c>
      <c r="O12" s="52">
        <v>0</v>
      </c>
      <c r="P12" s="52">
        <v>0.42</v>
      </c>
      <c r="Q12" s="52">
        <v>4.47</v>
      </c>
    </row>
    <row r="13" spans="1:21" customFormat="1">
      <c r="A13" s="53" t="s">
        <v>652</v>
      </c>
      <c r="B13" s="52">
        <v>10.9</v>
      </c>
      <c r="C13" s="52">
        <v>37.72</v>
      </c>
      <c r="D13" s="52">
        <v>27.06</v>
      </c>
      <c r="E13" s="52">
        <v>4.72</v>
      </c>
      <c r="F13" s="52">
        <v>6.22</v>
      </c>
      <c r="G13" s="52">
        <v>22.79</v>
      </c>
      <c r="H13" s="52">
        <v>11.06</v>
      </c>
      <c r="I13" s="52">
        <v>3.68</v>
      </c>
      <c r="J13" s="52">
        <v>1.05</v>
      </c>
      <c r="K13" s="52">
        <v>302.89</v>
      </c>
      <c r="L13" s="52">
        <v>26.2</v>
      </c>
      <c r="M13" s="52">
        <v>95.17</v>
      </c>
      <c r="N13" s="52">
        <v>0</v>
      </c>
      <c r="O13" s="52">
        <v>0</v>
      </c>
      <c r="P13" s="52">
        <v>0.4</v>
      </c>
      <c r="Q13" s="52">
        <v>4.46</v>
      </c>
    </row>
    <row r="14" spans="1:21" customFormat="1">
      <c r="A14" s="53" t="s">
        <v>651</v>
      </c>
      <c r="B14" s="52">
        <v>12.54</v>
      </c>
      <c r="C14" s="52">
        <v>40.96</v>
      </c>
      <c r="D14" s="52">
        <v>30.41</v>
      </c>
      <c r="E14" s="52">
        <v>4.8099999999999996</v>
      </c>
      <c r="F14" s="52">
        <v>4.96</v>
      </c>
      <c r="G14" s="52">
        <v>20.11</v>
      </c>
      <c r="H14" s="52">
        <v>11.06</v>
      </c>
      <c r="I14" s="52">
        <v>3.63</v>
      </c>
      <c r="J14" s="52">
        <v>1.2</v>
      </c>
      <c r="K14" s="52">
        <v>287.68</v>
      </c>
      <c r="L14" s="52">
        <v>24.48</v>
      </c>
      <c r="M14" s="52">
        <v>97.43</v>
      </c>
      <c r="N14" s="52">
        <v>0</v>
      </c>
      <c r="O14" s="52">
        <v>0</v>
      </c>
      <c r="P14" s="52">
        <v>0.44</v>
      </c>
      <c r="Q14" s="52">
        <v>4.62</v>
      </c>
    </row>
    <row r="15" spans="1:21" customFormat="1">
      <c r="A15" s="53" t="s">
        <v>650</v>
      </c>
      <c r="B15" s="52">
        <v>14.4</v>
      </c>
      <c r="C15" s="52">
        <v>40.1</v>
      </c>
      <c r="D15" s="52">
        <v>30.79</v>
      </c>
      <c r="E15" s="52">
        <v>4.43</v>
      </c>
      <c r="F15" s="52">
        <v>5.37</v>
      </c>
      <c r="G15" s="52">
        <v>20.11</v>
      </c>
      <c r="H15" s="52">
        <v>12.49</v>
      </c>
      <c r="I15" s="52">
        <v>3.7</v>
      </c>
      <c r="J15" s="52">
        <v>0.47</v>
      </c>
      <c r="K15" s="52">
        <v>324.67</v>
      </c>
      <c r="L15" s="52">
        <v>24.65</v>
      </c>
      <c r="M15" s="52">
        <v>98.37</v>
      </c>
      <c r="N15" s="52">
        <v>0</v>
      </c>
      <c r="O15" s="52">
        <v>0</v>
      </c>
      <c r="P15" s="52">
        <v>0.48</v>
      </c>
      <c r="Q15" s="52">
        <v>4.66</v>
      </c>
    </row>
    <row r="16" spans="1:21" customFormat="1">
      <c r="A16" s="53" t="s">
        <v>649</v>
      </c>
      <c r="B16" s="52">
        <v>15.83</v>
      </c>
      <c r="C16" s="52">
        <v>42.96</v>
      </c>
      <c r="D16" s="52">
        <v>34.090000000000003</v>
      </c>
      <c r="E16" s="52">
        <v>4.62</v>
      </c>
      <c r="F16" s="52">
        <v>5.26</v>
      </c>
      <c r="G16" s="52">
        <v>17.66</v>
      </c>
      <c r="H16" s="52">
        <v>12.49</v>
      </c>
      <c r="I16" s="52">
        <v>4.03</v>
      </c>
      <c r="J16" s="52">
        <v>0.44</v>
      </c>
      <c r="K16" s="52">
        <v>227.3</v>
      </c>
      <c r="L16" s="52">
        <v>24.61</v>
      </c>
      <c r="M16" s="52">
        <v>98.9</v>
      </c>
      <c r="N16" s="52">
        <v>0</v>
      </c>
      <c r="O16" s="52">
        <v>0</v>
      </c>
      <c r="P16" s="52">
        <v>0.52</v>
      </c>
      <c r="Q16" s="52">
        <v>4.84</v>
      </c>
    </row>
    <row r="17" spans="1:17" customFormat="1">
      <c r="A17" s="53" t="s">
        <v>648</v>
      </c>
      <c r="B17" s="52">
        <v>16.09</v>
      </c>
      <c r="C17" s="52">
        <v>39.57</v>
      </c>
      <c r="D17" s="52">
        <v>32.53</v>
      </c>
      <c r="E17" s="52">
        <v>4.6399999999999997</v>
      </c>
      <c r="F17" s="52">
        <v>5.72</v>
      </c>
      <c r="G17" s="52">
        <v>16.55</v>
      </c>
      <c r="H17" s="52">
        <v>10.79</v>
      </c>
      <c r="I17" s="52">
        <v>4.08</v>
      </c>
      <c r="J17" s="52">
        <v>0.42</v>
      </c>
      <c r="K17" s="52">
        <v>206.34</v>
      </c>
      <c r="L17" s="52">
        <v>24.72</v>
      </c>
      <c r="M17" s="52">
        <v>98.93</v>
      </c>
      <c r="N17" s="52">
        <v>0</v>
      </c>
      <c r="O17" s="52">
        <v>0</v>
      </c>
      <c r="P17" s="52">
        <v>0.49</v>
      </c>
      <c r="Q17" s="52">
        <v>4.84</v>
      </c>
    </row>
    <row r="18" spans="1:17" customFormat="1">
      <c r="A18" s="53" t="s">
        <v>647</v>
      </c>
      <c r="B18" s="52">
        <v>17.96</v>
      </c>
      <c r="C18" s="52">
        <v>43.23</v>
      </c>
      <c r="D18" s="52">
        <v>35.94</v>
      </c>
      <c r="E18" s="52">
        <v>4.6399999999999997</v>
      </c>
      <c r="F18" s="52">
        <v>4.9400000000000004</v>
      </c>
      <c r="G18" s="52">
        <v>13.73</v>
      </c>
      <c r="H18" s="52">
        <v>7.74</v>
      </c>
      <c r="I18" s="52">
        <v>4.03</v>
      </c>
      <c r="J18" s="52">
        <v>0.38</v>
      </c>
      <c r="K18" s="52">
        <v>253.02</v>
      </c>
      <c r="L18" s="52">
        <v>24.68</v>
      </c>
      <c r="M18" s="52">
        <v>98.93</v>
      </c>
      <c r="N18" s="52">
        <v>25.9</v>
      </c>
      <c r="O18" s="52">
        <v>0</v>
      </c>
      <c r="P18" s="52">
        <v>0.5</v>
      </c>
      <c r="Q18" s="52">
        <v>4.8899999999999997</v>
      </c>
    </row>
    <row r="19" spans="1:17" customFormat="1">
      <c r="A19" s="53" t="s">
        <v>646</v>
      </c>
      <c r="B19" s="52">
        <v>18.64</v>
      </c>
      <c r="C19" s="52">
        <v>41.11</v>
      </c>
      <c r="D19" s="52">
        <v>34.82</v>
      </c>
      <c r="E19" s="52">
        <v>6.54</v>
      </c>
      <c r="F19" s="52">
        <v>5.19</v>
      </c>
      <c r="G19" s="52">
        <v>13.73</v>
      </c>
      <c r="H19" s="52">
        <v>8.32</v>
      </c>
      <c r="I19" s="52">
        <v>4.0599999999999996</v>
      </c>
      <c r="J19" s="52">
        <v>0.45</v>
      </c>
      <c r="K19" s="52">
        <v>271.97000000000003</v>
      </c>
      <c r="L19" s="52">
        <v>24.85</v>
      </c>
      <c r="M19" s="52">
        <v>98.93</v>
      </c>
      <c r="N19" s="52">
        <v>35.700000000000003</v>
      </c>
      <c r="O19" s="52">
        <v>0</v>
      </c>
      <c r="P19" s="52">
        <v>0.49</v>
      </c>
      <c r="Q19" s="52">
        <v>4.93</v>
      </c>
    </row>
    <row r="20" spans="1:17" customFormat="1">
      <c r="A20" s="53" t="s">
        <v>645</v>
      </c>
      <c r="B20" s="52">
        <v>21.48</v>
      </c>
      <c r="C20" s="52">
        <v>43.25</v>
      </c>
      <c r="D20" s="52">
        <v>37.700000000000003</v>
      </c>
      <c r="E20" s="52">
        <v>5.95</v>
      </c>
      <c r="F20" s="52">
        <v>4.54</v>
      </c>
      <c r="G20" s="52">
        <v>16.97</v>
      </c>
      <c r="H20" s="52">
        <v>9.86</v>
      </c>
      <c r="I20" s="52">
        <v>4.33</v>
      </c>
      <c r="J20" s="52">
        <v>1.27</v>
      </c>
      <c r="K20" s="52">
        <v>299.70999999999998</v>
      </c>
      <c r="L20" s="52">
        <v>24.95</v>
      </c>
      <c r="M20" s="52">
        <v>98.93</v>
      </c>
      <c r="N20" s="52">
        <v>78.099999999999994</v>
      </c>
      <c r="O20" s="52">
        <v>0</v>
      </c>
      <c r="P20" s="52">
        <v>0.56999999999999995</v>
      </c>
      <c r="Q20" s="52">
        <v>5.03</v>
      </c>
    </row>
    <row r="21" spans="1:17" customFormat="1">
      <c r="A21" s="53" t="s">
        <v>644</v>
      </c>
      <c r="B21" s="52">
        <v>22.43</v>
      </c>
      <c r="C21" s="52">
        <v>43.78</v>
      </c>
      <c r="D21" s="52">
        <v>39.82</v>
      </c>
      <c r="E21" s="52">
        <v>6.29</v>
      </c>
      <c r="F21" s="52">
        <v>4.92</v>
      </c>
      <c r="G21" s="52">
        <v>16.97</v>
      </c>
      <c r="H21" s="52">
        <v>9.86</v>
      </c>
      <c r="I21" s="52">
        <v>4.67</v>
      </c>
      <c r="J21" s="52">
        <v>0.95</v>
      </c>
      <c r="K21" s="52">
        <v>297.01</v>
      </c>
      <c r="L21" s="52">
        <v>25.16</v>
      </c>
      <c r="M21" s="52">
        <v>98.93</v>
      </c>
      <c r="N21" s="52">
        <v>110</v>
      </c>
      <c r="O21" s="52">
        <v>0</v>
      </c>
      <c r="P21" s="52">
        <v>0.62</v>
      </c>
      <c r="Q21" s="52">
        <v>5.18</v>
      </c>
    </row>
    <row r="22" spans="1:17" customFormat="1">
      <c r="A22" s="53" t="s">
        <v>643</v>
      </c>
      <c r="B22" s="52">
        <v>23.32</v>
      </c>
      <c r="C22" s="52">
        <v>45.46</v>
      </c>
      <c r="D22" s="52">
        <v>41.41</v>
      </c>
      <c r="E22" s="52">
        <v>6.02</v>
      </c>
      <c r="F22" s="52">
        <v>5.21</v>
      </c>
      <c r="G22" s="52">
        <v>17.059999999999999</v>
      </c>
      <c r="H22" s="52">
        <v>10.54</v>
      </c>
      <c r="I22" s="52">
        <v>4.9400000000000004</v>
      </c>
      <c r="J22" s="52">
        <v>0.73</v>
      </c>
      <c r="K22" s="52">
        <v>293.26</v>
      </c>
      <c r="L22" s="52">
        <v>25.73</v>
      </c>
      <c r="M22" s="52">
        <v>98.94</v>
      </c>
      <c r="N22" s="52">
        <v>133.1</v>
      </c>
      <c r="O22" s="52">
        <v>0</v>
      </c>
      <c r="P22" s="52">
        <v>0.64</v>
      </c>
      <c r="Q22" s="52">
        <v>5.28</v>
      </c>
    </row>
    <row r="23" spans="1:17" customFormat="1">
      <c r="A23" s="53" t="s">
        <v>642</v>
      </c>
      <c r="B23" s="52">
        <v>23.13</v>
      </c>
      <c r="C23" s="52">
        <v>45.27</v>
      </c>
      <c r="D23" s="52">
        <v>40.53</v>
      </c>
      <c r="E23" s="52">
        <v>6.08</v>
      </c>
      <c r="F23" s="52">
        <v>6.19</v>
      </c>
      <c r="G23" s="52">
        <v>17.059999999999999</v>
      </c>
      <c r="H23" s="52">
        <v>10.74</v>
      </c>
      <c r="I23" s="52">
        <v>5.05</v>
      </c>
      <c r="J23" s="52">
        <v>0.53</v>
      </c>
      <c r="K23" s="52">
        <v>294.94</v>
      </c>
      <c r="L23" s="52">
        <v>26.25</v>
      </c>
      <c r="M23" s="52">
        <v>98.95</v>
      </c>
      <c r="N23" s="52">
        <v>136.30000000000001</v>
      </c>
      <c r="O23" s="52">
        <v>0</v>
      </c>
      <c r="P23" s="52">
        <v>0.63</v>
      </c>
      <c r="Q23" s="52">
        <v>5.22</v>
      </c>
    </row>
    <row r="24" spans="1:17" customFormat="1">
      <c r="A24" s="53" t="s">
        <v>641</v>
      </c>
      <c r="B24" s="52">
        <v>21.64</v>
      </c>
      <c r="C24" s="52">
        <v>44.83</v>
      </c>
      <c r="D24" s="52">
        <v>39.5</v>
      </c>
      <c r="E24" s="52">
        <v>6.11</v>
      </c>
      <c r="F24" s="52">
        <v>6.5</v>
      </c>
      <c r="G24" s="52">
        <v>15.02</v>
      </c>
      <c r="H24" s="52">
        <v>10.74</v>
      </c>
      <c r="I24" s="52">
        <v>5.18</v>
      </c>
      <c r="J24" s="52">
        <v>0.77</v>
      </c>
      <c r="K24" s="52">
        <v>276.27999999999997</v>
      </c>
      <c r="L24" s="52">
        <v>26.39</v>
      </c>
      <c r="M24" s="52">
        <v>98.91</v>
      </c>
      <c r="N24" s="52">
        <v>113.7</v>
      </c>
      <c r="O24" s="52">
        <v>0</v>
      </c>
      <c r="P24" s="52">
        <v>0.62</v>
      </c>
      <c r="Q24" s="52">
        <v>5.16</v>
      </c>
    </row>
    <row r="25" spans="1:17" customFormat="1">
      <c r="A25" s="53" t="s">
        <v>640</v>
      </c>
      <c r="B25" s="52">
        <v>20.54</v>
      </c>
      <c r="C25" s="52">
        <v>43.25</v>
      </c>
      <c r="D25" s="52">
        <v>38.020000000000003</v>
      </c>
      <c r="E25" s="52">
        <v>6.54</v>
      </c>
      <c r="F25" s="52">
        <v>7.91</v>
      </c>
      <c r="G25" s="52">
        <v>18.989999999999998</v>
      </c>
      <c r="H25" s="52">
        <v>11.5</v>
      </c>
      <c r="I25" s="52">
        <v>5.61</v>
      </c>
      <c r="J25" s="52">
        <v>0.61</v>
      </c>
      <c r="K25" s="52">
        <v>276.08999999999997</v>
      </c>
      <c r="L25" s="52">
        <v>26.23</v>
      </c>
      <c r="M25" s="52">
        <v>95.18</v>
      </c>
      <c r="N25" s="52">
        <v>67.099999999999994</v>
      </c>
      <c r="O25" s="52">
        <v>0</v>
      </c>
      <c r="P25" s="52">
        <v>0.7</v>
      </c>
      <c r="Q25" s="52">
        <v>5.15</v>
      </c>
    </row>
    <row r="26" spans="1:17" customFormat="1">
      <c r="A26" s="53" t="s">
        <v>639</v>
      </c>
      <c r="B26" s="52">
        <v>20.34</v>
      </c>
      <c r="C26" s="52">
        <v>42.83</v>
      </c>
      <c r="D26" s="52">
        <v>37.64</v>
      </c>
      <c r="E26" s="52">
        <v>5.96</v>
      </c>
      <c r="F26" s="52">
        <v>6.34</v>
      </c>
      <c r="G26" s="52">
        <v>21.79</v>
      </c>
      <c r="H26" s="52">
        <v>11.5</v>
      </c>
      <c r="I26" s="52">
        <v>5.97</v>
      </c>
      <c r="J26" s="52">
        <v>0.65</v>
      </c>
      <c r="K26" s="52">
        <v>309.58999999999997</v>
      </c>
      <c r="L26" s="52">
        <v>25.94</v>
      </c>
      <c r="M26" s="52">
        <v>96.74</v>
      </c>
      <c r="N26" s="52">
        <v>25.3</v>
      </c>
      <c r="O26" s="52">
        <v>0</v>
      </c>
      <c r="P26" s="52">
        <v>0.76</v>
      </c>
      <c r="Q26" s="52">
        <v>5.1100000000000003</v>
      </c>
    </row>
    <row r="27" spans="1:17" customFormat="1">
      <c r="A27" s="53" t="s">
        <v>638</v>
      </c>
      <c r="B27" s="52">
        <v>20.63</v>
      </c>
      <c r="C27" s="52">
        <v>43.89</v>
      </c>
      <c r="D27" s="52">
        <v>38.43</v>
      </c>
      <c r="E27" s="52">
        <v>5.69</v>
      </c>
      <c r="F27" s="52">
        <v>5.88</v>
      </c>
      <c r="G27" s="52">
        <v>21.79</v>
      </c>
      <c r="H27" s="52">
        <v>12.1</v>
      </c>
      <c r="I27" s="52">
        <v>6.23</v>
      </c>
      <c r="J27" s="52">
        <v>0.53</v>
      </c>
      <c r="K27" s="52">
        <v>270.52999999999997</v>
      </c>
      <c r="L27" s="52">
        <v>25.98</v>
      </c>
      <c r="M27" s="52">
        <v>96.66</v>
      </c>
      <c r="N27" s="52">
        <v>4.0999999999999996</v>
      </c>
      <c r="O27" s="52">
        <v>0</v>
      </c>
      <c r="P27" s="52">
        <v>0.79</v>
      </c>
      <c r="Q27" s="52">
        <v>5.15</v>
      </c>
    </row>
    <row r="28" spans="1:17" customFormat="1">
      <c r="A28" s="53" t="s">
        <v>637</v>
      </c>
      <c r="B28" s="52">
        <v>18.829999999999998</v>
      </c>
      <c r="C28" s="52">
        <v>39.729999999999997</v>
      </c>
      <c r="D28" s="52">
        <v>34.369999999999997</v>
      </c>
      <c r="E28" s="52">
        <v>5.75</v>
      </c>
      <c r="F28" s="52">
        <v>7.93</v>
      </c>
      <c r="G28" s="52">
        <v>21.78</v>
      </c>
      <c r="H28" s="52">
        <v>12.1</v>
      </c>
      <c r="I28" s="52">
        <v>6.11</v>
      </c>
      <c r="J28" s="52">
        <v>0.78</v>
      </c>
      <c r="K28" s="52">
        <v>264.35000000000002</v>
      </c>
      <c r="L28" s="52">
        <v>26.01</v>
      </c>
      <c r="M28" s="52">
        <v>96.44</v>
      </c>
      <c r="N28" s="52">
        <v>0</v>
      </c>
      <c r="O28" s="52">
        <v>0</v>
      </c>
      <c r="P28" s="52">
        <v>0.72</v>
      </c>
      <c r="Q28" s="52">
        <v>5.05</v>
      </c>
    </row>
    <row r="29" spans="1:17" customFormat="1">
      <c r="A29" s="53" t="s">
        <v>636</v>
      </c>
      <c r="B29" s="52">
        <v>19.12</v>
      </c>
      <c r="C29" s="52">
        <v>43.02</v>
      </c>
      <c r="D29" s="52">
        <v>36.229999999999997</v>
      </c>
      <c r="E29" s="52">
        <v>5.66</v>
      </c>
      <c r="F29" s="52">
        <v>6.42</v>
      </c>
      <c r="G29" s="52">
        <v>21.78</v>
      </c>
      <c r="H29" s="52">
        <v>11.57</v>
      </c>
      <c r="I29" s="52">
        <v>5.74</v>
      </c>
      <c r="J29" s="52">
        <v>0.8</v>
      </c>
      <c r="K29" s="52">
        <v>260.08999999999997</v>
      </c>
      <c r="L29" s="52">
        <v>26.1</v>
      </c>
      <c r="M29" s="52">
        <v>95.64</v>
      </c>
      <c r="N29" s="52">
        <v>0</v>
      </c>
      <c r="O29" s="52">
        <v>0</v>
      </c>
      <c r="P29" s="52">
        <v>0.71</v>
      </c>
      <c r="Q29" s="52">
        <v>5.04</v>
      </c>
    </row>
    <row r="30" spans="1:17" customFormat="1">
      <c r="A30" s="53" t="s">
        <v>635</v>
      </c>
      <c r="B30" s="52">
        <v>17.850000000000001</v>
      </c>
      <c r="C30" s="52">
        <v>41.1</v>
      </c>
      <c r="D30" s="52">
        <v>34.46</v>
      </c>
      <c r="E30" s="52">
        <v>5.55</v>
      </c>
      <c r="F30" s="52">
        <v>6.25</v>
      </c>
      <c r="G30" s="52">
        <v>20.5</v>
      </c>
      <c r="H30" s="52">
        <v>12.04</v>
      </c>
      <c r="I30" s="52">
        <v>5.58</v>
      </c>
      <c r="J30" s="52">
        <v>0.74</v>
      </c>
      <c r="K30" s="52">
        <v>256.49</v>
      </c>
      <c r="L30" s="52">
        <v>26.12</v>
      </c>
      <c r="M30" s="52">
        <v>95.79</v>
      </c>
      <c r="N30" s="52">
        <v>0</v>
      </c>
      <c r="O30" s="52">
        <v>0</v>
      </c>
      <c r="P30" s="52">
        <v>0.67</v>
      </c>
      <c r="Q30" s="52">
        <v>4.9400000000000004</v>
      </c>
    </row>
    <row r="31" spans="1:17" customFormat="1">
      <c r="A31" s="53" t="s">
        <v>634</v>
      </c>
      <c r="B31" s="52">
        <v>17.52</v>
      </c>
      <c r="C31" s="52">
        <v>41.48</v>
      </c>
      <c r="D31" s="52">
        <v>34.68</v>
      </c>
      <c r="E31" s="52">
        <v>5.63</v>
      </c>
      <c r="F31" s="52">
        <v>7.51</v>
      </c>
      <c r="G31" s="52">
        <v>21.96</v>
      </c>
      <c r="H31" s="52">
        <v>12.04</v>
      </c>
      <c r="I31" s="52">
        <v>5.31</v>
      </c>
      <c r="J31" s="52">
        <v>0.48</v>
      </c>
      <c r="K31" s="52">
        <v>252.26</v>
      </c>
      <c r="L31" s="52">
        <v>26.09</v>
      </c>
      <c r="M31" s="52">
        <v>95.94</v>
      </c>
      <c r="N31" s="52">
        <v>0</v>
      </c>
      <c r="O31" s="52">
        <v>0</v>
      </c>
      <c r="P31" s="52">
        <v>0.65</v>
      </c>
      <c r="Q31" s="52">
        <v>4.9000000000000004</v>
      </c>
    </row>
    <row r="32" spans="1:17" customFormat="1">
      <c r="A32" s="53" t="s">
        <v>633</v>
      </c>
      <c r="B32" s="52">
        <v>17.52</v>
      </c>
      <c r="C32" s="52">
        <v>41.81</v>
      </c>
      <c r="D32" s="52">
        <v>34.729999999999997</v>
      </c>
      <c r="E32" s="52">
        <v>5.79</v>
      </c>
      <c r="F32" s="52">
        <v>6.63</v>
      </c>
      <c r="G32" s="52">
        <v>22.1</v>
      </c>
      <c r="H32" s="52">
        <v>12.02</v>
      </c>
      <c r="I32" s="52">
        <v>5.04</v>
      </c>
      <c r="J32" s="52">
        <v>0.72</v>
      </c>
      <c r="K32" s="52">
        <v>261.58999999999997</v>
      </c>
      <c r="L32" s="52">
        <v>26.06</v>
      </c>
      <c r="M32" s="52">
        <v>95.71</v>
      </c>
      <c r="N32" s="52">
        <v>0</v>
      </c>
      <c r="O32" s="52">
        <v>0</v>
      </c>
      <c r="P32" s="52">
        <v>0.63</v>
      </c>
      <c r="Q32" s="52">
        <v>4.93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9.5500000000000007</v>
      </c>
      <c r="C34" s="41">
        <f t="shared" si="0"/>
        <v>37.72</v>
      </c>
      <c r="D34" s="41">
        <f t="shared" si="0"/>
        <v>26.96</v>
      </c>
      <c r="E34" s="41">
        <f t="shared" si="0"/>
        <v>4.43</v>
      </c>
      <c r="F34" s="41">
        <f t="shared" si="0"/>
        <v>4.54</v>
      </c>
      <c r="G34" s="41">
        <f t="shared" si="0"/>
        <v>13.73</v>
      </c>
      <c r="H34" s="41">
        <f t="shared" si="0"/>
        <v>7.74</v>
      </c>
      <c r="I34" s="41">
        <f t="shared" si="0"/>
        <v>3.63</v>
      </c>
      <c r="J34" s="41">
        <f t="shared" si="0"/>
        <v>0.38</v>
      </c>
      <c r="K34" s="41">
        <f t="shared" si="0"/>
        <v>206.34</v>
      </c>
      <c r="L34" s="41">
        <f t="shared" si="0"/>
        <v>24.48</v>
      </c>
      <c r="M34" s="41">
        <f t="shared" si="0"/>
        <v>80.260000000000005</v>
      </c>
      <c r="N34" s="41">
        <f t="shared" si="0"/>
        <v>0</v>
      </c>
      <c r="O34" s="41">
        <f t="shared" si="0"/>
        <v>0</v>
      </c>
      <c r="P34" s="41">
        <f t="shared" si="0"/>
        <v>0.4</v>
      </c>
      <c r="Q34" s="41">
        <f t="shared" si="0"/>
        <v>4.4400000000000004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23.32</v>
      </c>
      <c r="C35" s="33">
        <f t="shared" si="1"/>
        <v>45.46</v>
      </c>
      <c r="D35" s="33">
        <f t="shared" si="1"/>
        <v>41.41</v>
      </c>
      <c r="E35" s="33">
        <f t="shared" si="1"/>
        <v>8.44</v>
      </c>
      <c r="F35" s="33">
        <f t="shared" si="1"/>
        <v>10.130000000000001</v>
      </c>
      <c r="G35" s="33">
        <f t="shared" si="1"/>
        <v>25.62</v>
      </c>
      <c r="H35" s="33">
        <f t="shared" si="1"/>
        <v>12.49</v>
      </c>
      <c r="I35" s="33">
        <f t="shared" si="1"/>
        <v>6.23</v>
      </c>
      <c r="J35" s="33">
        <f t="shared" si="1"/>
        <v>1.27</v>
      </c>
      <c r="K35" s="33">
        <f t="shared" si="1"/>
        <v>324.67</v>
      </c>
      <c r="L35" s="33">
        <f t="shared" si="1"/>
        <v>27.51</v>
      </c>
      <c r="M35" s="33">
        <f t="shared" si="1"/>
        <v>98.95</v>
      </c>
      <c r="N35" s="33">
        <f t="shared" si="1"/>
        <v>136.30000000000001</v>
      </c>
      <c r="O35" s="33">
        <f t="shared" si="1"/>
        <v>0</v>
      </c>
      <c r="P35" s="33">
        <f t="shared" si="1"/>
        <v>0.79</v>
      </c>
      <c r="Q35" s="33">
        <f t="shared" si="1"/>
        <v>5.28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17.13625</v>
      </c>
      <c r="C36" s="41">
        <f t="shared" si="2"/>
        <v>41.740416666666675</v>
      </c>
      <c r="D36" s="41">
        <f t="shared" si="2"/>
        <v>34.288333333333327</v>
      </c>
      <c r="E36" s="41">
        <f t="shared" si="2"/>
        <v>5.7495833333333328</v>
      </c>
      <c r="F36" s="41">
        <f t="shared" si="2"/>
        <v>6.4016666666666646</v>
      </c>
      <c r="G36" s="41">
        <f t="shared" si="2"/>
        <v>19.809166666666666</v>
      </c>
      <c r="H36" s="41">
        <f t="shared" si="2"/>
        <v>11.114583333333334</v>
      </c>
      <c r="I36" s="41">
        <f t="shared" si="2"/>
        <v>4.699583333333333</v>
      </c>
      <c r="J36" s="41">
        <f t="shared" si="2"/>
        <v>0.72999999999999987</v>
      </c>
      <c r="K36" s="41">
        <f t="shared" si="2"/>
        <v>272.09625</v>
      </c>
      <c r="L36" s="41">
        <f t="shared" si="2"/>
        <v>25.82791666666667</v>
      </c>
      <c r="M36" s="41">
        <f t="shared" si="2"/>
        <v>94.960833333333369</v>
      </c>
      <c r="N36" s="41">
        <f t="shared" si="2"/>
        <v>30.387499999999999</v>
      </c>
      <c r="O36" s="41">
        <f t="shared" si="2"/>
        <v>0</v>
      </c>
      <c r="P36" s="41">
        <f t="shared" si="2"/>
        <v>0.57250000000000001</v>
      </c>
      <c r="Q36" s="41">
        <f t="shared" si="2"/>
        <v>4.8858333333333341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 t="shared" ref="B37:Q37" si="3">STDEV(B9:B32)</f>
        <v>4.4368014453226756</v>
      </c>
      <c r="C37" s="41">
        <f t="shared" si="3"/>
        <v>2.2201458611826284</v>
      </c>
      <c r="D37" s="41">
        <f t="shared" si="3"/>
        <v>4.5653531380784562</v>
      </c>
      <c r="E37" s="41">
        <f t="shared" si="3"/>
        <v>0.99754690057189133</v>
      </c>
      <c r="F37" s="41">
        <f t="shared" si="3"/>
        <v>1.4114983302263941</v>
      </c>
      <c r="G37" s="41">
        <f t="shared" si="3"/>
        <v>3.383102405198207</v>
      </c>
      <c r="H37" s="41">
        <f t="shared" si="3"/>
        <v>1.226649658239044</v>
      </c>
      <c r="I37" s="41">
        <f t="shared" si="3"/>
        <v>0.8545605489864716</v>
      </c>
      <c r="J37" s="41">
        <f t="shared" si="3"/>
        <v>0.24752689796745636</v>
      </c>
      <c r="K37" s="41">
        <f t="shared" si="3"/>
        <v>26.296610926042373</v>
      </c>
      <c r="L37" s="41">
        <f t="shared" si="3"/>
        <v>0.8889514055611023</v>
      </c>
      <c r="M37" s="41">
        <f t="shared" si="3"/>
        <v>5.9222020850546269</v>
      </c>
      <c r="N37" s="41">
        <f t="shared" si="3"/>
        <v>47.714552629241908</v>
      </c>
      <c r="O37" s="41">
        <f t="shared" si="3"/>
        <v>0</v>
      </c>
      <c r="P37" s="41">
        <f t="shared" si="3"/>
        <v>0.12019006686874373</v>
      </c>
      <c r="Q37" s="41">
        <f t="shared" si="3"/>
        <v>0.27185220835666751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26/06/2023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657</v>
      </c>
      <c r="B9" s="52">
        <v>16.8</v>
      </c>
      <c r="C9" s="52">
        <v>41.57</v>
      </c>
      <c r="D9" s="52">
        <v>34.15</v>
      </c>
      <c r="E9" s="52">
        <v>5.65</v>
      </c>
      <c r="F9" s="52">
        <v>6.65</v>
      </c>
      <c r="G9" s="52">
        <v>22.1</v>
      </c>
      <c r="H9" s="52">
        <v>12.02</v>
      </c>
      <c r="I9" s="52">
        <v>4.72</v>
      </c>
      <c r="J9" s="52">
        <v>0.77</v>
      </c>
      <c r="K9" s="52">
        <v>260.82</v>
      </c>
      <c r="L9" s="52">
        <v>26.09</v>
      </c>
      <c r="M9" s="52">
        <v>95.11</v>
      </c>
      <c r="N9" s="52">
        <v>0</v>
      </c>
      <c r="O9" s="52">
        <v>0</v>
      </c>
      <c r="P9" s="52">
        <v>0.57999999999999996</v>
      </c>
      <c r="Q9" s="52">
        <v>4.87</v>
      </c>
    </row>
    <row r="10" spans="1:21" customFormat="1">
      <c r="A10" s="53" t="s">
        <v>658</v>
      </c>
      <c r="B10" s="52">
        <v>16.489999999999998</v>
      </c>
      <c r="C10" s="52">
        <v>40.119999999999997</v>
      </c>
      <c r="D10" s="52">
        <v>32.78</v>
      </c>
      <c r="E10" s="52">
        <v>6.26</v>
      </c>
      <c r="F10" s="52">
        <v>5.73</v>
      </c>
      <c r="G10" s="52">
        <v>21.86</v>
      </c>
      <c r="H10" s="52">
        <v>11.48</v>
      </c>
      <c r="I10" s="52">
        <v>4.66</v>
      </c>
      <c r="J10" s="52">
        <v>0.97</v>
      </c>
      <c r="K10" s="52">
        <v>270.02</v>
      </c>
      <c r="L10" s="52">
        <v>26.11</v>
      </c>
      <c r="M10" s="52">
        <v>94</v>
      </c>
      <c r="N10" s="52">
        <v>0</v>
      </c>
      <c r="O10" s="52">
        <v>0</v>
      </c>
      <c r="P10" s="52">
        <v>0.55000000000000004</v>
      </c>
      <c r="Q10" s="52">
        <v>4.8600000000000003</v>
      </c>
    </row>
    <row r="11" spans="1:21" customFormat="1">
      <c r="A11" s="53" t="s">
        <v>659</v>
      </c>
      <c r="B11" s="52">
        <v>16.32</v>
      </c>
      <c r="C11" s="52">
        <v>40.25</v>
      </c>
      <c r="D11" s="52">
        <v>33.07</v>
      </c>
      <c r="E11" s="52">
        <v>5.66</v>
      </c>
      <c r="F11" s="52">
        <v>6.66</v>
      </c>
      <c r="G11" s="52">
        <v>23.37</v>
      </c>
      <c r="H11" s="52">
        <v>11.48</v>
      </c>
      <c r="I11" s="52">
        <v>4.4800000000000004</v>
      </c>
      <c r="J11" s="52">
        <v>0.59</v>
      </c>
      <c r="K11" s="52">
        <v>275.83</v>
      </c>
      <c r="L11" s="52">
        <v>26.03</v>
      </c>
      <c r="M11" s="52">
        <v>95.44</v>
      </c>
      <c r="N11" s="52">
        <v>0</v>
      </c>
      <c r="O11" s="52">
        <v>0</v>
      </c>
      <c r="P11" s="52">
        <v>0.56000000000000005</v>
      </c>
      <c r="Q11" s="52">
        <v>4.8499999999999996</v>
      </c>
    </row>
    <row r="12" spans="1:21" customFormat="1">
      <c r="A12" s="53" t="s">
        <v>660</v>
      </c>
      <c r="B12" s="52">
        <v>16.559999999999999</v>
      </c>
      <c r="C12" s="52">
        <v>38.130000000000003</v>
      </c>
      <c r="D12" s="52">
        <v>32.1</v>
      </c>
      <c r="E12" s="52">
        <v>5.53</v>
      </c>
      <c r="F12" s="52">
        <v>9.5</v>
      </c>
      <c r="G12" s="52">
        <v>23.37</v>
      </c>
      <c r="H12" s="52">
        <v>10.42</v>
      </c>
      <c r="I12" s="52">
        <v>4.47</v>
      </c>
      <c r="J12" s="52">
        <v>1.93</v>
      </c>
      <c r="K12" s="52">
        <v>335.55</v>
      </c>
      <c r="L12" s="52">
        <v>25.24</v>
      </c>
      <c r="M12" s="52">
        <v>98.3</v>
      </c>
      <c r="N12" s="52">
        <v>0</v>
      </c>
      <c r="O12" s="52">
        <v>0</v>
      </c>
      <c r="P12" s="52">
        <v>0.54</v>
      </c>
      <c r="Q12" s="52">
        <v>4.88</v>
      </c>
    </row>
    <row r="13" spans="1:21" customFormat="1">
      <c r="A13" s="53" t="s">
        <v>661</v>
      </c>
      <c r="B13" s="52">
        <v>14.37</v>
      </c>
      <c r="C13" s="52">
        <v>40.93</v>
      </c>
      <c r="D13" s="52">
        <v>31.82</v>
      </c>
      <c r="E13" s="52">
        <v>5.47</v>
      </c>
      <c r="F13" s="52">
        <v>5.21</v>
      </c>
      <c r="G13" s="52">
        <v>19.37</v>
      </c>
      <c r="H13" s="52">
        <v>9.43</v>
      </c>
      <c r="I13" s="52">
        <v>4.2300000000000004</v>
      </c>
      <c r="J13" s="52">
        <v>2.5</v>
      </c>
      <c r="K13" s="52">
        <v>287.64</v>
      </c>
      <c r="L13" s="52">
        <v>23.96</v>
      </c>
      <c r="M13" s="52">
        <v>98.9</v>
      </c>
      <c r="N13" s="52">
        <v>0</v>
      </c>
      <c r="O13" s="52">
        <v>0</v>
      </c>
      <c r="P13" s="52">
        <v>0.52</v>
      </c>
      <c r="Q13" s="52">
        <v>4.75</v>
      </c>
    </row>
    <row r="14" spans="1:21" customFormat="1">
      <c r="A14" s="53" t="s">
        <v>662</v>
      </c>
      <c r="B14" s="52">
        <v>13.61</v>
      </c>
      <c r="C14" s="52">
        <v>41.81</v>
      </c>
      <c r="D14" s="52">
        <v>31.53</v>
      </c>
      <c r="E14" s="52">
        <v>5.47</v>
      </c>
      <c r="F14" s="52">
        <v>5.54</v>
      </c>
      <c r="G14" s="52">
        <v>16.46</v>
      </c>
      <c r="H14" s="52">
        <v>8.48</v>
      </c>
      <c r="I14" s="52">
        <v>4</v>
      </c>
      <c r="J14" s="52">
        <v>1.27</v>
      </c>
      <c r="K14" s="52">
        <v>295.89</v>
      </c>
      <c r="L14" s="52">
        <v>23.78</v>
      </c>
      <c r="M14" s="52">
        <v>98.9</v>
      </c>
      <c r="N14" s="52">
        <v>0</v>
      </c>
      <c r="O14" s="52">
        <v>0</v>
      </c>
      <c r="P14" s="52">
        <v>0.49</v>
      </c>
      <c r="Q14" s="52">
        <v>4.74</v>
      </c>
    </row>
    <row r="15" spans="1:21" customFormat="1">
      <c r="A15" s="53" t="s">
        <v>663</v>
      </c>
      <c r="B15" s="52">
        <v>12.94</v>
      </c>
      <c r="C15" s="52">
        <v>42.51</v>
      </c>
      <c r="D15" s="52">
        <v>31.18</v>
      </c>
      <c r="E15" s="52">
        <v>5.08</v>
      </c>
      <c r="F15" s="52">
        <v>5.63</v>
      </c>
      <c r="G15" s="52">
        <v>14.15</v>
      </c>
      <c r="H15" s="52">
        <v>6.1</v>
      </c>
      <c r="I15" s="52">
        <v>3.87</v>
      </c>
      <c r="J15" s="52">
        <v>1.01</v>
      </c>
      <c r="K15" s="52">
        <v>286.94</v>
      </c>
      <c r="L15" s="52">
        <v>23.94</v>
      </c>
      <c r="M15" s="52">
        <v>98.9</v>
      </c>
      <c r="N15" s="52">
        <v>14.1</v>
      </c>
      <c r="O15" s="52">
        <v>0</v>
      </c>
      <c r="P15" s="52">
        <v>0.47</v>
      </c>
      <c r="Q15" s="52">
        <v>4.68</v>
      </c>
    </row>
    <row r="16" spans="1:21" customFormat="1">
      <c r="A16" s="53" t="s">
        <v>664</v>
      </c>
      <c r="B16" s="52">
        <v>12.67</v>
      </c>
      <c r="C16" s="52">
        <v>43.1</v>
      </c>
      <c r="D16" s="52">
        <v>31.19</v>
      </c>
      <c r="E16" s="52">
        <v>5.47</v>
      </c>
      <c r="F16" s="52">
        <v>4.88</v>
      </c>
      <c r="G16" s="52">
        <v>10.82</v>
      </c>
      <c r="H16" s="52">
        <v>6.01</v>
      </c>
      <c r="I16" s="52">
        <v>3.67</v>
      </c>
      <c r="J16" s="52">
        <v>1.22</v>
      </c>
      <c r="K16" s="52">
        <v>281.12</v>
      </c>
      <c r="L16" s="52">
        <v>24.03</v>
      </c>
      <c r="M16" s="52">
        <v>98.93</v>
      </c>
      <c r="N16" s="52">
        <v>44.2</v>
      </c>
      <c r="O16" s="52">
        <v>0</v>
      </c>
      <c r="P16" s="52">
        <v>0.47</v>
      </c>
      <c r="Q16" s="52">
        <v>4.66</v>
      </c>
    </row>
    <row r="17" spans="1:17" customFormat="1">
      <c r="A17" s="53" t="s">
        <v>665</v>
      </c>
      <c r="B17" s="52">
        <v>11.99</v>
      </c>
      <c r="C17" s="52">
        <v>43.55</v>
      </c>
      <c r="D17" s="52">
        <v>31.3</v>
      </c>
      <c r="E17" s="52">
        <v>5.22</v>
      </c>
      <c r="F17" s="52">
        <v>5.33</v>
      </c>
      <c r="G17" s="52">
        <v>8.9600000000000009</v>
      </c>
      <c r="H17" s="52">
        <v>5.0599999999999996</v>
      </c>
      <c r="I17" s="52">
        <v>3.59</v>
      </c>
      <c r="J17" s="52">
        <v>1.06</v>
      </c>
      <c r="K17" s="52">
        <v>287.14</v>
      </c>
      <c r="L17" s="52">
        <v>24.75</v>
      </c>
      <c r="M17" s="52">
        <v>98.83</v>
      </c>
      <c r="N17" s="52">
        <v>94.7</v>
      </c>
      <c r="O17" s="52">
        <v>0</v>
      </c>
      <c r="P17" s="52">
        <v>0.47</v>
      </c>
      <c r="Q17" s="52">
        <v>4.6500000000000004</v>
      </c>
    </row>
    <row r="18" spans="1:17" customFormat="1">
      <c r="A18" s="53" t="s">
        <v>666</v>
      </c>
      <c r="B18" s="52">
        <v>11.79</v>
      </c>
      <c r="C18" s="52">
        <v>44.49</v>
      </c>
      <c r="D18" s="52">
        <v>31.57</v>
      </c>
      <c r="E18" s="52">
        <v>4.8499999999999996</v>
      </c>
      <c r="F18" s="52">
        <v>5.82</v>
      </c>
      <c r="G18" s="52">
        <v>12.14</v>
      </c>
      <c r="H18" s="52">
        <v>5.0599999999999996</v>
      </c>
      <c r="I18" s="52">
        <v>3.58</v>
      </c>
      <c r="J18" s="52">
        <v>1.1299999999999999</v>
      </c>
      <c r="K18" s="52">
        <v>290.42</v>
      </c>
      <c r="L18" s="52">
        <v>24.93</v>
      </c>
      <c r="M18" s="52">
        <v>93.86</v>
      </c>
      <c r="N18" s="52">
        <v>58.1</v>
      </c>
      <c r="O18" s="52">
        <v>0</v>
      </c>
      <c r="P18" s="52">
        <v>0.49</v>
      </c>
      <c r="Q18" s="52">
        <v>4.6900000000000004</v>
      </c>
    </row>
    <row r="19" spans="1:17" customFormat="1">
      <c r="A19" s="53" t="s">
        <v>667</v>
      </c>
      <c r="B19" s="52">
        <v>11.84</v>
      </c>
      <c r="C19" s="52">
        <v>43.16</v>
      </c>
      <c r="D19" s="52">
        <v>30.68</v>
      </c>
      <c r="E19" s="52">
        <v>6.3</v>
      </c>
      <c r="F19" s="52">
        <v>5.65</v>
      </c>
      <c r="G19" s="52">
        <v>12.8</v>
      </c>
      <c r="H19" s="52">
        <v>3.55</v>
      </c>
      <c r="I19" s="52">
        <v>3.59</v>
      </c>
      <c r="J19" s="52">
        <v>1.34</v>
      </c>
      <c r="K19" s="52">
        <v>278.98</v>
      </c>
      <c r="L19" s="52">
        <v>24.73</v>
      </c>
      <c r="M19" s="52">
        <v>95.17</v>
      </c>
      <c r="N19" s="52">
        <v>67.400000000000006</v>
      </c>
      <c r="O19" s="52">
        <v>0</v>
      </c>
      <c r="P19" s="52">
        <v>0.5</v>
      </c>
      <c r="Q19" s="52">
        <v>4.66</v>
      </c>
    </row>
    <row r="20" spans="1:17" customFormat="1">
      <c r="A20" s="53" t="s">
        <v>668</v>
      </c>
      <c r="B20" s="52">
        <v>11.37</v>
      </c>
      <c r="C20" s="52">
        <v>43.04</v>
      </c>
      <c r="D20" s="52">
        <v>30.53</v>
      </c>
      <c r="E20" s="52">
        <v>5.88</v>
      </c>
      <c r="F20" s="52">
        <v>5.1100000000000003</v>
      </c>
      <c r="G20" s="52">
        <v>12.8</v>
      </c>
      <c r="H20" s="52">
        <v>2.77</v>
      </c>
      <c r="I20" s="52">
        <v>3.75</v>
      </c>
      <c r="J20" s="52">
        <v>1.36</v>
      </c>
      <c r="K20" s="52">
        <v>268.72000000000003</v>
      </c>
      <c r="L20" s="52">
        <v>24.51</v>
      </c>
      <c r="M20" s="52">
        <v>95.72</v>
      </c>
      <c r="N20" s="52">
        <v>80.7</v>
      </c>
      <c r="O20" s="52">
        <v>0</v>
      </c>
      <c r="P20" s="52">
        <v>0.52</v>
      </c>
      <c r="Q20" s="52">
        <v>4.62</v>
      </c>
    </row>
    <row r="21" spans="1:17" customFormat="1">
      <c r="A21" s="53" t="s">
        <v>669</v>
      </c>
      <c r="B21" s="52">
        <v>10.81</v>
      </c>
      <c r="C21" s="52">
        <v>42.94</v>
      </c>
      <c r="D21" s="52">
        <v>29.83</v>
      </c>
      <c r="E21" s="52">
        <v>5.48</v>
      </c>
      <c r="F21" s="52">
        <v>4.62</v>
      </c>
      <c r="G21" s="52">
        <v>10.64</v>
      </c>
      <c r="H21" s="52">
        <v>3.81</v>
      </c>
      <c r="I21" s="52">
        <v>3.81</v>
      </c>
      <c r="J21" s="52">
        <v>1.01</v>
      </c>
      <c r="K21" s="52">
        <v>271.60000000000002</v>
      </c>
      <c r="L21" s="52">
        <v>24.72</v>
      </c>
      <c r="M21" s="52">
        <v>96.17</v>
      </c>
      <c r="N21" s="52">
        <v>87.8</v>
      </c>
      <c r="O21" s="52">
        <v>0</v>
      </c>
      <c r="P21" s="52">
        <v>0.56000000000000005</v>
      </c>
      <c r="Q21" s="52">
        <v>4.59</v>
      </c>
    </row>
    <row r="22" spans="1:17" customFormat="1">
      <c r="A22" s="53" t="s">
        <v>670</v>
      </c>
      <c r="B22" s="52">
        <v>10.34</v>
      </c>
      <c r="C22" s="52">
        <v>42.84</v>
      </c>
      <c r="D22" s="52">
        <v>29.63</v>
      </c>
      <c r="E22" s="52">
        <v>5.99</v>
      </c>
      <c r="F22" s="52">
        <v>5.05</v>
      </c>
      <c r="G22" s="52">
        <v>10.64</v>
      </c>
      <c r="H22" s="52">
        <v>4.2</v>
      </c>
      <c r="I22" s="52">
        <v>4.53</v>
      </c>
      <c r="J22" s="52">
        <v>1.1599999999999999</v>
      </c>
      <c r="K22" s="52">
        <v>266.89999999999998</v>
      </c>
      <c r="L22" s="52">
        <v>24.87</v>
      </c>
      <c r="M22" s="52">
        <v>95.06</v>
      </c>
      <c r="N22" s="52">
        <v>94.4</v>
      </c>
      <c r="O22" s="52">
        <v>0</v>
      </c>
      <c r="P22" s="52">
        <v>0.63</v>
      </c>
      <c r="Q22" s="52">
        <v>4.57</v>
      </c>
    </row>
    <row r="23" spans="1:17" customFormat="1">
      <c r="A23" s="53" t="s">
        <v>671</v>
      </c>
      <c r="B23" s="52">
        <v>10.4</v>
      </c>
      <c r="C23" s="52">
        <v>43.64</v>
      </c>
      <c r="D23" s="52">
        <v>30.1</v>
      </c>
      <c r="E23" s="52">
        <v>5.78</v>
      </c>
      <c r="F23" s="52">
        <v>5.5</v>
      </c>
      <c r="G23" s="52">
        <v>11.55</v>
      </c>
      <c r="H23" s="52">
        <v>4.2</v>
      </c>
      <c r="I23" s="52">
        <v>5.01</v>
      </c>
      <c r="J23" s="52">
        <v>0.82</v>
      </c>
      <c r="K23" s="52">
        <v>255.18</v>
      </c>
      <c r="L23" s="52">
        <v>25.05</v>
      </c>
      <c r="M23" s="52">
        <v>95.33</v>
      </c>
      <c r="N23" s="52">
        <v>128.1</v>
      </c>
      <c r="O23" s="52">
        <v>0</v>
      </c>
      <c r="P23" s="52">
        <v>0.66</v>
      </c>
      <c r="Q23" s="52">
        <v>4.55</v>
      </c>
    </row>
    <row r="24" spans="1:17" customFormat="1">
      <c r="A24" s="53" t="s">
        <v>672</v>
      </c>
      <c r="B24" s="52">
        <v>10.57</v>
      </c>
      <c r="C24" s="52">
        <v>42.29</v>
      </c>
      <c r="D24" s="52">
        <v>29.25</v>
      </c>
      <c r="E24" s="52">
        <v>5.68</v>
      </c>
      <c r="F24" s="52">
        <v>6.91</v>
      </c>
      <c r="G24" s="52">
        <v>11.55</v>
      </c>
      <c r="H24" s="52">
        <v>3.98</v>
      </c>
      <c r="I24" s="52">
        <v>5.0199999999999996</v>
      </c>
      <c r="J24" s="52">
        <v>0.68</v>
      </c>
      <c r="K24" s="52">
        <v>251.4</v>
      </c>
      <c r="L24" s="52">
        <v>25.32</v>
      </c>
      <c r="M24" s="52">
        <v>94.49</v>
      </c>
      <c r="N24" s="52">
        <v>68.5</v>
      </c>
      <c r="O24" s="52">
        <v>0</v>
      </c>
      <c r="P24" s="52">
        <v>0.64</v>
      </c>
      <c r="Q24" s="52">
        <v>4.54</v>
      </c>
    </row>
    <row r="25" spans="1:17" customFormat="1">
      <c r="A25" s="53" t="s">
        <v>673</v>
      </c>
      <c r="B25" s="52">
        <v>10.29</v>
      </c>
      <c r="C25" s="52">
        <v>40.409999999999997</v>
      </c>
      <c r="D25" s="52">
        <v>28.17</v>
      </c>
      <c r="E25" s="52">
        <v>5.51</v>
      </c>
      <c r="F25" s="52">
        <v>5.95</v>
      </c>
      <c r="G25" s="52">
        <v>8.81</v>
      </c>
      <c r="H25" s="52">
        <v>3.02</v>
      </c>
      <c r="I25" s="52">
        <v>4.7699999999999996</v>
      </c>
      <c r="J25" s="52">
        <v>0.86</v>
      </c>
      <c r="K25" s="52">
        <v>262.62</v>
      </c>
      <c r="L25" s="52">
        <v>25.28</v>
      </c>
      <c r="M25" s="52">
        <v>94.46</v>
      </c>
      <c r="N25" s="52">
        <v>27.3</v>
      </c>
      <c r="O25" s="52">
        <v>0</v>
      </c>
      <c r="P25" s="52">
        <v>0.6</v>
      </c>
      <c r="Q25" s="52">
        <v>4.53</v>
      </c>
    </row>
    <row r="26" spans="1:17" customFormat="1">
      <c r="A26" s="53" t="s">
        <v>674</v>
      </c>
      <c r="B26" s="52">
        <v>10.19</v>
      </c>
      <c r="C26" s="52">
        <v>42.04</v>
      </c>
      <c r="D26" s="52">
        <v>28.94</v>
      </c>
      <c r="E26" s="52">
        <v>5.86</v>
      </c>
      <c r="F26" s="52">
        <v>5.28</v>
      </c>
      <c r="G26" s="52">
        <v>8.81</v>
      </c>
      <c r="H26" s="52">
        <v>2.4500000000000002</v>
      </c>
      <c r="I26" s="52">
        <v>4.41</v>
      </c>
      <c r="J26" s="52">
        <v>1.45</v>
      </c>
      <c r="K26" s="52">
        <v>261.66000000000003</v>
      </c>
      <c r="L26" s="52">
        <v>24.81</v>
      </c>
      <c r="M26" s="52">
        <v>96.9</v>
      </c>
      <c r="N26" s="52">
        <v>7.8</v>
      </c>
      <c r="O26" s="52">
        <v>0</v>
      </c>
      <c r="P26" s="52">
        <v>0.59</v>
      </c>
      <c r="Q26" s="52">
        <v>4.51</v>
      </c>
    </row>
    <row r="27" spans="1:17" customFormat="1">
      <c r="A27" s="53" t="s">
        <v>675</v>
      </c>
      <c r="B27" s="52">
        <v>9.94</v>
      </c>
      <c r="C27" s="52">
        <v>42.61</v>
      </c>
      <c r="D27" s="52">
        <v>28.8</v>
      </c>
      <c r="E27" s="52">
        <v>5.09</v>
      </c>
      <c r="F27" s="52">
        <v>4.8899999999999997</v>
      </c>
      <c r="G27" s="52">
        <v>6.2</v>
      </c>
      <c r="H27" s="52">
        <v>2.2599999999999998</v>
      </c>
      <c r="I27" s="52">
        <v>4.18</v>
      </c>
      <c r="J27" s="52">
        <v>1.49</v>
      </c>
      <c r="K27" s="52">
        <v>260.24</v>
      </c>
      <c r="L27" s="52">
        <v>24.22</v>
      </c>
      <c r="M27" s="52">
        <v>96.53</v>
      </c>
      <c r="N27" s="52">
        <v>0</v>
      </c>
      <c r="O27" s="52">
        <v>0</v>
      </c>
      <c r="P27" s="52">
        <v>0.56000000000000005</v>
      </c>
      <c r="Q27" s="52">
        <v>4.4800000000000004</v>
      </c>
    </row>
    <row r="28" spans="1:17" customFormat="1">
      <c r="A28" s="53" t="s">
        <v>676</v>
      </c>
      <c r="B28" s="52">
        <v>9.3699999999999992</v>
      </c>
      <c r="C28" s="52">
        <v>40.44</v>
      </c>
      <c r="D28" s="52">
        <v>27.42</v>
      </c>
      <c r="E28" s="52">
        <v>4.9400000000000004</v>
      </c>
      <c r="F28" s="52">
        <v>5.62</v>
      </c>
      <c r="G28" s="52">
        <v>4.92</v>
      </c>
      <c r="H28" s="52">
        <v>2.29</v>
      </c>
      <c r="I28" s="52">
        <v>4.0199999999999996</v>
      </c>
      <c r="J28" s="52">
        <v>1.63</v>
      </c>
      <c r="K28" s="52">
        <v>252.99</v>
      </c>
      <c r="L28" s="52">
        <v>24.18</v>
      </c>
      <c r="M28" s="52">
        <v>96.23</v>
      </c>
      <c r="N28" s="52">
        <v>0</v>
      </c>
      <c r="O28" s="52">
        <v>0</v>
      </c>
      <c r="P28" s="52">
        <v>0.51</v>
      </c>
      <c r="Q28" s="52">
        <v>4.47</v>
      </c>
    </row>
    <row r="29" spans="1:17" customFormat="1">
      <c r="A29" s="53" t="s">
        <v>677</v>
      </c>
      <c r="B29" s="52">
        <v>9.15</v>
      </c>
      <c r="C29" s="52">
        <v>40.51</v>
      </c>
      <c r="D29" s="52">
        <v>27.44</v>
      </c>
      <c r="E29" s="52">
        <v>5.66</v>
      </c>
      <c r="F29" s="52">
        <v>5.0599999999999996</v>
      </c>
      <c r="G29" s="52">
        <v>3.71</v>
      </c>
      <c r="H29" s="52">
        <v>2.29</v>
      </c>
      <c r="I29" s="52">
        <v>3.75</v>
      </c>
      <c r="J29" s="52">
        <v>1.1000000000000001</v>
      </c>
      <c r="K29" s="52">
        <v>255.68</v>
      </c>
      <c r="L29" s="52">
        <v>24.05</v>
      </c>
      <c r="M29" s="52">
        <v>96.41</v>
      </c>
      <c r="N29" s="52">
        <v>0</v>
      </c>
      <c r="O29" s="52">
        <v>0</v>
      </c>
      <c r="P29" s="52">
        <v>0.49</v>
      </c>
      <c r="Q29" s="52">
        <v>4.4400000000000004</v>
      </c>
    </row>
    <row r="30" spans="1:17" customFormat="1">
      <c r="A30" s="53" t="s">
        <v>678</v>
      </c>
      <c r="B30" s="52">
        <v>9.19</v>
      </c>
      <c r="C30" s="52">
        <v>40.15</v>
      </c>
      <c r="D30" s="52">
        <v>27.08</v>
      </c>
      <c r="E30" s="52">
        <v>4.57</v>
      </c>
      <c r="F30" s="52">
        <v>4.87</v>
      </c>
      <c r="G30" s="52">
        <v>2.75</v>
      </c>
      <c r="H30" s="52">
        <v>1.65</v>
      </c>
      <c r="I30" s="52">
        <v>3.59</v>
      </c>
      <c r="J30" s="52">
        <v>0.97</v>
      </c>
      <c r="K30" s="52">
        <v>254.23</v>
      </c>
      <c r="L30" s="52">
        <v>23.96</v>
      </c>
      <c r="M30" s="52">
        <v>97.11</v>
      </c>
      <c r="N30" s="52">
        <v>0</v>
      </c>
      <c r="O30" s="52">
        <v>0</v>
      </c>
      <c r="P30" s="52">
        <v>0.46</v>
      </c>
      <c r="Q30" s="52">
        <v>4.43</v>
      </c>
    </row>
    <row r="31" spans="1:17" customFormat="1">
      <c r="A31" s="53" t="s">
        <v>679</v>
      </c>
      <c r="B31" s="52">
        <v>9.19</v>
      </c>
      <c r="C31" s="52">
        <v>40.1</v>
      </c>
      <c r="D31" s="52">
        <v>27.25</v>
      </c>
      <c r="E31" s="52">
        <v>4.8600000000000003</v>
      </c>
      <c r="F31" s="52">
        <v>5.35</v>
      </c>
      <c r="G31" s="52">
        <v>2.4700000000000002</v>
      </c>
      <c r="H31" s="52">
        <v>1.22</v>
      </c>
      <c r="I31" s="52">
        <v>3.38</v>
      </c>
      <c r="J31" s="52">
        <v>1.58</v>
      </c>
      <c r="K31" s="52">
        <v>250.38</v>
      </c>
      <c r="L31" s="52">
        <v>23.92</v>
      </c>
      <c r="M31" s="52">
        <v>98.25</v>
      </c>
      <c r="N31" s="52">
        <v>0</v>
      </c>
      <c r="O31" s="52">
        <v>0</v>
      </c>
      <c r="P31" s="52">
        <v>0.45</v>
      </c>
      <c r="Q31" s="52">
        <v>4.47</v>
      </c>
    </row>
    <row r="32" spans="1:17" customFormat="1">
      <c r="A32" s="53" t="s">
        <v>680</v>
      </c>
      <c r="B32" s="52">
        <v>9.2799999999999994</v>
      </c>
      <c r="C32" s="52">
        <v>40.65</v>
      </c>
      <c r="D32" s="52">
        <v>27.56</v>
      </c>
      <c r="E32" s="52">
        <v>4.62</v>
      </c>
      <c r="F32" s="52">
        <v>5.84</v>
      </c>
      <c r="G32" s="52">
        <v>2.4700000000000002</v>
      </c>
      <c r="H32" s="52">
        <v>0.93</v>
      </c>
      <c r="I32" s="52">
        <v>3.25</v>
      </c>
      <c r="J32" s="52">
        <v>1.23</v>
      </c>
      <c r="K32" s="52">
        <v>260.14</v>
      </c>
      <c r="L32" s="52">
        <v>24.03</v>
      </c>
      <c r="M32" s="52">
        <v>98.5</v>
      </c>
      <c r="N32" s="52">
        <v>0</v>
      </c>
      <c r="O32" s="52">
        <v>0</v>
      </c>
      <c r="P32" s="52">
        <v>0.43</v>
      </c>
      <c r="Q32" s="52">
        <v>4.46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9.15</v>
      </c>
      <c r="C34" s="41">
        <f t="shared" si="0"/>
        <v>38.130000000000003</v>
      </c>
      <c r="D34" s="41">
        <f t="shared" si="0"/>
        <v>27.08</v>
      </c>
      <c r="E34" s="41">
        <f t="shared" si="0"/>
        <v>4.57</v>
      </c>
      <c r="F34" s="41">
        <f t="shared" si="0"/>
        <v>4.62</v>
      </c>
      <c r="G34" s="41">
        <f t="shared" si="0"/>
        <v>2.4700000000000002</v>
      </c>
      <c r="H34" s="41">
        <f t="shared" si="0"/>
        <v>0.93</v>
      </c>
      <c r="I34" s="41">
        <f t="shared" si="0"/>
        <v>3.25</v>
      </c>
      <c r="J34" s="41">
        <f t="shared" si="0"/>
        <v>0.59</v>
      </c>
      <c r="K34" s="41">
        <f t="shared" si="0"/>
        <v>250.38</v>
      </c>
      <c r="L34" s="41">
        <f t="shared" si="0"/>
        <v>23.78</v>
      </c>
      <c r="M34" s="41">
        <f t="shared" si="0"/>
        <v>93.86</v>
      </c>
      <c r="N34" s="41">
        <f t="shared" si="0"/>
        <v>0</v>
      </c>
      <c r="O34" s="41">
        <f t="shared" si="0"/>
        <v>0</v>
      </c>
      <c r="P34" s="41">
        <f t="shared" si="0"/>
        <v>0.43</v>
      </c>
      <c r="Q34" s="41">
        <f t="shared" si="0"/>
        <v>4.43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16.8</v>
      </c>
      <c r="C35" s="33">
        <f t="shared" si="1"/>
        <v>44.49</v>
      </c>
      <c r="D35" s="33">
        <f t="shared" si="1"/>
        <v>34.15</v>
      </c>
      <c r="E35" s="33">
        <f t="shared" si="1"/>
        <v>6.3</v>
      </c>
      <c r="F35" s="33">
        <f t="shared" si="1"/>
        <v>9.5</v>
      </c>
      <c r="G35" s="33">
        <f t="shared" si="1"/>
        <v>23.37</v>
      </c>
      <c r="H35" s="33">
        <f t="shared" si="1"/>
        <v>12.02</v>
      </c>
      <c r="I35" s="33">
        <f t="shared" si="1"/>
        <v>5.0199999999999996</v>
      </c>
      <c r="J35" s="33">
        <f t="shared" si="1"/>
        <v>2.5</v>
      </c>
      <c r="K35" s="33">
        <f t="shared" si="1"/>
        <v>335.55</v>
      </c>
      <c r="L35" s="33">
        <f t="shared" si="1"/>
        <v>26.11</v>
      </c>
      <c r="M35" s="33">
        <f t="shared" si="1"/>
        <v>98.93</v>
      </c>
      <c r="N35" s="33">
        <f t="shared" si="1"/>
        <v>128.1</v>
      </c>
      <c r="O35" s="33">
        <f t="shared" si="1"/>
        <v>0</v>
      </c>
      <c r="P35" s="33">
        <f t="shared" si="1"/>
        <v>0.66</v>
      </c>
      <c r="Q35" s="33">
        <f t="shared" si="1"/>
        <v>4.88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11.894583333333332</v>
      </c>
      <c r="C36" s="41">
        <f t="shared" si="2"/>
        <v>41.719999999999992</v>
      </c>
      <c r="D36" s="41">
        <f t="shared" si="2"/>
        <v>30.140416666666667</v>
      </c>
      <c r="E36" s="41">
        <f t="shared" si="2"/>
        <v>5.4533333333333323</v>
      </c>
      <c r="F36" s="41">
        <f t="shared" si="2"/>
        <v>5.6937500000000014</v>
      </c>
      <c r="G36" s="41">
        <f t="shared" si="2"/>
        <v>11.780000000000003</v>
      </c>
      <c r="H36" s="41">
        <f t="shared" si="2"/>
        <v>5.1733333333333347</v>
      </c>
      <c r="I36" s="41">
        <f t="shared" si="2"/>
        <v>4.097083333333333</v>
      </c>
      <c r="J36" s="41">
        <f t="shared" si="2"/>
        <v>1.2137499999999999</v>
      </c>
      <c r="K36" s="41">
        <f t="shared" si="2"/>
        <v>271.75374999999997</v>
      </c>
      <c r="L36" s="41">
        <f t="shared" si="2"/>
        <v>24.687916666666666</v>
      </c>
      <c r="M36" s="41">
        <f t="shared" si="2"/>
        <v>96.562500000000014</v>
      </c>
      <c r="N36" s="41">
        <f t="shared" si="2"/>
        <v>32.212499999999999</v>
      </c>
      <c r="O36" s="41">
        <f t="shared" si="2"/>
        <v>0</v>
      </c>
      <c r="P36" s="41">
        <f t="shared" si="2"/>
        <v>0.53083333333333338</v>
      </c>
      <c r="Q36" s="41">
        <f t="shared" si="2"/>
        <v>4.6229166666666668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2.5524753189057803</v>
      </c>
      <c r="C37" s="41">
        <f t="shared" ref="C37:Q37" si="3">STDEV(C9:C32)</f>
        <v>1.5369563372487627</v>
      </c>
      <c r="D37" s="41">
        <f t="shared" si="3"/>
        <v>2.017056570883677</v>
      </c>
      <c r="E37" s="41">
        <f t="shared" si="3"/>
        <v>0.46977947339491283</v>
      </c>
      <c r="F37" s="41">
        <f t="shared" si="3"/>
        <v>0.99878105055938404</v>
      </c>
      <c r="G37" s="41">
        <f t="shared" si="3"/>
        <v>6.565845751674539</v>
      </c>
      <c r="H37" s="41">
        <f t="shared" si="3"/>
        <v>3.4977976507792858</v>
      </c>
      <c r="I37" s="41">
        <f t="shared" si="3"/>
        <v>0.52260617116996233</v>
      </c>
      <c r="J37" s="41">
        <f t="shared" si="3"/>
        <v>0.41948013892974956</v>
      </c>
      <c r="K37" s="41">
        <f t="shared" si="3"/>
        <v>19.27902979078377</v>
      </c>
      <c r="L37" s="41">
        <f t="shared" si="3"/>
        <v>0.71938971216653014</v>
      </c>
      <c r="M37" s="41">
        <f t="shared" si="3"/>
        <v>1.7425899016157038</v>
      </c>
      <c r="N37" s="41">
        <f t="shared" si="3"/>
        <v>41.271163872506733</v>
      </c>
      <c r="O37" s="41">
        <f t="shared" si="3"/>
        <v>0</v>
      </c>
      <c r="P37" s="41">
        <f t="shared" si="3"/>
        <v>6.3102171578884481E-2</v>
      </c>
      <c r="Q37" s="41">
        <f t="shared" si="3"/>
        <v>0.14414603605422818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27/06/2023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681</v>
      </c>
      <c r="B9" s="52">
        <v>9.1999999999999993</v>
      </c>
      <c r="C9" s="52">
        <v>40.369999999999997</v>
      </c>
      <c r="D9" s="52">
        <v>27.43</v>
      </c>
      <c r="E9" s="52">
        <v>4.72</v>
      </c>
      <c r="F9" s="52">
        <v>4.82</v>
      </c>
      <c r="G9" s="52">
        <v>4.66</v>
      </c>
      <c r="H9" s="52">
        <v>0.81</v>
      </c>
      <c r="I9" s="52">
        <v>3.09</v>
      </c>
      <c r="J9" s="52">
        <v>0.86</v>
      </c>
      <c r="K9" s="52">
        <v>253.41</v>
      </c>
      <c r="L9" s="52">
        <v>24.14</v>
      </c>
      <c r="M9" s="52">
        <v>98.48</v>
      </c>
      <c r="N9" s="52">
        <v>0</v>
      </c>
      <c r="O9" s="52">
        <v>0</v>
      </c>
      <c r="P9" s="52">
        <v>0.41</v>
      </c>
      <c r="Q9" s="52">
        <v>4.42</v>
      </c>
    </row>
    <row r="10" spans="1:21" customFormat="1">
      <c r="A10" s="53" t="s">
        <v>682</v>
      </c>
      <c r="B10" s="52">
        <v>9.92</v>
      </c>
      <c r="C10" s="52">
        <v>39.700000000000003</v>
      </c>
      <c r="D10" s="52">
        <v>27.45</v>
      </c>
      <c r="E10" s="52">
        <v>4.68</v>
      </c>
      <c r="F10" s="52">
        <v>4.25</v>
      </c>
      <c r="G10" s="52">
        <v>4.66</v>
      </c>
      <c r="H10" s="52">
        <v>0.8</v>
      </c>
      <c r="I10" s="52">
        <v>3.01</v>
      </c>
      <c r="J10" s="52">
        <v>1.06</v>
      </c>
      <c r="K10" s="52">
        <v>261.54000000000002</v>
      </c>
      <c r="L10" s="52">
        <v>23.98</v>
      </c>
      <c r="M10" s="52">
        <v>98.1</v>
      </c>
      <c r="N10" s="52">
        <v>0</v>
      </c>
      <c r="O10" s="52">
        <v>0</v>
      </c>
      <c r="P10" s="52">
        <v>0.4</v>
      </c>
      <c r="Q10" s="52">
        <v>4.46</v>
      </c>
    </row>
    <row r="11" spans="1:21" customFormat="1">
      <c r="A11" s="53" t="s">
        <v>683</v>
      </c>
      <c r="B11" s="52">
        <v>10.42</v>
      </c>
      <c r="C11" s="52">
        <v>39.72</v>
      </c>
      <c r="D11" s="52">
        <v>27.84</v>
      </c>
      <c r="E11" s="52">
        <v>5.93</v>
      </c>
      <c r="F11" s="52">
        <v>4.62</v>
      </c>
      <c r="G11" s="52">
        <v>3.35</v>
      </c>
      <c r="H11" s="52">
        <v>0.68</v>
      </c>
      <c r="I11" s="52">
        <v>2.92</v>
      </c>
      <c r="J11" s="52">
        <v>1.33</v>
      </c>
      <c r="K11" s="52">
        <v>257.17</v>
      </c>
      <c r="L11" s="52">
        <v>23.94</v>
      </c>
      <c r="M11" s="52">
        <v>97.82</v>
      </c>
      <c r="N11" s="52">
        <v>0</v>
      </c>
      <c r="O11" s="52">
        <v>0</v>
      </c>
      <c r="P11" s="52">
        <v>0.39</v>
      </c>
      <c r="Q11" s="52">
        <v>4.5</v>
      </c>
    </row>
    <row r="12" spans="1:21" customFormat="1">
      <c r="A12" s="53" t="s">
        <v>684</v>
      </c>
      <c r="B12" s="52">
        <v>10.59</v>
      </c>
      <c r="C12" s="52">
        <v>39.21</v>
      </c>
      <c r="D12" s="52">
        <v>27.86</v>
      </c>
      <c r="E12" s="52">
        <v>6.17</v>
      </c>
      <c r="F12" s="52">
        <v>4.5599999999999996</v>
      </c>
      <c r="G12" s="52">
        <v>2.81</v>
      </c>
      <c r="H12" s="52">
        <v>0.61</v>
      </c>
      <c r="I12" s="52">
        <v>2.78</v>
      </c>
      <c r="J12" s="52">
        <v>1.23</v>
      </c>
      <c r="K12" s="52">
        <v>253.96</v>
      </c>
      <c r="L12" s="52">
        <v>23.94</v>
      </c>
      <c r="M12" s="52">
        <v>96.76</v>
      </c>
      <c r="N12" s="52">
        <v>0</v>
      </c>
      <c r="O12" s="52">
        <v>0</v>
      </c>
      <c r="P12" s="52">
        <v>0.38</v>
      </c>
      <c r="Q12" s="52">
        <v>4.51</v>
      </c>
    </row>
    <row r="13" spans="1:21" customFormat="1">
      <c r="A13" s="53" t="s">
        <v>685</v>
      </c>
      <c r="B13" s="52">
        <v>10.71</v>
      </c>
      <c r="C13" s="52">
        <v>38.61</v>
      </c>
      <c r="D13" s="52">
        <v>27.59</v>
      </c>
      <c r="E13" s="52">
        <v>5.52</v>
      </c>
      <c r="F13" s="52">
        <v>4.26</v>
      </c>
      <c r="G13" s="52">
        <v>2.1800000000000002</v>
      </c>
      <c r="H13" s="52">
        <v>0.59</v>
      </c>
      <c r="I13" s="52">
        <v>2.65</v>
      </c>
      <c r="J13" s="52">
        <v>1.39</v>
      </c>
      <c r="K13" s="52">
        <v>261.04000000000002</v>
      </c>
      <c r="L13" s="52">
        <v>23.86</v>
      </c>
      <c r="M13" s="52">
        <v>95.88</v>
      </c>
      <c r="N13" s="52">
        <v>0</v>
      </c>
      <c r="O13" s="52">
        <v>0</v>
      </c>
      <c r="P13" s="52">
        <v>0.36</v>
      </c>
      <c r="Q13" s="52">
        <v>4.47</v>
      </c>
    </row>
    <row r="14" spans="1:21" customFormat="1">
      <c r="A14" s="53" t="s">
        <v>686</v>
      </c>
      <c r="B14" s="52">
        <v>10.87</v>
      </c>
      <c r="C14" s="52">
        <v>38.04</v>
      </c>
      <c r="D14" s="52">
        <v>27.36</v>
      </c>
      <c r="E14" s="52">
        <v>5.87</v>
      </c>
      <c r="F14" s="52">
        <v>4.1500000000000004</v>
      </c>
      <c r="G14" s="52">
        <v>1.97</v>
      </c>
      <c r="H14" s="52">
        <v>0.59</v>
      </c>
      <c r="I14" s="52">
        <v>2.5299999999999998</v>
      </c>
      <c r="J14" s="52">
        <v>1.1499999999999999</v>
      </c>
      <c r="K14" s="52">
        <v>256.14999999999998</v>
      </c>
      <c r="L14" s="52">
        <v>23.44</v>
      </c>
      <c r="M14" s="52">
        <v>97.25</v>
      </c>
      <c r="N14" s="52">
        <v>0</v>
      </c>
      <c r="O14" s="52">
        <v>0</v>
      </c>
      <c r="P14" s="52">
        <v>0.35</v>
      </c>
      <c r="Q14" s="52">
        <v>4.49</v>
      </c>
    </row>
    <row r="15" spans="1:21" customFormat="1">
      <c r="A15" s="53" t="s">
        <v>687</v>
      </c>
      <c r="B15" s="52">
        <v>11.33</v>
      </c>
      <c r="C15" s="52">
        <v>39.86</v>
      </c>
      <c r="D15" s="52">
        <v>28.57</v>
      </c>
      <c r="E15" s="52">
        <v>5.91</v>
      </c>
      <c r="F15" s="52">
        <v>4.66</v>
      </c>
      <c r="G15" s="52">
        <v>1.47</v>
      </c>
      <c r="H15" s="52">
        <v>0.6</v>
      </c>
      <c r="I15" s="52">
        <v>2.4300000000000002</v>
      </c>
      <c r="J15" s="52">
        <v>1.25</v>
      </c>
      <c r="K15" s="52">
        <v>256.33</v>
      </c>
      <c r="L15" s="52">
        <v>23.33</v>
      </c>
      <c r="M15" s="52">
        <v>97.96</v>
      </c>
      <c r="N15" s="52">
        <v>0.6</v>
      </c>
      <c r="O15" s="52">
        <v>0</v>
      </c>
      <c r="P15" s="52">
        <v>0.35</v>
      </c>
      <c r="Q15" s="52">
        <v>4.51</v>
      </c>
    </row>
    <row r="16" spans="1:21" customFormat="1">
      <c r="A16" s="53" t="s">
        <v>688</v>
      </c>
      <c r="B16" s="52">
        <v>11.55</v>
      </c>
      <c r="C16" s="52">
        <v>40</v>
      </c>
      <c r="D16" s="52">
        <v>28.96</v>
      </c>
      <c r="E16" s="52">
        <v>6.09</v>
      </c>
      <c r="F16" s="52">
        <v>4.3099999999999996</v>
      </c>
      <c r="G16" s="52">
        <v>1.18</v>
      </c>
      <c r="H16" s="52">
        <v>0.61</v>
      </c>
      <c r="I16" s="52">
        <v>2.41</v>
      </c>
      <c r="J16" s="52">
        <v>1.25</v>
      </c>
      <c r="K16" s="52">
        <v>261.07</v>
      </c>
      <c r="L16" s="52">
        <v>23.2</v>
      </c>
      <c r="M16" s="52">
        <v>98.24</v>
      </c>
      <c r="N16" s="52">
        <v>17.2</v>
      </c>
      <c r="O16" s="52">
        <v>0</v>
      </c>
      <c r="P16" s="52">
        <v>0.35</v>
      </c>
      <c r="Q16" s="52">
        <v>4.51</v>
      </c>
    </row>
    <row r="17" spans="1:17" customFormat="1">
      <c r="A17" s="53" t="s">
        <v>689</v>
      </c>
      <c r="B17" s="52">
        <v>11.63</v>
      </c>
      <c r="C17" s="52">
        <v>39.89</v>
      </c>
      <c r="D17" s="52">
        <v>29.03</v>
      </c>
      <c r="E17" s="52">
        <v>5.49</v>
      </c>
      <c r="F17" s="52">
        <v>4.51</v>
      </c>
      <c r="G17" s="52">
        <v>1.1200000000000001</v>
      </c>
      <c r="H17" s="52">
        <v>0.61</v>
      </c>
      <c r="I17" s="52">
        <v>2.39</v>
      </c>
      <c r="J17" s="52">
        <v>2.0299999999999998</v>
      </c>
      <c r="K17" s="52">
        <v>260.22000000000003</v>
      </c>
      <c r="L17" s="52">
        <v>23.28</v>
      </c>
      <c r="M17" s="52">
        <v>98.06</v>
      </c>
      <c r="N17" s="52">
        <v>52.1</v>
      </c>
      <c r="O17" s="52">
        <v>0</v>
      </c>
      <c r="P17" s="52">
        <v>0.35</v>
      </c>
      <c r="Q17" s="52">
        <v>4.5599999999999996</v>
      </c>
    </row>
    <row r="18" spans="1:17" customFormat="1">
      <c r="A18" s="53" t="s">
        <v>690</v>
      </c>
      <c r="B18" s="52">
        <v>11.08</v>
      </c>
      <c r="C18" s="52">
        <v>39.68</v>
      </c>
      <c r="D18" s="52">
        <v>27.91</v>
      </c>
      <c r="E18" s="52">
        <v>5.31</v>
      </c>
      <c r="F18" s="52">
        <v>4.5199999999999996</v>
      </c>
      <c r="G18" s="52">
        <v>1.04</v>
      </c>
      <c r="H18" s="52">
        <v>0.61</v>
      </c>
      <c r="I18" s="52">
        <v>2.35</v>
      </c>
      <c r="J18" s="52">
        <v>1.89</v>
      </c>
      <c r="K18" s="52">
        <v>259.60000000000002</v>
      </c>
      <c r="L18" s="52">
        <v>23.32</v>
      </c>
      <c r="M18" s="52">
        <v>97.99</v>
      </c>
      <c r="N18" s="52">
        <v>92.6</v>
      </c>
      <c r="O18" s="52">
        <v>0</v>
      </c>
      <c r="P18" s="52">
        <v>0.34</v>
      </c>
      <c r="Q18" s="52">
        <v>4.47</v>
      </c>
    </row>
    <row r="19" spans="1:17" customFormat="1">
      <c r="A19" s="53" t="s">
        <v>691</v>
      </c>
      <c r="B19" s="52">
        <v>10.19</v>
      </c>
      <c r="C19" s="52">
        <v>37.909999999999997</v>
      </c>
      <c r="D19" s="52">
        <v>26.78</v>
      </c>
      <c r="E19" s="52">
        <v>4.99</v>
      </c>
      <c r="F19" s="52">
        <v>4.3</v>
      </c>
      <c r="G19" s="52">
        <v>1.1399999999999999</v>
      </c>
      <c r="H19" s="52">
        <v>0.63</v>
      </c>
      <c r="I19" s="52">
        <v>2.27</v>
      </c>
      <c r="J19" s="52">
        <v>1.78</v>
      </c>
      <c r="K19" s="52">
        <v>265.60000000000002</v>
      </c>
      <c r="L19" s="52">
        <v>23.73</v>
      </c>
      <c r="M19" s="52">
        <v>95.96</v>
      </c>
      <c r="N19" s="52">
        <v>87</v>
      </c>
      <c r="O19" s="52">
        <v>0</v>
      </c>
      <c r="P19" s="52">
        <v>0.33</v>
      </c>
      <c r="Q19" s="52">
        <v>4.45</v>
      </c>
    </row>
    <row r="20" spans="1:17" customFormat="1">
      <c r="A20" s="53" t="s">
        <v>692</v>
      </c>
      <c r="B20" s="52">
        <v>9.8699999999999992</v>
      </c>
      <c r="C20" s="52">
        <v>38.840000000000003</v>
      </c>
      <c r="D20" s="52">
        <v>27.16</v>
      </c>
      <c r="E20" s="52">
        <v>4.9800000000000004</v>
      </c>
      <c r="F20" s="52">
        <v>4.4800000000000004</v>
      </c>
      <c r="G20" s="52">
        <v>1.28</v>
      </c>
      <c r="H20" s="52">
        <v>0.64</v>
      </c>
      <c r="I20" s="52">
        <v>2.25</v>
      </c>
      <c r="J20" s="52">
        <v>1.63</v>
      </c>
      <c r="K20" s="52">
        <v>264.48</v>
      </c>
      <c r="L20" s="52">
        <v>24.21</v>
      </c>
      <c r="M20" s="52">
        <v>92.5</v>
      </c>
      <c r="N20" s="52">
        <v>109.5</v>
      </c>
      <c r="O20" s="52">
        <v>0</v>
      </c>
      <c r="P20" s="52">
        <v>0.35</v>
      </c>
      <c r="Q20" s="52">
        <v>4.43</v>
      </c>
    </row>
    <row r="21" spans="1:17" customFormat="1">
      <c r="A21" s="53" t="s">
        <v>693</v>
      </c>
      <c r="B21" s="52">
        <v>9.7200000000000006</v>
      </c>
      <c r="C21" s="52">
        <v>38.11</v>
      </c>
      <c r="D21" s="52">
        <v>26.67</v>
      </c>
      <c r="E21" s="52">
        <v>4.6900000000000004</v>
      </c>
      <c r="F21" s="52">
        <v>4.8499999999999996</v>
      </c>
      <c r="G21" s="52">
        <v>1.3</v>
      </c>
      <c r="H21" s="52">
        <v>0.64</v>
      </c>
      <c r="I21" s="52">
        <v>2.2599999999999998</v>
      </c>
      <c r="J21" s="52">
        <v>1.47</v>
      </c>
      <c r="K21" s="52">
        <v>267.87</v>
      </c>
      <c r="L21" s="52">
        <v>24.3</v>
      </c>
      <c r="M21" s="52">
        <v>92.74</v>
      </c>
      <c r="N21" s="52">
        <v>91.2</v>
      </c>
      <c r="O21" s="52">
        <v>0</v>
      </c>
      <c r="P21" s="52">
        <v>0.35</v>
      </c>
      <c r="Q21" s="52">
        <v>4.42</v>
      </c>
    </row>
    <row r="22" spans="1:17" customFormat="1">
      <c r="A22" s="53" t="s">
        <v>694</v>
      </c>
      <c r="B22" s="52">
        <v>9.66</v>
      </c>
      <c r="C22" s="52">
        <v>38.47</v>
      </c>
      <c r="D22" s="52">
        <v>26.75</v>
      </c>
      <c r="E22" s="52">
        <v>4.68</v>
      </c>
      <c r="F22" s="52">
        <v>4.57</v>
      </c>
      <c r="G22" s="52">
        <v>1.31</v>
      </c>
      <c r="H22" s="52">
        <v>0.65</v>
      </c>
      <c r="I22" s="52">
        <v>2.2599999999999998</v>
      </c>
      <c r="J22" s="52">
        <v>1.36</v>
      </c>
      <c r="K22" s="52">
        <v>261.14999999999998</v>
      </c>
      <c r="L22" s="52">
        <v>24.78</v>
      </c>
      <c r="M22" s="52">
        <v>92.87</v>
      </c>
      <c r="N22" s="52">
        <v>122.6</v>
      </c>
      <c r="O22" s="52">
        <v>0</v>
      </c>
      <c r="P22" s="52">
        <v>0.35</v>
      </c>
      <c r="Q22" s="52">
        <v>4.4400000000000004</v>
      </c>
    </row>
    <row r="23" spans="1:17" customFormat="1">
      <c r="A23" s="53" t="s">
        <v>695</v>
      </c>
      <c r="B23" s="52">
        <v>9.85</v>
      </c>
      <c r="C23" s="52">
        <v>38.74</v>
      </c>
      <c r="D23" s="52">
        <v>27.08</v>
      </c>
      <c r="E23" s="52">
        <v>5.01</v>
      </c>
      <c r="F23" s="52">
        <v>4.6500000000000004</v>
      </c>
      <c r="G23" s="52">
        <v>1.34</v>
      </c>
      <c r="H23" s="52">
        <v>0.65</v>
      </c>
      <c r="I23" s="52">
        <v>2.27</v>
      </c>
      <c r="J23" s="52">
        <v>1.31</v>
      </c>
      <c r="K23" s="52">
        <v>263.85000000000002</v>
      </c>
      <c r="L23" s="52">
        <v>25.09</v>
      </c>
      <c r="M23" s="52">
        <v>90.41</v>
      </c>
      <c r="N23" s="52">
        <v>119.2</v>
      </c>
      <c r="O23" s="52">
        <v>0</v>
      </c>
      <c r="P23" s="52">
        <v>0.35</v>
      </c>
      <c r="Q23" s="52">
        <v>4.4400000000000004</v>
      </c>
    </row>
    <row r="24" spans="1:17" customFormat="1">
      <c r="A24" s="53" t="s">
        <v>696</v>
      </c>
      <c r="B24" s="52">
        <v>9.89</v>
      </c>
      <c r="C24" s="52">
        <v>37.53</v>
      </c>
      <c r="D24" s="52">
        <v>26.31</v>
      </c>
      <c r="E24" s="52">
        <v>4.82</v>
      </c>
      <c r="F24" s="52">
        <v>4.99</v>
      </c>
      <c r="G24" s="52">
        <v>1.4</v>
      </c>
      <c r="H24" s="52">
        <v>0.64</v>
      </c>
      <c r="I24" s="52">
        <v>2.2599999999999998</v>
      </c>
      <c r="J24" s="52">
        <v>1.32</v>
      </c>
      <c r="K24" s="52">
        <v>261.47000000000003</v>
      </c>
      <c r="L24" s="52">
        <v>25.2</v>
      </c>
      <c r="M24" s="52">
        <v>90.17</v>
      </c>
      <c r="N24" s="52">
        <v>113.2</v>
      </c>
      <c r="O24" s="52">
        <v>0</v>
      </c>
      <c r="P24" s="52">
        <v>0.35</v>
      </c>
      <c r="Q24" s="52">
        <v>4.43</v>
      </c>
    </row>
    <row r="25" spans="1:17" customFormat="1">
      <c r="A25" s="53" t="s">
        <v>697</v>
      </c>
      <c r="B25" s="52">
        <v>9.75</v>
      </c>
      <c r="C25" s="52">
        <v>38.28</v>
      </c>
      <c r="D25" s="52">
        <v>26.78</v>
      </c>
      <c r="E25" s="52">
        <v>5.12</v>
      </c>
      <c r="F25" s="52">
        <v>4.5199999999999996</v>
      </c>
      <c r="G25" s="52">
        <v>1.4</v>
      </c>
      <c r="H25" s="52">
        <v>0.64</v>
      </c>
      <c r="I25" s="52">
        <v>2.25</v>
      </c>
      <c r="J25" s="52">
        <v>1.1200000000000001</v>
      </c>
      <c r="K25" s="52">
        <v>261.04000000000002</v>
      </c>
      <c r="L25" s="52">
        <v>24.85</v>
      </c>
      <c r="M25" s="52">
        <v>93.86</v>
      </c>
      <c r="N25" s="52">
        <v>57.8</v>
      </c>
      <c r="O25" s="52">
        <v>0</v>
      </c>
      <c r="P25" s="52">
        <v>0.35</v>
      </c>
      <c r="Q25" s="52">
        <v>4.42</v>
      </c>
    </row>
    <row r="26" spans="1:17" customFormat="1">
      <c r="A26" s="53" t="s">
        <v>698</v>
      </c>
      <c r="B26" s="52">
        <v>10.14</v>
      </c>
      <c r="C26" s="52">
        <v>38.58</v>
      </c>
      <c r="D26" s="52">
        <v>27.07</v>
      </c>
      <c r="E26" s="52">
        <v>5.12</v>
      </c>
      <c r="F26" s="52">
        <v>4.5999999999999996</v>
      </c>
      <c r="G26" s="52">
        <v>1.38</v>
      </c>
      <c r="H26" s="52">
        <v>0.64</v>
      </c>
      <c r="I26" s="52">
        <v>2.2799999999999998</v>
      </c>
      <c r="J26" s="52">
        <v>1.21</v>
      </c>
      <c r="K26" s="52">
        <v>265.33999999999997</v>
      </c>
      <c r="L26" s="52">
        <v>25.13</v>
      </c>
      <c r="M26" s="52">
        <v>91.66</v>
      </c>
      <c r="N26" s="52">
        <v>16.3</v>
      </c>
      <c r="O26" s="52">
        <v>0</v>
      </c>
      <c r="P26" s="52">
        <v>0.35</v>
      </c>
      <c r="Q26" s="52">
        <v>4.45</v>
      </c>
    </row>
    <row r="27" spans="1:17" customFormat="1">
      <c r="A27" s="53" t="s">
        <v>699</v>
      </c>
      <c r="B27" s="52">
        <v>10.01</v>
      </c>
      <c r="C27" s="52">
        <v>38.83</v>
      </c>
      <c r="D27" s="52">
        <v>27.23</v>
      </c>
      <c r="E27" s="52">
        <v>4.92</v>
      </c>
      <c r="F27" s="52">
        <v>4.59</v>
      </c>
      <c r="G27" s="52">
        <v>1.61</v>
      </c>
      <c r="H27" s="52">
        <v>0.65</v>
      </c>
      <c r="I27" s="52">
        <v>2.34</v>
      </c>
      <c r="J27" s="52">
        <v>1.33</v>
      </c>
      <c r="K27" s="52">
        <v>260.91000000000003</v>
      </c>
      <c r="L27" s="52">
        <v>25.12</v>
      </c>
      <c r="M27" s="52">
        <v>90.69</v>
      </c>
      <c r="N27" s="52">
        <v>1.3</v>
      </c>
      <c r="O27" s="52">
        <v>0</v>
      </c>
      <c r="P27" s="52">
        <v>0.37</v>
      </c>
      <c r="Q27" s="52">
        <v>4.42</v>
      </c>
    </row>
    <row r="28" spans="1:17" customFormat="1">
      <c r="A28" s="53" t="s">
        <v>700</v>
      </c>
      <c r="B28" s="52">
        <v>9.81</v>
      </c>
      <c r="C28" s="52">
        <v>38.4</v>
      </c>
      <c r="D28" s="52">
        <v>26.75</v>
      </c>
      <c r="E28" s="52">
        <v>4.42</v>
      </c>
      <c r="F28" s="52">
        <v>4.68</v>
      </c>
      <c r="G28" s="52">
        <v>1.61</v>
      </c>
      <c r="H28" s="52">
        <v>0.66</v>
      </c>
      <c r="I28" s="52">
        <v>2.31</v>
      </c>
      <c r="J28" s="52">
        <v>1.29</v>
      </c>
      <c r="K28" s="52">
        <v>263.44</v>
      </c>
      <c r="L28" s="52">
        <v>25.12</v>
      </c>
      <c r="M28" s="52">
        <v>91.58</v>
      </c>
      <c r="N28" s="52">
        <v>0</v>
      </c>
      <c r="O28" s="52">
        <v>0</v>
      </c>
      <c r="P28" s="52">
        <v>0.35</v>
      </c>
      <c r="Q28" s="52">
        <v>4.42</v>
      </c>
    </row>
    <row r="29" spans="1:17" customFormat="1">
      <c r="A29" s="53" t="s">
        <v>701</v>
      </c>
      <c r="B29" s="52">
        <v>10.42</v>
      </c>
      <c r="C29" s="52">
        <v>38.700000000000003</v>
      </c>
      <c r="D29" s="52">
        <v>27.53</v>
      </c>
      <c r="E29" s="52">
        <v>4.97</v>
      </c>
      <c r="F29" s="52">
        <v>4.8099999999999996</v>
      </c>
      <c r="G29" s="52">
        <v>1.57</v>
      </c>
      <c r="H29" s="52">
        <v>0.67</v>
      </c>
      <c r="I29" s="52">
        <v>2.36</v>
      </c>
      <c r="J29" s="52">
        <v>0.94</v>
      </c>
      <c r="K29" s="52">
        <v>256.49</v>
      </c>
      <c r="L29" s="52">
        <v>24.98</v>
      </c>
      <c r="M29" s="52">
        <v>93.39</v>
      </c>
      <c r="N29" s="52">
        <v>0</v>
      </c>
      <c r="O29" s="52">
        <v>0</v>
      </c>
      <c r="P29" s="52">
        <v>0.36</v>
      </c>
      <c r="Q29" s="52">
        <v>4.47</v>
      </c>
    </row>
    <row r="30" spans="1:17" customFormat="1">
      <c r="A30" s="53" t="s">
        <v>702</v>
      </c>
      <c r="B30" s="52">
        <v>11.01</v>
      </c>
      <c r="C30" s="52">
        <v>38.96</v>
      </c>
      <c r="D30" s="52">
        <v>27.95</v>
      </c>
      <c r="E30" s="52">
        <v>5.04</v>
      </c>
      <c r="F30" s="52">
        <v>4.7699999999999996</v>
      </c>
      <c r="G30" s="52">
        <v>1.8</v>
      </c>
      <c r="H30" s="52">
        <v>0.67</v>
      </c>
      <c r="I30" s="52">
        <v>2.4</v>
      </c>
      <c r="J30" s="52">
        <v>0.98</v>
      </c>
      <c r="K30" s="52">
        <v>259.07</v>
      </c>
      <c r="L30" s="52">
        <v>25.1</v>
      </c>
      <c r="M30" s="52">
        <v>92.4</v>
      </c>
      <c r="N30" s="52">
        <v>0</v>
      </c>
      <c r="O30" s="52">
        <v>0</v>
      </c>
      <c r="P30" s="52">
        <v>0.37</v>
      </c>
      <c r="Q30" s="52">
        <v>4.5</v>
      </c>
    </row>
    <row r="31" spans="1:17" customFormat="1">
      <c r="A31" s="53" t="s">
        <v>703</v>
      </c>
      <c r="B31" s="52">
        <v>11.07</v>
      </c>
      <c r="C31" s="52">
        <v>38.92</v>
      </c>
      <c r="D31" s="52">
        <v>28.12</v>
      </c>
      <c r="E31" s="52">
        <v>5.01</v>
      </c>
      <c r="F31" s="52">
        <v>4.5999999999999996</v>
      </c>
      <c r="G31" s="52">
        <v>1.8</v>
      </c>
      <c r="H31" s="52">
        <v>0.67</v>
      </c>
      <c r="I31" s="52">
        <v>2.41</v>
      </c>
      <c r="J31" s="52">
        <v>1.27</v>
      </c>
      <c r="K31" s="52">
        <v>258.13</v>
      </c>
      <c r="L31" s="52">
        <v>25.02</v>
      </c>
      <c r="M31" s="52">
        <v>93.68</v>
      </c>
      <c r="N31" s="52">
        <v>0</v>
      </c>
      <c r="O31" s="52">
        <v>0</v>
      </c>
      <c r="P31" s="52">
        <v>0.36</v>
      </c>
      <c r="Q31" s="52">
        <v>4.5</v>
      </c>
    </row>
    <row r="32" spans="1:17" customFormat="1">
      <c r="A32" s="53" t="s">
        <v>704</v>
      </c>
      <c r="B32" s="52">
        <v>10.96</v>
      </c>
      <c r="C32" s="52">
        <v>38.92</v>
      </c>
      <c r="D32" s="52">
        <v>28.07</v>
      </c>
      <c r="E32" s="52">
        <v>4.91</v>
      </c>
      <c r="F32" s="52">
        <v>4.9000000000000004</v>
      </c>
      <c r="G32" s="52">
        <v>2.37</v>
      </c>
      <c r="H32" s="52">
        <v>0.83</v>
      </c>
      <c r="I32" s="52">
        <v>2.34</v>
      </c>
      <c r="J32" s="52">
        <v>1.1100000000000001</v>
      </c>
      <c r="K32" s="52">
        <v>259.42</v>
      </c>
      <c r="L32" s="52">
        <v>24.98</v>
      </c>
      <c r="M32" s="52">
        <v>93.9</v>
      </c>
      <c r="N32" s="52">
        <v>0</v>
      </c>
      <c r="O32" s="52">
        <v>0</v>
      </c>
      <c r="P32" s="52">
        <v>0.36</v>
      </c>
      <c r="Q32" s="52">
        <v>4.5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9.1999999999999993</v>
      </c>
      <c r="C34" s="41">
        <f t="shared" si="0"/>
        <v>37.53</v>
      </c>
      <c r="D34" s="41">
        <f t="shared" si="0"/>
        <v>26.31</v>
      </c>
      <c r="E34" s="41">
        <f t="shared" si="0"/>
        <v>4.42</v>
      </c>
      <c r="F34" s="41">
        <f t="shared" si="0"/>
        <v>4.1500000000000004</v>
      </c>
      <c r="G34" s="41">
        <f t="shared" si="0"/>
        <v>1.04</v>
      </c>
      <c r="H34" s="41">
        <f t="shared" si="0"/>
        <v>0.59</v>
      </c>
      <c r="I34" s="41">
        <f t="shared" si="0"/>
        <v>2.25</v>
      </c>
      <c r="J34" s="41">
        <f t="shared" si="0"/>
        <v>0.86</v>
      </c>
      <c r="K34" s="41">
        <f t="shared" si="0"/>
        <v>253.41</v>
      </c>
      <c r="L34" s="41">
        <f t="shared" si="0"/>
        <v>23.2</v>
      </c>
      <c r="M34" s="41">
        <f t="shared" si="0"/>
        <v>90.17</v>
      </c>
      <c r="N34" s="41">
        <f t="shared" si="0"/>
        <v>0</v>
      </c>
      <c r="O34" s="41">
        <f t="shared" si="0"/>
        <v>0</v>
      </c>
      <c r="P34" s="41">
        <f t="shared" si="0"/>
        <v>0.33</v>
      </c>
      <c r="Q34" s="41">
        <f t="shared" si="0"/>
        <v>4.42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11.63</v>
      </c>
      <c r="C35" s="33">
        <f t="shared" si="1"/>
        <v>40.369999999999997</v>
      </c>
      <c r="D35" s="33">
        <f t="shared" si="1"/>
        <v>29.03</v>
      </c>
      <c r="E35" s="33">
        <f t="shared" si="1"/>
        <v>6.17</v>
      </c>
      <c r="F35" s="33">
        <f t="shared" si="1"/>
        <v>4.99</v>
      </c>
      <c r="G35" s="33">
        <f t="shared" si="1"/>
        <v>4.66</v>
      </c>
      <c r="H35" s="33">
        <f t="shared" si="1"/>
        <v>0.83</v>
      </c>
      <c r="I35" s="33">
        <f t="shared" si="1"/>
        <v>3.09</v>
      </c>
      <c r="J35" s="33">
        <f t="shared" si="1"/>
        <v>2.0299999999999998</v>
      </c>
      <c r="K35" s="33">
        <f t="shared" si="1"/>
        <v>267.87</v>
      </c>
      <c r="L35" s="33">
        <f t="shared" si="1"/>
        <v>25.2</v>
      </c>
      <c r="M35" s="33">
        <f t="shared" si="1"/>
        <v>98.48</v>
      </c>
      <c r="N35" s="33">
        <f t="shared" si="1"/>
        <v>122.6</v>
      </c>
      <c r="O35" s="33">
        <f t="shared" si="1"/>
        <v>0</v>
      </c>
      <c r="P35" s="33">
        <f t="shared" si="1"/>
        <v>0.41</v>
      </c>
      <c r="Q35" s="33">
        <f t="shared" si="1"/>
        <v>4.5599999999999996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10.40208333333333</v>
      </c>
      <c r="C36" s="41">
        <f t="shared" si="2"/>
        <v>38.927916666666668</v>
      </c>
      <c r="D36" s="41">
        <f t="shared" si="2"/>
        <v>27.510416666666668</v>
      </c>
      <c r="E36" s="41">
        <f t="shared" si="2"/>
        <v>5.1820833333333347</v>
      </c>
      <c r="F36" s="41">
        <f t="shared" si="2"/>
        <v>4.5820833333333324</v>
      </c>
      <c r="G36" s="41">
        <f t="shared" si="2"/>
        <v>1.9062499999999998</v>
      </c>
      <c r="H36" s="41">
        <f t="shared" si="2"/>
        <v>0.65791666666666682</v>
      </c>
      <c r="I36" s="41">
        <f t="shared" si="2"/>
        <v>2.4508333333333336</v>
      </c>
      <c r="J36" s="41">
        <f t="shared" si="2"/>
        <v>1.3149999999999999</v>
      </c>
      <c r="K36" s="41">
        <f t="shared" si="2"/>
        <v>260.36458333333331</v>
      </c>
      <c r="L36" s="41">
        <f t="shared" si="2"/>
        <v>24.334999999999997</v>
      </c>
      <c r="M36" s="41">
        <f t="shared" si="2"/>
        <v>94.68125000000002</v>
      </c>
      <c r="N36" s="41">
        <f t="shared" si="2"/>
        <v>36.691666666666663</v>
      </c>
      <c r="O36" s="41">
        <f t="shared" si="2"/>
        <v>0</v>
      </c>
      <c r="P36" s="41">
        <f t="shared" si="2"/>
        <v>0.3595833333333332</v>
      </c>
      <c r="Q36" s="41">
        <f t="shared" si="2"/>
        <v>4.4662499999999996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0.66624828357179611</v>
      </c>
      <c r="C37" s="41">
        <f t="shared" ref="C37:Q37" si="3">STDEV(C9:C32)</f>
        <v>0.73944149997420261</v>
      </c>
      <c r="D37" s="41">
        <f t="shared" si="3"/>
        <v>0.71604274323884143</v>
      </c>
      <c r="E37" s="41">
        <f t="shared" si="3"/>
        <v>0.49398098156196224</v>
      </c>
      <c r="F37" s="41">
        <f t="shared" si="3"/>
        <v>0.21707500540370775</v>
      </c>
      <c r="G37" s="41">
        <f t="shared" si="3"/>
        <v>1.012349022560036</v>
      </c>
      <c r="H37" s="41">
        <f t="shared" si="3"/>
        <v>6.5340523857489077E-2</v>
      </c>
      <c r="I37" s="41">
        <f t="shared" si="3"/>
        <v>0.25134277074504568</v>
      </c>
      <c r="J37" s="41">
        <f t="shared" si="3"/>
        <v>0.28368690641192007</v>
      </c>
      <c r="K37" s="41">
        <f t="shared" si="3"/>
        <v>3.6640248470421399</v>
      </c>
      <c r="L37" s="41">
        <f t="shared" si="3"/>
        <v>0.71807714251946708</v>
      </c>
      <c r="M37" s="41">
        <f t="shared" si="3"/>
        <v>2.8739993532714418</v>
      </c>
      <c r="N37" s="41">
        <f t="shared" si="3"/>
        <v>47.918970707050761</v>
      </c>
      <c r="O37" s="41">
        <f t="shared" si="3"/>
        <v>0</v>
      </c>
      <c r="P37" s="41">
        <f t="shared" si="3"/>
        <v>1.876146992170892E-2</v>
      </c>
      <c r="Q37" s="41">
        <f t="shared" si="3"/>
        <v>3.898857134664168E-2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tabSelected="1"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B36" sqref="B36:Q36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28/06/2023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705</v>
      </c>
      <c r="B9" s="52">
        <v>10.59</v>
      </c>
      <c r="C9" s="52">
        <v>38.020000000000003</v>
      </c>
      <c r="D9" s="52">
        <v>27.18</v>
      </c>
      <c r="E9" s="52">
        <v>5.16</v>
      </c>
      <c r="F9" s="52">
        <v>4.9400000000000004</v>
      </c>
      <c r="G9" s="52">
        <v>2.4300000000000002</v>
      </c>
      <c r="H9" s="52">
        <v>0.83</v>
      </c>
      <c r="I9" s="52">
        <v>2.29</v>
      </c>
      <c r="J9" s="52">
        <v>1.18</v>
      </c>
      <c r="K9" s="52">
        <v>258.36</v>
      </c>
      <c r="L9" s="52">
        <v>25.02</v>
      </c>
      <c r="M9" s="52">
        <v>92.47</v>
      </c>
      <c r="N9" s="52">
        <v>0</v>
      </c>
      <c r="O9" s="52">
        <v>0</v>
      </c>
      <c r="P9" s="52">
        <v>0.35</v>
      </c>
      <c r="Q9" s="52">
        <v>4.49</v>
      </c>
    </row>
    <row r="10" spans="1:21" customFormat="1">
      <c r="A10" s="53" t="s">
        <v>706</v>
      </c>
      <c r="B10" s="52">
        <v>10.72</v>
      </c>
      <c r="C10" s="52">
        <v>38.200000000000003</v>
      </c>
      <c r="D10" s="52">
        <v>27.46</v>
      </c>
      <c r="E10" s="52">
        <v>4.8600000000000003</v>
      </c>
      <c r="F10" s="52">
        <v>4.91</v>
      </c>
      <c r="G10" s="52">
        <v>3.71</v>
      </c>
      <c r="H10" s="52">
        <v>0.83</v>
      </c>
      <c r="I10" s="52">
        <v>2.27</v>
      </c>
      <c r="J10" s="52">
        <v>1.19</v>
      </c>
      <c r="K10" s="52">
        <v>258.8</v>
      </c>
      <c r="L10" s="52">
        <v>25.06</v>
      </c>
      <c r="M10" s="52">
        <v>91.36</v>
      </c>
      <c r="N10" s="52">
        <v>0</v>
      </c>
      <c r="O10" s="52">
        <v>0</v>
      </c>
      <c r="P10" s="52">
        <v>0.34</v>
      </c>
      <c r="Q10" s="52">
        <v>4.54</v>
      </c>
    </row>
    <row r="11" spans="1:21" customFormat="1">
      <c r="A11" s="53" t="s">
        <v>707</v>
      </c>
      <c r="B11" s="52">
        <v>10.91</v>
      </c>
      <c r="C11" s="52">
        <v>38</v>
      </c>
      <c r="D11" s="52">
        <v>27.38</v>
      </c>
      <c r="E11" s="52">
        <v>6.27</v>
      </c>
      <c r="F11" s="52">
        <v>4.74</v>
      </c>
      <c r="G11" s="52">
        <v>4.28</v>
      </c>
      <c r="H11" s="52">
        <v>0.86</v>
      </c>
      <c r="I11" s="52">
        <v>2.25</v>
      </c>
      <c r="J11" s="52">
        <v>0.87</v>
      </c>
      <c r="K11" s="52">
        <v>256.27</v>
      </c>
      <c r="L11" s="52">
        <v>24.91</v>
      </c>
      <c r="M11" s="52">
        <v>91.22</v>
      </c>
      <c r="N11" s="52">
        <v>0</v>
      </c>
      <c r="O11" s="52">
        <v>0</v>
      </c>
      <c r="P11" s="52">
        <v>0.34</v>
      </c>
      <c r="Q11" s="52">
        <v>4.53</v>
      </c>
    </row>
    <row r="12" spans="1:21" customFormat="1">
      <c r="A12" s="53" t="s">
        <v>708</v>
      </c>
      <c r="B12" s="52">
        <v>11.16</v>
      </c>
      <c r="C12" s="52">
        <v>39.21</v>
      </c>
      <c r="D12" s="52">
        <v>28.25</v>
      </c>
      <c r="E12" s="52">
        <v>6.15</v>
      </c>
      <c r="F12" s="52">
        <v>4.75</v>
      </c>
      <c r="G12" s="52">
        <v>4.28</v>
      </c>
      <c r="H12" s="52">
        <v>0.86</v>
      </c>
      <c r="I12" s="52">
        <v>2.21</v>
      </c>
      <c r="J12" s="52">
        <v>1.1100000000000001</v>
      </c>
      <c r="K12" s="52">
        <v>257.47000000000003</v>
      </c>
      <c r="L12" s="52">
        <v>24.94</v>
      </c>
      <c r="M12" s="52">
        <v>91.26</v>
      </c>
      <c r="N12" s="52">
        <v>0</v>
      </c>
      <c r="O12" s="52">
        <v>0</v>
      </c>
      <c r="P12" s="52">
        <v>0.35</v>
      </c>
      <c r="Q12" s="52">
        <v>4.54</v>
      </c>
    </row>
    <row r="13" spans="1:21" customFormat="1">
      <c r="A13" s="53" t="s">
        <v>709</v>
      </c>
      <c r="B13" s="52">
        <v>11.32</v>
      </c>
      <c r="C13" s="52">
        <v>37.86</v>
      </c>
      <c r="D13" s="52">
        <v>27.74</v>
      </c>
      <c r="E13" s="52">
        <v>6.12</v>
      </c>
      <c r="F13" s="52">
        <v>4.62</v>
      </c>
      <c r="G13" s="52">
        <v>3.35</v>
      </c>
      <c r="H13" s="52">
        <v>0.86</v>
      </c>
      <c r="I13" s="52">
        <v>2.2000000000000002</v>
      </c>
      <c r="J13" s="52">
        <v>1.17</v>
      </c>
      <c r="K13" s="52">
        <v>258.95999999999998</v>
      </c>
      <c r="L13" s="52">
        <v>24.73</v>
      </c>
      <c r="M13" s="52">
        <v>92.32</v>
      </c>
      <c r="N13" s="52">
        <v>0</v>
      </c>
      <c r="O13" s="52">
        <v>0</v>
      </c>
      <c r="P13" s="52">
        <v>0.34</v>
      </c>
      <c r="Q13" s="52">
        <v>4.5199999999999996</v>
      </c>
    </row>
    <row r="14" spans="1:21" customFormat="1">
      <c r="A14" s="53" t="s">
        <v>710</v>
      </c>
      <c r="B14" s="52">
        <v>11.01</v>
      </c>
      <c r="C14" s="52">
        <v>38.93</v>
      </c>
      <c r="D14" s="52">
        <v>28.05</v>
      </c>
      <c r="E14" s="52">
        <v>6.48</v>
      </c>
      <c r="F14" s="52">
        <v>4.45</v>
      </c>
      <c r="G14" s="52">
        <v>2.38</v>
      </c>
      <c r="H14" s="52">
        <v>0.87</v>
      </c>
      <c r="I14" s="52">
        <v>2.13</v>
      </c>
      <c r="J14" s="52">
        <v>1.02</v>
      </c>
      <c r="K14" s="52">
        <v>255.63</v>
      </c>
      <c r="L14" s="52">
        <v>24.7</v>
      </c>
      <c r="M14" s="52">
        <v>91.74</v>
      </c>
      <c r="N14" s="52">
        <v>0.2</v>
      </c>
      <c r="O14" s="52">
        <v>0</v>
      </c>
      <c r="P14" s="52">
        <v>0.34</v>
      </c>
      <c r="Q14" s="52">
        <v>4.5199999999999996</v>
      </c>
    </row>
    <row r="15" spans="1:21" customFormat="1">
      <c r="A15" s="53" t="s">
        <v>711</v>
      </c>
      <c r="B15" s="52">
        <v>10.97</v>
      </c>
      <c r="C15" s="52">
        <v>37.42</v>
      </c>
      <c r="D15" s="52">
        <v>27.22</v>
      </c>
      <c r="E15" s="52">
        <v>6.42</v>
      </c>
      <c r="F15" s="52">
        <v>4.74</v>
      </c>
      <c r="G15" s="52">
        <v>1.77</v>
      </c>
      <c r="H15" s="52">
        <v>0.88</v>
      </c>
      <c r="I15" s="52">
        <v>2.14</v>
      </c>
      <c r="J15" s="52">
        <v>1.29</v>
      </c>
      <c r="K15" s="52">
        <v>254.17</v>
      </c>
      <c r="L15" s="52">
        <v>24.72</v>
      </c>
      <c r="M15" s="52">
        <v>91.8</v>
      </c>
      <c r="N15" s="52">
        <v>7.4</v>
      </c>
      <c r="O15" s="52">
        <v>0</v>
      </c>
      <c r="P15" s="52">
        <v>0.33</v>
      </c>
      <c r="Q15" s="52">
        <v>4.5</v>
      </c>
    </row>
    <row r="16" spans="1:21" customFormat="1">
      <c r="A16" s="53" t="s">
        <v>712</v>
      </c>
      <c r="B16" s="52">
        <v>10.87</v>
      </c>
      <c r="C16" s="52">
        <v>39.380000000000003</v>
      </c>
      <c r="D16" s="52">
        <v>28.17</v>
      </c>
      <c r="E16" s="52">
        <v>6.37</v>
      </c>
      <c r="F16" s="52">
        <v>4.8899999999999997</v>
      </c>
      <c r="G16" s="52">
        <v>1.77</v>
      </c>
      <c r="H16" s="52">
        <v>0.89</v>
      </c>
      <c r="I16" s="52">
        <v>2.13</v>
      </c>
      <c r="J16" s="52">
        <v>1.1200000000000001</v>
      </c>
      <c r="K16" s="52">
        <v>256.35000000000002</v>
      </c>
      <c r="L16" s="52">
        <v>24.5</v>
      </c>
      <c r="M16" s="52">
        <v>93.88</v>
      </c>
      <c r="N16" s="52">
        <v>39.299999999999997</v>
      </c>
      <c r="O16" s="52">
        <v>0</v>
      </c>
      <c r="P16" s="52">
        <v>0.34</v>
      </c>
      <c r="Q16" s="52">
        <v>4.51</v>
      </c>
    </row>
    <row r="17" spans="1:17" customFormat="1">
      <c r="A17" s="53" t="s">
        <v>713</v>
      </c>
      <c r="B17" s="52">
        <v>11.06</v>
      </c>
      <c r="C17" s="52">
        <v>38.119999999999997</v>
      </c>
      <c r="D17" s="52">
        <v>27.74</v>
      </c>
      <c r="E17" s="52">
        <v>6.38</v>
      </c>
      <c r="F17" s="52">
        <v>4.5</v>
      </c>
      <c r="G17" s="52">
        <v>1.41</v>
      </c>
      <c r="H17" s="52">
        <v>0.93</v>
      </c>
      <c r="I17" s="52">
        <v>2.15</v>
      </c>
      <c r="J17" s="52">
        <v>1.29</v>
      </c>
      <c r="K17" s="52">
        <v>254.09</v>
      </c>
      <c r="L17" s="52">
        <v>24.94</v>
      </c>
      <c r="M17" s="52">
        <v>93.96</v>
      </c>
      <c r="N17" s="52">
        <v>92.4</v>
      </c>
      <c r="O17" s="52">
        <v>0</v>
      </c>
      <c r="P17" s="52">
        <v>0.34</v>
      </c>
      <c r="Q17" s="52">
        <v>4.5</v>
      </c>
    </row>
    <row r="18" spans="1:17" customFormat="1">
      <c r="A18" s="53" t="s">
        <v>714</v>
      </c>
      <c r="B18" s="52">
        <v>11.08</v>
      </c>
      <c r="C18" s="52">
        <v>38.78</v>
      </c>
      <c r="D18" s="52">
        <v>27.97</v>
      </c>
      <c r="E18" s="52">
        <v>6.42</v>
      </c>
      <c r="F18" s="52">
        <v>4.87</v>
      </c>
      <c r="G18" s="52">
        <v>1.3</v>
      </c>
      <c r="H18" s="52">
        <v>0.93</v>
      </c>
      <c r="I18" s="52">
        <v>2.1800000000000002</v>
      </c>
      <c r="J18" s="52">
        <v>1.25</v>
      </c>
      <c r="K18" s="52">
        <v>257.61</v>
      </c>
      <c r="L18" s="52">
        <v>25.71</v>
      </c>
      <c r="M18" s="52">
        <v>90.68</v>
      </c>
      <c r="N18" s="52">
        <v>142.9</v>
      </c>
      <c r="O18" s="52">
        <v>0</v>
      </c>
      <c r="P18" s="52">
        <v>0.35</v>
      </c>
      <c r="Q18" s="52">
        <v>4.5199999999999996</v>
      </c>
    </row>
    <row r="19" spans="1:17" customFormat="1">
      <c r="A19" s="53" t="s">
        <v>715</v>
      </c>
      <c r="B19" s="52">
        <v>11.2</v>
      </c>
      <c r="C19" s="52">
        <v>36.979999999999997</v>
      </c>
      <c r="D19" s="52">
        <v>27.26</v>
      </c>
      <c r="E19" s="52">
        <v>5.73</v>
      </c>
      <c r="F19" s="52">
        <v>4.7300000000000004</v>
      </c>
      <c r="G19" s="52">
        <v>2.2400000000000002</v>
      </c>
      <c r="H19" s="52">
        <v>2.06</v>
      </c>
      <c r="I19" s="52">
        <v>2.16</v>
      </c>
      <c r="J19" s="52">
        <v>1.03</v>
      </c>
      <c r="K19" s="52">
        <v>255.98</v>
      </c>
      <c r="L19" s="52">
        <v>26.6</v>
      </c>
      <c r="M19" s="52">
        <v>88.25</v>
      </c>
      <c r="N19" s="52">
        <v>282.60000000000002</v>
      </c>
      <c r="O19" s="52">
        <v>0</v>
      </c>
      <c r="P19" s="52">
        <v>0.34</v>
      </c>
      <c r="Q19" s="52">
        <v>4.51</v>
      </c>
    </row>
    <row r="20" spans="1:17" customFormat="1">
      <c r="A20" s="53" t="s">
        <v>716</v>
      </c>
      <c r="B20" s="52">
        <v>9.67</v>
      </c>
      <c r="C20" s="52">
        <v>36.119999999999997</v>
      </c>
      <c r="D20" s="52">
        <v>25.25</v>
      </c>
      <c r="E20" s="52">
        <v>5.85</v>
      </c>
      <c r="F20" s="52">
        <v>5.09</v>
      </c>
      <c r="G20" s="52">
        <v>2.2400000000000002</v>
      </c>
      <c r="H20" s="52">
        <v>2.06</v>
      </c>
      <c r="I20" s="52">
        <v>2.19</v>
      </c>
      <c r="J20" s="52">
        <v>1.35</v>
      </c>
      <c r="K20" s="52">
        <v>258.22000000000003</v>
      </c>
      <c r="L20" s="52">
        <v>27.1</v>
      </c>
      <c r="M20" s="52">
        <v>84.9</v>
      </c>
      <c r="N20" s="52">
        <v>344.8</v>
      </c>
      <c r="O20" s="52">
        <v>0</v>
      </c>
      <c r="P20" s="52">
        <v>0.37</v>
      </c>
      <c r="Q20" s="52">
        <v>4.4400000000000004</v>
      </c>
    </row>
    <row r="21" spans="1:17" customFormat="1">
      <c r="A21" s="53" t="s">
        <v>717</v>
      </c>
      <c r="B21" s="52">
        <v>9.4600000000000009</v>
      </c>
      <c r="C21" s="52">
        <v>34.47</v>
      </c>
      <c r="D21" s="52">
        <v>24.11</v>
      </c>
      <c r="E21" s="52">
        <v>5.71</v>
      </c>
      <c r="F21" s="52">
        <v>6.64</v>
      </c>
      <c r="G21" s="11" t="s">
        <v>12</v>
      </c>
      <c r="H21" s="11" t="s">
        <v>12</v>
      </c>
      <c r="I21" s="52">
        <v>2.19</v>
      </c>
      <c r="J21" s="52">
        <v>1.38</v>
      </c>
      <c r="K21" s="52">
        <v>253.43</v>
      </c>
      <c r="L21" s="52">
        <v>27.95</v>
      </c>
      <c r="M21" s="52">
        <v>82.31</v>
      </c>
      <c r="N21" s="52">
        <v>624.6</v>
      </c>
      <c r="O21" s="52">
        <v>0</v>
      </c>
      <c r="P21" s="52">
        <v>0.34</v>
      </c>
      <c r="Q21" s="52">
        <v>4.38</v>
      </c>
    </row>
    <row r="22" spans="1:17" customFormat="1">
      <c r="A22" s="53" t="s">
        <v>718</v>
      </c>
      <c r="B22" s="52">
        <v>6.42</v>
      </c>
      <c r="C22" s="52">
        <v>33.380000000000003</v>
      </c>
      <c r="D22" s="52">
        <v>21.53</v>
      </c>
      <c r="E22" s="52">
        <v>4.83</v>
      </c>
      <c r="F22" s="52">
        <v>4.5199999999999996</v>
      </c>
      <c r="G22" s="11" t="s">
        <v>12</v>
      </c>
      <c r="H22" s="11" t="s">
        <v>12</v>
      </c>
      <c r="I22" s="52">
        <v>2.06</v>
      </c>
      <c r="J22" s="52">
        <v>1.32</v>
      </c>
      <c r="K22" s="52">
        <v>259.57</v>
      </c>
      <c r="L22" s="52">
        <v>27.49</v>
      </c>
      <c r="M22" s="52">
        <v>83.9</v>
      </c>
      <c r="N22" s="52">
        <v>345.6</v>
      </c>
      <c r="O22" s="52">
        <v>0</v>
      </c>
      <c r="P22" s="52">
        <v>0.34</v>
      </c>
      <c r="Q22" s="52">
        <v>4.25</v>
      </c>
    </row>
    <row r="23" spans="1:17" customFormat="1">
      <c r="A23" s="53" t="s">
        <v>719</v>
      </c>
      <c r="B23" s="52">
        <v>6.44</v>
      </c>
      <c r="C23" s="52">
        <v>35.090000000000003</v>
      </c>
      <c r="D23" s="52">
        <v>22.34</v>
      </c>
      <c r="E23" s="52">
        <v>5.03</v>
      </c>
      <c r="F23" s="52">
        <v>3.62</v>
      </c>
      <c r="G23" s="52">
        <v>2.8</v>
      </c>
      <c r="H23" s="52">
        <v>1.57</v>
      </c>
      <c r="I23" s="52">
        <v>2.08</v>
      </c>
      <c r="J23" s="52">
        <v>1.1200000000000001</v>
      </c>
      <c r="K23" s="52">
        <v>257</v>
      </c>
      <c r="L23" s="52">
        <v>27.18</v>
      </c>
      <c r="M23" s="52">
        <v>83.34</v>
      </c>
      <c r="N23" s="52">
        <v>240.7</v>
      </c>
      <c r="O23" s="52">
        <v>0</v>
      </c>
      <c r="P23" s="52">
        <v>0.33</v>
      </c>
      <c r="Q23" s="52">
        <v>4.22</v>
      </c>
    </row>
    <row r="24" spans="1:17" customFormat="1">
      <c r="A24" s="53" t="s">
        <v>720</v>
      </c>
      <c r="B24" s="52">
        <v>6.75</v>
      </c>
      <c r="C24" s="52">
        <v>36.75</v>
      </c>
      <c r="D24" s="52">
        <v>23.34</v>
      </c>
      <c r="E24" s="52">
        <v>5.2</v>
      </c>
      <c r="F24" s="52">
        <v>4.26</v>
      </c>
      <c r="G24" s="52">
        <v>3.69</v>
      </c>
      <c r="H24" s="52">
        <v>2.14</v>
      </c>
      <c r="I24" s="52">
        <v>2.13</v>
      </c>
      <c r="J24" s="52">
        <v>1.01</v>
      </c>
      <c r="K24" s="52">
        <v>254.37</v>
      </c>
      <c r="L24" s="52">
        <v>27.87</v>
      </c>
      <c r="M24" s="52">
        <v>82.14</v>
      </c>
      <c r="N24" s="52">
        <v>368</v>
      </c>
      <c r="O24" s="52">
        <v>0</v>
      </c>
      <c r="P24" s="52">
        <v>0.34</v>
      </c>
      <c r="Q24" s="52">
        <v>4.28</v>
      </c>
    </row>
    <row r="25" spans="1:17" customFormat="1">
      <c r="A25" s="53" t="s">
        <v>721</v>
      </c>
      <c r="B25" s="52">
        <v>6.94</v>
      </c>
      <c r="C25" s="52">
        <v>36.51</v>
      </c>
      <c r="D25" s="52">
        <v>23.47</v>
      </c>
      <c r="E25" s="52">
        <v>4.91</v>
      </c>
      <c r="F25" s="52">
        <v>6.48</v>
      </c>
      <c r="G25" s="52">
        <v>5.0999999999999996</v>
      </c>
      <c r="H25" s="52">
        <v>3.07</v>
      </c>
      <c r="I25" s="52">
        <v>2.16</v>
      </c>
      <c r="J25" s="52">
        <v>1.04</v>
      </c>
      <c r="K25" s="52">
        <v>259.26</v>
      </c>
      <c r="L25" s="52">
        <v>27.74</v>
      </c>
      <c r="M25" s="52">
        <v>81.849999999999994</v>
      </c>
      <c r="N25" s="52">
        <v>117.1</v>
      </c>
      <c r="O25" s="52">
        <v>0</v>
      </c>
      <c r="P25" s="52">
        <v>0.35</v>
      </c>
      <c r="Q25" s="52">
        <v>4.3</v>
      </c>
    </row>
    <row r="26" spans="1:17" customFormat="1">
      <c r="A26" s="53" t="s">
        <v>722</v>
      </c>
      <c r="B26" s="52">
        <v>7.16</v>
      </c>
      <c r="C26" s="52">
        <v>36.74</v>
      </c>
      <c r="D26" s="52">
        <v>23.7</v>
      </c>
      <c r="E26" s="52">
        <v>5.49</v>
      </c>
      <c r="F26" s="52">
        <v>7.02</v>
      </c>
      <c r="G26" s="52">
        <v>5.0999999999999996</v>
      </c>
      <c r="H26" s="52">
        <v>3.07</v>
      </c>
      <c r="I26" s="52">
        <v>2.19</v>
      </c>
      <c r="J26" s="52">
        <v>0.75</v>
      </c>
      <c r="K26" s="52">
        <v>255.5</v>
      </c>
      <c r="L26" s="52">
        <v>27.34</v>
      </c>
      <c r="M26" s="52">
        <v>83.82</v>
      </c>
      <c r="N26" s="52">
        <v>37</v>
      </c>
      <c r="O26" s="52">
        <v>0</v>
      </c>
      <c r="P26" s="52">
        <v>0.35</v>
      </c>
      <c r="Q26" s="52">
        <v>4.3</v>
      </c>
    </row>
    <row r="27" spans="1:17" customFormat="1">
      <c r="A27" s="53" t="s">
        <v>723</v>
      </c>
      <c r="B27" s="52">
        <v>8.2200000000000006</v>
      </c>
      <c r="C27" s="52">
        <v>37.49</v>
      </c>
      <c r="D27" s="52">
        <v>24.75</v>
      </c>
      <c r="E27" s="52">
        <v>5.3</v>
      </c>
      <c r="F27" s="52">
        <v>7.06</v>
      </c>
      <c r="G27" s="52">
        <v>5.0999999999999996</v>
      </c>
      <c r="H27" s="52">
        <v>3.07</v>
      </c>
      <c r="I27" s="52">
        <v>2.25</v>
      </c>
      <c r="J27" s="52">
        <v>0.54</v>
      </c>
      <c r="K27" s="52">
        <v>250.62</v>
      </c>
      <c r="L27" s="52">
        <v>27.07</v>
      </c>
      <c r="M27" s="52">
        <v>86.42</v>
      </c>
      <c r="N27" s="52">
        <v>0</v>
      </c>
      <c r="O27" s="52">
        <v>0</v>
      </c>
      <c r="P27" s="52">
        <v>0.37</v>
      </c>
      <c r="Q27" s="52">
        <v>4.38</v>
      </c>
    </row>
    <row r="28" spans="1:17" customFormat="1">
      <c r="A28" s="53" t="s">
        <v>724</v>
      </c>
      <c r="B28" s="52">
        <v>8.7799999999999994</v>
      </c>
      <c r="C28" s="52">
        <v>36.61</v>
      </c>
      <c r="D28" s="52">
        <v>25.08</v>
      </c>
      <c r="E28" s="52">
        <v>6.08</v>
      </c>
      <c r="F28" s="52">
        <v>6.49</v>
      </c>
      <c r="G28" s="52">
        <v>6.38</v>
      </c>
      <c r="H28" s="52">
        <v>3.28</v>
      </c>
      <c r="I28" s="52">
        <v>2.31</v>
      </c>
      <c r="J28" s="52">
        <v>0.7</v>
      </c>
      <c r="K28" s="52">
        <v>255.32</v>
      </c>
      <c r="L28" s="52">
        <v>26.84</v>
      </c>
      <c r="M28" s="52">
        <v>89.94</v>
      </c>
      <c r="N28" s="52">
        <v>0</v>
      </c>
      <c r="O28" s="52">
        <v>0</v>
      </c>
      <c r="P28" s="52">
        <v>0.38</v>
      </c>
      <c r="Q28" s="52">
        <v>4.45</v>
      </c>
    </row>
    <row r="29" spans="1:17" customFormat="1">
      <c r="A29" s="53" t="s">
        <v>725</v>
      </c>
      <c r="B29" s="52">
        <v>9.89</v>
      </c>
      <c r="C29" s="52">
        <v>36.96</v>
      </c>
      <c r="D29" s="52">
        <v>26.2</v>
      </c>
      <c r="E29" s="52">
        <v>6.09</v>
      </c>
      <c r="F29" s="52">
        <v>6.98</v>
      </c>
      <c r="G29" s="52">
        <v>8.4</v>
      </c>
      <c r="H29" s="52">
        <v>3.62</v>
      </c>
      <c r="I29" s="52">
        <v>2.38</v>
      </c>
      <c r="J29" s="52">
        <v>0.32</v>
      </c>
      <c r="K29" s="52">
        <v>254.8</v>
      </c>
      <c r="L29" s="52">
        <v>26.28</v>
      </c>
      <c r="M29" s="52">
        <v>90.83</v>
      </c>
      <c r="N29" s="52">
        <v>0</v>
      </c>
      <c r="O29" s="52">
        <v>0</v>
      </c>
      <c r="P29" s="52">
        <v>0.37</v>
      </c>
      <c r="Q29" s="52">
        <v>4.47</v>
      </c>
    </row>
    <row r="30" spans="1:17" customFormat="1">
      <c r="A30" s="53" t="s">
        <v>726</v>
      </c>
      <c r="B30" s="52">
        <v>10.73</v>
      </c>
      <c r="C30" s="52">
        <v>35.71</v>
      </c>
      <c r="D30" s="52">
        <v>26.16</v>
      </c>
      <c r="E30" s="52">
        <v>6.51</v>
      </c>
      <c r="F30" s="52">
        <v>7.07</v>
      </c>
      <c r="G30" s="52">
        <v>11.15</v>
      </c>
      <c r="H30" s="52">
        <v>6.47</v>
      </c>
      <c r="I30" s="52">
        <v>2.5299999999999998</v>
      </c>
      <c r="J30" s="52">
        <v>0.37</v>
      </c>
      <c r="K30" s="52">
        <v>243.17</v>
      </c>
      <c r="L30" s="52">
        <v>26.25</v>
      </c>
      <c r="M30" s="52">
        <v>90.2</v>
      </c>
      <c r="N30" s="52">
        <v>0</v>
      </c>
      <c r="O30" s="52">
        <v>0</v>
      </c>
      <c r="P30" s="52">
        <v>0.37</v>
      </c>
      <c r="Q30" s="52">
        <v>4.55</v>
      </c>
    </row>
    <row r="31" spans="1:17" customFormat="1">
      <c r="A31" s="53" t="s">
        <v>727</v>
      </c>
      <c r="B31" s="52">
        <v>11.93</v>
      </c>
      <c r="C31" s="52">
        <v>36.659999999999997</v>
      </c>
      <c r="D31" s="52">
        <v>27.26</v>
      </c>
      <c r="E31" s="52">
        <v>6.62</v>
      </c>
      <c r="F31" s="52">
        <v>4.71</v>
      </c>
      <c r="G31" s="52">
        <v>11.1</v>
      </c>
      <c r="H31" s="52">
        <v>7.71</v>
      </c>
      <c r="I31" s="52">
        <v>2.56</v>
      </c>
      <c r="J31" s="52">
        <v>0.61</v>
      </c>
      <c r="K31" s="52">
        <v>249.26</v>
      </c>
      <c r="L31" s="52">
        <v>26.13</v>
      </c>
      <c r="M31" s="52">
        <v>90.38</v>
      </c>
      <c r="N31" s="52">
        <v>0</v>
      </c>
      <c r="O31" s="52">
        <v>0</v>
      </c>
      <c r="P31" s="52">
        <v>0.37</v>
      </c>
      <c r="Q31" s="52">
        <v>4.55</v>
      </c>
    </row>
    <row r="32" spans="1:17" customFormat="1">
      <c r="A32" s="53" t="s">
        <v>728</v>
      </c>
      <c r="B32" s="52">
        <v>12.36</v>
      </c>
      <c r="C32" s="52">
        <v>37.020000000000003</v>
      </c>
      <c r="D32" s="52">
        <v>28.21</v>
      </c>
      <c r="E32" s="52">
        <v>6.95</v>
      </c>
      <c r="F32" s="52">
        <v>4.7</v>
      </c>
      <c r="G32" s="52">
        <v>12.29</v>
      </c>
      <c r="H32" s="52">
        <v>5.62</v>
      </c>
      <c r="I32" s="52">
        <v>2.5499999999999998</v>
      </c>
      <c r="J32" s="52">
        <v>0.57999999999999996</v>
      </c>
      <c r="K32" s="52">
        <v>244.28</v>
      </c>
      <c r="L32" s="52">
        <v>26.06</v>
      </c>
      <c r="M32" s="52">
        <v>90.14</v>
      </c>
      <c r="N32" s="52">
        <v>0</v>
      </c>
      <c r="O32" s="52">
        <v>0</v>
      </c>
      <c r="P32" s="52">
        <v>0.38</v>
      </c>
      <c r="Q32" s="52">
        <v>4.6100000000000003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6.42</v>
      </c>
      <c r="C34" s="41">
        <f t="shared" si="0"/>
        <v>33.380000000000003</v>
      </c>
      <c r="D34" s="41">
        <f t="shared" si="0"/>
        <v>21.53</v>
      </c>
      <c r="E34" s="41">
        <f t="shared" si="0"/>
        <v>4.83</v>
      </c>
      <c r="F34" s="41">
        <f t="shared" si="0"/>
        <v>3.62</v>
      </c>
      <c r="G34" s="41">
        <f t="shared" si="0"/>
        <v>1.3</v>
      </c>
      <c r="H34" s="41">
        <f t="shared" si="0"/>
        <v>0.83</v>
      </c>
      <c r="I34" s="41">
        <f t="shared" si="0"/>
        <v>2.06</v>
      </c>
      <c r="J34" s="41">
        <f t="shared" si="0"/>
        <v>0.32</v>
      </c>
      <c r="K34" s="41">
        <f t="shared" si="0"/>
        <v>243.17</v>
      </c>
      <c r="L34" s="41">
        <f t="shared" si="0"/>
        <v>24.5</v>
      </c>
      <c r="M34" s="41">
        <f t="shared" si="0"/>
        <v>81.849999999999994</v>
      </c>
      <c r="N34" s="41">
        <f t="shared" si="0"/>
        <v>0</v>
      </c>
      <c r="O34" s="41">
        <f t="shared" si="0"/>
        <v>0</v>
      </c>
      <c r="P34" s="41">
        <f t="shared" si="0"/>
        <v>0.33</v>
      </c>
      <c r="Q34" s="41">
        <f t="shared" si="0"/>
        <v>4.22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12.36</v>
      </c>
      <c r="C35" s="33">
        <f t="shared" si="1"/>
        <v>39.380000000000003</v>
      </c>
      <c r="D35" s="33">
        <f t="shared" si="1"/>
        <v>28.25</v>
      </c>
      <c r="E35" s="33">
        <f t="shared" si="1"/>
        <v>6.95</v>
      </c>
      <c r="F35" s="33">
        <f t="shared" si="1"/>
        <v>7.07</v>
      </c>
      <c r="G35" s="33">
        <f t="shared" si="1"/>
        <v>12.29</v>
      </c>
      <c r="H35" s="33">
        <f t="shared" si="1"/>
        <v>7.71</v>
      </c>
      <c r="I35" s="33">
        <f t="shared" si="1"/>
        <v>2.56</v>
      </c>
      <c r="J35" s="33">
        <f t="shared" si="1"/>
        <v>1.38</v>
      </c>
      <c r="K35" s="33">
        <f t="shared" si="1"/>
        <v>259.57</v>
      </c>
      <c r="L35" s="33">
        <f t="shared" si="1"/>
        <v>27.95</v>
      </c>
      <c r="M35" s="33">
        <f t="shared" si="1"/>
        <v>93.96</v>
      </c>
      <c r="N35" s="33">
        <f t="shared" si="1"/>
        <v>624.6</v>
      </c>
      <c r="O35" s="33">
        <f t="shared" si="1"/>
        <v>0</v>
      </c>
      <c r="P35" s="33">
        <f t="shared" si="1"/>
        <v>0.38</v>
      </c>
      <c r="Q35" s="33">
        <f t="shared" si="1"/>
        <v>4.6100000000000003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9.8183333333333334</v>
      </c>
      <c r="C36" s="41">
        <f t="shared" si="2"/>
        <v>37.100416666666675</v>
      </c>
      <c r="D36" s="41">
        <f t="shared" si="2"/>
        <v>26.075833333333332</v>
      </c>
      <c r="E36" s="41">
        <f t="shared" si="2"/>
        <v>5.8720833333333324</v>
      </c>
      <c r="F36" s="41">
        <f t="shared" si="2"/>
        <v>5.2824999999999998</v>
      </c>
      <c r="G36" s="41">
        <f t="shared" si="2"/>
        <v>4.6486363636363643</v>
      </c>
      <c r="H36" s="41">
        <f t="shared" si="2"/>
        <v>2.3854545454545453</v>
      </c>
      <c r="I36" s="41">
        <f t="shared" si="2"/>
        <v>2.2370833333333335</v>
      </c>
      <c r="J36" s="41">
        <f t="shared" si="2"/>
        <v>0.98375000000000001</v>
      </c>
      <c r="K36" s="41">
        <f t="shared" si="2"/>
        <v>254.93708333333336</v>
      </c>
      <c r="L36" s="41">
        <f t="shared" si="2"/>
        <v>26.130416666666662</v>
      </c>
      <c r="M36" s="41">
        <f t="shared" si="2"/>
        <v>88.712916666666658</v>
      </c>
      <c r="N36" s="41">
        <f t="shared" si="2"/>
        <v>110.10833333333333</v>
      </c>
      <c r="O36" s="41">
        <f t="shared" si="2"/>
        <v>0</v>
      </c>
      <c r="P36" s="41">
        <f t="shared" si="2"/>
        <v>0.35083333333333333</v>
      </c>
      <c r="Q36" s="41">
        <f t="shared" si="2"/>
        <v>4.4524999999999997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1.851168060551452</v>
      </c>
      <c r="C37" s="41">
        <f t="shared" ref="C37:Q37" si="3">STDEV(C9:C32)</f>
        <v>1.4644021755936747</v>
      </c>
      <c r="D37" s="41">
        <f t="shared" si="3"/>
        <v>2.0589168040008974</v>
      </c>
      <c r="E37" s="41">
        <f t="shared" si="3"/>
        <v>0.63299824277981154</v>
      </c>
      <c r="F37" s="41">
        <f t="shared" si="3"/>
        <v>1.0547377584643687</v>
      </c>
      <c r="G37" s="41">
        <f t="shared" si="3"/>
        <v>3.2883840226651557</v>
      </c>
      <c r="H37" s="41">
        <f t="shared" si="3"/>
        <v>1.9882960574625732</v>
      </c>
      <c r="I37" s="41">
        <f t="shared" si="3"/>
        <v>0.13976623858884632</v>
      </c>
      <c r="J37" s="41">
        <f t="shared" si="3"/>
        <v>0.31648631401139865</v>
      </c>
      <c r="K37" s="41">
        <f t="shared" si="3"/>
        <v>4.2945531519979818</v>
      </c>
      <c r="L37" s="41">
        <f t="shared" si="3"/>
        <v>1.1696059506134842</v>
      </c>
      <c r="M37" s="41">
        <f t="shared" si="3"/>
        <v>3.9781932529697079</v>
      </c>
      <c r="N37" s="41">
        <f t="shared" si="3"/>
        <v>168.92774353619919</v>
      </c>
      <c r="O37" s="41">
        <f t="shared" si="3"/>
        <v>0</v>
      </c>
      <c r="P37" s="41">
        <f t="shared" si="3"/>
        <v>1.5580552724098253E-2</v>
      </c>
      <c r="Q37" s="41">
        <f t="shared" si="3"/>
        <v>0.10907715657716964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6" workbookViewId="0">
      <selection activeCell="A9" sqref="A9:XFD32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 t="str">
        <f>$A$9</f>
        <v>29/06/2023 01:00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3" t="s">
        <v>729</v>
      </c>
      <c r="B9" s="52">
        <v>13.62</v>
      </c>
      <c r="C9" s="52">
        <v>38.159999999999997</v>
      </c>
      <c r="D9" s="52">
        <v>29.81</v>
      </c>
      <c r="E9" s="52">
        <v>7.13</v>
      </c>
      <c r="F9" s="52">
        <v>5.52</v>
      </c>
      <c r="G9" s="52">
        <v>13.16</v>
      </c>
      <c r="H9" s="52">
        <v>5.85</v>
      </c>
      <c r="I9" s="52">
        <v>2.4700000000000002</v>
      </c>
      <c r="J9" s="52">
        <v>0.55000000000000004</v>
      </c>
      <c r="K9" s="52">
        <v>249.33</v>
      </c>
      <c r="L9" s="52">
        <v>25.83</v>
      </c>
      <c r="M9" s="52">
        <v>90.37</v>
      </c>
      <c r="N9" s="52">
        <v>0</v>
      </c>
      <c r="O9" s="52">
        <v>0</v>
      </c>
      <c r="P9" s="52">
        <v>0.38</v>
      </c>
      <c r="Q9" s="52">
        <v>4.6500000000000004</v>
      </c>
    </row>
    <row r="10" spans="1:21">
      <c r="A10" s="53" t="s">
        <v>730</v>
      </c>
      <c r="B10" s="52">
        <v>14.12</v>
      </c>
      <c r="C10" s="52">
        <v>38.01</v>
      </c>
      <c r="D10" s="52">
        <v>30.14</v>
      </c>
      <c r="E10" s="52">
        <v>6.77</v>
      </c>
      <c r="F10" s="52">
        <v>4.82</v>
      </c>
      <c r="G10" s="52">
        <v>9.43</v>
      </c>
      <c r="H10" s="52">
        <v>4.4000000000000004</v>
      </c>
      <c r="I10" s="52">
        <v>2.46</v>
      </c>
      <c r="J10" s="52">
        <v>0.43</v>
      </c>
      <c r="K10" s="52">
        <v>243.84</v>
      </c>
      <c r="L10" s="52">
        <v>25.78</v>
      </c>
      <c r="M10" s="52">
        <v>90.6</v>
      </c>
      <c r="N10" s="52">
        <v>0</v>
      </c>
      <c r="O10" s="52">
        <v>0</v>
      </c>
      <c r="P10" s="52">
        <v>0.37</v>
      </c>
      <c r="Q10" s="52">
        <v>4.66</v>
      </c>
    </row>
    <row r="11" spans="1:21">
      <c r="A11" s="53" t="s">
        <v>731</v>
      </c>
      <c r="B11" s="52">
        <v>15.3</v>
      </c>
      <c r="C11" s="52">
        <v>38.090000000000003</v>
      </c>
      <c r="D11" s="52">
        <v>31.1</v>
      </c>
      <c r="E11" s="52">
        <v>6.23</v>
      </c>
      <c r="F11" s="52">
        <v>2.83</v>
      </c>
      <c r="G11" s="52">
        <v>8.7899999999999991</v>
      </c>
      <c r="H11" s="52">
        <v>3.4</v>
      </c>
      <c r="I11" s="52">
        <v>2.46</v>
      </c>
      <c r="J11" s="52">
        <v>0.44</v>
      </c>
      <c r="K11" s="52">
        <v>235.57</v>
      </c>
      <c r="L11" s="52">
        <v>25.52</v>
      </c>
      <c r="M11" s="52">
        <v>90.38</v>
      </c>
      <c r="N11" s="52">
        <v>0</v>
      </c>
      <c r="O11" s="52">
        <v>0</v>
      </c>
      <c r="P11" s="52">
        <v>0.37</v>
      </c>
      <c r="Q11" s="52">
        <v>4.7</v>
      </c>
    </row>
    <row r="12" spans="1:21">
      <c r="A12" s="53" t="s">
        <v>732</v>
      </c>
      <c r="B12" s="52">
        <v>15.96</v>
      </c>
      <c r="C12" s="52">
        <v>38.04</v>
      </c>
      <c r="D12" s="52">
        <v>31.63</v>
      </c>
      <c r="E12" s="52">
        <v>6.13</v>
      </c>
      <c r="F12" s="52">
        <v>3.86</v>
      </c>
      <c r="G12" s="52">
        <v>7.14</v>
      </c>
      <c r="H12" s="52">
        <v>3.22</v>
      </c>
      <c r="I12" s="52">
        <v>2.42</v>
      </c>
      <c r="J12" s="52">
        <v>0.53</v>
      </c>
      <c r="K12" s="52">
        <v>248.88</v>
      </c>
      <c r="L12" s="52">
        <v>25.38</v>
      </c>
      <c r="M12" s="52">
        <v>90.16</v>
      </c>
      <c r="N12" s="52">
        <v>0</v>
      </c>
      <c r="O12" s="52">
        <v>0</v>
      </c>
      <c r="P12" s="52">
        <v>0.36</v>
      </c>
      <c r="Q12" s="52">
        <v>4.75</v>
      </c>
    </row>
    <row r="13" spans="1:21">
      <c r="A13" s="53" t="s">
        <v>733</v>
      </c>
      <c r="B13" s="52">
        <v>16.8</v>
      </c>
      <c r="C13" s="52">
        <v>38.71</v>
      </c>
      <c r="D13" s="52">
        <v>32.51</v>
      </c>
      <c r="E13" s="52">
        <v>6.75</v>
      </c>
      <c r="F13" s="52">
        <v>3.48</v>
      </c>
      <c r="G13" s="52">
        <v>8.1300000000000008</v>
      </c>
      <c r="H13" s="52">
        <v>3.16</v>
      </c>
      <c r="I13" s="52">
        <v>2.42</v>
      </c>
      <c r="J13" s="52">
        <v>0.34</v>
      </c>
      <c r="K13" s="52">
        <v>245.51</v>
      </c>
      <c r="L13" s="52">
        <v>25.15</v>
      </c>
      <c r="M13" s="52">
        <v>90.32</v>
      </c>
      <c r="N13" s="52">
        <v>0</v>
      </c>
      <c r="O13" s="52">
        <v>0</v>
      </c>
      <c r="P13" s="52">
        <v>0.35</v>
      </c>
      <c r="Q13" s="52">
        <v>4.78</v>
      </c>
    </row>
    <row r="14" spans="1:21">
      <c r="A14" s="53" t="s">
        <v>734</v>
      </c>
      <c r="B14" s="52">
        <v>17.18</v>
      </c>
      <c r="C14" s="52">
        <v>37.31</v>
      </c>
      <c r="D14" s="52">
        <v>32.14</v>
      </c>
      <c r="E14" s="52">
        <v>6.5</v>
      </c>
      <c r="F14" s="52">
        <v>3.43</v>
      </c>
      <c r="G14" s="52">
        <v>8.16</v>
      </c>
      <c r="H14" s="52">
        <v>4</v>
      </c>
      <c r="I14" s="52">
        <v>2.39</v>
      </c>
      <c r="J14" s="52">
        <v>0.63</v>
      </c>
      <c r="K14" s="52">
        <v>252.31</v>
      </c>
      <c r="L14" s="52">
        <v>25.6</v>
      </c>
      <c r="M14" s="52">
        <v>90.41</v>
      </c>
      <c r="N14" s="52">
        <v>18.8</v>
      </c>
      <c r="O14" s="52">
        <v>0</v>
      </c>
      <c r="P14" s="52">
        <v>0.34</v>
      </c>
      <c r="Q14" s="52">
        <v>4.79</v>
      </c>
    </row>
    <row r="15" spans="1:21">
      <c r="A15" s="53" t="s">
        <v>735</v>
      </c>
      <c r="B15" s="52">
        <v>17.7</v>
      </c>
      <c r="C15" s="52">
        <v>40.380000000000003</v>
      </c>
      <c r="D15" s="52">
        <v>34.119999999999997</v>
      </c>
      <c r="E15" s="52">
        <v>6.3</v>
      </c>
      <c r="F15" s="52">
        <v>2.82</v>
      </c>
      <c r="G15" s="52">
        <v>8.14</v>
      </c>
      <c r="H15" s="52">
        <v>4.3099999999999996</v>
      </c>
      <c r="I15" s="52">
        <v>2.42</v>
      </c>
      <c r="J15" s="52">
        <v>0.84</v>
      </c>
      <c r="K15" s="52">
        <v>257.05</v>
      </c>
      <c r="L15" s="52">
        <v>26.3</v>
      </c>
      <c r="M15" s="52">
        <v>85.21</v>
      </c>
      <c r="N15" s="52">
        <v>91.9</v>
      </c>
      <c r="O15" s="52">
        <v>0</v>
      </c>
      <c r="P15" s="52">
        <v>0.37</v>
      </c>
      <c r="Q15" s="52">
        <v>4.87</v>
      </c>
    </row>
    <row r="16" spans="1:21">
      <c r="A16" s="53" t="s">
        <v>736</v>
      </c>
      <c r="B16" s="52">
        <v>17.52</v>
      </c>
      <c r="C16" s="52">
        <v>38.869999999999997</v>
      </c>
      <c r="D16" s="52">
        <v>33.24</v>
      </c>
      <c r="E16" s="52">
        <v>6.33</v>
      </c>
      <c r="F16" s="52">
        <v>3.33</v>
      </c>
      <c r="G16" s="52">
        <v>6.54</v>
      </c>
      <c r="H16" s="52">
        <v>4.38</v>
      </c>
      <c r="I16" s="52">
        <v>2.41</v>
      </c>
      <c r="J16" s="52">
        <v>0.96</v>
      </c>
      <c r="K16" s="52">
        <v>253.47</v>
      </c>
      <c r="L16" s="52">
        <v>27.73</v>
      </c>
      <c r="M16" s="52">
        <v>84.45</v>
      </c>
      <c r="N16" s="52">
        <v>148.19999999999999</v>
      </c>
      <c r="O16" s="52">
        <v>0</v>
      </c>
      <c r="P16" s="52">
        <v>0.36</v>
      </c>
      <c r="Q16" s="52">
        <v>4.83</v>
      </c>
    </row>
    <row r="17" spans="1:17">
      <c r="A17" s="53" t="s">
        <v>737</v>
      </c>
      <c r="B17" s="52">
        <v>16.79</v>
      </c>
      <c r="C17" s="52">
        <v>38.06</v>
      </c>
      <c r="D17" s="52">
        <v>32.200000000000003</v>
      </c>
      <c r="E17" s="52">
        <v>6.19</v>
      </c>
      <c r="F17" s="52">
        <v>4.0199999999999996</v>
      </c>
      <c r="G17" s="52">
        <v>8.4600000000000009</v>
      </c>
      <c r="H17" s="52">
        <v>3.22</v>
      </c>
      <c r="I17" s="52">
        <v>2.4700000000000002</v>
      </c>
      <c r="J17" s="52">
        <v>1.04</v>
      </c>
      <c r="K17" s="52">
        <v>265.73</v>
      </c>
      <c r="L17" s="52">
        <v>28.42</v>
      </c>
      <c r="M17" s="52">
        <v>78.989999999999995</v>
      </c>
      <c r="N17" s="52">
        <v>231.1</v>
      </c>
      <c r="O17" s="52">
        <v>0</v>
      </c>
      <c r="P17" s="52">
        <v>0.35</v>
      </c>
      <c r="Q17" s="52">
        <v>4.7300000000000004</v>
      </c>
    </row>
    <row r="18" spans="1:17">
      <c r="A18" s="53" t="s">
        <v>738</v>
      </c>
      <c r="B18" s="52">
        <v>14.79</v>
      </c>
      <c r="C18" s="52">
        <v>35.729999999999997</v>
      </c>
      <c r="D18" s="52">
        <v>29.1</v>
      </c>
      <c r="E18" s="52">
        <v>5.63</v>
      </c>
      <c r="F18" s="52">
        <v>4.6500000000000004</v>
      </c>
      <c r="G18" s="52">
        <v>10.17</v>
      </c>
      <c r="H18" s="52">
        <v>3.28</v>
      </c>
      <c r="I18" s="52">
        <v>2.4</v>
      </c>
      <c r="J18" s="52">
        <v>1.1399999999999999</v>
      </c>
      <c r="K18" s="52">
        <v>259.82</v>
      </c>
      <c r="L18" s="52">
        <v>29.28</v>
      </c>
      <c r="M18" s="52">
        <v>76.63</v>
      </c>
      <c r="N18" s="52">
        <v>290.10000000000002</v>
      </c>
      <c r="O18" s="52">
        <v>0</v>
      </c>
      <c r="P18" s="52">
        <v>0.36</v>
      </c>
      <c r="Q18" s="52">
        <v>4.5999999999999996</v>
      </c>
    </row>
    <row r="19" spans="1:17">
      <c r="A19" s="53" t="s">
        <v>739</v>
      </c>
      <c r="B19" s="52">
        <v>12.62</v>
      </c>
      <c r="C19" s="52">
        <v>36.11</v>
      </c>
      <c r="D19" s="52">
        <v>26.79</v>
      </c>
      <c r="E19" s="52">
        <v>6.15</v>
      </c>
      <c r="F19" s="52">
        <v>5</v>
      </c>
      <c r="G19" s="52">
        <v>9.14</v>
      </c>
      <c r="H19" s="52">
        <v>3.97</v>
      </c>
      <c r="I19" s="52">
        <v>2.35</v>
      </c>
      <c r="J19" s="52">
        <v>1.27</v>
      </c>
      <c r="K19" s="52">
        <v>257.02</v>
      </c>
      <c r="L19" s="52">
        <v>30.11</v>
      </c>
      <c r="M19" s="52">
        <v>73.11</v>
      </c>
      <c r="N19" s="52">
        <v>348.9</v>
      </c>
      <c r="O19" s="52">
        <v>0</v>
      </c>
      <c r="P19" s="52">
        <v>0.35</v>
      </c>
      <c r="Q19" s="52">
        <v>4.46</v>
      </c>
    </row>
    <row r="20" spans="1:17">
      <c r="A20" s="53" t="s">
        <v>740</v>
      </c>
      <c r="B20" s="52">
        <v>10.97</v>
      </c>
      <c r="C20" s="52">
        <v>30.71</v>
      </c>
      <c r="D20" s="52">
        <v>23.8</v>
      </c>
      <c r="E20" s="52">
        <v>6.42</v>
      </c>
      <c r="F20" s="52">
        <v>7.01</v>
      </c>
      <c r="G20" s="52">
        <v>9.3699999999999992</v>
      </c>
      <c r="H20" s="52">
        <v>4.01</v>
      </c>
      <c r="I20" s="52">
        <v>2.4300000000000002</v>
      </c>
      <c r="J20" s="52">
        <v>0.88</v>
      </c>
      <c r="K20" s="52">
        <v>251.95</v>
      </c>
      <c r="L20" s="52">
        <v>29.99</v>
      </c>
      <c r="M20" s="52">
        <v>73.510000000000005</v>
      </c>
      <c r="N20" s="52">
        <v>300.5</v>
      </c>
      <c r="O20" s="52">
        <v>0</v>
      </c>
      <c r="P20" s="52">
        <v>0.33</v>
      </c>
      <c r="Q20" s="52">
        <v>4.4400000000000004</v>
      </c>
    </row>
    <row r="21" spans="1:17">
      <c r="A21" s="53" t="s">
        <v>741</v>
      </c>
      <c r="B21" s="52">
        <v>9.89</v>
      </c>
      <c r="C21" s="52">
        <v>35.71</v>
      </c>
      <c r="D21" s="52">
        <v>25.49</v>
      </c>
      <c r="E21" s="52">
        <v>6.17</v>
      </c>
      <c r="F21" s="52">
        <v>6.71</v>
      </c>
      <c r="G21" s="52">
        <v>11.5</v>
      </c>
      <c r="H21" s="52">
        <v>2.9</v>
      </c>
      <c r="I21" s="52">
        <v>2.46</v>
      </c>
      <c r="J21" s="52">
        <v>1.21</v>
      </c>
      <c r="K21" s="52">
        <v>268.79000000000002</v>
      </c>
      <c r="L21" s="52">
        <v>30.8</v>
      </c>
      <c r="M21" s="52">
        <v>73.349999999999994</v>
      </c>
      <c r="N21" s="52">
        <v>822.7</v>
      </c>
      <c r="O21" s="52">
        <v>0</v>
      </c>
      <c r="P21" s="52">
        <v>0.35</v>
      </c>
      <c r="Q21" s="52">
        <v>4.4000000000000004</v>
      </c>
    </row>
    <row r="22" spans="1:17">
      <c r="A22" s="53" t="s">
        <v>742</v>
      </c>
      <c r="B22" s="52">
        <v>8.5399999999999991</v>
      </c>
      <c r="C22" s="52">
        <v>35.659999999999997</v>
      </c>
      <c r="D22" s="52">
        <v>23.8</v>
      </c>
      <c r="E22" s="52">
        <v>5.94</v>
      </c>
      <c r="F22" s="52">
        <v>5.89</v>
      </c>
      <c r="G22" s="52">
        <v>11.91</v>
      </c>
      <c r="H22" s="52">
        <v>2.57</v>
      </c>
      <c r="I22" s="52">
        <v>2.33</v>
      </c>
      <c r="J22" s="52">
        <v>1.2</v>
      </c>
      <c r="K22" s="52">
        <v>256.14</v>
      </c>
      <c r="L22" s="52">
        <v>31.47</v>
      </c>
      <c r="M22" s="52">
        <v>67.53</v>
      </c>
      <c r="N22" s="52">
        <v>857.4</v>
      </c>
      <c r="O22" s="52">
        <v>0</v>
      </c>
      <c r="P22" s="52">
        <v>0.35</v>
      </c>
      <c r="Q22" s="52">
        <v>4.22</v>
      </c>
    </row>
    <row r="23" spans="1:17">
      <c r="A23" s="53" t="s">
        <v>743</v>
      </c>
      <c r="B23" s="52">
        <v>7.7</v>
      </c>
      <c r="C23" s="52">
        <v>34.93</v>
      </c>
      <c r="D23" s="52">
        <v>23.29</v>
      </c>
      <c r="E23" s="52">
        <v>6.09</v>
      </c>
      <c r="F23" s="52">
        <v>6.23</v>
      </c>
      <c r="G23" s="52">
        <v>11.92</v>
      </c>
      <c r="H23" s="52">
        <v>3.68</v>
      </c>
      <c r="I23" s="52">
        <v>2.54</v>
      </c>
      <c r="J23" s="52">
        <v>1.1399999999999999</v>
      </c>
      <c r="K23" s="52">
        <v>262.27</v>
      </c>
      <c r="L23" s="52">
        <v>32.119999999999997</v>
      </c>
      <c r="M23" s="52">
        <v>65.73</v>
      </c>
      <c r="N23" s="52">
        <v>849.1</v>
      </c>
      <c r="O23" s="52">
        <v>0</v>
      </c>
      <c r="P23" s="52">
        <v>0.36</v>
      </c>
      <c r="Q23" s="52">
        <v>4.3</v>
      </c>
    </row>
    <row r="24" spans="1:17">
      <c r="A24" s="53" t="s">
        <v>744</v>
      </c>
      <c r="B24" s="52">
        <v>6.76</v>
      </c>
      <c r="C24" s="52">
        <v>28.97</v>
      </c>
      <c r="D24" s="52">
        <v>19.38</v>
      </c>
      <c r="E24" s="52">
        <v>5.82</v>
      </c>
      <c r="F24" s="52">
        <v>7.2</v>
      </c>
      <c r="G24" s="52">
        <v>10.88</v>
      </c>
      <c r="H24" s="52">
        <v>4.9400000000000004</v>
      </c>
      <c r="I24" s="52">
        <v>2.4300000000000002</v>
      </c>
      <c r="J24" s="52">
        <v>1.18</v>
      </c>
      <c r="K24" s="52">
        <v>256.42</v>
      </c>
      <c r="L24" s="52">
        <v>32.14</v>
      </c>
      <c r="M24" s="52">
        <v>64.44</v>
      </c>
      <c r="N24" s="52">
        <v>594.79999999999995</v>
      </c>
      <c r="O24" s="52">
        <v>0</v>
      </c>
      <c r="P24" s="52">
        <v>0.31</v>
      </c>
      <c r="Q24" s="52">
        <v>4.0999999999999996</v>
      </c>
    </row>
    <row r="25" spans="1:17">
      <c r="A25" s="53" t="s">
        <v>745</v>
      </c>
      <c r="B25" s="52">
        <v>6.45</v>
      </c>
      <c r="C25" s="52">
        <v>31.74</v>
      </c>
      <c r="D25" s="52">
        <v>20.71</v>
      </c>
      <c r="E25" s="52">
        <v>5.92</v>
      </c>
      <c r="F25" s="52">
        <v>6.65</v>
      </c>
      <c r="G25" s="52">
        <v>9.3800000000000008</v>
      </c>
      <c r="H25" s="52">
        <v>5.48</v>
      </c>
      <c r="I25" s="52">
        <v>2.58</v>
      </c>
      <c r="J25" s="52">
        <v>1.1100000000000001</v>
      </c>
      <c r="K25" s="52">
        <v>259.14</v>
      </c>
      <c r="L25" s="52">
        <v>31.92</v>
      </c>
      <c r="M25" s="52">
        <v>64.33</v>
      </c>
      <c r="N25" s="52">
        <v>410.2</v>
      </c>
      <c r="O25" s="52">
        <v>0</v>
      </c>
      <c r="P25" s="52">
        <v>0.35</v>
      </c>
      <c r="Q25" s="52">
        <v>4.1399999999999997</v>
      </c>
    </row>
    <row r="26" spans="1:17">
      <c r="A26" s="53" t="s">
        <v>746</v>
      </c>
      <c r="B26" s="52">
        <v>6.1</v>
      </c>
      <c r="C26" s="52">
        <v>26.86</v>
      </c>
      <c r="D26" s="52">
        <v>17.55</v>
      </c>
      <c r="E26" s="52">
        <v>5.81</v>
      </c>
      <c r="F26" s="52">
        <v>9</v>
      </c>
      <c r="G26" s="52">
        <v>11.87</v>
      </c>
      <c r="H26" s="52">
        <v>4.84</v>
      </c>
      <c r="I26" s="52">
        <v>2.72</v>
      </c>
      <c r="J26" s="52">
        <v>0.92</v>
      </c>
      <c r="K26" s="52">
        <v>255.19</v>
      </c>
      <c r="L26" s="52">
        <v>31.37</v>
      </c>
      <c r="M26" s="52">
        <v>66.12</v>
      </c>
      <c r="N26" s="52">
        <v>165.6</v>
      </c>
      <c r="O26" s="52">
        <v>0</v>
      </c>
      <c r="P26" s="52">
        <v>0.35</v>
      </c>
      <c r="Q26" s="52">
        <v>4.04</v>
      </c>
    </row>
    <row r="27" spans="1:17">
      <c r="A27" s="53" t="s">
        <v>747</v>
      </c>
      <c r="B27" s="52">
        <v>6.26</v>
      </c>
      <c r="C27" s="52">
        <v>31.82</v>
      </c>
      <c r="D27" s="52">
        <v>20.55</v>
      </c>
      <c r="E27" s="52">
        <v>5.22</v>
      </c>
      <c r="F27" s="52">
        <v>12.27</v>
      </c>
      <c r="G27" s="52">
        <v>11.36</v>
      </c>
      <c r="H27" s="52">
        <v>7.66</v>
      </c>
      <c r="I27" s="52">
        <v>2.99</v>
      </c>
      <c r="J27" s="52">
        <v>0.82</v>
      </c>
      <c r="K27" s="52">
        <v>252.93</v>
      </c>
      <c r="L27" s="52">
        <v>30.37</v>
      </c>
      <c r="M27" s="52">
        <v>73.510000000000005</v>
      </c>
      <c r="N27" s="52">
        <v>31.3</v>
      </c>
      <c r="O27" s="52">
        <v>0</v>
      </c>
      <c r="P27" s="52">
        <v>0.41</v>
      </c>
      <c r="Q27" s="52">
        <v>4.16</v>
      </c>
    </row>
    <row r="28" spans="1:17">
      <c r="A28" s="53" t="s">
        <v>748</v>
      </c>
      <c r="B28" s="52">
        <v>6.24</v>
      </c>
      <c r="C28" s="52">
        <v>27.3</v>
      </c>
      <c r="D28" s="52">
        <v>18.22</v>
      </c>
      <c r="E28" s="52">
        <v>5.56</v>
      </c>
      <c r="F28" s="52">
        <v>15.19</v>
      </c>
      <c r="G28" s="52">
        <v>11.01</v>
      </c>
      <c r="H28" s="52">
        <v>7.64</v>
      </c>
      <c r="I28" s="52">
        <v>2.69</v>
      </c>
      <c r="J28" s="52">
        <v>0.47</v>
      </c>
      <c r="K28" s="52">
        <v>249.91</v>
      </c>
      <c r="L28" s="52">
        <v>29.15</v>
      </c>
      <c r="M28" s="52">
        <v>73.790000000000006</v>
      </c>
      <c r="N28" s="52">
        <v>0</v>
      </c>
      <c r="O28" s="52">
        <v>0</v>
      </c>
      <c r="P28" s="52">
        <v>0.4</v>
      </c>
      <c r="Q28" s="52">
        <v>4.16</v>
      </c>
    </row>
    <row r="29" spans="1:17">
      <c r="A29" s="53" t="s">
        <v>749</v>
      </c>
      <c r="B29" s="52">
        <v>6.6</v>
      </c>
      <c r="C29" s="52">
        <v>30.09</v>
      </c>
      <c r="D29" s="52">
        <v>19.97</v>
      </c>
      <c r="E29" s="52">
        <v>6.22</v>
      </c>
      <c r="F29" s="52">
        <v>13.86</v>
      </c>
      <c r="G29" s="52">
        <v>12.68</v>
      </c>
      <c r="H29" s="52">
        <v>5.94</v>
      </c>
      <c r="I29" s="52">
        <v>3.96</v>
      </c>
      <c r="J29" s="52">
        <v>0.44</v>
      </c>
      <c r="K29" s="52">
        <v>254.41</v>
      </c>
      <c r="L29" s="52">
        <v>28.92</v>
      </c>
      <c r="M29" s="52">
        <v>75</v>
      </c>
      <c r="N29" s="52">
        <v>0</v>
      </c>
      <c r="O29" s="52">
        <v>0</v>
      </c>
      <c r="P29" s="52">
        <v>0.49</v>
      </c>
      <c r="Q29" s="52">
        <v>4.24</v>
      </c>
    </row>
    <row r="30" spans="1:17">
      <c r="A30" s="53" t="s">
        <v>750</v>
      </c>
      <c r="B30" s="52">
        <v>6.94</v>
      </c>
      <c r="C30" s="52">
        <v>30.61</v>
      </c>
      <c r="D30" s="52">
        <v>20.51</v>
      </c>
      <c r="E30" s="52">
        <v>6.45</v>
      </c>
      <c r="F30" s="52">
        <v>13.25</v>
      </c>
      <c r="G30" s="52">
        <v>14.88</v>
      </c>
      <c r="H30" s="52">
        <v>6.04</v>
      </c>
      <c r="I30" s="52">
        <v>3.92</v>
      </c>
      <c r="J30" s="52">
        <v>0.3</v>
      </c>
      <c r="K30" s="52">
        <v>229.58</v>
      </c>
      <c r="L30" s="52">
        <v>28.72</v>
      </c>
      <c r="M30" s="52">
        <v>79.45</v>
      </c>
      <c r="N30" s="52">
        <v>0</v>
      </c>
      <c r="O30" s="52">
        <v>0</v>
      </c>
      <c r="P30" s="52">
        <v>0.44</v>
      </c>
      <c r="Q30" s="52">
        <v>4.28</v>
      </c>
    </row>
    <row r="31" spans="1:17">
      <c r="A31" s="53" t="s">
        <v>751</v>
      </c>
      <c r="B31" s="52">
        <v>7.69</v>
      </c>
      <c r="C31" s="52">
        <v>30.52</v>
      </c>
      <c r="D31" s="52">
        <v>21.07</v>
      </c>
      <c r="E31" s="52">
        <v>6.36</v>
      </c>
      <c r="F31" s="52">
        <v>11.17</v>
      </c>
      <c r="G31" s="52">
        <v>13.61</v>
      </c>
      <c r="H31" s="52">
        <v>7.19</v>
      </c>
      <c r="I31" s="52">
        <v>3.19</v>
      </c>
      <c r="J31" s="52">
        <v>0.31</v>
      </c>
      <c r="K31" s="52">
        <v>235.29</v>
      </c>
      <c r="L31" s="52">
        <v>28.48</v>
      </c>
      <c r="M31" s="52">
        <v>79.08</v>
      </c>
      <c r="N31" s="52">
        <v>0</v>
      </c>
      <c r="O31" s="52">
        <v>0</v>
      </c>
      <c r="P31" s="52">
        <v>0.43</v>
      </c>
      <c r="Q31" s="52">
        <v>4.32</v>
      </c>
    </row>
    <row r="32" spans="1:17">
      <c r="A32" s="53" t="s">
        <v>752</v>
      </c>
      <c r="B32" s="52">
        <v>9.16</v>
      </c>
      <c r="C32" s="52">
        <v>32.06</v>
      </c>
      <c r="D32" s="52">
        <v>22.61</v>
      </c>
      <c r="E32" s="52">
        <v>6.56</v>
      </c>
      <c r="F32" s="52">
        <v>10.69</v>
      </c>
      <c r="G32" s="52">
        <v>10.87</v>
      </c>
      <c r="H32" s="52">
        <v>8.09</v>
      </c>
      <c r="I32" s="52">
        <v>3.05</v>
      </c>
      <c r="J32" s="52">
        <v>0.32</v>
      </c>
      <c r="K32" s="52">
        <v>240.51</v>
      </c>
      <c r="L32" s="52">
        <v>28.06</v>
      </c>
      <c r="M32" s="52">
        <v>80.19</v>
      </c>
      <c r="N32" s="52">
        <v>0</v>
      </c>
      <c r="O32" s="52">
        <v>0</v>
      </c>
      <c r="P32" s="52">
        <v>0.42</v>
      </c>
      <c r="Q32" s="52">
        <v>4.38</v>
      </c>
    </row>
    <row r="33" spans="1:2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>
      <c r="A34" s="32" t="s">
        <v>48</v>
      </c>
      <c r="B34" s="41">
        <f t="shared" ref="B34:Q34" si="0">MIN(B9:B32)</f>
        <v>6.1</v>
      </c>
      <c r="C34" s="41">
        <f t="shared" si="0"/>
        <v>26.86</v>
      </c>
      <c r="D34" s="41">
        <f t="shared" si="0"/>
        <v>17.55</v>
      </c>
      <c r="E34" s="41">
        <f t="shared" si="0"/>
        <v>5.22</v>
      </c>
      <c r="F34" s="41">
        <f t="shared" si="0"/>
        <v>2.82</v>
      </c>
      <c r="G34" s="41">
        <f t="shared" si="0"/>
        <v>6.54</v>
      </c>
      <c r="H34" s="41">
        <f t="shared" si="0"/>
        <v>2.57</v>
      </c>
      <c r="I34" s="41">
        <f t="shared" si="0"/>
        <v>2.33</v>
      </c>
      <c r="J34" s="41">
        <f t="shared" si="0"/>
        <v>0.3</v>
      </c>
      <c r="K34" s="41">
        <f t="shared" si="0"/>
        <v>229.58</v>
      </c>
      <c r="L34" s="41">
        <f t="shared" si="0"/>
        <v>25.15</v>
      </c>
      <c r="M34" s="41">
        <f t="shared" si="0"/>
        <v>64.33</v>
      </c>
      <c r="N34" s="41">
        <f t="shared" si="0"/>
        <v>0</v>
      </c>
      <c r="O34" s="41">
        <f t="shared" si="0"/>
        <v>0</v>
      </c>
      <c r="P34" s="41">
        <f t="shared" si="0"/>
        <v>0.31</v>
      </c>
      <c r="Q34" s="41">
        <f t="shared" si="0"/>
        <v>4.04</v>
      </c>
      <c r="R34" s="41"/>
      <c r="S34" s="41"/>
      <c r="T34" s="41"/>
      <c r="U34" s="41"/>
    </row>
    <row r="35" spans="1:21">
      <c r="A35" s="32" t="s">
        <v>49</v>
      </c>
      <c r="B35" s="33">
        <f t="shared" ref="B35:Q35" si="1">MAX(B9:B32)</f>
        <v>17.7</v>
      </c>
      <c r="C35" s="33">
        <f t="shared" si="1"/>
        <v>40.380000000000003</v>
      </c>
      <c r="D35" s="33">
        <f t="shared" si="1"/>
        <v>34.119999999999997</v>
      </c>
      <c r="E35" s="33">
        <f t="shared" si="1"/>
        <v>7.13</v>
      </c>
      <c r="F35" s="33">
        <f t="shared" si="1"/>
        <v>15.19</v>
      </c>
      <c r="G35" s="33">
        <f t="shared" si="1"/>
        <v>14.88</v>
      </c>
      <c r="H35" s="33">
        <f t="shared" si="1"/>
        <v>8.09</v>
      </c>
      <c r="I35" s="33">
        <f t="shared" si="1"/>
        <v>3.96</v>
      </c>
      <c r="J35" s="33">
        <f t="shared" si="1"/>
        <v>1.27</v>
      </c>
      <c r="K35" s="33">
        <f t="shared" si="1"/>
        <v>268.79000000000002</v>
      </c>
      <c r="L35" s="33">
        <f t="shared" si="1"/>
        <v>32.14</v>
      </c>
      <c r="M35" s="33">
        <f t="shared" si="1"/>
        <v>90.6</v>
      </c>
      <c r="N35" s="33">
        <f t="shared" si="1"/>
        <v>857.4</v>
      </c>
      <c r="O35" s="33">
        <f t="shared" si="1"/>
        <v>0</v>
      </c>
      <c r="P35" s="33">
        <f t="shared" si="1"/>
        <v>0.49</v>
      </c>
      <c r="Q35" s="33">
        <f t="shared" si="1"/>
        <v>4.87</v>
      </c>
      <c r="R35" s="33"/>
      <c r="S35" s="33"/>
      <c r="T35" s="33"/>
      <c r="U35" s="33"/>
    </row>
    <row r="36" spans="1:21">
      <c r="A36" s="32" t="s">
        <v>50</v>
      </c>
      <c r="B36" s="41">
        <f t="shared" ref="B36:Q36" si="2">AVERAGE(B9:B32)</f>
        <v>11.320833333333333</v>
      </c>
      <c r="C36" s="41">
        <f t="shared" si="2"/>
        <v>34.352083333333333</v>
      </c>
      <c r="D36" s="41">
        <f t="shared" si="2"/>
        <v>25.822083333333339</v>
      </c>
      <c r="E36" s="41">
        <f t="shared" si="2"/>
        <v>6.1937500000000014</v>
      </c>
      <c r="F36" s="41">
        <f t="shared" si="2"/>
        <v>7.0366666666666653</v>
      </c>
      <c r="G36" s="41">
        <f t="shared" si="2"/>
        <v>10.354166666666666</v>
      </c>
      <c r="H36" s="41">
        <f t="shared" si="2"/>
        <v>4.7570833333333331</v>
      </c>
      <c r="I36" s="41">
        <f t="shared" si="2"/>
        <v>2.6649999999999996</v>
      </c>
      <c r="J36" s="41">
        <f t="shared" si="2"/>
        <v>0.76958333333333329</v>
      </c>
      <c r="K36" s="41">
        <f t="shared" si="2"/>
        <v>251.71083333333331</v>
      </c>
      <c r="L36" s="41">
        <f t="shared" si="2"/>
        <v>28.692083333333329</v>
      </c>
      <c r="M36" s="41">
        <f t="shared" si="2"/>
        <v>78.194166666666661</v>
      </c>
      <c r="N36" s="41">
        <f t="shared" si="2"/>
        <v>215.02500000000001</v>
      </c>
      <c r="O36" s="41">
        <f t="shared" si="2"/>
        <v>0</v>
      </c>
      <c r="P36" s="41">
        <f t="shared" si="2"/>
        <v>0.37291666666666662</v>
      </c>
      <c r="Q36" s="41">
        <f t="shared" si="2"/>
        <v>4.458333333333333</v>
      </c>
      <c r="R36" s="41"/>
      <c r="S36" s="41"/>
      <c r="T36" s="41"/>
      <c r="U36" s="41"/>
    </row>
    <row r="37" spans="1:21">
      <c r="A37" s="32" t="s">
        <v>51</v>
      </c>
      <c r="B37" s="41">
        <f>STDEV(B9:B32)</f>
        <v>4.389417032369785</v>
      </c>
      <c r="C37" s="41">
        <f t="shared" ref="C37:Q37" si="3">STDEV(C9:C32)</f>
        <v>4.0432649088562238</v>
      </c>
      <c r="D37" s="41">
        <f t="shared" si="3"/>
        <v>5.4721937252500812</v>
      </c>
      <c r="E37" s="41">
        <f t="shared" si="3"/>
        <v>0.41877473969744966</v>
      </c>
      <c r="F37" s="41">
        <f t="shared" si="3"/>
        <v>3.7687867574576881</v>
      </c>
      <c r="G37" s="41">
        <f t="shared" si="3"/>
        <v>2.1334823883616396</v>
      </c>
      <c r="H37" s="41">
        <f t="shared" si="3"/>
        <v>1.6349457620751626</v>
      </c>
      <c r="I37" s="41">
        <f t="shared" si="3"/>
        <v>0.45315320376993734</v>
      </c>
      <c r="J37" s="41">
        <f t="shared" si="3"/>
        <v>0.34299802467002094</v>
      </c>
      <c r="K37" s="41">
        <f t="shared" si="3"/>
        <v>9.5696194630019829</v>
      </c>
      <c r="L37" s="41">
        <f t="shared" si="3"/>
        <v>2.354324382302015</v>
      </c>
      <c r="M37" s="41">
        <f t="shared" si="3"/>
        <v>9.1054947179147145</v>
      </c>
      <c r="N37" s="41">
        <f t="shared" si="3"/>
        <v>291.48017644579119</v>
      </c>
      <c r="O37" s="41">
        <f t="shared" si="3"/>
        <v>0</v>
      </c>
      <c r="P37" s="41">
        <f t="shared" si="3"/>
        <v>4.0160457154277997E-2</v>
      </c>
      <c r="Q37" s="41">
        <f t="shared" si="3"/>
        <v>0.26448747264928696</v>
      </c>
      <c r="R37" s="41"/>
      <c r="S37" s="41"/>
      <c r="T37" s="41"/>
      <c r="U37" s="41"/>
    </row>
    <row r="38" spans="1:2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9"/>
      <c r="O41" s="49"/>
      <c r="P41" s="49"/>
      <c r="Q41" s="49"/>
      <c r="R41" s="49"/>
      <c r="S41" s="49"/>
      <c r="T41" s="49"/>
      <c r="U41" s="49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topLeftCell="A16"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30/06/2023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 t="s">
        <v>753</v>
      </c>
      <c r="B9" s="52">
        <v>9.0399999999999991</v>
      </c>
      <c r="C9" s="52">
        <v>30.65</v>
      </c>
      <c r="D9" s="52">
        <v>22.13</v>
      </c>
      <c r="E9" s="52">
        <v>6.96</v>
      </c>
      <c r="F9" s="52">
        <v>11.85</v>
      </c>
      <c r="G9" s="52">
        <v>11.1</v>
      </c>
      <c r="H9" s="52">
        <v>5.82</v>
      </c>
      <c r="I9" s="52">
        <v>2.9</v>
      </c>
      <c r="J9" s="52">
        <v>0.3</v>
      </c>
      <c r="K9" s="52">
        <v>242.27</v>
      </c>
      <c r="L9" s="52">
        <v>27.97</v>
      </c>
      <c r="M9" s="52">
        <v>80.44</v>
      </c>
      <c r="N9" s="52">
        <v>0</v>
      </c>
      <c r="O9" s="52">
        <v>0</v>
      </c>
      <c r="P9" s="52">
        <v>0.39</v>
      </c>
      <c r="Q9" s="52">
        <v>4.4000000000000004</v>
      </c>
    </row>
    <row r="10" spans="1:21" customFormat="1">
      <c r="A10" s="53" t="s">
        <v>754</v>
      </c>
      <c r="B10" s="52">
        <v>9.94</v>
      </c>
      <c r="C10" s="52">
        <v>32.17</v>
      </c>
      <c r="D10" s="52">
        <v>23.74</v>
      </c>
      <c r="E10" s="52">
        <v>6.88</v>
      </c>
      <c r="F10" s="52">
        <v>7.92</v>
      </c>
      <c r="G10" s="52">
        <v>8.68</v>
      </c>
      <c r="H10" s="52">
        <v>5.64</v>
      </c>
      <c r="I10" s="52">
        <v>2.82</v>
      </c>
      <c r="J10" s="52">
        <v>0.44</v>
      </c>
      <c r="K10" s="52">
        <v>245.73</v>
      </c>
      <c r="L10" s="52">
        <v>27.65</v>
      </c>
      <c r="M10" s="52">
        <v>80.2</v>
      </c>
      <c r="N10" s="52">
        <v>0</v>
      </c>
      <c r="O10" s="52">
        <v>0</v>
      </c>
      <c r="P10" s="52">
        <v>0.4</v>
      </c>
      <c r="Q10" s="52">
        <v>4.43</v>
      </c>
    </row>
    <row r="11" spans="1:21" customFormat="1">
      <c r="A11" s="53" t="s">
        <v>755</v>
      </c>
      <c r="B11" s="52">
        <v>11.02</v>
      </c>
      <c r="C11" s="52">
        <v>34.64</v>
      </c>
      <c r="D11" s="52">
        <v>25.65</v>
      </c>
      <c r="E11" s="52">
        <v>5.6</v>
      </c>
      <c r="F11" s="52">
        <v>7.47</v>
      </c>
      <c r="G11" s="52">
        <v>8.24</v>
      </c>
      <c r="H11" s="52">
        <v>4.05</v>
      </c>
      <c r="I11" s="52">
        <v>2.89</v>
      </c>
      <c r="J11" s="52">
        <v>0.68</v>
      </c>
      <c r="K11" s="52">
        <v>281.16000000000003</v>
      </c>
      <c r="L11" s="52">
        <v>27.59</v>
      </c>
      <c r="M11" s="52">
        <v>79.400000000000006</v>
      </c>
      <c r="N11" s="52">
        <v>0</v>
      </c>
      <c r="O11" s="52">
        <v>0</v>
      </c>
      <c r="P11" s="52">
        <v>0.4</v>
      </c>
      <c r="Q11" s="52">
        <v>4.47</v>
      </c>
    </row>
    <row r="12" spans="1:21" customFormat="1">
      <c r="A12" s="53" t="s">
        <v>756</v>
      </c>
      <c r="B12" s="52">
        <v>11.38</v>
      </c>
      <c r="C12" s="52">
        <v>34.67</v>
      </c>
      <c r="D12" s="52">
        <v>26.16</v>
      </c>
      <c r="E12" s="52">
        <v>5.78</v>
      </c>
      <c r="F12" s="52">
        <v>7.32</v>
      </c>
      <c r="G12" s="52">
        <v>8.26</v>
      </c>
      <c r="H12" s="52">
        <v>4.47</v>
      </c>
      <c r="I12" s="52">
        <v>2.97</v>
      </c>
      <c r="J12" s="52">
        <v>0.55000000000000004</v>
      </c>
      <c r="K12" s="52">
        <v>257.72000000000003</v>
      </c>
      <c r="L12" s="52">
        <v>27.56</v>
      </c>
      <c r="M12" s="52">
        <v>82.06</v>
      </c>
      <c r="N12" s="52">
        <v>0</v>
      </c>
      <c r="O12" s="52">
        <v>0</v>
      </c>
      <c r="P12" s="52">
        <v>0.41</v>
      </c>
      <c r="Q12" s="52">
        <v>4.5199999999999996</v>
      </c>
    </row>
    <row r="13" spans="1:21" customFormat="1">
      <c r="A13" s="53" t="s">
        <v>757</v>
      </c>
      <c r="B13" s="52">
        <v>11.87</v>
      </c>
      <c r="C13" s="52">
        <v>35.43</v>
      </c>
      <c r="D13" s="52">
        <v>26.98</v>
      </c>
      <c r="E13" s="52">
        <v>5.48</v>
      </c>
      <c r="F13" s="52">
        <v>8.19</v>
      </c>
      <c r="G13" s="52">
        <v>8</v>
      </c>
      <c r="H13" s="52">
        <v>5.8</v>
      </c>
      <c r="I13" s="52">
        <v>3.21</v>
      </c>
      <c r="J13" s="52">
        <v>0.43</v>
      </c>
      <c r="K13" s="52">
        <v>258.18</v>
      </c>
      <c r="L13" s="52">
        <v>26.79</v>
      </c>
      <c r="M13" s="52">
        <v>85.98</v>
      </c>
      <c r="N13" s="52">
        <v>0</v>
      </c>
      <c r="O13" s="52">
        <v>0</v>
      </c>
      <c r="P13" s="52">
        <v>0.42</v>
      </c>
      <c r="Q13" s="52">
        <v>4.5199999999999996</v>
      </c>
    </row>
    <row r="14" spans="1:21" customFormat="1">
      <c r="A14" s="53" t="s">
        <v>758</v>
      </c>
      <c r="B14" s="52">
        <v>12.23</v>
      </c>
      <c r="C14" s="52">
        <v>36.130000000000003</v>
      </c>
      <c r="D14" s="52">
        <v>27.64</v>
      </c>
      <c r="E14" s="52">
        <v>5.94</v>
      </c>
      <c r="F14" s="52">
        <v>6.49</v>
      </c>
      <c r="G14" s="52">
        <v>9.8699999999999992</v>
      </c>
      <c r="H14" s="52">
        <v>4.42</v>
      </c>
      <c r="I14" s="52">
        <v>3.4</v>
      </c>
      <c r="J14" s="52">
        <v>0.16</v>
      </c>
      <c r="K14" s="52">
        <v>230.84</v>
      </c>
      <c r="L14" s="52">
        <v>26.19</v>
      </c>
      <c r="M14" s="52">
        <v>88.73</v>
      </c>
      <c r="N14" s="52">
        <v>23.9</v>
      </c>
      <c r="O14" s="52">
        <v>0</v>
      </c>
      <c r="P14" s="52">
        <v>0.43</v>
      </c>
      <c r="Q14" s="52">
        <v>4.5599999999999996</v>
      </c>
    </row>
    <row r="15" spans="1:21" customFormat="1">
      <c r="A15" s="53" t="s">
        <v>759</v>
      </c>
      <c r="B15" s="52">
        <v>13.54</v>
      </c>
      <c r="C15" s="52">
        <v>34.64</v>
      </c>
      <c r="D15" s="52">
        <v>27.44</v>
      </c>
      <c r="E15" s="52">
        <v>6.01</v>
      </c>
      <c r="F15" s="52">
        <v>5.08</v>
      </c>
      <c r="G15" s="52">
        <v>10.86</v>
      </c>
      <c r="H15" s="52">
        <v>4.4000000000000004</v>
      </c>
      <c r="I15" s="52">
        <v>3.37</v>
      </c>
      <c r="J15" s="52">
        <v>0.66</v>
      </c>
      <c r="K15" s="52">
        <v>247.99</v>
      </c>
      <c r="L15" s="52">
        <v>27.51</v>
      </c>
      <c r="M15" s="52">
        <v>88.12</v>
      </c>
      <c r="N15" s="52">
        <v>78.2</v>
      </c>
      <c r="O15" s="52">
        <v>0</v>
      </c>
      <c r="P15" s="52">
        <v>0.41</v>
      </c>
      <c r="Q15" s="52">
        <v>4.62</v>
      </c>
    </row>
    <row r="16" spans="1:21" customFormat="1">
      <c r="A16" s="53" t="s">
        <v>760</v>
      </c>
      <c r="B16" s="52">
        <v>13.89</v>
      </c>
      <c r="C16" s="52">
        <v>37.75</v>
      </c>
      <c r="D16" s="52">
        <v>29.82</v>
      </c>
      <c r="E16" s="52">
        <v>6.19</v>
      </c>
      <c r="F16" s="52">
        <v>5.0599999999999996</v>
      </c>
      <c r="G16" s="52">
        <v>9.4600000000000009</v>
      </c>
      <c r="H16" s="52">
        <v>5.08</v>
      </c>
      <c r="I16" s="52">
        <v>3.47</v>
      </c>
      <c r="J16" s="52">
        <v>1.06</v>
      </c>
      <c r="K16" s="52">
        <v>263.68</v>
      </c>
      <c r="L16" s="52">
        <v>28.42</v>
      </c>
      <c r="M16" s="52">
        <v>80.72</v>
      </c>
      <c r="N16" s="52">
        <v>179.8</v>
      </c>
      <c r="O16" s="52">
        <v>0</v>
      </c>
      <c r="P16" s="52">
        <v>0.43</v>
      </c>
      <c r="Q16" s="52">
        <v>4.68</v>
      </c>
    </row>
    <row r="17" spans="1:17" customFormat="1">
      <c r="A17" s="53" t="s">
        <v>761</v>
      </c>
      <c r="B17" s="52">
        <v>13.25</v>
      </c>
      <c r="C17" s="52">
        <v>35.94</v>
      </c>
      <c r="D17" s="52">
        <v>28.36</v>
      </c>
      <c r="E17" s="52">
        <v>5.85</v>
      </c>
      <c r="F17" s="52">
        <v>4.54</v>
      </c>
      <c r="G17" s="52">
        <v>10.96</v>
      </c>
      <c r="H17" s="52">
        <v>3.94</v>
      </c>
      <c r="I17" s="52">
        <v>3.51</v>
      </c>
      <c r="J17" s="52">
        <v>1.37</v>
      </c>
      <c r="K17" s="52">
        <v>263.37</v>
      </c>
      <c r="L17" s="52">
        <v>28.67</v>
      </c>
      <c r="M17" s="52">
        <v>72.150000000000006</v>
      </c>
      <c r="N17" s="52">
        <v>194.1</v>
      </c>
      <c r="O17" s="52">
        <v>0</v>
      </c>
      <c r="P17" s="52">
        <v>0.43</v>
      </c>
      <c r="Q17" s="52">
        <v>4.6100000000000003</v>
      </c>
    </row>
    <row r="18" spans="1:17" customFormat="1">
      <c r="A18" s="53" t="s">
        <v>762</v>
      </c>
      <c r="B18" s="52">
        <v>11.65</v>
      </c>
      <c r="C18" s="52">
        <v>34.74</v>
      </c>
      <c r="D18" s="52">
        <v>26.45</v>
      </c>
      <c r="E18" s="52">
        <v>5.75</v>
      </c>
      <c r="F18" s="52">
        <v>5.28</v>
      </c>
      <c r="G18" s="52">
        <v>12.4</v>
      </c>
      <c r="H18" s="52">
        <v>4.1100000000000003</v>
      </c>
      <c r="I18" s="52">
        <v>3.43</v>
      </c>
      <c r="J18" s="52">
        <v>1.1299999999999999</v>
      </c>
      <c r="K18" s="52">
        <v>266.12</v>
      </c>
      <c r="L18" s="52">
        <v>29.29</v>
      </c>
      <c r="M18" s="52">
        <v>71.36</v>
      </c>
      <c r="N18" s="52">
        <v>263.2</v>
      </c>
      <c r="O18" s="52">
        <v>0</v>
      </c>
      <c r="P18" s="52">
        <v>0.43</v>
      </c>
      <c r="Q18" s="52">
        <v>4.51</v>
      </c>
    </row>
    <row r="19" spans="1:17" customFormat="1">
      <c r="A19" s="53" t="s">
        <v>763</v>
      </c>
      <c r="B19" s="52">
        <v>9.41</v>
      </c>
      <c r="C19" s="52">
        <v>34.61</v>
      </c>
      <c r="D19" s="52">
        <v>24.43</v>
      </c>
      <c r="E19" s="52">
        <v>5.32</v>
      </c>
      <c r="F19" s="52">
        <v>5.58</v>
      </c>
      <c r="G19" s="52">
        <v>12.43</v>
      </c>
      <c r="H19" s="52">
        <v>4.0599999999999996</v>
      </c>
      <c r="I19" s="52">
        <v>3.27</v>
      </c>
      <c r="J19" s="52">
        <v>1.19</v>
      </c>
      <c r="K19" s="52">
        <v>253.77</v>
      </c>
      <c r="L19" s="52">
        <v>29.59</v>
      </c>
      <c r="M19" s="52">
        <v>70.010000000000005</v>
      </c>
      <c r="N19" s="52">
        <v>322.39999999999998</v>
      </c>
      <c r="O19" s="52">
        <v>0</v>
      </c>
      <c r="P19" s="52">
        <v>0.41</v>
      </c>
      <c r="Q19" s="52">
        <v>4.3499999999999996</v>
      </c>
    </row>
    <row r="20" spans="1:17" customFormat="1">
      <c r="A20" s="53" t="s">
        <v>764</v>
      </c>
      <c r="B20" s="52">
        <v>8.7100000000000009</v>
      </c>
      <c r="C20" s="52">
        <v>34.119999999999997</v>
      </c>
      <c r="D20" s="52">
        <v>22.86</v>
      </c>
      <c r="E20" s="52">
        <v>5.03</v>
      </c>
      <c r="F20" s="52">
        <v>5.85</v>
      </c>
      <c r="G20" s="52">
        <v>11.69</v>
      </c>
      <c r="H20" s="52">
        <v>4.16</v>
      </c>
      <c r="I20" s="52">
        <v>3.31</v>
      </c>
      <c r="J20" s="52">
        <v>1.04</v>
      </c>
      <c r="K20" s="52">
        <v>261.7</v>
      </c>
      <c r="L20" s="52">
        <v>29.78</v>
      </c>
      <c r="M20" s="52">
        <v>67.319999999999993</v>
      </c>
      <c r="N20" s="52">
        <v>324.89999999999998</v>
      </c>
      <c r="O20" s="52">
        <v>0</v>
      </c>
      <c r="P20" s="52">
        <v>0.41</v>
      </c>
      <c r="Q20" s="52">
        <v>4.26</v>
      </c>
    </row>
    <row r="21" spans="1:17" customFormat="1">
      <c r="A21" s="53" t="s">
        <v>765</v>
      </c>
      <c r="B21" s="52">
        <v>7.53</v>
      </c>
      <c r="C21" s="52">
        <v>31</v>
      </c>
      <c r="D21" s="52">
        <v>21.19</v>
      </c>
      <c r="E21" s="52">
        <v>5.74</v>
      </c>
      <c r="F21" s="52">
        <v>7.98</v>
      </c>
      <c r="G21" s="52">
        <v>12.1</v>
      </c>
      <c r="H21" s="52">
        <v>3.41</v>
      </c>
      <c r="I21" s="52">
        <v>3.18</v>
      </c>
      <c r="J21" s="52">
        <v>0.93</v>
      </c>
      <c r="K21" s="52">
        <v>269.58999999999997</v>
      </c>
      <c r="L21" s="52">
        <v>30.69</v>
      </c>
      <c r="M21" s="52">
        <v>66.31</v>
      </c>
      <c r="N21" s="52">
        <v>418.8</v>
      </c>
      <c r="O21" s="52">
        <v>0</v>
      </c>
      <c r="P21" s="52">
        <v>0.39</v>
      </c>
      <c r="Q21" s="52">
        <v>4.2699999999999996</v>
      </c>
    </row>
    <row r="22" spans="1:17" customFormat="1">
      <c r="A22" s="53" t="s">
        <v>766</v>
      </c>
      <c r="B22" s="52">
        <v>6.96</v>
      </c>
      <c r="C22" s="52">
        <v>34.81</v>
      </c>
      <c r="D22" s="52">
        <v>22.72</v>
      </c>
      <c r="E22" s="52">
        <v>5.34</v>
      </c>
      <c r="F22" s="52">
        <v>6.22</v>
      </c>
      <c r="G22" s="52">
        <v>12.28</v>
      </c>
      <c r="H22" s="52">
        <v>4.2699999999999996</v>
      </c>
      <c r="I22" s="52">
        <v>3.15</v>
      </c>
      <c r="J22" s="52">
        <v>0.95</v>
      </c>
      <c r="K22" s="52">
        <v>256.88</v>
      </c>
      <c r="L22" s="52">
        <v>31.13</v>
      </c>
      <c r="M22" s="52">
        <v>64.19</v>
      </c>
      <c r="N22" s="52">
        <v>470.1</v>
      </c>
      <c r="O22" s="52">
        <v>0</v>
      </c>
      <c r="P22" s="52">
        <v>0.4</v>
      </c>
      <c r="Q22" s="52">
        <v>4.1900000000000004</v>
      </c>
    </row>
    <row r="23" spans="1:17" customFormat="1">
      <c r="A23" s="53" t="s">
        <v>767</v>
      </c>
      <c r="B23" s="52">
        <v>6.8</v>
      </c>
      <c r="C23" s="52">
        <v>31.99</v>
      </c>
      <c r="D23" s="52">
        <v>21.07</v>
      </c>
      <c r="E23" s="52">
        <v>4.84</v>
      </c>
      <c r="F23" s="52">
        <v>7.9</v>
      </c>
      <c r="G23" s="52">
        <v>11.63</v>
      </c>
      <c r="H23" s="52">
        <v>5.19</v>
      </c>
      <c r="I23" s="52">
        <v>3.06</v>
      </c>
      <c r="J23" s="52">
        <v>0.86</v>
      </c>
      <c r="K23" s="52">
        <v>265.58999999999997</v>
      </c>
      <c r="L23" s="52">
        <v>32.07</v>
      </c>
      <c r="M23" s="52">
        <v>62.55</v>
      </c>
      <c r="N23" s="52">
        <v>587.6</v>
      </c>
      <c r="O23" s="52">
        <v>0</v>
      </c>
      <c r="P23" s="52">
        <v>0.37</v>
      </c>
      <c r="Q23" s="52">
        <v>4.16</v>
      </c>
    </row>
    <row r="24" spans="1:17" customFormat="1">
      <c r="A24" s="53" t="s">
        <v>768</v>
      </c>
      <c r="B24" s="52">
        <v>5.82</v>
      </c>
      <c r="C24" s="52">
        <v>28.92</v>
      </c>
      <c r="D24" s="52">
        <v>18.53</v>
      </c>
      <c r="E24" s="52">
        <v>4.47</v>
      </c>
      <c r="F24" s="52">
        <v>8.9499999999999993</v>
      </c>
      <c r="G24" s="52">
        <v>12.28</v>
      </c>
      <c r="H24" s="52">
        <v>5.7</v>
      </c>
      <c r="I24" s="52">
        <v>2.96</v>
      </c>
      <c r="J24" s="52">
        <v>1.32</v>
      </c>
      <c r="K24" s="52">
        <v>261.12</v>
      </c>
      <c r="L24" s="52">
        <v>32</v>
      </c>
      <c r="M24" s="52">
        <v>60.39</v>
      </c>
      <c r="N24" s="52">
        <v>445.6</v>
      </c>
      <c r="O24" s="52">
        <v>0</v>
      </c>
      <c r="P24" s="52">
        <v>0.33</v>
      </c>
      <c r="Q24" s="52">
        <v>4.0599999999999996</v>
      </c>
    </row>
    <row r="25" spans="1:17" customFormat="1">
      <c r="A25" s="53" t="s">
        <v>769</v>
      </c>
      <c r="B25" s="52">
        <v>5.27</v>
      </c>
      <c r="C25" s="52">
        <v>32.119999999999997</v>
      </c>
      <c r="D25" s="52">
        <v>19.899999999999999</v>
      </c>
      <c r="E25" s="52">
        <v>5.05</v>
      </c>
      <c r="F25" s="52">
        <v>13.27</v>
      </c>
      <c r="G25" s="52">
        <v>14.4</v>
      </c>
      <c r="H25" s="52">
        <v>5.88</v>
      </c>
      <c r="I25" s="52">
        <v>2.95</v>
      </c>
      <c r="J25" s="52">
        <v>1.1499999999999999</v>
      </c>
      <c r="K25" s="52">
        <v>261.01</v>
      </c>
      <c r="L25" s="52">
        <v>31.05</v>
      </c>
      <c r="M25" s="52">
        <v>63.38</v>
      </c>
      <c r="N25" s="52">
        <v>162.69999999999999</v>
      </c>
      <c r="O25" s="52">
        <v>0</v>
      </c>
      <c r="P25" s="52">
        <v>0.36</v>
      </c>
      <c r="Q25" s="52">
        <v>4.08</v>
      </c>
    </row>
    <row r="26" spans="1:17" customFormat="1">
      <c r="A26" s="53" t="s">
        <v>770</v>
      </c>
      <c r="B26" s="52">
        <v>4.5999999999999996</v>
      </c>
      <c r="C26" s="52">
        <v>27.16</v>
      </c>
      <c r="D26" s="52">
        <v>16.77</v>
      </c>
      <c r="E26" s="52">
        <v>4.97</v>
      </c>
      <c r="F26" s="52">
        <v>13.89</v>
      </c>
      <c r="G26" s="52">
        <v>13.68</v>
      </c>
      <c r="H26" s="52">
        <v>4.43</v>
      </c>
      <c r="I26" s="52">
        <v>2.8</v>
      </c>
      <c r="J26" s="52">
        <v>0.74</v>
      </c>
      <c r="K26" s="52">
        <v>255.72</v>
      </c>
      <c r="L26" s="52">
        <v>30.46</v>
      </c>
      <c r="M26" s="52">
        <v>65.13</v>
      </c>
      <c r="N26" s="52">
        <v>87.1</v>
      </c>
      <c r="O26" s="52">
        <v>0</v>
      </c>
      <c r="P26" s="52">
        <v>0.34</v>
      </c>
      <c r="Q26" s="52">
        <v>3.98</v>
      </c>
    </row>
    <row r="27" spans="1:17" customFormat="1">
      <c r="A27" s="53" t="s">
        <v>771</v>
      </c>
      <c r="B27" s="52">
        <v>5.04</v>
      </c>
      <c r="C27" s="52">
        <v>31.52</v>
      </c>
      <c r="D27" s="52">
        <v>19.420000000000002</v>
      </c>
      <c r="E27" s="52">
        <v>6.18</v>
      </c>
      <c r="F27" s="52">
        <v>16.079999999999998</v>
      </c>
      <c r="G27" s="52">
        <v>14.36</v>
      </c>
      <c r="H27" s="52">
        <v>5.32</v>
      </c>
      <c r="I27" s="52">
        <v>2.78</v>
      </c>
      <c r="J27" s="52">
        <v>0.47</v>
      </c>
      <c r="K27" s="52">
        <v>254.95</v>
      </c>
      <c r="L27" s="52">
        <v>30.23</v>
      </c>
      <c r="M27" s="52">
        <v>70.319999999999993</v>
      </c>
      <c r="N27" s="52">
        <v>53.8</v>
      </c>
      <c r="O27" s="52">
        <v>0</v>
      </c>
      <c r="P27" s="52">
        <v>0.38</v>
      </c>
      <c r="Q27" s="52">
        <v>4.1100000000000003</v>
      </c>
    </row>
    <row r="28" spans="1:17" customFormat="1">
      <c r="A28" s="53" t="s">
        <v>772</v>
      </c>
      <c r="B28" s="52">
        <v>4.9000000000000004</v>
      </c>
      <c r="C28" s="52">
        <v>27.64</v>
      </c>
      <c r="D28" s="52">
        <v>17.329999999999998</v>
      </c>
      <c r="E28" s="52">
        <v>6.82</v>
      </c>
      <c r="F28" s="52">
        <v>19.690000000000001</v>
      </c>
      <c r="G28" s="52">
        <v>14</v>
      </c>
      <c r="H28" s="52">
        <v>6.8</v>
      </c>
      <c r="I28" s="52">
        <v>2.76</v>
      </c>
      <c r="J28" s="52">
        <v>0.2</v>
      </c>
      <c r="K28" s="52">
        <v>239.29</v>
      </c>
      <c r="L28" s="52">
        <v>29.02</v>
      </c>
      <c r="M28" s="52">
        <v>74.62</v>
      </c>
      <c r="N28" s="52">
        <v>0</v>
      </c>
      <c r="O28" s="52">
        <v>0</v>
      </c>
      <c r="P28" s="52">
        <v>0.39</v>
      </c>
      <c r="Q28" s="52">
        <v>4.12</v>
      </c>
    </row>
    <row r="29" spans="1:17" customFormat="1">
      <c r="A29" s="53" t="s">
        <v>773</v>
      </c>
      <c r="B29" s="52">
        <v>5.44</v>
      </c>
      <c r="C29" s="52">
        <v>31.18</v>
      </c>
      <c r="D29" s="52">
        <v>19.600000000000001</v>
      </c>
      <c r="E29" s="52">
        <v>7.09</v>
      </c>
      <c r="F29" s="52">
        <v>18.11</v>
      </c>
      <c r="G29" s="52">
        <v>19.63</v>
      </c>
      <c r="H29" s="52">
        <v>6.88</v>
      </c>
      <c r="I29" s="52">
        <v>3.08</v>
      </c>
      <c r="J29" s="52">
        <v>0.16</v>
      </c>
      <c r="K29" s="52">
        <v>232.85</v>
      </c>
      <c r="L29" s="52">
        <v>28.23</v>
      </c>
      <c r="M29" s="52">
        <v>77.39</v>
      </c>
      <c r="N29" s="52">
        <v>0</v>
      </c>
      <c r="O29" s="52">
        <v>0</v>
      </c>
      <c r="P29" s="52">
        <v>0.4</v>
      </c>
      <c r="Q29" s="52">
        <v>4.21</v>
      </c>
    </row>
    <row r="30" spans="1:17" customFormat="1">
      <c r="A30" s="53" t="s">
        <v>774</v>
      </c>
      <c r="B30" s="52">
        <v>6.38</v>
      </c>
      <c r="C30" s="52">
        <v>32.200000000000003</v>
      </c>
      <c r="D30" s="52">
        <v>20.78</v>
      </c>
      <c r="E30" s="52">
        <v>7.53</v>
      </c>
      <c r="F30" s="52">
        <v>10.81</v>
      </c>
      <c r="G30" s="52">
        <v>16.22</v>
      </c>
      <c r="H30" s="52">
        <v>6.61</v>
      </c>
      <c r="I30" s="52">
        <v>3.19</v>
      </c>
      <c r="J30" s="52">
        <v>0.2</v>
      </c>
      <c r="K30" s="52">
        <v>170.13</v>
      </c>
      <c r="L30" s="52">
        <v>27.77</v>
      </c>
      <c r="M30" s="52">
        <v>85.41</v>
      </c>
      <c r="N30" s="52">
        <v>0</v>
      </c>
      <c r="O30" s="52">
        <v>0</v>
      </c>
      <c r="P30" s="52">
        <v>0.44</v>
      </c>
      <c r="Q30" s="52">
        <v>4.24</v>
      </c>
    </row>
    <row r="31" spans="1:17" customFormat="1">
      <c r="A31" s="53" t="s">
        <v>775</v>
      </c>
      <c r="B31" s="52">
        <v>7.68</v>
      </c>
      <c r="C31" s="52">
        <v>33.64</v>
      </c>
      <c r="D31" s="52">
        <v>22.56</v>
      </c>
      <c r="E31" s="52">
        <v>7.26</v>
      </c>
      <c r="F31" s="52">
        <v>9.67</v>
      </c>
      <c r="G31" s="52">
        <v>20.02</v>
      </c>
      <c r="H31" s="52">
        <v>6.49</v>
      </c>
      <c r="I31" s="52">
        <v>3.57</v>
      </c>
      <c r="J31" s="52">
        <v>0.16</v>
      </c>
      <c r="K31" s="52">
        <v>166.41</v>
      </c>
      <c r="L31" s="52">
        <v>27.53</v>
      </c>
      <c r="M31" s="52">
        <v>84.71</v>
      </c>
      <c r="N31" s="52">
        <v>0</v>
      </c>
      <c r="O31" s="52">
        <v>0</v>
      </c>
      <c r="P31" s="52">
        <v>0.47</v>
      </c>
      <c r="Q31" s="52">
        <v>4.32</v>
      </c>
    </row>
    <row r="32" spans="1:17" customFormat="1">
      <c r="A32" s="53" t="s">
        <v>776</v>
      </c>
      <c r="B32" s="52">
        <v>9</v>
      </c>
      <c r="C32" s="52">
        <v>33.56</v>
      </c>
      <c r="D32" s="52">
        <v>23.39</v>
      </c>
      <c r="E32" s="52">
        <v>7.24</v>
      </c>
      <c r="F32" s="52">
        <v>7.13</v>
      </c>
      <c r="G32" s="52">
        <v>24.23</v>
      </c>
      <c r="H32" s="52">
        <v>7.36</v>
      </c>
      <c r="I32" s="52">
        <v>3.8</v>
      </c>
      <c r="J32" s="52">
        <v>0.13</v>
      </c>
      <c r="K32" s="52">
        <v>222.71</v>
      </c>
      <c r="L32" s="52">
        <v>27.44</v>
      </c>
      <c r="M32" s="52">
        <v>85.81</v>
      </c>
      <c r="N32" s="52">
        <v>0</v>
      </c>
      <c r="O32" s="52">
        <v>0</v>
      </c>
      <c r="P32" s="52">
        <v>0.49</v>
      </c>
      <c r="Q32" s="52">
        <v>4.4000000000000004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4.5999999999999996</v>
      </c>
      <c r="C34" s="41">
        <f t="shared" si="0"/>
        <v>27.16</v>
      </c>
      <c r="D34" s="41">
        <f t="shared" si="0"/>
        <v>16.77</v>
      </c>
      <c r="E34" s="41">
        <f t="shared" si="0"/>
        <v>4.47</v>
      </c>
      <c r="F34" s="41">
        <f t="shared" si="0"/>
        <v>4.54</v>
      </c>
      <c r="G34" s="41">
        <f t="shared" si="0"/>
        <v>8</v>
      </c>
      <c r="H34" s="41">
        <f t="shared" si="0"/>
        <v>3.41</v>
      </c>
      <c r="I34" s="41">
        <f t="shared" si="0"/>
        <v>2.76</v>
      </c>
      <c r="J34" s="41">
        <f t="shared" si="0"/>
        <v>0.13</v>
      </c>
      <c r="K34" s="41">
        <f t="shared" si="0"/>
        <v>166.41</v>
      </c>
      <c r="L34" s="41">
        <f t="shared" si="0"/>
        <v>26.19</v>
      </c>
      <c r="M34" s="41">
        <f t="shared" si="0"/>
        <v>60.39</v>
      </c>
      <c r="N34" s="41">
        <f t="shared" si="0"/>
        <v>0</v>
      </c>
      <c r="O34" s="41">
        <f t="shared" si="0"/>
        <v>0</v>
      </c>
      <c r="P34" s="41">
        <f t="shared" si="0"/>
        <v>0.33</v>
      </c>
      <c r="Q34" s="41">
        <f t="shared" si="0"/>
        <v>3.98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13.89</v>
      </c>
      <c r="C35" s="33">
        <f t="shared" si="1"/>
        <v>37.75</v>
      </c>
      <c r="D35" s="33">
        <f t="shared" si="1"/>
        <v>29.82</v>
      </c>
      <c r="E35" s="33">
        <f t="shared" si="1"/>
        <v>7.53</v>
      </c>
      <c r="F35" s="33">
        <f t="shared" si="1"/>
        <v>19.690000000000001</v>
      </c>
      <c r="G35" s="33">
        <f t="shared" si="1"/>
        <v>24.23</v>
      </c>
      <c r="H35" s="33">
        <f t="shared" si="1"/>
        <v>7.36</v>
      </c>
      <c r="I35" s="33">
        <f t="shared" si="1"/>
        <v>3.8</v>
      </c>
      <c r="J35" s="33">
        <f t="shared" si="1"/>
        <v>1.37</v>
      </c>
      <c r="K35" s="33">
        <f t="shared" si="1"/>
        <v>281.16000000000003</v>
      </c>
      <c r="L35" s="33">
        <f t="shared" si="1"/>
        <v>32.07</v>
      </c>
      <c r="M35" s="33">
        <f t="shared" si="1"/>
        <v>88.73</v>
      </c>
      <c r="N35" s="33">
        <f t="shared" si="1"/>
        <v>587.6</v>
      </c>
      <c r="O35" s="33">
        <f t="shared" si="1"/>
        <v>0</v>
      </c>
      <c r="P35" s="33">
        <f t="shared" si="1"/>
        <v>0.49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8.8062500000000004</v>
      </c>
      <c r="C36" s="41">
        <f t="shared" si="2"/>
        <v>32.96791666666666</v>
      </c>
      <c r="D36" s="41">
        <f t="shared" si="2"/>
        <v>23.121666666666666</v>
      </c>
      <c r="E36" s="41">
        <f t="shared" si="2"/>
        <v>5.9716666666666667</v>
      </c>
      <c r="F36" s="41">
        <f t="shared" si="2"/>
        <v>9.1804166666666678</v>
      </c>
      <c r="G36" s="41">
        <f t="shared" si="2"/>
        <v>12.782499999999999</v>
      </c>
      <c r="H36" s="41">
        <f t="shared" si="2"/>
        <v>5.1787499999999982</v>
      </c>
      <c r="I36" s="41">
        <f t="shared" si="2"/>
        <v>3.1595833333333334</v>
      </c>
      <c r="J36" s="41">
        <f t="shared" si="2"/>
        <v>0.67833333333333323</v>
      </c>
      <c r="K36" s="41">
        <f t="shared" si="2"/>
        <v>247.03250000000003</v>
      </c>
      <c r="L36" s="41">
        <f t="shared" si="2"/>
        <v>28.942916666666665</v>
      </c>
      <c r="M36" s="41">
        <f t="shared" si="2"/>
        <v>75.279166666666683</v>
      </c>
      <c r="N36" s="41">
        <f t="shared" si="2"/>
        <v>150.50833333333333</v>
      </c>
      <c r="O36" s="41">
        <f t="shared" si="2"/>
        <v>0</v>
      </c>
      <c r="P36" s="41">
        <f t="shared" si="2"/>
        <v>0.4054166666666667</v>
      </c>
      <c r="Q36" s="41">
        <f t="shared" si="2"/>
        <v>4.3362499999999997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2.9969518028649835</v>
      </c>
      <c r="C37" s="41">
        <f t="shared" ref="C37:Q37" si="3">STDEV(C9:C32)</f>
        <v>2.6666621037099736</v>
      </c>
      <c r="D37" s="41">
        <f t="shared" si="3"/>
        <v>3.6207886081525946</v>
      </c>
      <c r="E37" s="41">
        <f t="shared" si="3"/>
        <v>0.86466211881298216</v>
      </c>
      <c r="F37" s="41">
        <f t="shared" si="3"/>
        <v>4.2406362106427462</v>
      </c>
      <c r="G37" s="41">
        <f t="shared" si="3"/>
        <v>3.9751797881135054</v>
      </c>
      <c r="H37" s="41">
        <f t="shared" si="3"/>
        <v>1.1090783972760303</v>
      </c>
      <c r="I37" s="41">
        <f t="shared" si="3"/>
        <v>0.28254248109476759</v>
      </c>
      <c r="J37" s="41">
        <f t="shared" si="3"/>
        <v>0.41257059123697037</v>
      </c>
      <c r="K37" s="41">
        <f t="shared" si="3"/>
        <v>27.669179879739222</v>
      </c>
      <c r="L37" s="41">
        <f t="shared" si="3"/>
        <v>1.6644452768746398</v>
      </c>
      <c r="M37" s="41">
        <f t="shared" si="3"/>
        <v>9.049820520279594</v>
      </c>
      <c r="N37" s="41">
        <f t="shared" si="3"/>
        <v>185.21102163810849</v>
      </c>
      <c r="O37" s="41">
        <f t="shared" si="3"/>
        <v>0</v>
      </c>
      <c r="P37" s="41">
        <f t="shared" si="3"/>
        <v>3.6113247800033881E-2</v>
      </c>
      <c r="Q37" s="41">
        <f t="shared" si="3"/>
        <v>0.19905892725959048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54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R35" sqref="R35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45078.041666666664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>
        <f>'01'!$B$2</f>
        <v>45078.041666666664</v>
      </c>
      <c r="B9" s="17">
        <f>'01'!B36</f>
        <v>26.481666666666658</v>
      </c>
      <c r="C9" s="17">
        <f>'01'!C36</f>
        <v>63.257083333333327</v>
      </c>
      <c r="D9" s="17">
        <f>'01'!D36</f>
        <v>52.533749999999998</v>
      </c>
      <c r="E9" s="17">
        <f>'01'!E36</f>
        <v>15.250833333333334</v>
      </c>
      <c r="F9" s="17">
        <f>'01'!F36</f>
        <v>19.224583333333339</v>
      </c>
      <c r="G9" s="17">
        <f>'01'!G36</f>
        <v>99.514166666666668</v>
      </c>
      <c r="H9" s="17">
        <f>'01'!H36</f>
        <v>30.383333333333326</v>
      </c>
      <c r="I9" s="17">
        <f>'01'!I36</f>
        <v>7.427083333333333</v>
      </c>
      <c r="J9" s="17">
        <f>'01'!J36</f>
        <v>0.68291666666666673</v>
      </c>
      <c r="K9" s="17">
        <f>'01'!K36</f>
        <v>191.78583333333333</v>
      </c>
      <c r="L9" s="17">
        <f>'01'!L36</f>
        <v>35.510416666666664</v>
      </c>
      <c r="M9" s="17">
        <f>'01'!M36</f>
        <v>28.890416666666667</v>
      </c>
      <c r="N9" s="17">
        <f>'01'!N36</f>
        <v>195.63749999999996</v>
      </c>
      <c r="O9" s="17">
        <f>'01'!O36</f>
        <v>0</v>
      </c>
      <c r="P9" s="17">
        <f>'01'!P36</f>
        <v>0.78208333333333335</v>
      </c>
      <c r="Q9" s="17">
        <f>'01'!Q36</f>
        <v>6.083333333333333</v>
      </c>
      <c r="R9" s="34"/>
      <c r="S9" s="34"/>
      <c r="T9" s="34"/>
      <c r="U9" s="35"/>
    </row>
    <row r="10" spans="1:21" s="2" customFormat="1">
      <c r="A10" s="16" t="str">
        <f>'02'!$B$2</f>
        <v>02/06/2023 01:00</v>
      </c>
      <c r="B10" s="17">
        <f>'02'!B36</f>
        <v>29.461249999999989</v>
      </c>
      <c r="C10" s="17">
        <f>'02'!C36</f>
        <v>59.094999999999992</v>
      </c>
      <c r="D10" s="17">
        <f>'02'!D36</f>
        <v>53.21416666666665</v>
      </c>
      <c r="E10" s="17">
        <f>'02'!E36</f>
        <v>22.662083333333328</v>
      </c>
      <c r="F10" s="17">
        <f>'02'!F36</f>
        <v>24.888333333333335</v>
      </c>
      <c r="G10" s="17">
        <f>'02'!G36</f>
        <v>103.01708333333335</v>
      </c>
      <c r="H10" s="17">
        <f>'02'!H36</f>
        <v>44.930833333333339</v>
      </c>
      <c r="I10" s="17">
        <f>'02'!I36</f>
        <v>8.3358333333333352</v>
      </c>
      <c r="J10" s="17">
        <f>'02'!J36</f>
        <v>0.57916666666666661</v>
      </c>
      <c r="K10" s="17">
        <f>'02'!K36</f>
        <v>274.63541666666657</v>
      </c>
      <c r="L10" s="17">
        <f>'02'!L36</f>
        <v>36.361250000000005</v>
      </c>
      <c r="M10" s="17">
        <f>'02'!M36</f>
        <v>24.467083333333335</v>
      </c>
      <c r="N10" s="17">
        <f>'02'!N36</f>
        <v>179.89166666666668</v>
      </c>
      <c r="O10" s="17">
        <f>'02'!O36</f>
        <v>0</v>
      </c>
      <c r="P10" s="17">
        <f>'02'!P36</f>
        <v>0.83374999999999988</v>
      </c>
      <c r="Q10" s="17">
        <f>'02'!Q36</f>
        <v>6.0995833333333342</v>
      </c>
      <c r="R10" s="36"/>
      <c r="S10" s="36"/>
      <c r="T10" s="36"/>
      <c r="U10" s="36"/>
    </row>
    <row r="11" spans="1:21" s="2" customFormat="1">
      <c r="A11" s="16" t="str">
        <f>'03'!$B$2</f>
        <v>03/06/2023 01:00</v>
      </c>
      <c r="B11" s="17">
        <f>'03'!B36</f>
        <v>24.02</v>
      </c>
      <c r="C11" s="17">
        <f>'03'!C36</f>
        <v>61.844999999999999</v>
      </c>
      <c r="D11" s="17">
        <f>'03'!D36</f>
        <v>50.322916666666657</v>
      </c>
      <c r="E11" s="17">
        <f>'03'!E36</f>
        <v>22.315833333333334</v>
      </c>
      <c r="F11" s="17">
        <f>'03'!F36</f>
        <v>24.739583333333332</v>
      </c>
      <c r="G11" s="17">
        <f>'03'!G36</f>
        <v>96.346666666666692</v>
      </c>
      <c r="H11" s="17">
        <f>'03'!H36</f>
        <v>41.160833333333329</v>
      </c>
      <c r="I11" s="17">
        <f>'03'!I36</f>
        <v>7.8933333333333335</v>
      </c>
      <c r="J11" s="17">
        <f>'03'!J36</f>
        <v>0.57375000000000009</v>
      </c>
      <c r="K11" s="17">
        <f>'03'!K36</f>
        <v>185.89291666666668</v>
      </c>
      <c r="L11" s="17">
        <f>'03'!L36</f>
        <v>35.166666666666671</v>
      </c>
      <c r="M11" s="17">
        <f>'03'!M36</f>
        <v>31.812500000000004</v>
      </c>
      <c r="N11" s="17">
        <f>'03'!N36</f>
        <v>166.80416666666665</v>
      </c>
      <c r="O11" s="17">
        <f>'03'!O36</f>
        <v>0</v>
      </c>
      <c r="P11" s="17">
        <f>'03'!P36</f>
        <v>0.87666666666666659</v>
      </c>
      <c r="Q11" s="17">
        <f>'03'!Q36</f>
        <v>5.8658333333333337</v>
      </c>
      <c r="R11" s="36"/>
      <c r="S11" s="36"/>
      <c r="T11" s="36"/>
      <c r="U11" s="36"/>
    </row>
    <row r="12" spans="1:21" s="2" customFormat="1">
      <c r="A12" s="16" t="str">
        <f>'04'!$B$2</f>
        <v>04/06/2023 01:00</v>
      </c>
      <c r="B12" s="17">
        <f>'04'!B36</f>
        <v>20.107083333333332</v>
      </c>
      <c r="C12" s="17">
        <f>'04'!C36</f>
        <v>58.096666666666657</v>
      </c>
      <c r="D12" s="17">
        <f>'04'!D36</f>
        <v>45.14708333333332</v>
      </c>
      <c r="E12" s="17">
        <f>'04'!E36</f>
        <v>25.644999999999996</v>
      </c>
      <c r="F12" s="17">
        <f>'04'!F36</f>
        <v>31.565833333333341</v>
      </c>
      <c r="G12" s="17">
        <f>'04'!G36</f>
        <v>96.301249999999996</v>
      </c>
      <c r="H12" s="17">
        <f>'04'!H36</f>
        <v>62.550416666666671</v>
      </c>
      <c r="I12" s="17">
        <f>'04'!I36</f>
        <v>7.8895833333333334</v>
      </c>
      <c r="J12" s="17">
        <f>'04'!J36</f>
        <v>0.75249999999999995</v>
      </c>
      <c r="K12" s="17">
        <f>'04'!K36</f>
        <v>218.38250000000008</v>
      </c>
      <c r="L12" s="17">
        <f>'04'!L36</f>
        <v>35.314583333333331</v>
      </c>
      <c r="M12" s="17">
        <f>'04'!M36</f>
        <v>33.086666666666666</v>
      </c>
      <c r="N12" s="17">
        <f>'04'!N36</f>
        <v>197.69583333333333</v>
      </c>
      <c r="O12" s="17">
        <f>'04'!O36</f>
        <v>0</v>
      </c>
      <c r="P12" s="17">
        <f>'04'!P36</f>
        <v>0.82458333333333356</v>
      </c>
      <c r="Q12" s="17">
        <f>'04'!Q36</f>
        <v>5.8079166666666664</v>
      </c>
      <c r="R12" s="36"/>
      <c r="S12" s="36"/>
      <c r="T12" s="36"/>
      <c r="U12" s="36"/>
    </row>
    <row r="13" spans="1:21" s="2" customFormat="1">
      <c r="A13" s="16" t="str">
        <f>'05'!$B$2</f>
        <v>05/06/2023 01:00</v>
      </c>
      <c r="B13" s="17">
        <f>'05'!B36</f>
        <v>7.0308333333333337</v>
      </c>
      <c r="C13" s="17">
        <f>'05'!C36</f>
        <v>54.27</v>
      </c>
      <c r="D13" s="17">
        <f>'05'!D36</f>
        <v>32.824583333333329</v>
      </c>
      <c r="E13" s="17">
        <f>'05'!E36</f>
        <v>16.044166666666669</v>
      </c>
      <c r="F13" s="17">
        <f>'05'!F36</f>
        <v>31.883333333333329</v>
      </c>
      <c r="G13" s="17">
        <f>'05'!G36</f>
        <v>75.556250000000006</v>
      </c>
      <c r="H13" s="17">
        <f>'05'!H36</f>
        <v>36.527916666666677</v>
      </c>
      <c r="I13" s="17">
        <f>'05'!I36</f>
        <v>5.3645833333333348</v>
      </c>
      <c r="J13" s="17">
        <f>'05'!J36</f>
        <v>0.62916666666666665</v>
      </c>
      <c r="K13" s="17">
        <f>'05'!K36</f>
        <v>239.28833333333333</v>
      </c>
      <c r="L13" s="17">
        <f>'05'!L36</f>
        <v>33.224583333333321</v>
      </c>
      <c r="M13" s="17">
        <f>'05'!M36</f>
        <v>44.631666666666661</v>
      </c>
      <c r="N13" s="17">
        <f>'05'!N36</f>
        <v>173.43749999999997</v>
      </c>
      <c r="O13" s="17">
        <f>'05'!O36</f>
        <v>0</v>
      </c>
      <c r="P13" s="17">
        <f>'05'!P36</f>
        <v>0.67041666666666666</v>
      </c>
      <c r="Q13" s="17">
        <f>'05'!Q36</f>
        <v>5.034583333333333</v>
      </c>
      <c r="R13" s="36"/>
      <c r="S13" s="36"/>
      <c r="T13" s="36"/>
      <c r="U13" s="36"/>
    </row>
    <row r="14" spans="1:21" s="2" customFormat="1">
      <c r="A14" s="16" t="str">
        <f>'06'!$B$2</f>
        <v>06/06/2023 01:00</v>
      </c>
      <c r="B14" s="18">
        <f>'06'!B36</f>
        <v>15.478750000000003</v>
      </c>
      <c r="C14" s="18">
        <f>'06'!C36</f>
        <v>60.025416666666651</v>
      </c>
      <c r="D14" s="18">
        <f>'06'!D36</f>
        <v>42.403750000000002</v>
      </c>
      <c r="E14" s="18">
        <f>'06'!E36</f>
        <v>10.922500000000001</v>
      </c>
      <c r="F14" s="18">
        <f>'06'!F36</f>
        <v>24.02833333333334</v>
      </c>
      <c r="G14" s="18">
        <f>'06'!G36</f>
        <v>58.065833333333337</v>
      </c>
      <c r="H14" s="18">
        <f>'06'!H36</f>
        <v>31.341666666666658</v>
      </c>
      <c r="I14" s="18">
        <f>'06'!I36</f>
        <v>5.810833333333334</v>
      </c>
      <c r="J14" s="18">
        <f>'06'!J36</f>
        <v>0.51791666666666669</v>
      </c>
      <c r="K14" s="18">
        <f>'06'!K36</f>
        <v>221.31374999999994</v>
      </c>
      <c r="L14" s="18">
        <f>'06'!L36</f>
        <v>34.59291666666666</v>
      </c>
      <c r="M14" s="18">
        <f>'06'!M36</f>
        <v>39.506249999999994</v>
      </c>
      <c r="N14" s="18">
        <f>'06'!N36</f>
        <v>209.39166666666665</v>
      </c>
      <c r="O14" s="18">
        <f>'06'!O36</f>
        <v>0</v>
      </c>
      <c r="P14" s="18">
        <f>'06'!P36</f>
        <v>0.67833333333333334</v>
      </c>
      <c r="Q14" s="18">
        <f>'06'!Q36</f>
        <v>5.5304166666666665</v>
      </c>
      <c r="R14" s="36"/>
      <c r="S14" s="36"/>
      <c r="T14" s="36"/>
      <c r="U14" s="36"/>
    </row>
    <row r="15" spans="1:21" s="2" customFormat="1">
      <c r="A15" s="16" t="str">
        <f>'07'!$B$2</f>
        <v>07/06/2023 01:00</v>
      </c>
      <c r="B15" s="18">
        <f>'07'!B36</f>
        <v>27.915833333333339</v>
      </c>
      <c r="C15" s="18">
        <f>'07'!C36</f>
        <v>63.23416666666666</v>
      </c>
      <c r="D15" s="18">
        <f>'07'!D36</f>
        <v>53.469583333333333</v>
      </c>
      <c r="E15" s="18">
        <f>'07'!E36</f>
        <v>28.435000000000006</v>
      </c>
      <c r="F15" s="18">
        <f>'07'!F36</f>
        <v>28.194166666666664</v>
      </c>
      <c r="G15" s="18">
        <f>'07'!G36</f>
        <v>108.22000000000001</v>
      </c>
      <c r="H15" s="18">
        <f>'07'!H36</f>
        <v>50.226666666666681</v>
      </c>
      <c r="I15" s="18">
        <f>'07'!I36</f>
        <v>9.2458333333333318</v>
      </c>
      <c r="J15" s="18">
        <f>'07'!J36</f>
        <v>0.82791666666666686</v>
      </c>
      <c r="K15" s="18">
        <f>'07'!K36</f>
        <v>168.64625000000001</v>
      </c>
      <c r="L15" s="18">
        <f>'07'!L36</f>
        <v>35.632083333333334</v>
      </c>
      <c r="M15" s="18">
        <f>'07'!M36</f>
        <v>32.027499999999996</v>
      </c>
      <c r="N15" s="18">
        <f>'07'!N36</f>
        <v>167.34583333333333</v>
      </c>
      <c r="O15" s="18">
        <f>'07'!O36</f>
        <v>0</v>
      </c>
      <c r="P15" s="18">
        <f>'07'!P36</f>
        <v>0.88083333333333325</v>
      </c>
      <c r="Q15" s="18">
        <f>'07'!Q36</f>
        <v>6.2283333333333344</v>
      </c>
      <c r="R15" s="36"/>
      <c r="S15" s="36"/>
      <c r="T15" s="36"/>
      <c r="U15" s="36"/>
    </row>
    <row r="16" spans="1:21" s="2" customFormat="1">
      <c r="A16" s="16" t="str">
        <f>'08'!$B$2</f>
        <v>08/06/2023 01:00</v>
      </c>
      <c r="B16" s="18">
        <f>'08'!B36</f>
        <v>16.595416666666665</v>
      </c>
      <c r="C16" s="18">
        <f>'08'!C36</f>
        <v>61.141666666666673</v>
      </c>
      <c r="D16" s="18">
        <f>'08'!D36</f>
        <v>44.009583333333332</v>
      </c>
      <c r="E16" s="18">
        <f>'08'!E36</f>
        <v>17.600416666666671</v>
      </c>
      <c r="F16" s="18">
        <f>'08'!F36</f>
        <v>27.539583333333336</v>
      </c>
      <c r="G16" s="18">
        <f>'08'!G36</f>
        <v>81.588333333333352</v>
      </c>
      <c r="H16" s="18">
        <f>'08'!H36</f>
        <v>37.32083333333334</v>
      </c>
      <c r="I16" s="18">
        <f>'08'!I36</f>
        <v>7.512500000000002</v>
      </c>
      <c r="J16" s="18">
        <f>'08'!J36</f>
        <v>0.62500000000000011</v>
      </c>
      <c r="K16" s="18">
        <f>'08'!K36</f>
        <v>210.71500000000003</v>
      </c>
      <c r="L16" s="18">
        <f>'08'!L36</f>
        <v>35.810833333333328</v>
      </c>
      <c r="M16" s="18">
        <f>'08'!M36</f>
        <v>32.352916666666665</v>
      </c>
      <c r="N16" s="18">
        <f>'08'!N36</f>
        <v>182.07500000000002</v>
      </c>
      <c r="O16" s="18">
        <f>'08'!O36</f>
        <v>0</v>
      </c>
      <c r="P16" s="18">
        <f>'08'!P36</f>
        <v>0.79499999999999993</v>
      </c>
      <c r="Q16" s="18">
        <f>'08'!Q36</f>
        <v>5.7349999999999994</v>
      </c>
      <c r="R16" s="36"/>
      <c r="S16" s="36"/>
      <c r="T16" s="36"/>
      <c r="U16" s="36"/>
    </row>
    <row r="17" spans="1:24" s="2" customFormat="1">
      <c r="A17" s="16" t="str">
        <f>'09'!$B$2</f>
        <v>09/06/2023 01:00</v>
      </c>
      <c r="B17" s="18">
        <f>'09'!B36</f>
        <v>22.249166666666667</v>
      </c>
      <c r="C17" s="18">
        <f>'09'!C36</f>
        <v>59.379166666666663</v>
      </c>
      <c r="D17" s="18">
        <f>'09'!D36</f>
        <v>47.471666666666664</v>
      </c>
      <c r="E17" s="18">
        <f>'09'!E36</f>
        <v>20.462500000000006</v>
      </c>
      <c r="F17" s="18">
        <f>'09'!F36</f>
        <v>23.714583333333326</v>
      </c>
      <c r="G17" s="18">
        <f>'09'!G36</f>
        <v>91.30999999999996</v>
      </c>
      <c r="H17" s="18">
        <f>'09'!H36</f>
        <v>38.417083333333331</v>
      </c>
      <c r="I17" s="18">
        <f>'09'!I36</f>
        <v>8.2466666666666679</v>
      </c>
      <c r="J17" s="18">
        <f>'09'!J36</f>
        <v>0.58916666666666673</v>
      </c>
      <c r="K17" s="18">
        <f>'09'!K36</f>
        <v>247.43916666666675</v>
      </c>
      <c r="L17" s="18">
        <f>'09'!L36</f>
        <v>35.929999999999986</v>
      </c>
      <c r="M17" s="18">
        <f>'09'!M36</f>
        <v>32.886249999999997</v>
      </c>
      <c r="N17" s="18">
        <f>'09'!N36</f>
        <v>175.57500000000005</v>
      </c>
      <c r="O17" s="18">
        <f>'09'!O36</f>
        <v>0</v>
      </c>
      <c r="P17" s="18">
        <f>'09'!P36</f>
        <v>0.87333333333333341</v>
      </c>
      <c r="Q17" s="18">
        <f>'09'!Q36</f>
        <v>5.9474999999999989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 t="str">
        <f>'10'!$B$2</f>
        <v>10/06/2023 01:00</v>
      </c>
      <c r="B18" s="18">
        <f>'10'!B36</f>
        <v>17.698333333333331</v>
      </c>
      <c r="C18" s="18">
        <f>'10'!C36</f>
        <v>55.057916666666671</v>
      </c>
      <c r="D18" s="18">
        <f>'10'!D36</f>
        <v>41.782916666666665</v>
      </c>
      <c r="E18" s="18">
        <f>'10'!E36</f>
        <v>16.862916666666667</v>
      </c>
      <c r="F18" s="18">
        <f>'10'!F36</f>
        <v>24.282916666666662</v>
      </c>
      <c r="G18" s="18">
        <f>'10'!G36</f>
        <v>71.055000000000021</v>
      </c>
      <c r="H18" s="18">
        <f>'10'!H36</f>
        <v>30.159166666666668</v>
      </c>
      <c r="I18" s="18">
        <f>'10'!I36</f>
        <v>7.8608333333333311</v>
      </c>
      <c r="J18" s="18">
        <f>'10'!J36</f>
        <v>0.69000000000000006</v>
      </c>
      <c r="K18" s="18">
        <f>'10'!K36</f>
        <v>257.82625000000002</v>
      </c>
      <c r="L18" s="18">
        <f>'10'!L36</f>
        <v>35.975416666666668</v>
      </c>
      <c r="M18" s="18">
        <f>'10'!M36</f>
        <v>34.303749999999994</v>
      </c>
      <c r="N18" s="18">
        <f>'10'!N36</f>
        <v>172.66249999999999</v>
      </c>
      <c r="O18" s="18">
        <f>'10'!O36</f>
        <v>0</v>
      </c>
      <c r="P18" s="18">
        <f>'10'!P36</f>
        <v>0.7733333333333331</v>
      </c>
      <c r="Q18" s="18">
        <f>'10'!Q36</f>
        <v>5.7062499999999998</v>
      </c>
      <c r="R18" s="36"/>
      <c r="S18" s="36"/>
      <c r="T18" s="36"/>
      <c r="U18" s="36"/>
    </row>
    <row r="19" spans="1:24" s="2" customFormat="1">
      <c r="A19" s="16" t="str">
        <f>'11'!$B$2</f>
        <v>11/06/2023 01:00</v>
      </c>
      <c r="B19" s="18">
        <f>'11'!B36</f>
        <v>8.9824999999999999</v>
      </c>
      <c r="C19" s="18">
        <f>'11'!C36</f>
        <v>50.890833333333319</v>
      </c>
      <c r="D19" s="18">
        <f>'11'!D36</f>
        <v>32.580000000000005</v>
      </c>
      <c r="E19" s="18">
        <f>'11'!E36</f>
        <v>9.8254166666666674</v>
      </c>
      <c r="F19" s="18">
        <f>'11'!F36</f>
        <v>21.9375</v>
      </c>
      <c r="G19" s="18">
        <f>'11'!G36</f>
        <v>42.340416666666663</v>
      </c>
      <c r="H19" s="18">
        <f>'11'!H36</f>
        <v>18.720833333333335</v>
      </c>
      <c r="I19" s="18">
        <f>'11'!I36</f>
        <v>4.7508333333333335</v>
      </c>
      <c r="J19" s="18">
        <f>'11'!J36</f>
        <v>1.0629166666666665</v>
      </c>
      <c r="K19" s="18">
        <f>'11'!K36</f>
        <v>294.33541666666673</v>
      </c>
      <c r="L19" s="18">
        <f>'11'!L36</f>
        <v>36.227499999999999</v>
      </c>
      <c r="M19" s="18">
        <f>'11'!M36</f>
        <v>32.274583333333332</v>
      </c>
      <c r="N19" s="18">
        <f>'11'!N36</f>
        <v>181.38333333333335</v>
      </c>
      <c r="O19" s="18">
        <f>'11'!O36</f>
        <v>0</v>
      </c>
      <c r="P19" s="18">
        <f>'11'!P36</f>
        <v>0.56291666666666684</v>
      </c>
      <c r="Q19" s="18">
        <f>'11'!Q36</f>
        <v>5.1183333333333332</v>
      </c>
      <c r="R19" s="36"/>
      <c r="S19" s="36"/>
      <c r="T19" s="36"/>
      <c r="U19" s="36"/>
    </row>
    <row r="20" spans="1:24" s="2" customFormat="1">
      <c r="A20" s="16" t="str">
        <f>'12'!$B$2</f>
        <v>12/06/2023 01:00</v>
      </c>
      <c r="B20" s="18">
        <f>'12'!B36</f>
        <v>10.032083333333333</v>
      </c>
      <c r="C20" s="18">
        <f>'12'!C36</f>
        <v>52.185416666666669</v>
      </c>
      <c r="D20" s="18">
        <f>'12'!D36</f>
        <v>34.099583333333335</v>
      </c>
      <c r="E20" s="18">
        <f>'12'!E36</f>
        <v>13.631666666666668</v>
      </c>
      <c r="F20" s="18">
        <f>'12'!F36</f>
        <v>26.079166666666666</v>
      </c>
      <c r="G20" s="18">
        <f>'12'!G36</f>
        <v>43.580416666666672</v>
      </c>
      <c r="H20" s="18">
        <f>'12'!H36</f>
        <v>17.624166666666667</v>
      </c>
      <c r="I20" s="18">
        <f>'12'!I36</f>
        <v>6.2158333333333324</v>
      </c>
      <c r="J20" s="18">
        <f>'12'!J36</f>
        <v>0.97083333333333321</v>
      </c>
      <c r="K20" s="18">
        <f>'12'!K36</f>
        <v>273.39708333333323</v>
      </c>
      <c r="L20" s="18">
        <f>'12'!L36</f>
        <v>36.447499999999998</v>
      </c>
      <c r="M20" s="18">
        <f>'12'!M36</f>
        <v>35.477916666666665</v>
      </c>
      <c r="N20" s="18">
        <f>'12'!N36</f>
        <v>175.35416666666666</v>
      </c>
      <c r="O20" s="18">
        <f>'12'!O36</f>
        <v>0</v>
      </c>
      <c r="P20" s="18">
        <f>'12'!P36</f>
        <v>0.68375000000000019</v>
      </c>
      <c r="Q20" s="18">
        <f>'12'!Q36</f>
        <v>5.3025000000000011</v>
      </c>
      <c r="R20" s="36"/>
      <c r="S20" s="36"/>
      <c r="T20" s="36"/>
      <c r="U20" s="36"/>
    </row>
    <row r="21" spans="1:24" s="2" customFormat="1">
      <c r="A21" s="16" t="str">
        <f>'13'!$B$2</f>
        <v>13/06/2023 01:00</v>
      </c>
      <c r="B21" s="18">
        <f>'13'!B36</f>
        <v>9.4708333333333332</v>
      </c>
      <c r="C21" s="18">
        <f>'13'!C36</f>
        <v>47.844999999999999</v>
      </c>
      <c r="D21" s="18">
        <f>'13'!D36</f>
        <v>31.247916666666669</v>
      </c>
      <c r="E21" s="18">
        <f>'13'!E36</f>
        <v>10.098749999999997</v>
      </c>
      <c r="F21" s="18">
        <f>'13'!F36</f>
        <v>22.215</v>
      </c>
      <c r="G21" s="18">
        <f>'13'!G36</f>
        <v>40.977916666666658</v>
      </c>
      <c r="H21" s="18">
        <f>'13'!H36</f>
        <v>17.756250000000001</v>
      </c>
      <c r="I21" s="18">
        <f>'13'!I36</f>
        <v>4.6899999999999995</v>
      </c>
      <c r="J21" s="18">
        <f>'13'!J36</f>
        <v>0.74250000000000005</v>
      </c>
      <c r="K21" s="18">
        <f>'13'!K36</f>
        <v>271.42083333333335</v>
      </c>
      <c r="L21" s="18">
        <f>'13'!L36</f>
        <v>35.149583333333339</v>
      </c>
      <c r="M21" s="18">
        <f>'13'!M36</f>
        <v>43.466666666666669</v>
      </c>
      <c r="N21" s="18">
        <f>'13'!N36</f>
        <v>175.92499999999998</v>
      </c>
      <c r="O21" s="18">
        <f>'13'!O36</f>
        <v>0</v>
      </c>
      <c r="P21" s="18">
        <f>'13'!P36</f>
        <v>0.49708333333333338</v>
      </c>
      <c r="Q21" s="18">
        <f>'13'!Q36</f>
        <v>5.0904166666666661</v>
      </c>
      <c r="R21" s="36"/>
      <c r="S21" s="36"/>
      <c r="T21" s="36"/>
      <c r="U21" s="36"/>
    </row>
    <row r="22" spans="1:24" s="2" customFormat="1">
      <c r="A22" s="16" t="str">
        <f>'14'!$B$2</f>
        <v>14/06/2023 01:00</v>
      </c>
      <c r="B22" s="18">
        <f>'14'!B36</f>
        <v>12.455416666666666</v>
      </c>
      <c r="C22" s="18">
        <f>'14'!C36</f>
        <v>44.612500000000004</v>
      </c>
      <c r="D22" s="18">
        <f>'14'!D36</f>
        <v>32.050416666666663</v>
      </c>
      <c r="E22" s="18">
        <f>'14'!E36</f>
        <v>8.7512499999999989</v>
      </c>
      <c r="F22" s="18">
        <f>'14'!F36</f>
        <v>17.649166666666662</v>
      </c>
      <c r="G22" s="18">
        <f>'14'!G36</f>
        <v>43.727272727272741</v>
      </c>
      <c r="H22" s="18">
        <f>'14'!H36</f>
        <v>14.313636363636363</v>
      </c>
      <c r="I22" s="18">
        <f>'14'!I36</f>
        <v>4.6470833333333328</v>
      </c>
      <c r="J22" s="18">
        <f>'14'!J36</f>
        <v>0.90749999999999975</v>
      </c>
      <c r="K22" s="18">
        <f>'14'!K36</f>
        <v>261.75083333333333</v>
      </c>
      <c r="L22" s="18">
        <f>'14'!L36</f>
        <v>32.482083333333335</v>
      </c>
      <c r="M22" s="18">
        <f>'14'!M36</f>
        <v>58.187916666666688</v>
      </c>
      <c r="N22" s="18">
        <f>'14'!N36</f>
        <v>87.120833333333323</v>
      </c>
      <c r="O22" s="18">
        <f>'14'!O36</f>
        <v>0</v>
      </c>
      <c r="P22" s="18">
        <f>'14'!P36</f>
        <v>0.57791666666666652</v>
      </c>
      <c r="Q22" s="18">
        <f>'14'!Q36</f>
        <v>5.072916666666667</v>
      </c>
      <c r="R22" s="38"/>
      <c r="S22" s="38"/>
      <c r="T22" s="38"/>
      <c r="U22" s="38"/>
    </row>
    <row r="23" spans="1:24" s="2" customFormat="1">
      <c r="A23" s="16" t="str">
        <f>'15'!$B$2</f>
        <v>15/06/2023 01:00</v>
      </c>
      <c r="B23" s="19">
        <f>'15'!B36</f>
        <v>21.773333333333337</v>
      </c>
      <c r="C23" s="19">
        <f>'15'!C36</f>
        <v>46.224999999999994</v>
      </c>
      <c r="D23" s="19">
        <f>'15'!D36</f>
        <v>40.342083333333342</v>
      </c>
      <c r="E23" s="19">
        <f>'15'!E36</f>
        <v>12.342916666666667</v>
      </c>
      <c r="F23" s="19">
        <f>'15'!F36</f>
        <v>13.643749999999997</v>
      </c>
      <c r="G23" s="19">
        <f>'15'!G36</f>
        <v>55.067916666666669</v>
      </c>
      <c r="H23" s="19">
        <f>'15'!H36</f>
        <v>19.229583333333334</v>
      </c>
      <c r="I23" s="19">
        <f>'15'!I36</f>
        <v>6.1241666666666648</v>
      </c>
      <c r="J23" s="19">
        <f>'15'!J36</f>
        <v>0.73041666666666683</v>
      </c>
      <c r="K23" s="19">
        <f>'15'!K36</f>
        <v>239.58708333333334</v>
      </c>
      <c r="L23" s="19">
        <f>'15'!L36</f>
        <v>33.296666666666667</v>
      </c>
      <c r="M23" s="19">
        <f>'15'!M36</f>
        <v>52.454166666666659</v>
      </c>
      <c r="N23" s="19">
        <f>'15'!N36</f>
        <v>189.12916666666669</v>
      </c>
      <c r="O23" s="19">
        <f>'15'!O36</f>
        <v>0</v>
      </c>
      <c r="P23" s="19">
        <f>'15'!P36</f>
        <v>0.74291666666666656</v>
      </c>
      <c r="Q23" s="19">
        <f>'15'!Q36</f>
        <v>5.5100000000000007</v>
      </c>
      <c r="R23" s="38"/>
      <c r="S23" s="38"/>
      <c r="T23" s="38"/>
      <c r="U23" s="36"/>
    </row>
    <row r="24" spans="1:24" s="2" customFormat="1">
      <c r="A24" s="16" t="str">
        <f>'16'!$B$2</f>
        <v>16/06/2023 01:00</v>
      </c>
      <c r="B24" s="18">
        <f>'16'!B36</f>
        <v>15.532500000000001</v>
      </c>
      <c r="C24" s="18">
        <f>'16'!C36</f>
        <v>41.178333333333342</v>
      </c>
      <c r="D24" s="18">
        <f>'16'!D36</f>
        <v>32.71791666666666</v>
      </c>
      <c r="E24" s="18">
        <f>'16'!E36</f>
        <v>11.200000000000001</v>
      </c>
      <c r="F24" s="18">
        <f>'16'!F36</f>
        <v>18.059999999999999</v>
      </c>
      <c r="G24" s="18">
        <f>'16'!G36</f>
        <v>57.386249999999997</v>
      </c>
      <c r="H24" s="18">
        <f>'16'!H36</f>
        <v>22.232500000000002</v>
      </c>
      <c r="I24" s="18">
        <f>'16'!I36</f>
        <v>6.162916666666665</v>
      </c>
      <c r="J24" s="18">
        <f>'16'!J36</f>
        <v>0.77083333333333315</v>
      </c>
      <c r="K24" s="18">
        <f>'16'!K36</f>
        <v>267.01666666666671</v>
      </c>
      <c r="L24" s="18">
        <f>'16'!L36</f>
        <v>36.160833333333336</v>
      </c>
      <c r="M24" s="18">
        <f>'16'!M36</f>
        <v>37.65708333333334</v>
      </c>
      <c r="N24" s="18">
        <f>'16'!N36</f>
        <v>215.46249999999998</v>
      </c>
      <c r="O24" s="18">
        <f>'16'!O36</f>
        <v>0</v>
      </c>
      <c r="P24" s="18">
        <f>'16'!P36</f>
        <v>0.63208333333333344</v>
      </c>
      <c r="Q24" s="18">
        <f>'16'!Q36</f>
        <v>5.279583333333334</v>
      </c>
      <c r="R24" s="38"/>
      <c r="S24" s="38"/>
      <c r="T24" s="38"/>
      <c r="U24" s="36"/>
    </row>
    <row r="25" spans="1:24" s="2" customFormat="1">
      <c r="A25" s="16" t="str">
        <f>'17'!$B$2</f>
        <v>17/06/2023 01:00</v>
      </c>
      <c r="B25" s="18">
        <f>'17'!B36</f>
        <v>11.5175</v>
      </c>
      <c r="C25" s="18">
        <f>'17'!C36</f>
        <v>43.059583333333329</v>
      </c>
      <c r="D25" s="18">
        <f>'17'!D36</f>
        <v>30.474166666666665</v>
      </c>
      <c r="E25" s="18">
        <f>'17'!E36</f>
        <v>13.577916666666667</v>
      </c>
      <c r="F25" s="18">
        <f>'17'!F36</f>
        <v>20.38</v>
      </c>
      <c r="G25" s="18">
        <f>'17'!G36</f>
        <v>55.449166666666677</v>
      </c>
      <c r="H25" s="18">
        <f>'17'!H36</f>
        <v>21.18708333333333</v>
      </c>
      <c r="I25" s="18">
        <f>'17'!I36</f>
        <v>7.2604166666666652</v>
      </c>
      <c r="J25" s="18">
        <f>'17'!J36</f>
        <v>0.71958333333333335</v>
      </c>
      <c r="K25" s="18">
        <f>'17'!K36</f>
        <v>270.55666666666662</v>
      </c>
      <c r="L25" s="18">
        <f>'17'!L36</f>
        <v>36.502916666666664</v>
      </c>
      <c r="M25" s="18">
        <f>'17'!M36</f>
        <v>33.381250000000001</v>
      </c>
      <c r="N25" s="18">
        <f>'17'!N36</f>
        <v>208.76250000000005</v>
      </c>
      <c r="O25" s="18">
        <f>'17'!O36</f>
        <v>0</v>
      </c>
      <c r="P25" s="18">
        <f>'17'!P36</f>
        <v>0.69958333333333333</v>
      </c>
      <c r="Q25" s="18">
        <f>'17'!Q36</f>
        <v>5.129999999999999</v>
      </c>
      <c r="R25" s="38"/>
      <c r="S25" s="38"/>
      <c r="T25" s="38"/>
      <c r="U25" s="36"/>
    </row>
    <row r="26" spans="1:24" s="2" customFormat="1">
      <c r="A26" s="16" t="str">
        <f>'18'!$B$2</f>
        <v>18/06/2023 01:00</v>
      </c>
      <c r="B26" s="18">
        <f>'18'!B36</f>
        <v>10.229166666666668</v>
      </c>
      <c r="C26" s="18">
        <f>'18'!C36</f>
        <v>40.341249999999995</v>
      </c>
      <c r="D26" s="18">
        <f>'18'!D36</f>
        <v>28.131250000000005</v>
      </c>
      <c r="E26" s="18">
        <f>'18'!E36</f>
        <v>9.5749999999999957</v>
      </c>
      <c r="F26" s="18">
        <f>'18'!F36</f>
        <v>22.052083333333329</v>
      </c>
      <c r="G26" s="18">
        <f>'18'!G36</f>
        <v>56.689166666666658</v>
      </c>
      <c r="H26" s="18">
        <f>'18'!H36</f>
        <v>18.653333333333332</v>
      </c>
      <c r="I26" s="18">
        <f>'18'!I36</f>
        <v>5.0199999999999996</v>
      </c>
      <c r="J26" s="18">
        <f>'18'!J36</f>
        <v>0.76708333333333323</v>
      </c>
      <c r="K26" s="18">
        <f>'18'!K36</f>
        <v>283.24791666666675</v>
      </c>
      <c r="L26" s="18">
        <f>'18'!L36</f>
        <v>36.709166666666668</v>
      </c>
      <c r="M26" s="18">
        <f>'18'!M36</f>
        <v>34.057083333333331</v>
      </c>
      <c r="N26" s="18">
        <f>'18'!N36</f>
        <v>203.0958333333333</v>
      </c>
      <c r="O26" s="18">
        <f>'18'!O36</f>
        <v>0</v>
      </c>
      <c r="P26" s="18">
        <f>'18'!P36</f>
        <v>0.52916666666666667</v>
      </c>
      <c r="Q26" s="18">
        <f>'18'!Q36</f>
        <v>4.8633333333333342</v>
      </c>
      <c r="R26" s="38"/>
      <c r="S26" s="38"/>
      <c r="T26" s="38"/>
      <c r="U26" s="36"/>
    </row>
    <row r="27" spans="1:24" s="2" customFormat="1">
      <c r="A27" s="16" t="str">
        <f>'19'!$B$2</f>
        <v>19/06/2023 01:00</v>
      </c>
      <c r="B27" s="18">
        <f>'19'!B36</f>
        <v>9.8833333333333346</v>
      </c>
      <c r="C27" s="18">
        <f>'19'!C36</f>
        <v>39.051666666666677</v>
      </c>
      <c r="D27" s="18">
        <f>'19'!D36</f>
        <v>27.148749999999996</v>
      </c>
      <c r="E27" s="18">
        <f>'19'!E36</f>
        <v>17.720000000000002</v>
      </c>
      <c r="F27" s="18">
        <f>'19'!F36</f>
        <v>23.205000000000002</v>
      </c>
      <c r="G27" s="18">
        <f>'19'!G36</f>
        <v>74.959583333333356</v>
      </c>
      <c r="H27" s="18">
        <f>'19'!H36</f>
        <v>26.111249999999998</v>
      </c>
      <c r="I27" s="18">
        <f>'19'!I36</f>
        <v>5.7679166666666672</v>
      </c>
      <c r="J27" s="18">
        <f>'19'!J36</f>
        <v>0.75875000000000004</v>
      </c>
      <c r="K27" s="18">
        <f>'19'!K36</f>
        <v>253.00166666666655</v>
      </c>
      <c r="L27" s="18">
        <f>'19'!L36</f>
        <v>36.820833333333333</v>
      </c>
      <c r="M27" s="18">
        <f>'19'!M36</f>
        <v>34.097500000000004</v>
      </c>
      <c r="N27" s="18">
        <f>'19'!N36</f>
        <v>205.33750000000001</v>
      </c>
      <c r="O27" s="18">
        <f>'19'!O36</f>
        <v>0</v>
      </c>
      <c r="P27" s="18">
        <f>'19'!P36</f>
        <v>0.61916666666666664</v>
      </c>
      <c r="Q27" s="18">
        <f>'19'!Q36</f>
        <v>4.8525</v>
      </c>
      <c r="R27" s="38"/>
      <c r="S27" s="38"/>
      <c r="T27" s="38"/>
      <c r="U27" s="36"/>
    </row>
    <row r="28" spans="1:24" s="2" customFormat="1">
      <c r="A28" s="16" t="str">
        <f>'20'!$B$2</f>
        <v>20/06/2023 01:00</v>
      </c>
      <c r="B28" s="18">
        <f>'20'!B36</f>
        <v>7.7804166666666683</v>
      </c>
      <c r="C28" s="18">
        <f>'20'!C36</f>
        <v>36.805833333333339</v>
      </c>
      <c r="D28" s="18">
        <f>'20'!D36</f>
        <v>24.274583333333336</v>
      </c>
      <c r="E28" s="18">
        <f>'20'!E36</f>
        <v>12.38916666666667</v>
      </c>
      <c r="F28" s="18">
        <f>'20'!F36</f>
        <v>21.947500000000002</v>
      </c>
      <c r="G28" s="18">
        <f>'20'!G36</f>
        <v>59.276249999999997</v>
      </c>
      <c r="H28" s="18">
        <f>'20'!H36</f>
        <v>19.074583333333333</v>
      </c>
      <c r="I28" s="18">
        <f>'20'!I36</f>
        <v>4.25875</v>
      </c>
      <c r="J28" s="18">
        <f>'20'!J36</f>
        <v>0.68124999999999991</v>
      </c>
      <c r="K28" s="18">
        <f>'20'!K36</f>
        <v>235.98166666666665</v>
      </c>
      <c r="L28" s="18">
        <f>'20'!L36</f>
        <v>35.814166666666665</v>
      </c>
      <c r="M28" s="18">
        <f>'20'!M36</f>
        <v>39.578749999999992</v>
      </c>
      <c r="N28" s="18">
        <f>'20'!N36</f>
        <v>200.18333333333331</v>
      </c>
      <c r="O28" s="18">
        <f>'20'!O36</f>
        <v>0</v>
      </c>
      <c r="P28" s="18">
        <f>'20'!P36</f>
        <v>0.49500000000000005</v>
      </c>
      <c r="Q28" s="18">
        <f>'20'!Q36</f>
        <v>4.7383333333333333</v>
      </c>
      <c r="R28" s="38"/>
      <c r="S28" s="38"/>
      <c r="T28" s="38"/>
      <c r="U28" s="36"/>
    </row>
    <row r="29" spans="1:24" s="2" customFormat="1">
      <c r="A29" s="16" t="str">
        <f>'21'!$B$2</f>
        <v>21/06/2023 01:00</v>
      </c>
      <c r="B29" s="18">
        <f>'21'!B36</f>
        <v>8.2695833333333315</v>
      </c>
      <c r="C29" s="18">
        <f>'21'!C36</f>
        <v>36.971249999999998</v>
      </c>
      <c r="D29" s="18">
        <f>'21'!D36</f>
        <v>24.80916666666667</v>
      </c>
      <c r="E29" s="18">
        <f>'21'!E36</f>
        <v>8.057500000000001</v>
      </c>
      <c r="F29" s="18">
        <f>'21'!F36</f>
        <v>19.192500000000006</v>
      </c>
      <c r="G29" s="18">
        <f>'21'!G36</f>
        <v>35.936250000000001</v>
      </c>
      <c r="H29" s="18">
        <f>'21'!H36</f>
        <v>14.579583333333332</v>
      </c>
      <c r="I29" s="18">
        <f>'21'!I36</f>
        <v>3.9845833333333331</v>
      </c>
      <c r="J29" s="18">
        <f>'21'!J36</f>
        <v>0.83583333333333343</v>
      </c>
      <c r="K29" s="18">
        <f>'21'!K36</f>
        <v>273.82750000000004</v>
      </c>
      <c r="L29" s="18">
        <f>'21'!L36</f>
        <v>33.100416666666661</v>
      </c>
      <c r="M29" s="18">
        <f>'21'!M36</f>
        <v>54.477916666666665</v>
      </c>
      <c r="N29" s="18">
        <f>'21'!N36</f>
        <v>176.64166666666668</v>
      </c>
      <c r="O29" s="18">
        <f>'21'!O36</f>
        <v>0</v>
      </c>
      <c r="P29" s="18">
        <f>'21'!P36</f>
        <v>0.44166666666666682</v>
      </c>
      <c r="Q29" s="18">
        <f>'21'!Q36</f>
        <v>4.5154166666666669</v>
      </c>
      <c r="R29" s="38"/>
      <c r="S29" s="38"/>
      <c r="T29" s="38"/>
      <c r="U29" s="36"/>
    </row>
    <row r="30" spans="1:24" s="2" customFormat="1">
      <c r="A30" s="16" t="str">
        <f>'22'!$B$2</f>
        <v>22/06/2023 01:00</v>
      </c>
      <c r="B30" s="18">
        <f>'22'!B36</f>
        <v>11.625416666666665</v>
      </c>
      <c r="C30" s="18">
        <f>'22'!C36</f>
        <v>42.91875000000001</v>
      </c>
      <c r="D30" s="18">
        <f>'22'!D36</f>
        <v>30.537916666666664</v>
      </c>
      <c r="E30" s="18">
        <f>'22'!E36</f>
        <v>8.404166666666665</v>
      </c>
      <c r="F30" s="18">
        <f>'22'!F36</f>
        <v>14.100833333333336</v>
      </c>
      <c r="G30" s="18">
        <f>'22'!G36</f>
        <v>28.256249999999998</v>
      </c>
      <c r="H30" s="18">
        <f>'22'!H36</f>
        <v>14.197916666666666</v>
      </c>
      <c r="I30" s="18">
        <f>'22'!I36</f>
        <v>4.559166666666667</v>
      </c>
      <c r="J30" s="18">
        <f>'22'!J36</f>
        <v>0.71375000000000011</v>
      </c>
      <c r="K30" s="18">
        <f>'22'!K36</f>
        <v>234.48666666666659</v>
      </c>
      <c r="L30" s="18">
        <f>'22'!L36</f>
        <v>29.337499999999995</v>
      </c>
      <c r="M30" s="18">
        <f>'22'!M36</f>
        <v>77.851250000000007</v>
      </c>
      <c r="N30" s="18">
        <f>'22'!N36</f>
        <v>150.41666666666666</v>
      </c>
      <c r="O30" s="18">
        <f>'22'!O36</f>
        <v>0</v>
      </c>
      <c r="P30" s="18">
        <f>'22'!P36</f>
        <v>0.4604166666666667</v>
      </c>
      <c r="Q30" s="18">
        <f>'22'!Q36</f>
        <v>4.7629166666666665</v>
      </c>
      <c r="R30" s="38"/>
      <c r="S30" s="36"/>
      <c r="T30" s="36"/>
      <c r="U30" s="36"/>
    </row>
    <row r="31" spans="1:24" s="2" customFormat="1">
      <c r="A31" s="16" t="str">
        <f>'23'!$B$2</f>
        <v>23/06/2023 01:00</v>
      </c>
      <c r="B31" s="18">
        <f>'23'!B36</f>
        <v>12.76958333333333</v>
      </c>
      <c r="C31" s="18">
        <f>'23'!C36</f>
        <v>42.422916666666666</v>
      </c>
      <c r="D31" s="18">
        <f>'23'!D36</f>
        <v>31.187916666666663</v>
      </c>
      <c r="E31" s="18">
        <f>'23'!E36</f>
        <v>7.6070833333333345</v>
      </c>
      <c r="F31" s="18">
        <f>'23'!F36</f>
        <v>9.9862500000000001</v>
      </c>
      <c r="G31" s="18">
        <f>'23'!G36</f>
        <v>20.298636363636362</v>
      </c>
      <c r="H31" s="18">
        <f>'23'!H36</f>
        <v>7.5272727272727256</v>
      </c>
      <c r="I31" s="18">
        <f>'23'!I36</f>
        <v>4.8395833333333345</v>
      </c>
      <c r="J31" s="18">
        <f>'23'!J36</f>
        <v>0.90791666666666659</v>
      </c>
      <c r="K31" s="18">
        <f>'23'!K36</f>
        <v>266.74083333333334</v>
      </c>
      <c r="L31" s="18">
        <f>'23'!L36</f>
        <v>28.082499999999996</v>
      </c>
      <c r="M31" s="18">
        <f>'23'!M36</f>
        <v>78.665000000000006</v>
      </c>
      <c r="N31" s="18">
        <f>'23'!N36</f>
        <v>130.10833333333332</v>
      </c>
      <c r="O31" s="18">
        <f>'23'!O36</f>
        <v>0</v>
      </c>
      <c r="P31" s="18">
        <f>'23'!P36</f>
        <v>0.55458333333333332</v>
      </c>
      <c r="Q31" s="18">
        <f>'23'!Q36</f>
        <v>4.7404166666666674</v>
      </c>
      <c r="R31" s="36"/>
      <c r="S31" s="36"/>
      <c r="T31" s="36"/>
      <c r="U31" s="36"/>
    </row>
    <row r="32" spans="1:24" s="2" customFormat="1">
      <c r="A32" s="16" t="str">
        <f>'24'!$B$2</f>
        <v>24/06/2023 01:00</v>
      </c>
      <c r="B32" s="18">
        <f>'24'!B36</f>
        <v>10.567499999999999</v>
      </c>
      <c r="C32" s="18">
        <f>'24'!C36</f>
        <v>38.930416666666666</v>
      </c>
      <c r="D32" s="18">
        <f>'24'!D36</f>
        <v>27.689583333333328</v>
      </c>
      <c r="E32" s="18">
        <f>'24'!E36</f>
        <v>9.0604166666666668</v>
      </c>
      <c r="F32" s="18">
        <f>'24'!F36</f>
        <v>11.567500000000001</v>
      </c>
      <c r="G32" s="18">
        <f>'24'!G36</f>
        <v>27.444166666666664</v>
      </c>
      <c r="H32" s="18">
        <f>'24'!H36</f>
        <v>10.614166666666666</v>
      </c>
      <c r="I32" s="18">
        <f>'24'!I36</f>
        <v>5.140416666666666</v>
      </c>
      <c r="J32" s="18">
        <f>'24'!J36</f>
        <v>0.78541666666666676</v>
      </c>
      <c r="K32" s="18">
        <f>'24'!K36</f>
        <v>265.90124999999995</v>
      </c>
      <c r="L32" s="18">
        <f>'24'!L36</f>
        <v>28.319166666666664</v>
      </c>
      <c r="M32" s="18">
        <f>'24'!M36</f>
        <v>76.114999999999995</v>
      </c>
      <c r="N32" s="18">
        <f>'24'!N36</f>
        <v>98.958333333333329</v>
      </c>
      <c r="O32" s="18">
        <f>'24'!O36</f>
        <v>0</v>
      </c>
      <c r="P32" s="18">
        <f>'24'!P36</f>
        <v>0.54500000000000004</v>
      </c>
      <c r="Q32" s="18">
        <f>'24'!Q36</f>
        <v>4.5545833333333325</v>
      </c>
      <c r="R32" s="36"/>
      <c r="S32" s="36"/>
      <c r="T32" s="36"/>
      <c r="U32" s="36"/>
    </row>
    <row r="33" spans="1:21" s="2" customFormat="1">
      <c r="A33" s="16" t="str">
        <f>'25'!$B$2</f>
        <v>25/06/2023 01:00</v>
      </c>
      <c r="B33" s="18">
        <f>'25'!B36</f>
        <v>17.13625</v>
      </c>
      <c r="C33" s="18">
        <f>'25'!C36</f>
        <v>41.740416666666675</v>
      </c>
      <c r="D33" s="18">
        <f>'25'!D36</f>
        <v>34.288333333333327</v>
      </c>
      <c r="E33" s="18">
        <f>'25'!E36</f>
        <v>5.7495833333333328</v>
      </c>
      <c r="F33" s="18">
        <f>'25'!F36</f>
        <v>6.4016666666666646</v>
      </c>
      <c r="G33" s="18">
        <f>'25'!G36</f>
        <v>19.809166666666666</v>
      </c>
      <c r="H33" s="18">
        <f>'25'!H36</f>
        <v>11.114583333333334</v>
      </c>
      <c r="I33" s="18">
        <f>'25'!I36</f>
        <v>4.699583333333333</v>
      </c>
      <c r="J33" s="18">
        <f>'25'!J36</f>
        <v>0.72999999999999987</v>
      </c>
      <c r="K33" s="18">
        <f>'25'!K36</f>
        <v>272.09625</v>
      </c>
      <c r="L33" s="18">
        <f>'25'!L36</f>
        <v>25.82791666666667</v>
      </c>
      <c r="M33" s="18">
        <f>'25'!M36</f>
        <v>94.960833333333369</v>
      </c>
      <c r="N33" s="18">
        <f>'25'!N36</f>
        <v>30.387499999999999</v>
      </c>
      <c r="O33" s="18">
        <f>'25'!O36</f>
        <v>0</v>
      </c>
      <c r="P33" s="18">
        <f>'25'!P36</f>
        <v>0.57250000000000001</v>
      </c>
      <c r="Q33" s="18">
        <f>'25'!Q36</f>
        <v>4.8858333333333341</v>
      </c>
      <c r="R33" s="36"/>
      <c r="S33" s="36"/>
      <c r="T33" s="36"/>
      <c r="U33" s="36"/>
    </row>
    <row r="34" spans="1:21" s="2" customFormat="1">
      <c r="A34" s="16" t="str">
        <f>'26'!$B$2</f>
        <v>26/06/2023 01:00</v>
      </c>
      <c r="B34" s="18">
        <f>'26'!B36</f>
        <v>11.894583333333332</v>
      </c>
      <c r="C34" s="18">
        <f>'26'!C36</f>
        <v>41.719999999999992</v>
      </c>
      <c r="D34" s="18">
        <f>'26'!D36</f>
        <v>30.140416666666667</v>
      </c>
      <c r="E34" s="18">
        <f>'26'!E36</f>
        <v>5.4533333333333323</v>
      </c>
      <c r="F34" s="18">
        <f>'26'!F36</f>
        <v>5.6937500000000014</v>
      </c>
      <c r="G34" s="18">
        <f>'26'!G36</f>
        <v>11.780000000000003</v>
      </c>
      <c r="H34" s="18">
        <f>'26'!H36</f>
        <v>5.1733333333333347</v>
      </c>
      <c r="I34" s="18">
        <f>'26'!I36</f>
        <v>4.097083333333333</v>
      </c>
      <c r="J34" s="18">
        <f>'26'!J36</f>
        <v>1.2137499999999999</v>
      </c>
      <c r="K34" s="18">
        <f>'26'!K36</f>
        <v>271.75374999999997</v>
      </c>
      <c r="L34" s="18">
        <f>'26'!L36</f>
        <v>24.687916666666666</v>
      </c>
      <c r="M34" s="18">
        <f>'26'!M36</f>
        <v>96.562500000000014</v>
      </c>
      <c r="N34" s="18">
        <f>'26'!N36</f>
        <v>32.212499999999999</v>
      </c>
      <c r="O34" s="18">
        <f>'26'!O36</f>
        <v>0</v>
      </c>
      <c r="P34" s="18">
        <f>'26'!P36</f>
        <v>0.53083333333333338</v>
      </c>
      <c r="Q34" s="18">
        <f>'26'!Q36</f>
        <v>4.6229166666666668</v>
      </c>
      <c r="R34" s="36"/>
      <c r="S34" s="36"/>
      <c r="T34" s="36"/>
      <c r="U34" s="36"/>
    </row>
    <row r="35" spans="1:21" s="2" customFormat="1">
      <c r="A35" s="16" t="str">
        <f>'27'!$B$2</f>
        <v>27/06/2023 01:00</v>
      </c>
      <c r="B35" s="18">
        <f>'27'!B36</f>
        <v>10.40208333333333</v>
      </c>
      <c r="C35" s="18">
        <f>'27'!C36</f>
        <v>38.927916666666668</v>
      </c>
      <c r="D35" s="18">
        <f>'27'!D36</f>
        <v>27.510416666666668</v>
      </c>
      <c r="E35" s="18">
        <f>'27'!E36</f>
        <v>5.1820833333333347</v>
      </c>
      <c r="F35" s="18">
        <f>'27'!F36</f>
        <v>4.5820833333333324</v>
      </c>
      <c r="G35" s="18">
        <f>'27'!G36</f>
        <v>1.9062499999999998</v>
      </c>
      <c r="H35" s="18">
        <f>'27'!H36</f>
        <v>0.65791666666666682</v>
      </c>
      <c r="I35" s="18">
        <f>'27'!I36</f>
        <v>2.4508333333333336</v>
      </c>
      <c r="J35" s="18">
        <f>'27'!J36</f>
        <v>1.3149999999999999</v>
      </c>
      <c r="K35" s="18">
        <f>'27'!K36</f>
        <v>260.36458333333331</v>
      </c>
      <c r="L35" s="18">
        <f>'27'!L36</f>
        <v>24.334999999999997</v>
      </c>
      <c r="M35" s="18">
        <f>'27'!M36</f>
        <v>94.68125000000002</v>
      </c>
      <c r="N35" s="18">
        <f>'27'!N36</f>
        <v>36.691666666666663</v>
      </c>
      <c r="O35" s="18">
        <f>'27'!O36</f>
        <v>0</v>
      </c>
      <c r="P35" s="18">
        <f>'27'!P36</f>
        <v>0.3595833333333332</v>
      </c>
      <c r="Q35" s="18">
        <f>'27'!Q36</f>
        <v>4.4662499999999996</v>
      </c>
      <c r="R35" s="36"/>
      <c r="S35" s="36"/>
      <c r="T35" s="36"/>
      <c r="U35" s="36"/>
    </row>
    <row r="36" spans="1:21" s="2" customFormat="1">
      <c r="A36" s="16" t="str">
        <f>'28'!$B$2</f>
        <v>28/06/2023 01:00</v>
      </c>
      <c r="B36" s="18">
        <f>'28'!B36</f>
        <v>9.8183333333333334</v>
      </c>
      <c r="C36" s="18">
        <f>'28'!C36</f>
        <v>37.100416666666675</v>
      </c>
      <c r="D36" s="18">
        <f>'28'!D36</f>
        <v>26.075833333333332</v>
      </c>
      <c r="E36" s="18">
        <f>'28'!E36</f>
        <v>5.8720833333333324</v>
      </c>
      <c r="F36" s="18">
        <f>'28'!F36</f>
        <v>5.2824999999999998</v>
      </c>
      <c r="G36" s="18">
        <f>'28'!G36</f>
        <v>4.6486363636363643</v>
      </c>
      <c r="H36" s="18">
        <f>'28'!H36</f>
        <v>2.3854545454545453</v>
      </c>
      <c r="I36" s="18">
        <f>'28'!I36</f>
        <v>2.2370833333333335</v>
      </c>
      <c r="J36" s="18">
        <f>'28'!J36</f>
        <v>0.98375000000000001</v>
      </c>
      <c r="K36" s="18">
        <f>'28'!K36</f>
        <v>254.93708333333336</v>
      </c>
      <c r="L36" s="18">
        <f>'28'!L36</f>
        <v>26.130416666666662</v>
      </c>
      <c r="M36" s="18">
        <f>'28'!M36</f>
        <v>88.712916666666658</v>
      </c>
      <c r="N36" s="18">
        <f>'28'!N36</f>
        <v>110.10833333333333</v>
      </c>
      <c r="O36" s="18">
        <f>'28'!O36</f>
        <v>0</v>
      </c>
      <c r="P36" s="18">
        <f>'28'!P36</f>
        <v>0.35083333333333333</v>
      </c>
      <c r="Q36" s="18">
        <f>'28'!Q36</f>
        <v>4.4524999999999997</v>
      </c>
      <c r="R36" s="36"/>
      <c r="S36" s="36"/>
      <c r="T36" s="36"/>
      <c r="U36" s="36"/>
    </row>
    <row r="37" spans="1:21" s="2" customFormat="1">
      <c r="A37" s="16" t="str">
        <f>'29'!$B$2</f>
        <v>29/06/2023 01:00</v>
      </c>
      <c r="B37" s="18">
        <f>'29'!B36</f>
        <v>11.320833333333333</v>
      </c>
      <c r="C37" s="18">
        <f>'29'!C36</f>
        <v>34.352083333333333</v>
      </c>
      <c r="D37" s="18">
        <f>'29'!D36</f>
        <v>25.822083333333339</v>
      </c>
      <c r="E37" s="18">
        <f>'29'!E36</f>
        <v>6.1937500000000014</v>
      </c>
      <c r="F37" s="18">
        <f>'29'!F36</f>
        <v>7.0366666666666653</v>
      </c>
      <c r="G37" s="18">
        <f>'29'!G36</f>
        <v>10.354166666666666</v>
      </c>
      <c r="H37" s="18">
        <f>'29'!H36</f>
        <v>4.7570833333333331</v>
      </c>
      <c r="I37" s="18">
        <f>'29'!I36</f>
        <v>2.6649999999999996</v>
      </c>
      <c r="J37" s="18">
        <f>'29'!J36</f>
        <v>0.76958333333333329</v>
      </c>
      <c r="K37" s="18">
        <f>'29'!K36</f>
        <v>251.71083333333331</v>
      </c>
      <c r="L37" s="18">
        <f>'29'!L36</f>
        <v>28.692083333333329</v>
      </c>
      <c r="M37" s="18">
        <f>'29'!M36</f>
        <v>78.194166666666661</v>
      </c>
      <c r="N37" s="18">
        <f>'29'!N36</f>
        <v>215.02500000000001</v>
      </c>
      <c r="O37" s="18">
        <f>'29'!O36</f>
        <v>0</v>
      </c>
      <c r="P37" s="18">
        <f>'29'!P36</f>
        <v>0.37291666666666662</v>
      </c>
      <c r="Q37" s="18">
        <f>'29'!Q36</f>
        <v>4.458333333333333</v>
      </c>
      <c r="R37" s="36"/>
      <c r="S37" s="36"/>
      <c r="T37" s="36"/>
      <c r="U37" s="36"/>
    </row>
    <row r="38" spans="1:21" s="2" customFormat="1">
      <c r="A38" s="16" t="str">
        <f>'30'!$B$2</f>
        <v>30/06/2023 01:00</v>
      </c>
      <c r="B38" s="18">
        <f>'30'!B36</f>
        <v>8.8062500000000004</v>
      </c>
      <c r="C38" s="18">
        <f>'30'!C36</f>
        <v>32.96791666666666</v>
      </c>
      <c r="D38" s="18">
        <f>'30'!D36</f>
        <v>23.121666666666666</v>
      </c>
      <c r="E38" s="18">
        <f>'30'!E36</f>
        <v>5.9716666666666667</v>
      </c>
      <c r="F38" s="18">
        <f>'30'!F36</f>
        <v>9.1804166666666678</v>
      </c>
      <c r="G38" s="18">
        <f>'30'!G36</f>
        <v>12.782499999999999</v>
      </c>
      <c r="H38" s="18">
        <f>'30'!H36</f>
        <v>5.1787499999999982</v>
      </c>
      <c r="I38" s="18">
        <f>'30'!I36</f>
        <v>3.1595833333333334</v>
      </c>
      <c r="J38" s="18">
        <f>'30'!J36</f>
        <v>0.67833333333333323</v>
      </c>
      <c r="K38" s="18">
        <f>'30'!K36</f>
        <v>247.03250000000003</v>
      </c>
      <c r="L38" s="18">
        <f>'30'!L36</f>
        <v>28.942916666666665</v>
      </c>
      <c r="M38" s="18">
        <f>'30'!M36</f>
        <v>75.279166666666683</v>
      </c>
      <c r="N38" s="18">
        <f>'30'!N36</f>
        <v>150.50833333333333</v>
      </c>
      <c r="O38" s="18">
        <f>'30'!O36</f>
        <v>0</v>
      </c>
      <c r="P38" s="18">
        <f>'30'!P36</f>
        <v>0.4054166666666667</v>
      </c>
      <c r="Q38" s="18">
        <f>'30'!Q36</f>
        <v>4.3362499999999997</v>
      </c>
      <c r="R38" s="36"/>
      <c r="S38" s="36"/>
      <c r="T38" s="36"/>
      <c r="U38" s="36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39"/>
      <c r="S39" s="39"/>
      <c r="T39" s="39"/>
      <c r="U39" s="40"/>
    </row>
    <row r="40" spans="1:21" s="1" customFormat="1">
      <c r="A40" s="3" t="s">
        <v>48</v>
      </c>
      <c r="B40" s="20">
        <f t="shared" ref="B40:Q40" si="0">MIN(B9:B38)</f>
        <v>7.0308333333333337</v>
      </c>
      <c r="C40" s="20">
        <f t="shared" si="0"/>
        <v>32.96791666666666</v>
      </c>
      <c r="D40" s="20">
        <f t="shared" si="0"/>
        <v>23.121666666666666</v>
      </c>
      <c r="E40" s="20">
        <f t="shared" si="0"/>
        <v>5.1820833333333347</v>
      </c>
      <c r="F40" s="20">
        <f t="shared" si="0"/>
        <v>4.5820833333333324</v>
      </c>
      <c r="G40" s="20">
        <f t="shared" si="0"/>
        <v>1.9062499999999998</v>
      </c>
      <c r="H40" s="20">
        <f t="shared" si="0"/>
        <v>0.65791666666666682</v>
      </c>
      <c r="I40" s="20">
        <f t="shared" si="0"/>
        <v>2.2370833333333335</v>
      </c>
      <c r="J40" s="20">
        <f t="shared" si="0"/>
        <v>0.51791666666666669</v>
      </c>
      <c r="K40" s="20">
        <f t="shared" si="0"/>
        <v>168.64625000000001</v>
      </c>
      <c r="L40" s="20">
        <f t="shared" si="0"/>
        <v>24.334999999999997</v>
      </c>
      <c r="M40" s="20">
        <f t="shared" si="0"/>
        <v>24.467083333333335</v>
      </c>
      <c r="N40" s="20">
        <f t="shared" si="0"/>
        <v>30.387499999999999</v>
      </c>
      <c r="O40" s="20">
        <f t="shared" si="0"/>
        <v>0</v>
      </c>
      <c r="P40" s="20">
        <f t="shared" si="0"/>
        <v>0.35083333333333333</v>
      </c>
      <c r="Q40" s="20">
        <f t="shared" si="0"/>
        <v>4.3362499999999997</v>
      </c>
      <c r="R40" s="41"/>
      <c r="S40" s="41"/>
      <c r="T40" s="41"/>
      <c r="U40" s="41"/>
    </row>
    <row r="41" spans="1:21" s="1" customFormat="1">
      <c r="A41" s="3" t="s">
        <v>49</v>
      </c>
      <c r="B41" s="20">
        <f t="shared" ref="B41:Q41" si="1">MAX(B9:B38)</f>
        <v>29.461249999999989</v>
      </c>
      <c r="C41" s="20">
        <f t="shared" si="1"/>
        <v>63.257083333333327</v>
      </c>
      <c r="D41" s="20">
        <f t="shared" si="1"/>
        <v>53.469583333333333</v>
      </c>
      <c r="E41" s="20">
        <f t="shared" si="1"/>
        <v>28.435000000000006</v>
      </c>
      <c r="F41" s="20">
        <f t="shared" si="1"/>
        <v>31.883333333333329</v>
      </c>
      <c r="G41" s="20">
        <f t="shared" si="1"/>
        <v>108.22000000000001</v>
      </c>
      <c r="H41" s="20">
        <f t="shared" si="1"/>
        <v>62.550416666666671</v>
      </c>
      <c r="I41" s="20">
        <f t="shared" si="1"/>
        <v>9.2458333333333318</v>
      </c>
      <c r="J41" s="20">
        <f t="shared" si="1"/>
        <v>1.3149999999999999</v>
      </c>
      <c r="K41" s="20">
        <f t="shared" si="1"/>
        <v>294.33541666666673</v>
      </c>
      <c r="L41" s="20">
        <f t="shared" si="1"/>
        <v>36.820833333333333</v>
      </c>
      <c r="M41" s="20">
        <f t="shared" si="1"/>
        <v>96.562500000000014</v>
      </c>
      <c r="N41" s="20">
        <f t="shared" si="1"/>
        <v>215.46249999999998</v>
      </c>
      <c r="O41" s="20">
        <f t="shared" si="1"/>
        <v>0</v>
      </c>
      <c r="P41" s="20">
        <f t="shared" si="1"/>
        <v>0.88083333333333325</v>
      </c>
      <c r="Q41" s="20">
        <f t="shared" si="1"/>
        <v>6.2283333333333344</v>
      </c>
      <c r="R41" s="41"/>
      <c r="S41" s="41"/>
      <c r="T41" s="41"/>
      <c r="U41" s="41"/>
    </row>
    <row r="42" spans="1:21" s="1" customFormat="1">
      <c r="A42" s="3" t="s">
        <v>50</v>
      </c>
      <c r="B42" s="20">
        <f t="shared" ref="B42:Q42" si="2">AVERAGE(B9:B38)</f>
        <v>14.576861111111109</v>
      </c>
      <c r="C42" s="20">
        <f t="shared" si="2"/>
        <v>47.521652777777788</v>
      </c>
      <c r="D42" s="20">
        <f t="shared" si="2"/>
        <v>35.247666666666653</v>
      </c>
      <c r="E42" s="20">
        <f t="shared" si="2"/>
        <v>12.762166666666664</v>
      </c>
      <c r="F42" s="20">
        <f t="shared" si="2"/>
        <v>18.675152777777775</v>
      </c>
      <c r="G42" s="20">
        <f t="shared" si="2"/>
        <v>52.788165404040406</v>
      </c>
      <c r="H42" s="20">
        <f t="shared" si="2"/>
        <v>22.470267676767673</v>
      </c>
      <c r="I42" s="20">
        <f t="shared" si="2"/>
        <v>5.6105972222222213</v>
      </c>
      <c r="J42" s="20">
        <f t="shared" si="2"/>
        <v>0.78375000000000006</v>
      </c>
      <c r="K42" s="20">
        <f t="shared" si="2"/>
        <v>248.83575000000002</v>
      </c>
      <c r="L42" s="20">
        <f t="shared" si="2"/>
        <v>32.886194444444442</v>
      </c>
      <c r="M42" s="20">
        <f t="shared" si="2"/>
        <v>51.669930555555567</v>
      </c>
      <c r="N42" s="20">
        <f t="shared" si="2"/>
        <v>159.77763888888887</v>
      </c>
      <c r="O42" s="20">
        <f t="shared" si="2"/>
        <v>0</v>
      </c>
      <c r="P42" s="20">
        <f t="shared" si="2"/>
        <v>0.62072222222222229</v>
      </c>
      <c r="Q42" s="20">
        <f t="shared" si="2"/>
        <v>5.1597361111111111</v>
      </c>
      <c r="R42" s="41"/>
      <c r="S42" s="41"/>
      <c r="T42" s="41"/>
      <c r="U42" s="41"/>
    </row>
    <row r="43" spans="1:21" s="1" customFormat="1">
      <c r="A43" s="3" t="s">
        <v>51</v>
      </c>
      <c r="B43" s="20">
        <f t="shared" ref="B43:Q43" si="3">STDEV(B9:B38)</f>
        <v>6.4021944122172911</v>
      </c>
      <c r="C43" s="20">
        <f t="shared" si="3"/>
        <v>9.71830693941682</v>
      </c>
      <c r="D43" s="20">
        <f t="shared" si="3"/>
        <v>9.3641895657691521</v>
      </c>
      <c r="E43" s="20">
        <f t="shared" si="3"/>
        <v>6.3508378159923407</v>
      </c>
      <c r="F43" s="20">
        <f t="shared" si="3"/>
        <v>8.0755478707858721</v>
      </c>
      <c r="G43" s="20">
        <f t="shared" si="3"/>
        <v>31.851628749209031</v>
      </c>
      <c r="H43" s="20">
        <f t="shared" si="3"/>
        <v>15.195308802328753</v>
      </c>
      <c r="I43" s="20">
        <f t="shared" si="3"/>
        <v>1.8771207058143637</v>
      </c>
      <c r="J43" s="20">
        <f t="shared" si="3"/>
        <v>0.18178377934499534</v>
      </c>
      <c r="K43" s="20">
        <f t="shared" si="3"/>
        <v>29.896218966314084</v>
      </c>
      <c r="L43" s="20">
        <f t="shared" si="3"/>
        <v>4.0906593042275272</v>
      </c>
      <c r="M43" s="20">
        <f t="shared" si="3"/>
        <v>23.522838738939686</v>
      </c>
      <c r="N43" s="20">
        <f t="shared" si="3"/>
        <v>53.727594050061462</v>
      </c>
      <c r="O43" s="20">
        <f t="shared" si="3"/>
        <v>0</v>
      </c>
      <c r="P43" s="20">
        <f t="shared" si="3"/>
        <v>0.16256353507911905</v>
      </c>
      <c r="Q43" s="20">
        <f t="shared" si="3"/>
        <v>0.56816255274577898</v>
      </c>
      <c r="R43" s="41"/>
      <c r="S43" s="41"/>
      <c r="T43" s="41"/>
      <c r="U43" s="41"/>
    </row>
    <row r="44" spans="1:21" s="1" customFormat="1">
      <c r="A44" s="3" t="s">
        <v>52</v>
      </c>
      <c r="B44" s="6">
        <f t="shared" ref="B44:Q44" si="4">COUNT(B9:B38)</f>
        <v>30</v>
      </c>
      <c r="C44" s="6">
        <f t="shared" si="4"/>
        <v>30</v>
      </c>
      <c r="D44" s="6">
        <f t="shared" si="4"/>
        <v>30</v>
      </c>
      <c r="E44" s="6">
        <f t="shared" si="4"/>
        <v>30</v>
      </c>
      <c r="F44" s="6">
        <f t="shared" si="4"/>
        <v>30</v>
      </c>
      <c r="G44" s="6">
        <f t="shared" si="4"/>
        <v>30</v>
      </c>
      <c r="H44" s="6">
        <f t="shared" si="4"/>
        <v>30</v>
      </c>
      <c r="I44" s="6">
        <f t="shared" si="4"/>
        <v>30</v>
      </c>
      <c r="J44" s="6">
        <f t="shared" si="4"/>
        <v>30</v>
      </c>
      <c r="K44" s="6">
        <f t="shared" si="4"/>
        <v>30</v>
      </c>
      <c r="L44" s="6">
        <f t="shared" si="4"/>
        <v>30</v>
      </c>
      <c r="M44" s="6">
        <f t="shared" si="4"/>
        <v>30</v>
      </c>
      <c r="N44" s="6">
        <f t="shared" si="4"/>
        <v>30</v>
      </c>
      <c r="O44" s="6">
        <f t="shared" si="4"/>
        <v>30</v>
      </c>
      <c r="P44" s="6">
        <f t="shared" si="4"/>
        <v>30</v>
      </c>
      <c r="Q44" s="6">
        <f t="shared" si="4"/>
        <v>30</v>
      </c>
      <c r="R44" s="33"/>
      <c r="S44" s="33"/>
      <c r="T44" s="33"/>
      <c r="U44" s="33"/>
    </row>
    <row r="45" spans="1:21" s="1" customFormat="1">
      <c r="A45" s="3" t="s">
        <v>53</v>
      </c>
      <c r="B45" s="6" t="str">
        <f>IF(B44&gt;=28,"&gt;90%",IF(B44&lt;=28,"&lt;90%"))</f>
        <v>&gt;90%</v>
      </c>
      <c r="C45" s="6" t="str">
        <f t="shared" ref="C45:Q45" si="5">IF(C44&gt;=28,"&gt;90%",IF(C44&lt;=28,"&lt;90%"))</f>
        <v>&gt;90%</v>
      </c>
      <c r="D45" s="6" t="str">
        <f t="shared" si="5"/>
        <v>&gt;90%</v>
      </c>
      <c r="E45" s="6" t="str">
        <f t="shared" si="5"/>
        <v>&gt;90%</v>
      </c>
      <c r="F45" s="6" t="str">
        <f t="shared" si="5"/>
        <v>&gt;90%</v>
      </c>
      <c r="G45" s="6" t="str">
        <f t="shared" si="5"/>
        <v>&gt;90%</v>
      </c>
      <c r="H45" s="6" t="str">
        <f t="shared" si="5"/>
        <v>&gt;90%</v>
      </c>
      <c r="I45" s="6" t="str">
        <f t="shared" si="5"/>
        <v>&gt;90%</v>
      </c>
      <c r="J45" s="6" t="str">
        <f t="shared" si="5"/>
        <v>&gt;90%</v>
      </c>
      <c r="K45" s="6" t="str">
        <f t="shared" si="5"/>
        <v>&gt;90%</v>
      </c>
      <c r="L45" s="6" t="str">
        <f t="shared" si="5"/>
        <v>&gt;90%</v>
      </c>
      <c r="M45" s="6" t="str">
        <f t="shared" si="5"/>
        <v>&gt;90%</v>
      </c>
      <c r="N45" s="6" t="str">
        <f t="shared" si="5"/>
        <v>&gt;90%</v>
      </c>
      <c r="O45" s="6" t="str">
        <f t="shared" si="5"/>
        <v>&gt;90%</v>
      </c>
      <c r="P45" s="6" t="str">
        <f t="shared" si="5"/>
        <v>&gt;90%</v>
      </c>
      <c r="Q45" s="6" t="str">
        <f t="shared" si="5"/>
        <v>&gt;90%</v>
      </c>
      <c r="R45" s="33"/>
      <c r="S45" s="33"/>
      <c r="T45" s="33"/>
      <c r="U45" s="33"/>
    </row>
    <row r="46" spans="1:21" s="1" customFormat="1">
      <c r="A46" s="3" t="s">
        <v>54</v>
      </c>
      <c r="B46" s="6" t="str">
        <f>IF(B44&gt;=28,"OK",IF(B44&lt;=28,"LESS"))</f>
        <v>OK</v>
      </c>
      <c r="C46" s="6" t="str">
        <f t="shared" ref="C46:Q46" si="6">IF(C44&gt;=28,"OK",IF(C44&lt;=28,"LESS"))</f>
        <v>OK</v>
      </c>
      <c r="D46" s="6" t="str">
        <f t="shared" si="6"/>
        <v>OK</v>
      </c>
      <c r="E46" s="6" t="str">
        <f t="shared" si="6"/>
        <v>OK</v>
      </c>
      <c r="F46" s="6" t="str">
        <f t="shared" si="6"/>
        <v>OK</v>
      </c>
      <c r="G46" s="6" t="str">
        <f t="shared" si="6"/>
        <v>OK</v>
      </c>
      <c r="H46" s="6" t="str">
        <f t="shared" si="6"/>
        <v>OK</v>
      </c>
      <c r="I46" s="6" t="str">
        <f t="shared" si="6"/>
        <v>OK</v>
      </c>
      <c r="J46" s="6" t="str">
        <f t="shared" si="6"/>
        <v>OK</v>
      </c>
      <c r="K46" s="6" t="str">
        <f t="shared" si="6"/>
        <v>OK</v>
      </c>
      <c r="L46" s="6" t="str">
        <f t="shared" si="6"/>
        <v>OK</v>
      </c>
      <c r="M46" s="6" t="str">
        <f t="shared" si="6"/>
        <v>OK</v>
      </c>
      <c r="N46" s="6" t="str">
        <f t="shared" si="6"/>
        <v>OK</v>
      </c>
      <c r="O46" s="6" t="str">
        <f t="shared" si="6"/>
        <v>OK</v>
      </c>
      <c r="P46" s="6" t="str">
        <f t="shared" si="6"/>
        <v>OK</v>
      </c>
      <c r="Q46" s="6" t="str">
        <f t="shared" si="6"/>
        <v>OK</v>
      </c>
      <c r="R46" s="33"/>
      <c r="S46" s="33"/>
      <c r="T46" s="33"/>
      <c r="U46" s="3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21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22"/>
      <c r="B50" s="1"/>
      <c r="C50" s="1"/>
      <c r="D50" s="23"/>
      <c r="E50" s="23"/>
      <c r="F50" s="23"/>
      <c r="G50" s="23"/>
      <c r="H50" s="23"/>
      <c r="I50" s="23"/>
      <c r="J50" s="1"/>
      <c r="K50" s="1"/>
      <c r="L50" s="1"/>
      <c r="M50" s="1"/>
      <c r="N50" s="1"/>
      <c r="O50" s="1"/>
      <c r="P50" s="1"/>
    </row>
    <row r="51" spans="1:16" ht="15.75">
      <c r="A51" s="24" t="s">
        <v>57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</row>
    <row r="52" spans="1:16">
      <c r="A52" s="2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2026-02-20T11:33:05Z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