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22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24519"/>
</workbook>
</file>

<file path=xl/calcChain.xml><?xml version="1.0" encoding="utf-8"?>
<calcChain xmlns="http://schemas.openxmlformats.org/spreadsheetml/2006/main">
  <c r="D44" i="5"/>
  <c r="D24"/>
  <c r="D23"/>
  <c r="D22"/>
  <c r="D21"/>
  <c r="D20"/>
  <c r="D19"/>
  <c r="D18"/>
  <c r="D17"/>
  <c r="D16"/>
  <c r="D15"/>
  <c r="D14"/>
  <c r="D13"/>
  <c r="D12"/>
  <c r="D11"/>
  <c r="D10"/>
  <c r="D9"/>
  <c r="D8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O37" i="39"/>
  <c r="N37"/>
  <c r="G37"/>
  <c r="F37"/>
  <c r="N36"/>
  <c r="L36"/>
  <c r="I36"/>
  <c r="F36"/>
  <c r="D36"/>
  <c r="O35"/>
  <c r="J35"/>
  <c r="H35"/>
  <c r="G35"/>
  <c r="O34"/>
  <c r="K34"/>
  <c r="G34"/>
  <c r="E34"/>
  <c r="J33"/>
  <c r="C33"/>
  <c r="L32"/>
  <c r="H32"/>
  <c r="F32"/>
  <c r="D32"/>
  <c r="M30"/>
  <c r="L30"/>
  <c r="G30"/>
  <c r="E30"/>
  <c r="M29"/>
  <c r="L29"/>
  <c r="E29"/>
  <c r="D29"/>
  <c r="F28"/>
  <c r="P27"/>
  <c r="J27"/>
  <c r="H27"/>
  <c r="B27"/>
  <c r="F26"/>
  <c r="D26"/>
  <c r="B26"/>
  <c r="Q25"/>
  <c r="J25"/>
  <c r="H25"/>
  <c r="E25"/>
  <c r="A25"/>
  <c r="M24"/>
  <c r="F24"/>
  <c r="C24"/>
  <c r="L23"/>
  <c r="O20"/>
  <c r="N20"/>
  <c r="L20"/>
  <c r="G20"/>
  <c r="F20"/>
  <c r="E20"/>
  <c r="N18"/>
  <c r="G18"/>
  <c r="F18"/>
  <c r="O17"/>
  <c r="J17"/>
  <c r="B17"/>
  <c r="M16"/>
  <c r="C10"/>
  <c r="Q110" i="40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1" s="1"/>
  <c r="I110"/>
  <c r="I112" s="1"/>
  <c r="H110"/>
  <c r="H112" s="1"/>
  <c r="G110"/>
  <c r="G112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N108"/>
  <c r="M108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F108"/>
  <c r="E108"/>
  <c r="E37" i="39" s="1"/>
  <c r="D108" i="44"/>
  <c r="D37" i="39" s="1"/>
  <c r="C108" i="44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M108"/>
  <c r="M36" i="39" s="1"/>
  <c r="L108" i="33"/>
  <c r="K108"/>
  <c r="K36" i="39" s="1"/>
  <c r="J108" i="33"/>
  <c r="J36" i="39" s="1"/>
  <c r="I108" i="33"/>
  <c r="H108"/>
  <c r="H36" i="39" s="1"/>
  <c r="G108" i="33"/>
  <c r="G36" i="39" s="1"/>
  <c r="F108" i="33"/>
  <c r="E108"/>
  <c r="E36" i="39" s="1"/>
  <c r="D108" i="33"/>
  <c r="C108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M112" i="32"/>
  <c r="Q110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N108"/>
  <c r="N35" i="39" s="1"/>
  <c r="M108" i="32"/>
  <c r="M35" i="39" s="1"/>
  <c r="L108" i="32"/>
  <c r="L35" i="39" s="1"/>
  <c r="K108" i="32"/>
  <c r="K35" i="39" s="1"/>
  <c r="J108" i="32"/>
  <c r="I108"/>
  <c r="I35" i="39" s="1"/>
  <c r="H108" i="32"/>
  <c r="G108"/>
  <c r="F108"/>
  <c r="F35" i="39" s="1"/>
  <c r="E108" i="32"/>
  <c r="E35" i="39" s="1"/>
  <c r="D108" i="32"/>
  <c r="D35" i="39" s="1"/>
  <c r="C108" i="32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1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N108"/>
  <c r="N34" i="39" s="1"/>
  <c r="M108" i="31"/>
  <c r="M34" i="39" s="1"/>
  <c r="L108" i="31"/>
  <c r="L34" i="39" s="1"/>
  <c r="K108" i="31"/>
  <c r="J108"/>
  <c r="J34" i="39" s="1"/>
  <c r="I108" i="31"/>
  <c r="I34" i="39" s="1"/>
  <c r="H108" i="31"/>
  <c r="H34" i="39" s="1"/>
  <c r="G108" i="31"/>
  <c r="F108"/>
  <c r="F34" i="39" s="1"/>
  <c r="E108" i="31"/>
  <c r="D108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I108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B108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K108"/>
  <c r="K32" i="39" s="1"/>
  <c r="J108" i="29"/>
  <c r="J32" i="39" s="1"/>
  <c r="I108" i="29"/>
  <c r="I32" i="39" s="1"/>
  <c r="H108" i="29"/>
  <c r="G108"/>
  <c r="G32" i="39" s="1"/>
  <c r="F108" i="29"/>
  <c r="E108"/>
  <c r="E32" i="39" s="1"/>
  <c r="D108" i="29"/>
  <c r="C108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L108"/>
  <c r="K108"/>
  <c r="K30" i="39" s="1"/>
  <c r="J108" i="27"/>
  <c r="J30" i="39" s="1"/>
  <c r="I108" i="27"/>
  <c r="I30" i="39" s="1"/>
  <c r="H108" i="27"/>
  <c r="H30" i="39" s="1"/>
  <c r="G108" i="27"/>
  <c r="F108"/>
  <c r="F30" i="39" s="1"/>
  <c r="E108" i="27"/>
  <c r="D108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O29" i="39" s="1"/>
  <c r="N108" i="26"/>
  <c r="N29" i="39" s="1"/>
  <c r="M108" i="26"/>
  <c r="L108"/>
  <c r="K108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D108"/>
  <c r="C108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E108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O108"/>
  <c r="O27" i="39" s="1"/>
  <c r="N108" i="24"/>
  <c r="N27" i="39" s="1"/>
  <c r="M108" i="24"/>
  <c r="M27" i="39" s="1"/>
  <c r="L108" i="24"/>
  <c r="L27" i="39" s="1"/>
  <c r="K108" i="24"/>
  <c r="K27" i="39" s="1"/>
  <c r="J108" i="24"/>
  <c r="I108"/>
  <c r="I27" i="39" s="1"/>
  <c r="H108" i="24"/>
  <c r="G108"/>
  <c r="G27" i="39" s="1"/>
  <c r="F108" i="24"/>
  <c r="F27" i="39" s="1"/>
  <c r="E108" i="24"/>
  <c r="E27" i="39" s="1"/>
  <c r="D108" i="24"/>
  <c r="D27" i="39" s="1"/>
  <c r="C108" i="24"/>
  <c r="C27" i="39" s="1"/>
  <c r="B108" i="24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G111" i="23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E108"/>
  <c r="E26" i="39" s="1"/>
  <c r="D108" i="23"/>
  <c r="C108"/>
  <c r="C26" i="39" s="1"/>
  <c r="B108" i="23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I108"/>
  <c r="I25" i="39" s="1"/>
  <c r="H108" i="22"/>
  <c r="G108"/>
  <c r="G25" i="39" s="1"/>
  <c r="F108" i="22"/>
  <c r="F25" i="39" s="1"/>
  <c r="E108" i="22"/>
  <c r="D108"/>
  <c r="D25" i="39" s="1"/>
  <c r="C108" i="22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Q110" i="2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L108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E108"/>
  <c r="E24" i="39" s="1"/>
  <c r="D108" i="21"/>
  <c r="D24" i="39" s="1"/>
  <c r="C108" i="21"/>
  <c r="B108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K108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0" i="1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2" s="1"/>
  <c r="H110"/>
  <c r="H111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N108"/>
  <c r="M108"/>
  <c r="M20" i="39" s="1"/>
  <c r="L108" i="17"/>
  <c r="K108"/>
  <c r="K20" i="39" s="1"/>
  <c r="J108" i="17"/>
  <c r="J20" i="39" s="1"/>
  <c r="I108" i="17"/>
  <c r="I20" i="39" s="1"/>
  <c r="H108" i="17"/>
  <c r="H20" i="39" s="1"/>
  <c r="G108" i="17"/>
  <c r="F108"/>
  <c r="E108"/>
  <c r="D108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H111" i="15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M108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F108"/>
  <c r="E108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N108"/>
  <c r="N17" i="39" s="1"/>
  <c r="M108" i="14"/>
  <c r="M17" i="39" s="1"/>
  <c r="L108" i="14"/>
  <c r="L17" i="39" s="1"/>
  <c r="K108" i="14"/>
  <c r="K17" i="39" s="1"/>
  <c r="J108" i="14"/>
  <c r="I108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L108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B108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G111" i="40" l="1"/>
  <c r="F111"/>
  <c r="E112"/>
  <c r="D111"/>
  <c r="C111"/>
  <c r="B111"/>
  <c r="Q111"/>
  <c r="P111"/>
  <c r="O111"/>
  <c r="N111"/>
  <c r="M112"/>
  <c r="L111"/>
  <c r="K111"/>
  <c r="J112"/>
  <c r="I111"/>
  <c r="H111"/>
  <c r="E111" i="44"/>
  <c r="D111"/>
  <c r="C111"/>
  <c r="B111"/>
  <c r="Q111"/>
  <c r="P111"/>
  <c r="O111"/>
  <c r="N111"/>
  <c r="M111"/>
  <c r="L111"/>
  <c r="K111"/>
  <c r="J111"/>
  <c r="I111"/>
  <c r="H111"/>
  <c r="G111"/>
  <c r="F111"/>
  <c r="B111" i="33"/>
  <c r="Q111"/>
  <c r="P111"/>
  <c r="O111"/>
  <c r="N111"/>
  <c r="M111"/>
  <c r="L111"/>
  <c r="K111"/>
  <c r="J111"/>
  <c r="I111"/>
  <c r="H111"/>
  <c r="G111"/>
  <c r="F111"/>
  <c r="E111"/>
  <c r="D111"/>
  <c r="C111"/>
  <c r="P111" i="32"/>
  <c r="O111"/>
  <c r="N111"/>
  <c r="L111"/>
  <c r="K111"/>
  <c r="J111"/>
  <c r="I111"/>
  <c r="H111"/>
  <c r="G111"/>
  <c r="F111"/>
  <c r="E111"/>
  <c r="D111"/>
  <c r="C111"/>
  <c r="B111"/>
  <c r="Q111"/>
  <c r="N112" i="31"/>
  <c r="M111"/>
  <c r="L111"/>
  <c r="K111"/>
  <c r="J111"/>
  <c r="I111"/>
  <c r="H111"/>
  <c r="G111"/>
  <c r="F111"/>
  <c r="E111"/>
  <c r="D111"/>
  <c r="C111"/>
  <c r="B111"/>
  <c r="Q111"/>
  <c r="P111"/>
  <c r="O111"/>
  <c r="N111" i="30"/>
  <c r="M111"/>
  <c r="L111"/>
  <c r="K111"/>
  <c r="J111"/>
  <c r="I111"/>
  <c r="H111"/>
  <c r="G111"/>
  <c r="F111"/>
  <c r="E111"/>
  <c r="D111"/>
  <c r="C111"/>
  <c r="B111"/>
  <c r="Q111"/>
  <c r="P111"/>
  <c r="O111"/>
  <c r="L111" i="29"/>
  <c r="K111"/>
  <c r="J111"/>
  <c r="I111"/>
  <c r="H111"/>
  <c r="G111"/>
  <c r="F111"/>
  <c r="E111"/>
  <c r="D111"/>
  <c r="C111"/>
  <c r="B111"/>
  <c r="Q111"/>
  <c r="P111"/>
  <c r="O111"/>
  <c r="N111"/>
  <c r="M111"/>
  <c r="N111" i="28"/>
  <c r="M111"/>
  <c r="L111"/>
  <c r="K111"/>
  <c r="J111"/>
  <c r="I111"/>
  <c r="H111"/>
  <c r="G111"/>
  <c r="F111"/>
  <c r="E111"/>
  <c r="D111"/>
  <c r="C111"/>
  <c r="B111"/>
  <c r="Q111"/>
  <c r="P111"/>
  <c r="O111"/>
  <c r="K111" i="27"/>
  <c r="J111"/>
  <c r="I111"/>
  <c r="H111"/>
  <c r="G111"/>
  <c r="F111"/>
  <c r="E111"/>
  <c r="D111"/>
  <c r="C111"/>
  <c r="B111"/>
  <c r="Q111"/>
  <c r="P111"/>
  <c r="O111"/>
  <c r="N111"/>
  <c r="M111"/>
  <c r="L111"/>
  <c r="I111" i="26"/>
  <c r="H111"/>
  <c r="G111"/>
  <c r="F111"/>
  <c r="E111"/>
  <c r="D111"/>
  <c r="C111"/>
  <c r="B111"/>
  <c r="Q111"/>
  <c r="P111"/>
  <c r="O111"/>
  <c r="N111"/>
  <c r="M111"/>
  <c r="L111"/>
  <c r="K111"/>
  <c r="J111"/>
  <c r="J111" i="25"/>
  <c r="I111"/>
  <c r="H111"/>
  <c r="G111"/>
  <c r="F111"/>
  <c r="E111"/>
  <c r="D111"/>
  <c r="C111"/>
  <c r="B111"/>
  <c r="Q111"/>
  <c r="P111"/>
  <c r="O111"/>
  <c r="N111"/>
  <c r="M111"/>
  <c r="L111"/>
  <c r="K111"/>
  <c r="H111" i="24"/>
  <c r="G111"/>
  <c r="F111"/>
  <c r="E111"/>
  <c r="D111"/>
  <c r="C111"/>
  <c r="B111"/>
  <c r="Q111"/>
  <c r="P111"/>
  <c r="O111"/>
  <c r="N111"/>
  <c r="M111"/>
  <c r="L111"/>
  <c r="K111"/>
  <c r="J111"/>
  <c r="I111"/>
  <c r="F111" i="23"/>
  <c r="E111"/>
  <c r="D111"/>
  <c r="C111"/>
  <c r="B111"/>
  <c r="Q111"/>
  <c r="P111"/>
  <c r="O111"/>
  <c r="N111"/>
  <c r="M111"/>
  <c r="L111"/>
  <c r="K111"/>
  <c r="J111"/>
  <c r="I111"/>
  <c r="H111"/>
  <c r="D111" i="22"/>
  <c r="C111"/>
  <c r="B111"/>
  <c r="Q111"/>
  <c r="P111"/>
  <c r="O111"/>
  <c r="N111"/>
  <c r="M111"/>
  <c r="L111"/>
  <c r="K111"/>
  <c r="J111"/>
  <c r="I111"/>
  <c r="H111"/>
  <c r="G111"/>
  <c r="F111"/>
  <c r="E111"/>
  <c r="C111" i="21"/>
  <c r="B111"/>
  <c r="Q111"/>
  <c r="P111"/>
  <c r="O111"/>
  <c r="N111"/>
  <c r="M111"/>
  <c r="L111"/>
  <c r="K111"/>
  <c r="J111"/>
  <c r="I111"/>
  <c r="H111"/>
  <c r="G111"/>
  <c r="F111"/>
  <c r="E111"/>
  <c r="D111"/>
  <c r="D111" i="20"/>
  <c r="C111"/>
  <c r="B111"/>
  <c r="Q111"/>
  <c r="P111"/>
  <c r="O111"/>
  <c r="N111"/>
  <c r="M111"/>
  <c r="L111"/>
  <c r="K111"/>
  <c r="J111"/>
  <c r="I111"/>
  <c r="H111"/>
  <c r="G111"/>
  <c r="F111"/>
  <c r="E111"/>
  <c r="F111" i="19"/>
  <c r="E111"/>
  <c r="D111"/>
  <c r="C111"/>
  <c r="B111"/>
  <c r="Q111"/>
  <c r="P111"/>
  <c r="O111"/>
  <c r="N111"/>
  <c r="M111"/>
  <c r="L111"/>
  <c r="K111"/>
  <c r="J111"/>
  <c r="I111"/>
  <c r="H111"/>
  <c r="G111"/>
  <c r="I111" i="18"/>
  <c r="H111"/>
  <c r="G111"/>
  <c r="F111"/>
  <c r="E111"/>
  <c r="D111"/>
  <c r="C111"/>
  <c r="B111"/>
  <c r="Q111"/>
  <c r="P111"/>
  <c r="O111"/>
  <c r="N111"/>
  <c r="M111"/>
  <c r="L111"/>
  <c r="K111"/>
  <c r="J111"/>
  <c r="E111" i="17"/>
  <c r="D111"/>
  <c r="C111"/>
  <c r="B112"/>
  <c r="Q112"/>
  <c r="P111"/>
  <c r="O111"/>
  <c r="N111"/>
  <c r="M111"/>
  <c r="L111"/>
  <c r="K111"/>
  <c r="J112"/>
  <c r="I111"/>
  <c r="H112"/>
  <c r="G111"/>
  <c r="F111"/>
  <c r="G111" i="16"/>
  <c r="F111"/>
  <c r="E111"/>
  <c r="D111"/>
  <c r="C111"/>
  <c r="B111"/>
  <c r="Q111"/>
  <c r="P111"/>
  <c r="O111"/>
  <c r="N111"/>
  <c r="M111"/>
  <c r="L111"/>
  <c r="K111"/>
  <c r="J111"/>
  <c r="I111"/>
  <c r="H111"/>
  <c r="F111" i="15"/>
  <c r="E111"/>
  <c r="D112"/>
  <c r="C111"/>
  <c r="B111"/>
  <c r="Q111"/>
  <c r="P111"/>
  <c r="O111"/>
  <c r="N111"/>
  <c r="M111"/>
  <c r="L111"/>
  <c r="K111"/>
  <c r="J111"/>
  <c r="I111"/>
  <c r="G111"/>
  <c r="E111" i="14"/>
  <c r="D111"/>
  <c r="C111"/>
  <c r="B111"/>
  <c r="Q111"/>
  <c r="P111"/>
  <c r="O111"/>
  <c r="N111"/>
  <c r="M111"/>
  <c r="L111"/>
  <c r="K111"/>
  <c r="J111"/>
  <c r="I111"/>
  <c r="H111"/>
  <c r="G111"/>
  <c r="F111"/>
  <c r="E111" i="13"/>
  <c r="D111"/>
  <c r="C111"/>
  <c r="B111"/>
  <c r="Q111"/>
  <c r="P111"/>
  <c r="O111"/>
  <c r="F111"/>
  <c r="N111"/>
  <c r="M111"/>
  <c r="L111"/>
  <c r="K111"/>
  <c r="J111"/>
  <c r="I111"/>
  <c r="H111"/>
  <c r="G111"/>
  <c r="H111" i="12"/>
  <c r="G111"/>
  <c r="F111"/>
  <c r="E111"/>
  <c r="D111"/>
  <c r="C111"/>
  <c r="B111"/>
  <c r="Q111"/>
  <c r="P111"/>
  <c r="O111"/>
  <c r="N111"/>
  <c r="M111"/>
  <c r="L111"/>
  <c r="K111"/>
  <c r="J111"/>
  <c r="I111"/>
  <c r="J111" i="11"/>
  <c r="I111"/>
  <c r="H111"/>
  <c r="G111"/>
  <c r="F111"/>
  <c r="E111"/>
  <c r="D111"/>
  <c r="C111"/>
  <c r="B111"/>
  <c r="Q111"/>
  <c r="P111"/>
  <c r="O111"/>
  <c r="N111"/>
  <c r="M111"/>
  <c r="L111"/>
  <c r="K111"/>
  <c r="L111" i="10"/>
  <c r="K111"/>
  <c r="J111"/>
  <c r="I111"/>
  <c r="H111"/>
  <c r="G111"/>
  <c r="F111"/>
  <c r="E111"/>
  <c r="D111"/>
  <c r="C111"/>
  <c r="B111"/>
  <c r="Q111"/>
  <c r="P111"/>
  <c r="O111"/>
  <c r="N111"/>
  <c r="M111"/>
  <c r="N111" i="9"/>
  <c r="M111"/>
  <c r="L111"/>
  <c r="K111"/>
  <c r="J111"/>
  <c r="I111"/>
  <c r="H111"/>
  <c r="G111"/>
  <c r="F111"/>
  <c r="E111"/>
  <c r="D111"/>
  <c r="C111"/>
  <c r="B111"/>
  <c r="Q111"/>
  <c r="P111"/>
  <c r="O111"/>
  <c r="P111" i="8"/>
  <c r="O111"/>
  <c r="N111"/>
  <c r="M111"/>
  <c r="L111"/>
  <c r="K111"/>
  <c r="J111"/>
  <c r="I111"/>
  <c r="H111"/>
  <c r="G111"/>
  <c r="F111"/>
  <c r="E111"/>
  <c r="D111"/>
  <c r="C111"/>
  <c r="B111"/>
  <c r="Q111"/>
  <c r="P111" i="3"/>
  <c r="O111"/>
  <c r="N111"/>
  <c r="M111"/>
  <c r="L111"/>
  <c r="K111"/>
  <c r="J111"/>
  <c r="Q112"/>
  <c r="I111"/>
  <c r="H111"/>
  <c r="G111"/>
  <c r="F111"/>
  <c r="E111"/>
  <c r="D111"/>
  <c r="C111"/>
  <c r="B111"/>
  <c r="I44" i="39"/>
  <c r="I43"/>
  <c r="I42"/>
  <c r="I41"/>
  <c r="I40"/>
  <c r="H44"/>
  <c r="H43"/>
  <c r="H42"/>
  <c r="H41"/>
  <c r="H40"/>
  <c r="G44"/>
  <c r="G43"/>
  <c r="G42"/>
  <c r="G41"/>
  <c r="G40"/>
  <c r="B44"/>
  <c r="B43"/>
  <c r="B42"/>
  <c r="B41"/>
  <c r="B40"/>
  <c r="O44"/>
  <c r="O43"/>
  <c r="O42"/>
  <c r="O41"/>
  <c r="O40"/>
  <c r="M44"/>
  <c r="M43"/>
  <c r="M42"/>
  <c r="M41"/>
  <c r="M40"/>
  <c r="Q44"/>
  <c r="Q43"/>
  <c r="Q42"/>
  <c r="Q41"/>
  <c r="Q40"/>
  <c r="N44"/>
  <c r="N43"/>
  <c r="N42"/>
  <c r="N41"/>
  <c r="N40"/>
  <c r="L44"/>
  <c r="L43"/>
  <c r="L42"/>
  <c r="L41"/>
  <c r="L40"/>
  <c r="K44"/>
  <c r="K43"/>
  <c r="K42"/>
  <c r="K41"/>
  <c r="K40"/>
  <c r="P44"/>
  <c r="P43"/>
  <c r="P42"/>
  <c r="P41"/>
  <c r="P40"/>
  <c r="J44"/>
  <c r="J43"/>
  <c r="J42"/>
  <c r="J41"/>
  <c r="J40"/>
  <c r="F44"/>
  <c r="F43"/>
  <c r="F42"/>
  <c r="F41"/>
  <c r="F40"/>
  <c r="E44"/>
  <c r="E43"/>
  <c r="E42"/>
  <c r="E41"/>
  <c r="E40"/>
  <c r="D44"/>
  <c r="D43"/>
  <c r="D42"/>
  <c r="D41"/>
  <c r="D40"/>
  <c r="C44"/>
  <c r="C43"/>
  <c r="C42"/>
  <c r="C41"/>
  <c r="C40"/>
  <c r="E111" i="2"/>
  <c r="D111"/>
  <c r="C111"/>
  <c r="B111"/>
  <c r="Q111"/>
  <c r="P111"/>
  <c r="O111"/>
  <c r="N111"/>
  <c r="M111"/>
  <c r="L111"/>
  <c r="K111"/>
  <c r="J111"/>
  <c r="I111"/>
  <c r="H111"/>
  <c r="G111"/>
  <c r="F111"/>
  <c r="I46" i="39" l="1"/>
  <c r="I45"/>
  <c r="O46"/>
  <c r="O45"/>
  <c r="K46"/>
  <c r="K45"/>
  <c r="P46"/>
  <c r="P45"/>
  <c r="N46"/>
  <c r="N45"/>
  <c r="H46"/>
  <c r="H45"/>
  <c r="E46"/>
  <c r="E45"/>
  <c r="D46"/>
  <c r="D45"/>
  <c r="J46"/>
  <c r="J45"/>
  <c r="C46"/>
  <c r="C45"/>
  <c r="Q46"/>
  <c r="Q45"/>
  <c r="B46"/>
  <c r="B45"/>
  <c r="L46"/>
  <c r="L45"/>
  <c r="M46"/>
  <c r="M45"/>
  <c r="G46"/>
  <c r="G45"/>
  <c r="F46"/>
  <c r="F45"/>
</calcChain>
</file>

<file path=xl/sharedStrings.xml><?xml version="1.0" encoding="utf-8"?>
<sst xmlns="http://schemas.openxmlformats.org/spreadsheetml/2006/main" count="5705" uniqueCount="3116">
  <si>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</si>
  <si>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</si>
  <si>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</si>
  <si>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</si>
  <si>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</si>
  <si>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</si>
  <si>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</si>
  <si>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</si>
  <si>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</si>
  <si>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</si>
  <si>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</si>
  <si>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</si>
  <si>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</si>
  <si>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</si>
  <si>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</si>
  <si>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</si>
  <si>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</si>
  <si>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</si>
  <si>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</si>
  <si>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</si>
  <si>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</si>
  <si>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</si>
  <si>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</si>
  <si>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</si>
  <si>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</si>
  <si>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</si>
  <si>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</si>
  <si>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</si>
  <si>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</si>
  <si>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</si>
  <si>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</si>
  <si>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</si>
  <si>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</si>
  <si>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</si>
  <si>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</si>
  <si>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</si>
  <si>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</si>
  <si>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</si>
  <si>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</si>
  <si>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</si>
  <si>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</si>
  <si>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</si>
  <si>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</si>
  <si>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</si>
  <si>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</si>
  <si>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</si>
  <si>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</si>
  <si>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</si>
  <si>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</si>
  <si>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</si>
  <si>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</si>
  <si>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</si>
  <si>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</si>
  <si>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</si>
  <si>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</si>
  <si>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</si>
  <si>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</si>
  <si>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</si>
  <si>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</si>
  <si>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</si>
  <si>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</si>
  <si>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</si>
  <si>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</si>
  <si>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</si>
  <si>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</si>
  <si>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</si>
  <si>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</si>
  <si>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</si>
  <si>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</si>
  <si>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</si>
  <si>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</si>
  <si>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</si>
  <si>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</si>
  <si>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</si>
  <si>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</si>
  <si>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</si>
  <si>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</si>
  <si>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</si>
  <si>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</si>
  <si>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</si>
  <si>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</si>
  <si>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</si>
  <si>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</si>
  <si>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</si>
  <si>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</si>
  <si>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</si>
  <si>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</si>
  <si>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</si>
  <si>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</si>
  <si>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</si>
  <si>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</si>
  <si>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</si>
  <si>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</si>
  <si>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</si>
  <si>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</si>
  <si>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</si>
  <si>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</si>
  <si>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</si>
  <si>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</si>
  <si>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</si>
  <si>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</si>
  <si>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</si>
  <si>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</si>
  <si>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</si>
  <si>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</si>
  <si>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</si>
  <si>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</si>
  <si>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</si>
  <si>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</si>
  <si>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</si>
  <si>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</si>
  <si>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</si>
  <si>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</si>
  <si>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</si>
  <si>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</si>
  <si>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</si>
  <si>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</si>
  <si>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</si>
  <si>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</si>
  <si>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</si>
  <si>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</si>
  <si>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</si>
  <si>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</si>
  <si>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</si>
  <si>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</si>
  <si>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</si>
  <si>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</si>
  <si>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</si>
  <si>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</si>
  <si>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</si>
  <si>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</si>
  <si>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</si>
  <si>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</si>
  <si>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</si>
  <si>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</si>
  <si>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</si>
  <si>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</si>
  <si>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</si>
  <si>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</si>
  <si>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</si>
  <si>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</si>
  <si>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</si>
  <si>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</si>
  <si>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</si>
  <si>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</si>
  <si>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</si>
  <si>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</si>
  <si>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</si>
  <si>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</si>
  <si>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</si>
  <si>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</si>
  <si>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</si>
  <si>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</si>
  <si>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</si>
  <si>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</si>
  <si>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</si>
  <si>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</si>
  <si>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</si>
  <si>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</si>
  <si>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</si>
  <si>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</si>
  <si>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</si>
  <si>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</si>
  <si>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</si>
  <si>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</si>
  <si>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</si>
  <si>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</si>
  <si>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</si>
  <si>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</si>
  <si>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</si>
  <si>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</si>
  <si>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</si>
  <si>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</si>
  <si>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</si>
  <si>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</si>
  <si>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</si>
  <si>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</si>
  <si>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</si>
  <si>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</si>
  <si>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</si>
  <si>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</si>
  <si>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</si>
  <si>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</si>
  <si>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</si>
  <si>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</si>
  <si>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</si>
  <si>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</si>
  <si>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</si>
  <si>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</si>
  <si>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</si>
  <si>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</si>
  <si>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</si>
  <si>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</si>
  <si>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</si>
  <si>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</si>
  <si>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</si>
  <si>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</si>
  <si>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</si>
  <si>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</si>
  <si>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</si>
  <si>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</si>
  <si>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</si>
  <si>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</si>
  <si>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</si>
  <si>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</si>
  <si>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</si>
  <si>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</si>
  <si>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</si>
  <si>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</si>
  <si>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</si>
  <si>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</si>
  <si>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</si>
  <si>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</si>
  <si>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</si>
  <si>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</si>
  <si>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</si>
  <si>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</si>
  <si>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</si>
  <si>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</si>
  <si>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</si>
  <si>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</si>
  <si>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</si>
  <si>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</si>
  <si>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</si>
  <si>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</si>
  <si>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</si>
  <si>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</si>
  <si>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</si>
  <si>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</si>
  <si>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</si>
  <si>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</si>
  <si>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</si>
  <si>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</si>
  <si>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</si>
  <si>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</si>
  <si>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</si>
  <si>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</si>
  <si>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</si>
  <si>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</si>
  <si>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01/06/2023 00:15</t>
  </si>
  <si>
    <t>01/06/2023 00:30</t>
  </si>
  <si>
    <t>01/06/2023 00:45</t>
  </si>
  <si>
    <t>01/06/2023 01:00</t>
  </si>
  <si>
    <t>01/06/2023 01:15</t>
  </si>
  <si>
    <t>01/06/2023 01:30</t>
  </si>
  <si>
    <t>01/06/2023 02:00</t>
  </si>
  <si>
    <t>01/06/2023 02:15</t>
  </si>
  <si>
    <t>01/06/2023 02:30</t>
  </si>
  <si>
    <t>01/06/2023 02:45</t>
  </si>
  <si>
    <t>01/06/2023 03:00</t>
  </si>
  <si>
    <t>01/06/2023 03:15</t>
  </si>
  <si>
    <t>01/06/2023 03:30</t>
  </si>
  <si>
    <t>01/06/2023 03:45</t>
  </si>
  <si>
    <t>01/06/2023 04:00</t>
  </si>
  <si>
    <t>01/06/2023 04:15</t>
  </si>
  <si>
    <t>01/06/2023 04:30</t>
  </si>
  <si>
    <t>01/06/2023 04:45</t>
  </si>
  <si>
    <t>01/06/2023 05:00</t>
  </si>
  <si>
    <t>01/06/2023 05:15</t>
  </si>
  <si>
    <t>01/06/2023 05:30</t>
  </si>
  <si>
    <t>01/06/2023 05:45</t>
  </si>
  <si>
    <t>01/06/2023 06:00</t>
  </si>
  <si>
    <t>01/06/2023 06:15</t>
  </si>
  <si>
    <t>01/06/2023 06:30</t>
  </si>
  <si>
    <t>01/06/2023 06:45</t>
  </si>
  <si>
    <t>01/06/2023 07:00</t>
  </si>
  <si>
    <t>01/06/2023 07:15</t>
  </si>
  <si>
    <t>01/06/2023 07:30</t>
  </si>
  <si>
    <t>01/06/2023 07:45</t>
  </si>
  <si>
    <t>01/06/2023 08:00</t>
  </si>
  <si>
    <t>01/06/2023 08:15</t>
  </si>
  <si>
    <t>01/06/2023 08:30</t>
  </si>
  <si>
    <t>01/06/2023 08:45</t>
  </si>
  <si>
    <t>01/06/2023 09:00</t>
  </si>
  <si>
    <t>01/06/2023 09:15</t>
  </si>
  <si>
    <t>01/06/2023 09:30</t>
  </si>
  <si>
    <t>01/06/2023 09:45</t>
  </si>
  <si>
    <t>01/06/2023 10:00</t>
  </si>
  <si>
    <t>01/06/2023 10:15</t>
  </si>
  <si>
    <t>01/06/2023 10:30</t>
  </si>
  <si>
    <t>01/06/2023 10:45</t>
  </si>
  <si>
    <t>01/06/2023 11:00</t>
  </si>
  <si>
    <t>01/06/2023 11:15</t>
  </si>
  <si>
    <t>01/06/2023 11:30</t>
  </si>
  <si>
    <t>01/06/2023 11:45</t>
  </si>
  <si>
    <t>01/06/2023 12:00</t>
  </si>
  <si>
    <t>01/06/2023 12:15</t>
  </si>
  <si>
    <t>01/06/2023 12:30</t>
  </si>
  <si>
    <t>01/06/2023 12:45</t>
  </si>
  <si>
    <t>01/06/2023 13:00</t>
  </si>
  <si>
    <t>01/06/2023 13:15</t>
  </si>
  <si>
    <t>01/06/2023 13:30</t>
  </si>
  <si>
    <t>01/06/2023 13:45</t>
  </si>
  <si>
    <t>01/06/2023 14:00</t>
  </si>
  <si>
    <t>01/06/2023 14:15</t>
  </si>
  <si>
    <t>01/06/2023 14:30</t>
  </si>
  <si>
    <t>01/06/2023 14:45</t>
  </si>
  <si>
    <t>01/06/2023 15:00</t>
  </si>
  <si>
    <t>01/06/2023 15:15</t>
  </si>
  <si>
    <t>01/06/2023 15:30</t>
  </si>
  <si>
    <t>01/06/2023 15:45</t>
  </si>
  <si>
    <t>01/06/2023 16:00</t>
  </si>
  <si>
    <t>01/06/2023 16:15</t>
  </si>
  <si>
    <t>01/06/2023 16:30</t>
  </si>
  <si>
    <t>01/06/2023 16:45</t>
  </si>
  <si>
    <t>01/06/2023 17:00</t>
  </si>
  <si>
    <t>01/06/2023 17:15</t>
  </si>
  <si>
    <t>01/06/2023 17:30</t>
  </si>
  <si>
    <t>01/06/2023 17:45</t>
  </si>
  <si>
    <t>01/06/2023 18:00</t>
  </si>
  <si>
    <t>01/06/2023 18:15</t>
  </si>
  <si>
    <t>01/06/2023 18:30</t>
  </si>
  <si>
    <t>01/06/2023 18:45</t>
  </si>
  <si>
    <t>01/06/2023 19:00</t>
  </si>
  <si>
    <t>01/06/2023 19:15</t>
  </si>
  <si>
    <t>01/06/2023 19:30</t>
  </si>
  <si>
    <t>01/06/2023 19:45</t>
  </si>
  <si>
    <t>01/06/2023 20:00</t>
  </si>
  <si>
    <t>01/06/2023 20:15</t>
  </si>
  <si>
    <t>01/06/2023 20:30</t>
  </si>
  <si>
    <t>01/06/2023 20:45</t>
  </si>
  <si>
    <t>01/06/2023 21:00</t>
  </si>
  <si>
    <t>01/06/2023 21:15</t>
  </si>
  <si>
    <t>01/06/2023 21:30</t>
  </si>
  <si>
    <t>01/06/2023 21:45</t>
  </si>
  <si>
    <t>01/06/2023 22:00</t>
  </si>
  <si>
    <t>01/06/2023 22:15</t>
  </si>
  <si>
    <t>01/06/2023 22:30</t>
  </si>
  <si>
    <t>01/06/2023 22:45</t>
  </si>
  <si>
    <t>01/06/2023 23:00</t>
  </si>
  <si>
    <t>01/06/2023 23:15</t>
  </si>
  <si>
    <t>01/06/2023 23:30</t>
  </si>
  <si>
    <t>01/06/2023 23:45</t>
  </si>
  <si>
    <t>01/06/2023 24:00</t>
  </si>
  <si>
    <t>02/06/2023 00:15</t>
  </si>
  <si>
    <t>02/06/2023 00:30</t>
  </si>
  <si>
    <t>02/06/2023 00:45</t>
  </si>
  <si>
    <t>02/06/2023 01:00</t>
  </si>
  <si>
    <t>02/06/2023 01:15</t>
  </si>
  <si>
    <t>02/06/2023 01:30</t>
  </si>
  <si>
    <t>02/06/2023 01:45</t>
  </si>
  <si>
    <t>02/06/2023 02:00</t>
  </si>
  <si>
    <t>02/06/2023 02:15</t>
  </si>
  <si>
    <t>02/06/2023 02:30</t>
  </si>
  <si>
    <t>02/06/2023 02:45</t>
  </si>
  <si>
    <t>02/06/2023 03:00</t>
  </si>
  <si>
    <t>02/06/2023 03:15</t>
  </si>
  <si>
    <t>02/06/2023 03:30</t>
  </si>
  <si>
    <t>02/06/2023 03:45</t>
  </si>
  <si>
    <t>02/06/2023 04:00</t>
  </si>
  <si>
    <t>02/06/2023 04:15</t>
  </si>
  <si>
    <t>02/06/2023 04:30</t>
  </si>
  <si>
    <t>02/06/2023 04:45</t>
  </si>
  <si>
    <t>02/06/2023 05:00</t>
  </si>
  <si>
    <t>02/06/2023 05:15</t>
  </si>
  <si>
    <t>02/06/2023 05:30</t>
  </si>
  <si>
    <t>02/06/2023 05:45</t>
  </si>
  <si>
    <t>02/06/2023 06:00</t>
  </si>
  <si>
    <t>02/06/2023 06:15</t>
  </si>
  <si>
    <t>02/06/2023 06:30</t>
  </si>
  <si>
    <t>02/06/2023 06:45</t>
  </si>
  <si>
    <t>02/06/2023 07:00</t>
  </si>
  <si>
    <t>02/06/2023 07:15</t>
  </si>
  <si>
    <t>02/06/2023 07:30</t>
  </si>
  <si>
    <t>02/06/2023 07:45</t>
  </si>
  <si>
    <t>02/06/2023 08:00</t>
  </si>
  <si>
    <t>02/06/2023 08:15</t>
  </si>
  <si>
    <t>02/06/2023 08:30</t>
  </si>
  <si>
    <t>02/06/2023 08:45</t>
  </si>
  <si>
    <t>02/06/2023 09:00</t>
  </si>
  <si>
    <t>02/06/2023 09:15</t>
  </si>
  <si>
    <t>02/06/2023 09:30</t>
  </si>
  <si>
    <t>02/06/2023 09:45</t>
  </si>
  <si>
    <t>02/06/2023 10:00</t>
  </si>
  <si>
    <t>02/06/2023 10:15</t>
  </si>
  <si>
    <t>02/06/2023 10:30</t>
  </si>
  <si>
    <t>02/06/2023 10:45</t>
  </si>
  <si>
    <t>02/06/2023 11:00</t>
  </si>
  <si>
    <t>02/06/2023 11:15</t>
  </si>
  <si>
    <t>02/06/2023 11:30</t>
  </si>
  <si>
    <t>02/06/2023 11:45</t>
  </si>
  <si>
    <t>02/06/2023 12:00</t>
  </si>
  <si>
    <t>02/06/2023 12:15</t>
  </si>
  <si>
    <t>02/06/2023 12:30</t>
  </si>
  <si>
    <t>02/06/2023 12:45</t>
  </si>
  <si>
    <t>02/06/2023 13:00</t>
  </si>
  <si>
    <t>02/06/2023 13:15</t>
  </si>
  <si>
    <t>02/06/2023 13:30</t>
  </si>
  <si>
    <t>02/06/2023 13:45</t>
  </si>
  <si>
    <t>02/06/2023 14:00</t>
  </si>
  <si>
    <t>02/06/2023 14:15</t>
  </si>
  <si>
    <t>02/06/2023 14:30</t>
  </si>
  <si>
    <t>02/06/2023 14:45</t>
  </si>
  <si>
    <t>02/06/2023 15:00</t>
  </si>
  <si>
    <t>02/06/2023 15:15</t>
  </si>
  <si>
    <t>02/06/2023 15:30</t>
  </si>
  <si>
    <t>02/06/2023 15:45</t>
  </si>
  <si>
    <t>02/06/2023 16:00</t>
  </si>
  <si>
    <t>02/06/2023 16:15</t>
  </si>
  <si>
    <t>02/06/2023 16:30</t>
  </si>
  <si>
    <t>02/06/2023 16:45</t>
  </si>
  <si>
    <t>02/06/2023 17:00</t>
  </si>
  <si>
    <t>02/06/2023 17:15</t>
  </si>
  <si>
    <t>02/06/2023 17:30</t>
  </si>
  <si>
    <t>02/06/2023 17:45</t>
  </si>
  <si>
    <t>02/06/2023 18:00</t>
  </si>
  <si>
    <t>02/06/2023 18:15</t>
  </si>
  <si>
    <t>02/06/2023 18:30</t>
  </si>
  <si>
    <t>02/06/2023 18:45</t>
  </si>
  <si>
    <t>02/06/2023 19:00</t>
  </si>
  <si>
    <t>02/06/2023 19:15</t>
  </si>
  <si>
    <t>02/06/2023 19:30</t>
  </si>
  <si>
    <t>02/06/2023 19:45</t>
  </si>
  <si>
    <t>02/06/2023 20:00</t>
  </si>
  <si>
    <t>02/06/2023 20:15</t>
  </si>
  <si>
    <t>02/06/2023 20:30</t>
  </si>
  <si>
    <t>02/06/2023 20:45</t>
  </si>
  <si>
    <t>02/06/2023 21:00</t>
  </si>
  <si>
    <t>02/06/2023 21:15</t>
  </si>
  <si>
    <t>02/06/2023 21:30</t>
  </si>
  <si>
    <t>02/06/2023 21:45</t>
  </si>
  <si>
    <t>02/06/2023 22:00</t>
  </si>
  <si>
    <t>02/06/2023 22:15</t>
  </si>
  <si>
    <t>02/06/2023 22:30</t>
  </si>
  <si>
    <t>02/06/2023 22:45</t>
  </si>
  <si>
    <t>02/06/2023 23:00</t>
  </si>
  <si>
    <t>02/06/2023 23:15</t>
  </si>
  <si>
    <t>02/06/2023 23:30</t>
  </si>
  <si>
    <t>02/06/2023 23:45</t>
  </si>
  <si>
    <t>02/06/2023 24:00</t>
  </si>
  <si>
    <t>03/06/2023 00:15</t>
  </si>
  <si>
    <t>03/06/2023 00:30</t>
  </si>
  <si>
    <t>03/06/2023 00:45</t>
  </si>
  <si>
    <t>03/06/2023 01:00</t>
  </si>
  <si>
    <t>03/06/2023 01:15</t>
  </si>
  <si>
    <t>03/06/2023 01:30</t>
  </si>
  <si>
    <t>03/06/2023 01:45</t>
  </si>
  <si>
    <t>03/06/2023 02:00</t>
  </si>
  <si>
    <t>03/06/2023 02:15</t>
  </si>
  <si>
    <t>03/06/2023 02:30</t>
  </si>
  <si>
    <t>03/06/2023 02:45</t>
  </si>
  <si>
    <t>03/06/2023 03:00</t>
  </si>
  <si>
    <t>03/06/2023 03:15</t>
  </si>
  <si>
    <t>03/06/2023 03:30</t>
  </si>
  <si>
    <t>03/06/2023 03:45</t>
  </si>
  <si>
    <t>03/06/2023 04:00</t>
  </si>
  <si>
    <t>03/06/2023 04:15</t>
  </si>
  <si>
    <t>03/06/2023 04:30</t>
  </si>
  <si>
    <t>03/06/2023 04:45</t>
  </si>
  <si>
    <t>03/06/2023 05:00</t>
  </si>
  <si>
    <t>03/06/2023 05:15</t>
  </si>
  <si>
    <t>03/06/2023 05:30</t>
  </si>
  <si>
    <t>03/06/2023 05:45</t>
  </si>
  <si>
    <t>03/06/2023 06:00</t>
  </si>
  <si>
    <t>03/06/2023 06:15</t>
  </si>
  <si>
    <t>03/06/2023 06:30</t>
  </si>
  <si>
    <t>03/06/2023 06:45</t>
  </si>
  <si>
    <t>03/06/2023 07:00</t>
  </si>
  <si>
    <t>03/06/2023 07:15</t>
  </si>
  <si>
    <t>03/06/2023 07:30</t>
  </si>
  <si>
    <t>03/06/2023 07:45</t>
  </si>
  <si>
    <t>03/06/2023 08:00</t>
  </si>
  <si>
    <t>03/06/2023 08:15</t>
  </si>
  <si>
    <t>03/06/2023 08:30</t>
  </si>
  <si>
    <t>03/06/2023 08:45</t>
  </si>
  <si>
    <t>03/06/2023 09:00</t>
  </si>
  <si>
    <t>03/06/2023 09:15</t>
  </si>
  <si>
    <t>03/06/2023 09:30</t>
  </si>
  <si>
    <t>03/06/2023 09:45</t>
  </si>
  <si>
    <t>03/06/2023 10:00</t>
  </si>
  <si>
    <t>03/06/2023 10:15</t>
  </si>
  <si>
    <t>03/06/2023 10:30</t>
  </si>
  <si>
    <t>03/06/2023 10:45</t>
  </si>
  <si>
    <t>03/06/2023 11:00</t>
  </si>
  <si>
    <t>03/06/2023 11:15</t>
  </si>
  <si>
    <t>03/06/2023 11:30</t>
  </si>
  <si>
    <t>03/06/2023 11:45</t>
  </si>
  <si>
    <t>03/06/2023 12:00</t>
  </si>
  <si>
    <t>03/06/2023 12:15</t>
  </si>
  <si>
    <t>03/06/2023 12:30</t>
  </si>
  <si>
    <t>03/06/2023 12:45</t>
  </si>
  <si>
    <t>03/06/2023 13:00</t>
  </si>
  <si>
    <t>03/06/2023 13:15</t>
  </si>
  <si>
    <t>03/06/2023 13:30</t>
  </si>
  <si>
    <t>03/06/2023 13:45</t>
  </si>
  <si>
    <t>03/06/2023 14:00</t>
  </si>
  <si>
    <t>03/06/2023 14:15</t>
  </si>
  <si>
    <t>03/06/2023 14:30</t>
  </si>
  <si>
    <t>03/06/2023 14:45</t>
  </si>
  <si>
    <t>03/06/2023 15:00</t>
  </si>
  <si>
    <t>03/06/2023 15:15</t>
  </si>
  <si>
    <t>03/06/2023 15:30</t>
  </si>
  <si>
    <t>03/06/2023 15:45</t>
  </si>
  <si>
    <t>03/06/2023 16:00</t>
  </si>
  <si>
    <t>03/06/2023 16:15</t>
  </si>
  <si>
    <t>03/06/2023 16:30</t>
  </si>
  <si>
    <t>03/06/2023 16:45</t>
  </si>
  <si>
    <t>03/06/2023 17:00</t>
  </si>
  <si>
    <t>03/06/2023 17:15</t>
  </si>
  <si>
    <t>03/06/2023 17:30</t>
  </si>
  <si>
    <t>03/06/2023 17:45</t>
  </si>
  <si>
    <t>03/06/2023 18:00</t>
  </si>
  <si>
    <t>03/06/2023 18:15</t>
  </si>
  <si>
    <t>03/06/2023 18:30</t>
  </si>
  <si>
    <t>03/06/2023 18:45</t>
  </si>
  <si>
    <t>03/06/2023 19:00</t>
  </si>
  <si>
    <t>03/06/2023 19:15</t>
  </si>
  <si>
    <t>03/06/2023 19:30</t>
  </si>
  <si>
    <t>03/06/2023 19:45</t>
  </si>
  <si>
    <t>03/06/2023 20:00</t>
  </si>
  <si>
    <t>03/06/2023 20:15</t>
  </si>
  <si>
    <t>03/06/2023 20:30</t>
  </si>
  <si>
    <t>03/06/2023 20:45</t>
  </si>
  <si>
    <t>03/06/2023 21:00</t>
  </si>
  <si>
    <t>03/06/2023 21:15</t>
  </si>
  <si>
    <t>03/06/2023 21:30</t>
  </si>
  <si>
    <t>03/06/2023 21:45</t>
  </si>
  <si>
    <t>03/06/2023 22:00</t>
  </si>
  <si>
    <t>03/06/2023 22:15</t>
  </si>
  <si>
    <t>03/06/2023 22:30</t>
  </si>
  <si>
    <t>03/06/2023 22:45</t>
  </si>
  <si>
    <t>03/06/2023 23:00</t>
  </si>
  <si>
    <t>03/06/2023 23:15</t>
  </si>
  <si>
    <t>03/06/2023 23:30</t>
  </si>
  <si>
    <t>03/06/2023 23:45</t>
  </si>
  <si>
    <t>03/06/2023 24:00</t>
  </si>
  <si>
    <t>04/06/2023 00:15</t>
  </si>
  <si>
    <t>04/06/2023 00:30</t>
  </si>
  <si>
    <t>04/06/2023 00:45</t>
  </si>
  <si>
    <t>04/06/2023 01:00</t>
  </si>
  <si>
    <t>04/06/2023 01:15</t>
  </si>
  <si>
    <t>04/06/2023 01:30</t>
  </si>
  <si>
    <t>04/06/2023 01:45</t>
  </si>
  <si>
    <t>04/06/2023 02:00</t>
  </si>
  <si>
    <t>04/06/2023 02:15</t>
  </si>
  <si>
    <t>04/06/2023 02:30</t>
  </si>
  <si>
    <t>04/06/2023 02:45</t>
  </si>
  <si>
    <t>04/06/2023 03:00</t>
  </si>
  <si>
    <t>04/06/2023 03:15</t>
  </si>
  <si>
    <t>04/06/2023 03:30</t>
  </si>
  <si>
    <t>04/06/2023 03:45</t>
  </si>
  <si>
    <t>04/06/2023 04:00</t>
  </si>
  <si>
    <t>04/06/2023 04:15</t>
  </si>
  <si>
    <t>04/06/2023 04:30</t>
  </si>
  <si>
    <t>04/06/2023 04:45</t>
  </si>
  <si>
    <t>04/06/2023 05:00</t>
  </si>
  <si>
    <t>04/06/2023 05:15</t>
  </si>
  <si>
    <t>04/06/2023 05:30</t>
  </si>
  <si>
    <t>04/06/2023 05:45</t>
  </si>
  <si>
    <t>04/06/2023 06:00</t>
  </si>
  <si>
    <t>04/06/2023 06:15</t>
  </si>
  <si>
    <t>04/06/2023 06:30</t>
  </si>
  <si>
    <t>04/06/2023 06:45</t>
  </si>
  <si>
    <t>04/06/2023 07:00</t>
  </si>
  <si>
    <t>04/06/2023 07:15</t>
  </si>
  <si>
    <t>04/06/2023 07:30</t>
  </si>
  <si>
    <t>04/06/2023 07:45</t>
  </si>
  <si>
    <t>04/06/2023 08:00</t>
  </si>
  <si>
    <t>04/06/2023 08:15</t>
  </si>
  <si>
    <t>04/06/2023 08:30</t>
  </si>
  <si>
    <t>04/06/2023 08:45</t>
  </si>
  <si>
    <t>04/06/2023 09:00</t>
  </si>
  <si>
    <t>04/06/2023 09:15</t>
  </si>
  <si>
    <t>04/06/2023 09:30</t>
  </si>
  <si>
    <t>04/06/2023 09:45</t>
  </si>
  <si>
    <t>04/06/2023 10:00</t>
  </si>
  <si>
    <t>04/06/2023 10:15</t>
  </si>
  <si>
    <t>04/06/2023 10:30</t>
  </si>
  <si>
    <t>04/06/2023 10:45</t>
  </si>
  <si>
    <t>04/06/2023 11:00</t>
  </si>
  <si>
    <t>04/06/2023 11:15</t>
  </si>
  <si>
    <t>04/06/2023 11:30</t>
  </si>
  <si>
    <t>04/06/2023 11:45</t>
  </si>
  <si>
    <t>04/06/2023 12:00</t>
  </si>
  <si>
    <t>04/06/2023 12:15</t>
  </si>
  <si>
    <t>04/06/2023 12:30</t>
  </si>
  <si>
    <t>04/06/2023 12:45</t>
  </si>
  <si>
    <t>04/06/2023 13:00</t>
  </si>
  <si>
    <t>04/06/2023 13:15</t>
  </si>
  <si>
    <t>04/06/2023 13:30</t>
  </si>
  <si>
    <t>04/06/2023 13:45</t>
  </si>
  <si>
    <t>04/06/2023 14:00</t>
  </si>
  <si>
    <t>04/06/2023 14:15</t>
  </si>
  <si>
    <t>04/06/2023 14:30</t>
  </si>
  <si>
    <t>04/06/2023 14:45</t>
  </si>
  <si>
    <t>04/06/2023 15:00</t>
  </si>
  <si>
    <t>04/06/2023 15:15</t>
  </si>
  <si>
    <t>04/06/2023 15:30</t>
  </si>
  <si>
    <t>04/06/2023 15:45</t>
  </si>
  <si>
    <t>04/06/2023 16:00</t>
  </si>
  <si>
    <t>04/06/2023 16:15</t>
  </si>
  <si>
    <t>04/06/2023 16:30</t>
  </si>
  <si>
    <t>04/06/2023 16:45</t>
  </si>
  <si>
    <t>04/06/2023 17:00</t>
  </si>
  <si>
    <t>04/06/2023 17:15</t>
  </si>
  <si>
    <t>04/06/2023 17:30</t>
  </si>
  <si>
    <t>04/06/2023 17:45</t>
  </si>
  <si>
    <t>04/06/2023 18:00</t>
  </si>
  <si>
    <t>04/06/2023 18:15</t>
  </si>
  <si>
    <t>04/06/2023 18:30</t>
  </si>
  <si>
    <t>04/06/2023 18:45</t>
  </si>
  <si>
    <t>04/06/2023 19:00</t>
  </si>
  <si>
    <t>04/06/2023 19:15</t>
  </si>
  <si>
    <t>04/06/2023 19:30</t>
  </si>
  <si>
    <t>04/06/2023 19:45</t>
  </si>
  <si>
    <t>04/06/2023 20:00</t>
  </si>
  <si>
    <t>04/06/2023 20:15</t>
  </si>
  <si>
    <t>04/06/2023 20:30</t>
  </si>
  <si>
    <t>04/06/2023 20:45</t>
  </si>
  <si>
    <t>04/06/2023 21:00</t>
  </si>
  <si>
    <t>04/06/2023 21:15</t>
  </si>
  <si>
    <t>04/06/2023 21:30</t>
  </si>
  <si>
    <t>04/06/2023 21:45</t>
  </si>
  <si>
    <t>04/06/2023 22:00</t>
  </si>
  <si>
    <t>04/06/2023 22:15</t>
  </si>
  <si>
    <t>04/06/2023 22:30</t>
  </si>
  <si>
    <t>04/06/2023 22:45</t>
  </si>
  <si>
    <t>04/06/2023 23:00</t>
  </si>
  <si>
    <t>04/06/2023 23:15</t>
  </si>
  <si>
    <t>04/06/2023 23:30</t>
  </si>
  <si>
    <t>04/06/2023 23:45</t>
  </si>
  <si>
    <t>04/06/2023 24:00</t>
  </si>
  <si>
    <t>05/06/2023 00:15</t>
  </si>
  <si>
    <t>05/06/2023 00:30</t>
  </si>
  <si>
    <t>05/06/2023 00:45</t>
  </si>
  <si>
    <t>05/06/2023 01:00</t>
  </si>
  <si>
    <t>05/06/2023 01:15</t>
  </si>
  <si>
    <t>05/06/2023 01:30</t>
  </si>
  <si>
    <t>05/06/2023 01:45</t>
  </si>
  <si>
    <t>05/06/2023 02:00</t>
  </si>
  <si>
    <t>05/06/2023 02:15</t>
  </si>
  <si>
    <t>05/06/2023 02:30</t>
  </si>
  <si>
    <t>05/06/2023 02:45</t>
  </si>
  <si>
    <t>05/06/2023 03:00</t>
  </si>
  <si>
    <t>05/06/2023 03:15</t>
  </si>
  <si>
    <t>05/06/2023 03:30</t>
  </si>
  <si>
    <t>05/06/2023 03:45</t>
  </si>
  <si>
    <t>05/06/2023 04:00</t>
  </si>
  <si>
    <t>05/06/2023 04:15</t>
  </si>
  <si>
    <t>05/06/2023 04:30</t>
  </si>
  <si>
    <t>05/06/2023 04:45</t>
  </si>
  <si>
    <t>05/06/2023 05:00</t>
  </si>
  <si>
    <t>05/06/2023 05:15</t>
  </si>
  <si>
    <t>05/06/2023 05:30</t>
  </si>
  <si>
    <t>05/06/2023 05:45</t>
  </si>
  <si>
    <t>05/06/2023 06:00</t>
  </si>
  <si>
    <t>05/06/2023 06:15</t>
  </si>
  <si>
    <t>05/06/2023 06:30</t>
  </si>
  <si>
    <t>05/06/2023 06:45</t>
  </si>
  <si>
    <t>05/06/2023 07:00</t>
  </si>
  <si>
    <t>05/06/2023 07:15</t>
  </si>
  <si>
    <t>05/06/2023 07:30</t>
  </si>
  <si>
    <t>05/06/2023 07:45</t>
  </si>
  <si>
    <t>05/06/2023 08:00</t>
  </si>
  <si>
    <t>05/06/2023 08:15</t>
  </si>
  <si>
    <t>05/06/2023 08:30</t>
  </si>
  <si>
    <t>05/06/2023 08:45</t>
  </si>
  <si>
    <t>05/06/2023 09:00</t>
  </si>
  <si>
    <t>05/06/2023 09:15</t>
  </si>
  <si>
    <t>05/06/2023 09:30</t>
  </si>
  <si>
    <t>05/06/2023 09:45</t>
  </si>
  <si>
    <t>05/06/2023 10:00</t>
  </si>
  <si>
    <t>05/06/2023 10:15</t>
  </si>
  <si>
    <t>05/06/2023 10:30</t>
  </si>
  <si>
    <t>05/06/2023 10:45</t>
  </si>
  <si>
    <t>05/06/2023 11:00</t>
  </si>
  <si>
    <t>05/06/2023 11:15</t>
  </si>
  <si>
    <t>05/06/2023 11:30</t>
  </si>
  <si>
    <t>05/06/2023 11:45</t>
  </si>
  <si>
    <t>05/06/2023 12:00</t>
  </si>
  <si>
    <t>05/06/2023 12:15</t>
  </si>
  <si>
    <t>05/06/2023 12:30</t>
  </si>
  <si>
    <t>05/06/2023 12:45</t>
  </si>
  <si>
    <t>05/06/2023 13:00</t>
  </si>
  <si>
    <t>05/06/2023 13:15</t>
  </si>
  <si>
    <t>05/06/2023 13:30</t>
  </si>
  <si>
    <t>05/06/2023 13:45</t>
  </si>
  <si>
    <t>05/06/2023 14:00</t>
  </si>
  <si>
    <t>05/06/2023 14:15</t>
  </si>
  <si>
    <t>05/06/2023 14:30</t>
  </si>
  <si>
    <t>05/06/2023 14:45</t>
  </si>
  <si>
    <t>05/06/2023 15:00</t>
  </si>
  <si>
    <t>05/06/2023 15:15</t>
  </si>
  <si>
    <t>05/06/2023 15:30</t>
  </si>
  <si>
    <t>05/06/2023 15:45</t>
  </si>
  <si>
    <t>05/06/2023 16:00</t>
  </si>
  <si>
    <t>05/06/2023 16:15</t>
  </si>
  <si>
    <t>05/06/2023 16:30</t>
  </si>
  <si>
    <t>05/06/2023 16:45</t>
  </si>
  <si>
    <t>05/06/2023 17:00</t>
  </si>
  <si>
    <t>05/06/2023 17:15</t>
  </si>
  <si>
    <t>05/06/2023 17:30</t>
  </si>
  <si>
    <t>05/06/2023 17:45</t>
  </si>
  <si>
    <t>05/06/2023 18:00</t>
  </si>
  <si>
    <t>05/06/2023 18:15</t>
  </si>
  <si>
    <t>05/06/2023 18:30</t>
  </si>
  <si>
    <t>05/06/2023 18:45</t>
  </si>
  <si>
    <t>05/06/2023 19:00</t>
  </si>
  <si>
    <t>05/06/2023 19:15</t>
  </si>
  <si>
    <t>05/06/2023 19:30</t>
  </si>
  <si>
    <t>05/06/2023 19:45</t>
  </si>
  <si>
    <t>05/06/2023 20:00</t>
  </si>
  <si>
    <t>05/06/2023 20:15</t>
  </si>
  <si>
    <t>05/06/2023 20:30</t>
  </si>
  <si>
    <t>05/06/2023 20:45</t>
  </si>
  <si>
    <t>05/06/2023 21:00</t>
  </si>
  <si>
    <t>05/06/2023 21:15</t>
  </si>
  <si>
    <t>05/06/2023 21:30</t>
  </si>
  <si>
    <t>05/06/2023 21:45</t>
  </si>
  <si>
    <t>05/06/2023 22:00</t>
  </si>
  <si>
    <t>05/06/2023 22:15</t>
  </si>
  <si>
    <t>05/06/2023 22:30</t>
  </si>
  <si>
    <t>05/06/2023 22:45</t>
  </si>
  <si>
    <t>05/06/2023 23:00</t>
  </si>
  <si>
    <t>05/06/2023 23:15</t>
  </si>
  <si>
    <t>05/06/2023 23:30</t>
  </si>
  <si>
    <t>05/06/2023 23:45</t>
  </si>
  <si>
    <t>05/06/2023 24:00</t>
  </si>
  <si>
    <t>06/06/2023 00:15</t>
  </si>
  <si>
    <t>06/06/2023 00:30</t>
  </si>
  <si>
    <t>06/06/2023 00:45</t>
  </si>
  <si>
    <t>06/06/2023 01:00</t>
  </si>
  <si>
    <t>06/06/2023 01:15</t>
  </si>
  <si>
    <t>06/06/2023 01:30</t>
  </si>
  <si>
    <t>06/06/2023 01:45</t>
  </si>
  <si>
    <t>06/06/2023 02:00</t>
  </si>
  <si>
    <t>06/06/2023 02:15</t>
  </si>
  <si>
    <t>06/06/2023 02:30</t>
  </si>
  <si>
    <t>06/06/2023 02:45</t>
  </si>
  <si>
    <t>06/06/2023 03:00</t>
  </si>
  <si>
    <t>06/06/2023 03:15</t>
  </si>
  <si>
    <t>06/06/2023 03:30</t>
  </si>
  <si>
    <t>06/06/2023 03:45</t>
  </si>
  <si>
    <t>06/06/2023 04:00</t>
  </si>
  <si>
    <t>06/06/2023 04:15</t>
  </si>
  <si>
    <t>06/06/2023 04:30</t>
  </si>
  <si>
    <t>06/06/2023 04:45</t>
  </si>
  <si>
    <t>06/06/2023 05:00</t>
  </si>
  <si>
    <t>06/06/2023 05:15</t>
  </si>
  <si>
    <t>06/06/2023 05:30</t>
  </si>
  <si>
    <t>06/06/2023 05:45</t>
  </si>
  <si>
    <t>06/06/2023 06:00</t>
  </si>
  <si>
    <t>06/06/2023 06:15</t>
  </si>
  <si>
    <t>06/06/2023 06:30</t>
  </si>
  <si>
    <t>06/06/2023 06:45</t>
  </si>
  <si>
    <t>06/06/2023 07:00</t>
  </si>
  <si>
    <t>06/06/2023 07:15</t>
  </si>
  <si>
    <t>06/06/2023 07:30</t>
  </si>
  <si>
    <t>06/06/2023 07:45</t>
  </si>
  <si>
    <t>06/06/2023 08:00</t>
  </si>
  <si>
    <t>06/06/2023 08:15</t>
  </si>
  <si>
    <t>06/06/2023 08:30</t>
  </si>
  <si>
    <t>06/06/2023 08:45</t>
  </si>
  <si>
    <t>06/06/2023 09:00</t>
  </si>
  <si>
    <t>06/06/2023 09:15</t>
  </si>
  <si>
    <t>06/06/2023 09:30</t>
  </si>
  <si>
    <t>06/06/2023 09:45</t>
  </si>
  <si>
    <t>06/06/2023 10:00</t>
  </si>
  <si>
    <t>06/06/2023 10:15</t>
  </si>
  <si>
    <t>06/06/2023 10:30</t>
  </si>
  <si>
    <t>06/06/2023 10:45</t>
  </si>
  <si>
    <t>06/06/2023 11:00</t>
  </si>
  <si>
    <t>06/06/2023 11:15</t>
  </si>
  <si>
    <t>06/06/2023 11:30</t>
  </si>
  <si>
    <t>06/06/2023 11:45</t>
  </si>
  <si>
    <t>06/06/2023 12:00</t>
  </si>
  <si>
    <t>06/06/2023 12:15</t>
  </si>
  <si>
    <t>06/06/2023 12:30</t>
  </si>
  <si>
    <t>06/06/2023 12:45</t>
  </si>
  <si>
    <t>06/06/2023 13:00</t>
  </si>
  <si>
    <t>06/06/2023 13:15</t>
  </si>
  <si>
    <t>06/06/2023 13:30</t>
  </si>
  <si>
    <t>06/06/2023 13:45</t>
  </si>
  <si>
    <t>06/06/2023 14:00</t>
  </si>
  <si>
    <t>06/06/2023 14:15</t>
  </si>
  <si>
    <t>06/06/2023 14:30</t>
  </si>
  <si>
    <t>06/06/2023 14:45</t>
  </si>
  <si>
    <t>06/06/2023 15:00</t>
  </si>
  <si>
    <t>06/06/2023 15:15</t>
  </si>
  <si>
    <t>06/06/2023 15:30</t>
  </si>
  <si>
    <t>06/06/2023 15:45</t>
  </si>
  <si>
    <t>06/06/2023 16:00</t>
  </si>
  <si>
    <t>06/06/2023 16:15</t>
  </si>
  <si>
    <t>06/06/2023 16:30</t>
  </si>
  <si>
    <t>06/06/2023 16:45</t>
  </si>
  <si>
    <t>06/06/2023 17:00</t>
  </si>
  <si>
    <t>06/06/2023 17:15</t>
  </si>
  <si>
    <t>06/06/2023 17:30</t>
  </si>
  <si>
    <t>06/06/2023 17:45</t>
  </si>
  <si>
    <t>06/06/2023 18:00</t>
  </si>
  <si>
    <t>06/06/2023 18:15</t>
  </si>
  <si>
    <t>06/06/2023 18:30</t>
  </si>
  <si>
    <t>06/06/2023 18:45</t>
  </si>
  <si>
    <t>06/06/2023 19:00</t>
  </si>
  <si>
    <t>06/06/2023 19:15</t>
  </si>
  <si>
    <t>06/06/2023 19:30</t>
  </si>
  <si>
    <t>06/06/2023 19:45</t>
  </si>
  <si>
    <t>06/06/2023 20:00</t>
  </si>
  <si>
    <t>06/06/2023 20:15</t>
  </si>
  <si>
    <t>06/06/2023 20:30</t>
  </si>
  <si>
    <t>06/06/2023 20:45</t>
  </si>
  <si>
    <t>06/06/2023 21:00</t>
  </si>
  <si>
    <t>06/06/2023 21:15</t>
  </si>
  <si>
    <t>06/06/2023 21:30</t>
  </si>
  <si>
    <t>06/06/2023 21:45</t>
  </si>
  <si>
    <t>06/06/2023 22:00</t>
  </si>
  <si>
    <t>06/06/2023 22:15</t>
  </si>
  <si>
    <t>06/06/2023 22:30</t>
  </si>
  <si>
    <t>06/06/2023 22:45</t>
  </si>
  <si>
    <t>06/06/2023 23:00</t>
  </si>
  <si>
    <t>06/06/2023 23:15</t>
  </si>
  <si>
    <t>06/06/2023 23:30</t>
  </si>
  <si>
    <t>06/06/2023 23:45</t>
  </si>
  <si>
    <t>06/06/2023 24:00</t>
  </si>
  <si>
    <t>07/06/2023 00:15</t>
  </si>
  <si>
    <t>07/06/2023 00:30</t>
  </si>
  <si>
    <t>07/06/2023 00:45</t>
  </si>
  <si>
    <t>07/06/2023 01:00</t>
  </si>
  <si>
    <t>07/06/2023 01:15</t>
  </si>
  <si>
    <t>07/06/2023 01:30</t>
  </si>
  <si>
    <t>07/06/2023 01:45</t>
  </si>
  <si>
    <t>07/06/2023 02:00</t>
  </si>
  <si>
    <t>07/06/2023 02:15</t>
  </si>
  <si>
    <t>07/06/2023 02:30</t>
  </si>
  <si>
    <t>07/06/2023 02:45</t>
  </si>
  <si>
    <t>07/06/2023 03:00</t>
  </si>
  <si>
    <t>07/06/2023 03:15</t>
  </si>
  <si>
    <t>07/06/2023 03:30</t>
  </si>
  <si>
    <t>07/06/2023 03:45</t>
  </si>
  <si>
    <t>07/06/2023 04:00</t>
  </si>
  <si>
    <t>07/06/2023 04:15</t>
  </si>
  <si>
    <t>07/06/2023 04:30</t>
  </si>
  <si>
    <t>07/06/2023 04:45</t>
  </si>
  <si>
    <t>07/06/2023 05:00</t>
  </si>
  <si>
    <t>07/06/2023 05:15</t>
  </si>
  <si>
    <t>07/06/2023 05:30</t>
  </si>
  <si>
    <t>07/06/2023 05:45</t>
  </si>
  <si>
    <t>07/06/2023 06:00</t>
  </si>
  <si>
    <t>07/06/2023 06:15</t>
  </si>
  <si>
    <t>07/06/2023 06:30</t>
  </si>
  <si>
    <t>07/06/2023 06:45</t>
  </si>
  <si>
    <t>07/06/2023 07:00</t>
  </si>
  <si>
    <t>07/06/2023 07:15</t>
  </si>
  <si>
    <t>07/06/2023 07:30</t>
  </si>
  <si>
    <t>07/06/2023 07:45</t>
  </si>
  <si>
    <t>07/06/2023 08:00</t>
  </si>
  <si>
    <t>07/06/2023 08:15</t>
  </si>
  <si>
    <t>07/06/2023 08:30</t>
  </si>
  <si>
    <t>07/06/2023 08:45</t>
  </si>
  <si>
    <t>07/06/2023 09:00</t>
  </si>
  <si>
    <t>07/06/2023 09:15</t>
  </si>
  <si>
    <t>07/06/2023 09:30</t>
  </si>
  <si>
    <t>07/06/2023 09:45</t>
  </si>
  <si>
    <t>07/06/2023 10:00</t>
  </si>
  <si>
    <t>07/06/2023 10:15</t>
  </si>
  <si>
    <t>07/06/2023 10:30</t>
  </si>
  <si>
    <t>07/06/2023 10:45</t>
  </si>
  <si>
    <t>07/06/2023 11:00</t>
  </si>
  <si>
    <t>07/06/2023 11:15</t>
  </si>
  <si>
    <t>07/06/2023 11:30</t>
  </si>
  <si>
    <t>07/06/2023 11:45</t>
  </si>
  <si>
    <t>07/06/2023 12:00</t>
  </si>
  <si>
    <t>07/06/2023 12:15</t>
  </si>
  <si>
    <t>07/06/2023 12:30</t>
  </si>
  <si>
    <t>07/06/2023 12:45</t>
  </si>
  <si>
    <t>07/06/2023 13:00</t>
  </si>
  <si>
    <t>07/06/2023 13:15</t>
  </si>
  <si>
    <t>07/06/2023 13:30</t>
  </si>
  <si>
    <t>07/06/2023 13:45</t>
  </si>
  <si>
    <t>07/06/2023 14:00</t>
  </si>
  <si>
    <t>07/06/2023 14:15</t>
  </si>
  <si>
    <t>07/06/2023 14:30</t>
  </si>
  <si>
    <t>07/06/2023 14:45</t>
  </si>
  <si>
    <t>07/06/2023 15:00</t>
  </si>
  <si>
    <t>07/06/2023 15:15</t>
  </si>
  <si>
    <t>07/06/2023 15:30</t>
  </si>
  <si>
    <t>07/06/2023 15:45</t>
  </si>
  <si>
    <t>07/06/2023 16:00</t>
  </si>
  <si>
    <t>07/06/2023 16:15</t>
  </si>
  <si>
    <t>07/06/2023 16:30</t>
  </si>
  <si>
    <t>07/06/2023 16:45</t>
  </si>
  <si>
    <t>07/06/2023 17:00</t>
  </si>
  <si>
    <t>07/06/2023 17:15</t>
  </si>
  <si>
    <t>07/06/2023 17:30</t>
  </si>
  <si>
    <t>07/06/2023 17:45</t>
  </si>
  <si>
    <t>07/06/2023 18:00</t>
  </si>
  <si>
    <t>07/06/2023 18:15</t>
  </si>
  <si>
    <t>07/06/2023 18:30</t>
  </si>
  <si>
    <t>07/06/2023 18:45</t>
  </si>
  <si>
    <t>07/06/2023 19:00</t>
  </si>
  <si>
    <t>07/06/2023 19:15</t>
  </si>
  <si>
    <t>07/06/2023 19:30</t>
  </si>
  <si>
    <t>07/06/2023 19:45</t>
  </si>
  <si>
    <t>07/06/2023 20:00</t>
  </si>
  <si>
    <t>07/06/2023 20:15</t>
  </si>
  <si>
    <t>07/06/2023 20:30</t>
  </si>
  <si>
    <t>07/06/2023 20:45</t>
  </si>
  <si>
    <t>07/06/2023 21:00</t>
  </si>
  <si>
    <t>07/06/2023 21:15</t>
  </si>
  <si>
    <t>07/06/2023 21:30</t>
  </si>
  <si>
    <t>07/06/2023 21:45</t>
  </si>
  <si>
    <t>07/06/2023 22:00</t>
  </si>
  <si>
    <t>07/06/2023 22:15</t>
  </si>
  <si>
    <t>07/06/2023 22:30</t>
  </si>
  <si>
    <t>07/06/2023 22:45</t>
  </si>
  <si>
    <t>07/06/2023 23:00</t>
  </si>
  <si>
    <t>07/06/2023 23:15</t>
  </si>
  <si>
    <t>07/06/2023 23:30</t>
  </si>
  <si>
    <t>07/06/2023 23:45</t>
  </si>
  <si>
    <t>07/06/2023 24:00</t>
  </si>
  <si>
    <t>08/06/2023 00:15</t>
  </si>
  <si>
    <t>08/06/2023 00:30</t>
  </si>
  <si>
    <t>08/06/2023 00:45</t>
  </si>
  <si>
    <t>08/06/2023 01:00</t>
  </si>
  <si>
    <t>08/06/2023 01:15</t>
  </si>
  <si>
    <t>08/06/2023 01:30</t>
  </si>
  <si>
    <t>08/06/2023 01:45</t>
  </si>
  <si>
    <t>08/06/2023 02:00</t>
  </si>
  <si>
    <t>08/06/2023 02:15</t>
  </si>
  <si>
    <t>08/06/2023 02:30</t>
  </si>
  <si>
    <t>08/06/2023 02:45</t>
  </si>
  <si>
    <t>08/06/2023 03:00</t>
  </si>
  <si>
    <t>08/06/2023 03:15</t>
  </si>
  <si>
    <t>08/06/2023 03:30</t>
  </si>
  <si>
    <t>08/06/2023 03:45</t>
  </si>
  <si>
    <t>08/06/2023 04:00</t>
  </si>
  <si>
    <t>08/06/2023 04:15</t>
  </si>
  <si>
    <t>08/06/2023 04:30</t>
  </si>
  <si>
    <t>08/06/2023 04:45</t>
  </si>
  <si>
    <t>08/06/2023 05:00</t>
  </si>
  <si>
    <t>08/06/2023 05:15</t>
  </si>
  <si>
    <t>08/06/2023 05:30</t>
  </si>
  <si>
    <t>08/06/2023 05:45</t>
  </si>
  <si>
    <t>08/06/2023 06:00</t>
  </si>
  <si>
    <t>08/06/2023 06:15</t>
  </si>
  <si>
    <t>08/06/2023 06:30</t>
  </si>
  <si>
    <t>08/06/2023 06:45</t>
  </si>
  <si>
    <t>08/06/2023 07:00</t>
  </si>
  <si>
    <t>08/06/2023 07:15</t>
  </si>
  <si>
    <t>08/06/2023 07:30</t>
  </si>
  <si>
    <t>08/06/2023 07:45</t>
  </si>
  <si>
    <t>08/06/2023 08:00</t>
  </si>
  <si>
    <t>08/06/2023 08:15</t>
  </si>
  <si>
    <t>08/06/2023 08:30</t>
  </si>
  <si>
    <t>08/06/2023 08:45</t>
  </si>
  <si>
    <t>08/06/2023 09:00</t>
  </si>
  <si>
    <t>08/06/2023 09:15</t>
  </si>
  <si>
    <t>08/06/2023 09:30</t>
  </si>
  <si>
    <t>08/06/2023 09:45</t>
  </si>
  <si>
    <t>08/06/2023 10:00</t>
  </si>
  <si>
    <t>08/06/2023 10:15</t>
  </si>
  <si>
    <t>08/06/2023 10:30</t>
  </si>
  <si>
    <t>08/06/2023 10:45</t>
  </si>
  <si>
    <t>08/06/2023 11:00</t>
  </si>
  <si>
    <t>08/06/2023 11:15</t>
  </si>
  <si>
    <t>08/06/2023 11:30</t>
  </si>
  <si>
    <t>08/06/2023 11:45</t>
  </si>
  <si>
    <t>08/06/2023 12:00</t>
  </si>
  <si>
    <t>08/06/2023 12:15</t>
  </si>
  <si>
    <t>08/06/2023 12:30</t>
  </si>
  <si>
    <t>08/06/2023 12:45</t>
  </si>
  <si>
    <t>08/06/2023 13:00</t>
  </si>
  <si>
    <t>08/06/2023 13:15</t>
  </si>
  <si>
    <t>08/06/2023 13:30</t>
  </si>
  <si>
    <t>08/06/2023 13:45</t>
  </si>
  <si>
    <t>08/06/2023 14:00</t>
  </si>
  <si>
    <t>08/06/2023 14:15</t>
  </si>
  <si>
    <t>08/06/2023 14:30</t>
  </si>
  <si>
    <t>08/06/2023 14:45</t>
  </si>
  <si>
    <t>08/06/2023 15:00</t>
  </si>
  <si>
    <t>08/06/2023 15:15</t>
  </si>
  <si>
    <t>08/06/2023 15:30</t>
  </si>
  <si>
    <t>08/06/2023 15:45</t>
  </si>
  <si>
    <t>08/06/2023 16:00</t>
  </si>
  <si>
    <t>08/06/2023 16:15</t>
  </si>
  <si>
    <t>08/06/2023 16:30</t>
  </si>
  <si>
    <t>08/06/2023 16:45</t>
  </si>
  <si>
    <t>08/06/2023 17:00</t>
  </si>
  <si>
    <t>08/06/2023 17:15</t>
  </si>
  <si>
    <t>08/06/2023 17:30</t>
  </si>
  <si>
    <t>08/06/2023 17:45</t>
  </si>
  <si>
    <t>08/06/2023 18:00</t>
  </si>
  <si>
    <t>08/06/2023 18:15</t>
  </si>
  <si>
    <t>08/06/2023 18:30</t>
  </si>
  <si>
    <t>08/06/2023 18:45</t>
  </si>
  <si>
    <t>08/06/2023 19:00</t>
  </si>
  <si>
    <t>08/06/2023 19:15</t>
  </si>
  <si>
    <t>08/06/2023 19:30</t>
  </si>
  <si>
    <t>08/06/2023 19:45</t>
  </si>
  <si>
    <t>08/06/2023 20:00</t>
  </si>
  <si>
    <t>08/06/2023 20:15</t>
  </si>
  <si>
    <t>08/06/2023 20:30</t>
  </si>
  <si>
    <t>08/06/2023 20:45</t>
  </si>
  <si>
    <t>08/06/2023 21:00</t>
  </si>
  <si>
    <t>08/06/2023 21:15</t>
  </si>
  <si>
    <t>08/06/2023 21:30</t>
  </si>
  <si>
    <t>08/06/2023 21:45</t>
  </si>
  <si>
    <t>08/06/2023 22:00</t>
  </si>
  <si>
    <t>08/06/2023 22:15</t>
  </si>
  <si>
    <t>08/06/2023 22:30</t>
  </si>
  <si>
    <t>08/06/2023 22:45</t>
  </si>
  <si>
    <t>08/06/2023 23:00</t>
  </si>
  <si>
    <t>08/06/2023 23:15</t>
  </si>
  <si>
    <t>08/06/2023 23:30</t>
  </si>
  <si>
    <t>08/06/2023 23:45</t>
  </si>
  <si>
    <t>08/06/2023 24:00</t>
  </si>
  <si>
    <t>09/06/2023 00:15</t>
  </si>
  <si>
    <t>09/06/2023 00:30</t>
  </si>
  <si>
    <t>09/06/2023 00:45</t>
  </si>
  <si>
    <t>09/06/2023 01:00</t>
  </si>
  <si>
    <t>09/06/2023 01:15</t>
  </si>
  <si>
    <t>09/06/2023 01:30</t>
  </si>
  <si>
    <t>09/06/2023 01:45</t>
  </si>
  <si>
    <t>09/06/2023 02:00</t>
  </si>
  <si>
    <t>09/06/2023 02:15</t>
  </si>
  <si>
    <t>09/06/2023 02:30</t>
  </si>
  <si>
    <t>09/06/2023 02:45</t>
  </si>
  <si>
    <t>09/06/2023 03:00</t>
  </si>
  <si>
    <t>09/06/2023 03:15</t>
  </si>
  <si>
    <t>09/06/2023 03:30</t>
  </si>
  <si>
    <t>09/06/2023 03:45</t>
  </si>
  <si>
    <t>09/06/2023 04:00</t>
  </si>
  <si>
    <t>09/06/2023 04:15</t>
  </si>
  <si>
    <t>09/06/2023 04:30</t>
  </si>
  <si>
    <t>09/06/2023 04:45</t>
  </si>
  <si>
    <t>09/06/2023 05:00</t>
  </si>
  <si>
    <t>09/06/2023 05:15</t>
  </si>
  <si>
    <t>09/06/2023 05:30</t>
  </si>
  <si>
    <t>09/06/2023 05:45</t>
  </si>
  <si>
    <t>09/06/2023 06:00</t>
  </si>
  <si>
    <t>09/06/2023 06:15</t>
  </si>
  <si>
    <t>09/06/2023 06:30</t>
  </si>
  <si>
    <t>09/06/2023 06:45</t>
  </si>
  <si>
    <t>09/06/2023 07:00</t>
  </si>
  <si>
    <t>09/06/2023 07:15</t>
  </si>
  <si>
    <t>09/06/2023 07:30</t>
  </si>
  <si>
    <t>09/06/2023 07:45</t>
  </si>
  <si>
    <t>09/06/2023 08:00</t>
  </si>
  <si>
    <t>09/06/2023 08:15</t>
  </si>
  <si>
    <t>09/06/2023 08:30</t>
  </si>
  <si>
    <t>09/06/2023 08:45</t>
  </si>
  <si>
    <t>09/06/2023 09:00</t>
  </si>
  <si>
    <t>09/06/2023 09:15</t>
  </si>
  <si>
    <t>09/06/2023 09:30</t>
  </si>
  <si>
    <t>09/06/2023 09:45</t>
  </si>
  <si>
    <t>09/06/2023 10:00</t>
  </si>
  <si>
    <t>09/06/2023 10:15</t>
  </si>
  <si>
    <t>09/06/2023 10:30</t>
  </si>
  <si>
    <t>09/06/2023 10:45</t>
  </si>
  <si>
    <t>09/06/2023 11:00</t>
  </si>
  <si>
    <t>09/06/2023 11:15</t>
  </si>
  <si>
    <t>09/06/2023 11:30</t>
  </si>
  <si>
    <t>09/06/2023 11:45</t>
  </si>
  <si>
    <t>09/06/2023 12:00</t>
  </si>
  <si>
    <t>09/06/2023 12:15</t>
  </si>
  <si>
    <t>09/06/2023 12:30</t>
  </si>
  <si>
    <t>09/06/2023 12:45</t>
  </si>
  <si>
    <t>09/06/2023 13:00</t>
  </si>
  <si>
    <t>09/06/2023 13:15</t>
  </si>
  <si>
    <t>09/06/2023 13:30</t>
  </si>
  <si>
    <t>09/06/2023 13:45</t>
  </si>
  <si>
    <t>09/06/2023 14:00</t>
  </si>
  <si>
    <t>09/06/2023 14:15</t>
  </si>
  <si>
    <t>09/06/2023 14:30</t>
  </si>
  <si>
    <t>09/06/2023 14:45</t>
  </si>
  <si>
    <t>09/06/2023 15:00</t>
  </si>
  <si>
    <t>09/06/2023 15:15</t>
  </si>
  <si>
    <t>09/06/2023 15:30</t>
  </si>
  <si>
    <t>09/06/2023 15:45</t>
  </si>
  <si>
    <t>09/06/2023 16:00</t>
  </si>
  <si>
    <t>09/06/2023 16:15</t>
  </si>
  <si>
    <t>09/06/2023 16:30</t>
  </si>
  <si>
    <t>09/06/2023 16:45</t>
  </si>
  <si>
    <t>09/06/2023 17:00</t>
  </si>
  <si>
    <t>09/06/2023 17:15</t>
  </si>
  <si>
    <t>09/06/2023 17:30</t>
  </si>
  <si>
    <t>09/06/2023 17:45</t>
  </si>
  <si>
    <t>09/06/2023 18:00</t>
  </si>
  <si>
    <t>09/06/2023 18:15</t>
  </si>
  <si>
    <t>09/06/2023 18:30</t>
  </si>
  <si>
    <t>09/06/2023 18:45</t>
  </si>
  <si>
    <t>09/06/2023 19:00</t>
  </si>
  <si>
    <t>09/06/2023 19:15</t>
  </si>
  <si>
    <t>09/06/2023 19:30</t>
  </si>
  <si>
    <t>09/06/2023 19:45</t>
  </si>
  <si>
    <t>09/06/2023 20:00</t>
  </si>
  <si>
    <t>09/06/2023 20:15</t>
  </si>
  <si>
    <t>09/06/2023 20:30</t>
  </si>
  <si>
    <t>09/06/2023 20:45</t>
  </si>
  <si>
    <t>09/06/2023 21:00</t>
  </si>
  <si>
    <t>09/06/2023 21:15</t>
  </si>
  <si>
    <t>09/06/2023 21:30</t>
  </si>
  <si>
    <t>09/06/2023 21:45</t>
  </si>
  <si>
    <t>09/06/2023 22:00</t>
  </si>
  <si>
    <t>09/06/2023 22:15</t>
  </si>
  <si>
    <t>09/06/2023 22:30</t>
  </si>
  <si>
    <t>09/06/2023 22:45</t>
  </si>
  <si>
    <t>09/06/2023 23:00</t>
  </si>
  <si>
    <t>09/06/2023 23:15</t>
  </si>
  <si>
    <t>09/06/2023 23:30</t>
  </si>
  <si>
    <t>09/06/2023 23:45</t>
  </si>
  <si>
    <t>09/06/2023 24:00</t>
  </si>
  <si>
    <t>10/06/2023 00:15</t>
  </si>
  <si>
    <t>10/06/2023 00:30</t>
  </si>
  <si>
    <t>10/06/2023 00:45</t>
  </si>
  <si>
    <t>10/06/2023 01:00</t>
  </si>
  <si>
    <t>10/06/2023 01:15</t>
  </si>
  <si>
    <t>10/06/2023 01:30</t>
  </si>
  <si>
    <t>10/06/2023 01:45</t>
  </si>
  <si>
    <t>10/06/2023 02:00</t>
  </si>
  <si>
    <t>10/06/2023 02:15</t>
  </si>
  <si>
    <t>10/06/2023 02:30</t>
  </si>
  <si>
    <t>10/06/2023 02:45</t>
  </si>
  <si>
    <t>10/06/2023 03:00</t>
  </si>
  <si>
    <t>10/06/2023 03:15</t>
  </si>
  <si>
    <t>10/06/2023 03:30</t>
  </si>
  <si>
    <t>10/06/2023 03:45</t>
  </si>
  <si>
    <t>10/06/2023 04:00</t>
  </si>
  <si>
    <t>10/06/2023 04:15</t>
  </si>
  <si>
    <t>10/06/2023 04:30</t>
  </si>
  <si>
    <t>10/06/2023 04:45</t>
  </si>
  <si>
    <t>10/06/2023 05:00</t>
  </si>
  <si>
    <t>10/06/2023 05:15</t>
  </si>
  <si>
    <t>10/06/2023 05:30</t>
  </si>
  <si>
    <t>10/06/2023 05:45</t>
  </si>
  <si>
    <t>10/06/2023 06:00</t>
  </si>
  <si>
    <t>10/06/2023 06:15</t>
  </si>
  <si>
    <t>10/06/2023 06:30</t>
  </si>
  <si>
    <t>10/06/2023 06:45</t>
  </si>
  <si>
    <t>10/06/2023 07:00</t>
  </si>
  <si>
    <t>10/06/2023 07:15</t>
  </si>
  <si>
    <t>10/06/2023 07:30</t>
  </si>
  <si>
    <t>10/06/2023 07:45</t>
  </si>
  <si>
    <t>10/06/2023 08:00</t>
  </si>
  <si>
    <t>10/06/2023 08:15</t>
  </si>
  <si>
    <t>10/06/2023 08:30</t>
  </si>
  <si>
    <t>10/06/2023 08:45</t>
  </si>
  <si>
    <t>10/06/2023 09:00</t>
  </si>
  <si>
    <t>10/06/2023 09:15</t>
  </si>
  <si>
    <t>10/06/2023 09:30</t>
  </si>
  <si>
    <t>10/06/2023 09:45</t>
  </si>
  <si>
    <t>10/06/2023 10:00</t>
  </si>
  <si>
    <t>10/06/2023 10:15</t>
  </si>
  <si>
    <t>10/06/2023 10:30</t>
  </si>
  <si>
    <t>10/06/2023 10:45</t>
  </si>
  <si>
    <t>10/06/2023 11:00</t>
  </si>
  <si>
    <t>10/06/2023 11:15</t>
  </si>
  <si>
    <t>10/06/2023 11:30</t>
  </si>
  <si>
    <t>10/06/2023 11:45</t>
  </si>
  <si>
    <t>10/06/2023 12:00</t>
  </si>
  <si>
    <t>10/06/2023 12:15</t>
  </si>
  <si>
    <t>10/06/2023 12:30</t>
  </si>
  <si>
    <t>10/06/2023 12:45</t>
  </si>
  <si>
    <t>10/06/2023 13:00</t>
  </si>
  <si>
    <t>10/06/2023 13:15</t>
  </si>
  <si>
    <t>10/06/2023 13:30</t>
  </si>
  <si>
    <t>10/06/2023 13:45</t>
  </si>
  <si>
    <t>10/06/2023 14:00</t>
  </si>
  <si>
    <t>10/06/2023 14:15</t>
  </si>
  <si>
    <t>10/06/2023 14:30</t>
  </si>
  <si>
    <t>10/06/2023 14:45</t>
  </si>
  <si>
    <t>10/06/2023 15:00</t>
  </si>
  <si>
    <t>10/06/2023 15:15</t>
  </si>
  <si>
    <t>10/06/2023 15:30</t>
  </si>
  <si>
    <t>10/06/2023 15:45</t>
  </si>
  <si>
    <t>10/06/2023 16:00</t>
  </si>
  <si>
    <t>10/06/2023 16:15</t>
  </si>
  <si>
    <t>10/06/2023 16:30</t>
  </si>
  <si>
    <t>10/06/2023 16:45</t>
  </si>
  <si>
    <t>10/06/2023 17:00</t>
  </si>
  <si>
    <t>10/06/2023 17:15</t>
  </si>
  <si>
    <t>10/06/2023 17:30</t>
  </si>
  <si>
    <t>10/06/2023 17:45</t>
  </si>
  <si>
    <t>10/06/2023 18:00</t>
  </si>
  <si>
    <t>10/06/2023 18:15</t>
  </si>
  <si>
    <t>10/06/2023 18:30</t>
  </si>
  <si>
    <t>10/06/2023 18:45</t>
  </si>
  <si>
    <t>10/06/2023 19:00</t>
  </si>
  <si>
    <t>10/06/2023 19:15</t>
  </si>
  <si>
    <t>10/06/2023 19:30</t>
  </si>
  <si>
    <t>10/06/2023 19:45</t>
  </si>
  <si>
    <t>10/06/2023 20:00</t>
  </si>
  <si>
    <t>10/06/2023 20:15</t>
  </si>
  <si>
    <t>10/06/2023 20:30</t>
  </si>
  <si>
    <t>10/06/2023 20:45</t>
  </si>
  <si>
    <t>10/06/2023 21:00</t>
  </si>
  <si>
    <t>10/06/2023 21:15</t>
  </si>
  <si>
    <t>10/06/2023 21:30</t>
  </si>
  <si>
    <t>10/06/2023 21:45</t>
  </si>
  <si>
    <t>10/06/2023 22:00</t>
  </si>
  <si>
    <t>10/06/2023 22:15</t>
  </si>
  <si>
    <t>10/06/2023 22:30</t>
  </si>
  <si>
    <t>10/06/2023 22:45</t>
  </si>
  <si>
    <t>10/06/2023 23:00</t>
  </si>
  <si>
    <t>10/06/2023 23:15</t>
  </si>
  <si>
    <t>10/06/2023 23:30</t>
  </si>
  <si>
    <t>10/06/2023 23:45</t>
  </si>
  <si>
    <t>10/06/2023 24:00</t>
  </si>
  <si>
    <t>11/06/2023 00:15</t>
  </si>
  <si>
    <t>11/06/2023 00:30</t>
  </si>
  <si>
    <t>11/06/2023 00:45</t>
  </si>
  <si>
    <t>11/06/2023 01:00</t>
  </si>
  <si>
    <t>11/06/2023 01:15</t>
  </si>
  <si>
    <t>11/06/2023 01:30</t>
  </si>
  <si>
    <t>11/06/2023 01:45</t>
  </si>
  <si>
    <t>11/06/2023 02:00</t>
  </si>
  <si>
    <t>11/06/2023 02:15</t>
  </si>
  <si>
    <t>11/06/2023 02:30</t>
  </si>
  <si>
    <t>11/06/2023 02:45</t>
  </si>
  <si>
    <t>11/06/2023 03:00</t>
  </si>
  <si>
    <t>11/06/2023 03:15</t>
  </si>
  <si>
    <t>11/06/2023 03:30</t>
  </si>
  <si>
    <t>11/06/2023 03:45</t>
  </si>
  <si>
    <t>11/06/2023 04:00</t>
  </si>
  <si>
    <t>11/06/2023 04:15</t>
  </si>
  <si>
    <t>11/06/2023 04:30</t>
  </si>
  <si>
    <t>11/06/2023 04:45</t>
  </si>
  <si>
    <t>11/06/2023 05:00</t>
  </si>
  <si>
    <t>11/06/2023 05:15</t>
  </si>
  <si>
    <t>11/06/2023 05:30</t>
  </si>
  <si>
    <t>11/06/2023 05:45</t>
  </si>
  <si>
    <t>11/06/2023 06:00</t>
  </si>
  <si>
    <t>11/06/2023 06:15</t>
  </si>
  <si>
    <t>11/06/2023 06:30</t>
  </si>
  <si>
    <t>11/06/2023 06:45</t>
  </si>
  <si>
    <t>11/06/2023 07:00</t>
  </si>
  <si>
    <t>11/06/2023 07:15</t>
  </si>
  <si>
    <t>11/06/2023 07:30</t>
  </si>
  <si>
    <t>11/06/2023 07:45</t>
  </si>
  <si>
    <t>11/06/2023 08:00</t>
  </si>
  <si>
    <t>11/06/2023 08:15</t>
  </si>
  <si>
    <t>11/06/2023 08:30</t>
  </si>
  <si>
    <t>11/06/2023 08:45</t>
  </si>
  <si>
    <t>11/06/2023 09:00</t>
  </si>
  <si>
    <t>11/06/2023 09:15</t>
  </si>
  <si>
    <t>11/06/2023 09:30</t>
  </si>
  <si>
    <t>11/06/2023 09:45</t>
  </si>
  <si>
    <t>11/06/2023 10:00</t>
  </si>
  <si>
    <t>11/06/2023 10:15</t>
  </si>
  <si>
    <t>11/06/2023 10:30</t>
  </si>
  <si>
    <t>11/06/2023 10:45</t>
  </si>
  <si>
    <t>11/06/2023 11:00</t>
  </si>
  <si>
    <t>11/06/2023 11:15</t>
  </si>
  <si>
    <t>11/06/2023 11:30</t>
  </si>
  <si>
    <t>11/06/2023 11:45</t>
  </si>
  <si>
    <t>11/06/2023 12:00</t>
  </si>
  <si>
    <t>11/06/2023 12:15</t>
  </si>
  <si>
    <t>11/06/2023 12:30</t>
  </si>
  <si>
    <t>11/06/2023 12:45</t>
  </si>
  <si>
    <t>11/06/2023 13:00</t>
  </si>
  <si>
    <t>11/06/2023 13:15</t>
  </si>
  <si>
    <t>11/06/2023 13:30</t>
  </si>
  <si>
    <t>11/06/2023 13:45</t>
  </si>
  <si>
    <t>11/06/2023 14:00</t>
  </si>
  <si>
    <t>11/06/2023 14:15</t>
  </si>
  <si>
    <t>11/06/2023 14:30</t>
  </si>
  <si>
    <t>11/06/2023 14:45</t>
  </si>
  <si>
    <t>11/06/2023 15:00</t>
  </si>
  <si>
    <t>11/06/2023 15:15</t>
  </si>
  <si>
    <t>11/06/2023 15:30</t>
  </si>
  <si>
    <t>11/06/2023 15:45</t>
  </si>
  <si>
    <t>11/06/2023 16:00</t>
  </si>
  <si>
    <t>11/06/2023 16:15</t>
  </si>
  <si>
    <t>11/06/2023 16:30</t>
  </si>
  <si>
    <t>11/06/2023 16:45</t>
  </si>
  <si>
    <t>11/06/2023 17:00</t>
  </si>
  <si>
    <t>11/06/2023 17:15</t>
  </si>
  <si>
    <t>11/06/2023 17:30</t>
  </si>
  <si>
    <t>11/06/2023 17:45</t>
  </si>
  <si>
    <t>11/06/2023 18:00</t>
  </si>
  <si>
    <t>11/06/2023 18:15</t>
  </si>
  <si>
    <t>11/06/2023 18:30</t>
  </si>
  <si>
    <t>11/06/2023 18:45</t>
  </si>
  <si>
    <t>11/06/2023 19:00</t>
  </si>
  <si>
    <t>11/06/2023 19:15</t>
  </si>
  <si>
    <t>11/06/2023 19:30</t>
  </si>
  <si>
    <t>11/06/2023 19:45</t>
  </si>
  <si>
    <t>11/06/2023 20:00</t>
  </si>
  <si>
    <t>11/06/2023 20:15</t>
  </si>
  <si>
    <t>11/06/2023 20:30</t>
  </si>
  <si>
    <t>11/06/2023 20:45</t>
  </si>
  <si>
    <t>11/06/2023 21:00</t>
  </si>
  <si>
    <t>11/06/2023 21:15</t>
  </si>
  <si>
    <t>11/06/2023 21:30</t>
  </si>
  <si>
    <t>11/06/2023 21:45</t>
  </si>
  <si>
    <t>11/06/2023 22:00</t>
  </si>
  <si>
    <t>11/06/2023 22:15</t>
  </si>
  <si>
    <t>11/06/2023 22:30</t>
  </si>
  <si>
    <t>11/06/2023 22:45</t>
  </si>
  <si>
    <t>11/06/2023 23:00</t>
  </si>
  <si>
    <t>11/06/2023 23:15</t>
  </si>
  <si>
    <t>11/06/2023 23:30</t>
  </si>
  <si>
    <t>11/06/2023 23:45</t>
  </si>
  <si>
    <t>11/06/2023 24:00</t>
  </si>
  <si>
    <t>12/06/2023 00:15</t>
  </si>
  <si>
    <t>12/06/2023 00:30</t>
  </si>
  <si>
    <t>12/06/2023 00:45</t>
  </si>
  <si>
    <t>12/06/2023 01:00</t>
  </si>
  <si>
    <t>12/06/2023 01:15</t>
  </si>
  <si>
    <t>12/06/2023 01:30</t>
  </si>
  <si>
    <t>12/06/2023 01:45</t>
  </si>
  <si>
    <t>12/06/2023 02:00</t>
  </si>
  <si>
    <t>12/06/2023 02:15</t>
  </si>
  <si>
    <t>12/06/2023 02:30</t>
  </si>
  <si>
    <t>12/06/2023 02:45</t>
  </si>
  <si>
    <t>12/06/2023 03:00</t>
  </si>
  <si>
    <t>12/06/2023 03:15</t>
  </si>
  <si>
    <t>12/06/2023 03:30</t>
  </si>
  <si>
    <t>12/06/2023 03:45</t>
  </si>
  <si>
    <t>12/06/2023 04:00</t>
  </si>
  <si>
    <t>12/06/2023 04:15</t>
  </si>
  <si>
    <t>12/06/2023 04:30</t>
  </si>
  <si>
    <t>12/06/2023 04:45</t>
  </si>
  <si>
    <t>12/06/2023 05:00</t>
  </si>
  <si>
    <t>12/06/2023 05:15</t>
  </si>
  <si>
    <t>12/06/2023 05:30</t>
  </si>
  <si>
    <t>12/06/2023 05:45</t>
  </si>
  <si>
    <t>12/06/2023 06:00</t>
  </si>
  <si>
    <t>12/06/2023 06:15</t>
  </si>
  <si>
    <t>12/06/2023 06:30</t>
  </si>
  <si>
    <t>12/06/2023 06:45</t>
  </si>
  <si>
    <t>12/06/2023 07:00</t>
  </si>
  <si>
    <t>12/06/2023 07:15</t>
  </si>
  <si>
    <t>12/06/2023 07:30</t>
  </si>
  <si>
    <t>12/06/2023 07:45</t>
  </si>
  <si>
    <t>12/06/2023 08:00</t>
  </si>
  <si>
    <t>12/06/2023 08:15</t>
  </si>
  <si>
    <t>12/06/2023 08:30</t>
  </si>
  <si>
    <t>12/06/2023 08:45</t>
  </si>
  <si>
    <t>12/06/2023 09:00</t>
  </si>
  <si>
    <t>12/06/2023 09:15</t>
  </si>
  <si>
    <t>12/06/2023 09:30</t>
  </si>
  <si>
    <t>12/06/2023 09:45</t>
  </si>
  <si>
    <t>12/06/2023 10:00</t>
  </si>
  <si>
    <t>12/06/2023 10:15</t>
  </si>
  <si>
    <t>12/06/2023 10:30</t>
  </si>
  <si>
    <t>12/06/2023 10:45</t>
  </si>
  <si>
    <t>12/06/2023 11:00</t>
  </si>
  <si>
    <t>12/06/2023 11:15</t>
  </si>
  <si>
    <t>12/06/2023 11:30</t>
  </si>
  <si>
    <t>12/06/2023 11:45</t>
  </si>
  <si>
    <t>12/06/2023 12:00</t>
  </si>
  <si>
    <t>12/06/2023 12:15</t>
  </si>
  <si>
    <t>12/06/2023 12:30</t>
  </si>
  <si>
    <t>12/06/2023 12:45</t>
  </si>
  <si>
    <t>12/06/2023 13:00</t>
  </si>
  <si>
    <t>12/06/2023 13:15</t>
  </si>
  <si>
    <t>12/06/2023 13:30</t>
  </si>
  <si>
    <t>12/06/2023 13:45</t>
  </si>
  <si>
    <t>12/06/2023 14:00</t>
  </si>
  <si>
    <t>12/06/2023 14:15</t>
  </si>
  <si>
    <t>12/06/2023 14:30</t>
  </si>
  <si>
    <t>12/06/2023 14:45</t>
  </si>
  <si>
    <t>12/06/2023 15:00</t>
  </si>
  <si>
    <t>12/06/2023 15:15</t>
  </si>
  <si>
    <t>12/06/2023 15:30</t>
  </si>
  <si>
    <t>12/06/2023 15:45</t>
  </si>
  <si>
    <t>12/06/2023 16:00</t>
  </si>
  <si>
    <t>12/06/2023 16:15</t>
  </si>
  <si>
    <t>12/06/2023 16:30</t>
  </si>
  <si>
    <t>12/06/2023 16:45</t>
  </si>
  <si>
    <t>12/06/2023 17:00</t>
  </si>
  <si>
    <t>12/06/2023 17:15</t>
  </si>
  <si>
    <t>12/06/2023 17:30</t>
  </si>
  <si>
    <t>12/06/2023 17:45</t>
  </si>
  <si>
    <t>12/06/2023 18:00</t>
  </si>
  <si>
    <t>12/06/2023 18:15</t>
  </si>
  <si>
    <t>12/06/2023 18:30</t>
  </si>
  <si>
    <t>12/06/2023 18:45</t>
  </si>
  <si>
    <t>12/06/2023 19:00</t>
  </si>
  <si>
    <t>12/06/2023 19:15</t>
  </si>
  <si>
    <t>12/06/2023 19:30</t>
  </si>
  <si>
    <t>12/06/2023 19:45</t>
  </si>
  <si>
    <t>12/06/2023 20:00</t>
  </si>
  <si>
    <t>12/06/2023 20:15</t>
  </si>
  <si>
    <t>12/06/2023 20:30</t>
  </si>
  <si>
    <t>12/06/2023 20:45</t>
  </si>
  <si>
    <t>12/06/2023 21:00</t>
  </si>
  <si>
    <t>12/06/2023 21:15</t>
  </si>
  <si>
    <t>12/06/2023 21:30</t>
  </si>
  <si>
    <t>12/06/2023 21:45</t>
  </si>
  <si>
    <t>12/06/2023 22:00</t>
  </si>
  <si>
    <t>12/06/2023 22:15</t>
  </si>
  <si>
    <t>12/06/2023 22:30</t>
  </si>
  <si>
    <t>12/06/2023 22:45</t>
  </si>
  <si>
    <t>12/06/2023 23:00</t>
  </si>
  <si>
    <t>12/06/2023 23:15</t>
  </si>
  <si>
    <t>12/06/2023 23:30</t>
  </si>
  <si>
    <t>12/06/2023 23:45</t>
  </si>
  <si>
    <t>12/06/2023 24:00</t>
  </si>
  <si>
    <t>13/06/2023 00:15</t>
  </si>
  <si>
    <t>13/06/2023 00:30</t>
  </si>
  <si>
    <t>13/06/2023 00:45</t>
  </si>
  <si>
    <t>13/06/2023 01:00</t>
  </si>
  <si>
    <t>13/06/2023 01:15</t>
  </si>
  <si>
    <t>13/06/2023 01:30</t>
  </si>
  <si>
    <t>13/06/2023 01:45</t>
  </si>
  <si>
    <t>13/06/2023 02:00</t>
  </si>
  <si>
    <t>13/06/2023 02:15</t>
  </si>
  <si>
    <t>13/06/2023 02:30</t>
  </si>
  <si>
    <t>13/06/2023 02:45</t>
  </si>
  <si>
    <t>13/06/2023 03:00</t>
  </si>
  <si>
    <t>13/06/2023 03:15</t>
  </si>
  <si>
    <t>13/06/2023 03:30</t>
  </si>
  <si>
    <t>13/06/2023 03:45</t>
  </si>
  <si>
    <t>13/06/2023 04:00</t>
  </si>
  <si>
    <t>13/06/2023 04:15</t>
  </si>
  <si>
    <t>13/06/2023 04:30</t>
  </si>
  <si>
    <t>13/06/2023 04:45</t>
  </si>
  <si>
    <t>13/06/2023 05:00</t>
  </si>
  <si>
    <t>13/06/2023 05:15</t>
  </si>
  <si>
    <t>13/06/2023 05:30</t>
  </si>
  <si>
    <t>13/06/2023 05:45</t>
  </si>
  <si>
    <t>13/06/2023 06:00</t>
  </si>
  <si>
    <t>13/06/2023 06:15</t>
  </si>
  <si>
    <t>13/06/2023 06:30</t>
  </si>
  <si>
    <t>13/06/2023 06:45</t>
  </si>
  <si>
    <t>13/06/2023 07:00</t>
  </si>
  <si>
    <t>13/06/2023 07:15</t>
  </si>
  <si>
    <t>13/06/2023 07:30</t>
  </si>
  <si>
    <t>13/06/2023 07:45</t>
  </si>
  <si>
    <t>13/06/2023 08:00</t>
  </si>
  <si>
    <t>13/06/2023 08:15</t>
  </si>
  <si>
    <t>13/06/2023 08:30</t>
  </si>
  <si>
    <t>13/06/2023 08:45</t>
  </si>
  <si>
    <t>13/06/2023 09:00</t>
  </si>
  <si>
    <t>13/06/2023 09:15</t>
  </si>
  <si>
    <t>13/06/2023 09:30</t>
  </si>
  <si>
    <t>13/06/2023 09:45</t>
  </si>
  <si>
    <t>13/06/2023 10:00</t>
  </si>
  <si>
    <t>13/06/2023 10:15</t>
  </si>
  <si>
    <t>13/06/2023 10:30</t>
  </si>
  <si>
    <t>13/06/2023 10:45</t>
  </si>
  <si>
    <t>13/06/2023 11:00</t>
  </si>
  <si>
    <t>13/06/2023 11:15</t>
  </si>
  <si>
    <t>13/06/2023 11:30</t>
  </si>
  <si>
    <t>13/06/2023 11:45</t>
  </si>
  <si>
    <t>13/06/2023 12:00</t>
  </si>
  <si>
    <t>13/06/2023 12:15</t>
  </si>
  <si>
    <t>13/06/2023 12:30</t>
  </si>
  <si>
    <t>13/06/2023 12:45</t>
  </si>
  <si>
    <t>13/06/2023 13:00</t>
  </si>
  <si>
    <t>13/06/2023 13:15</t>
  </si>
  <si>
    <t>13/06/2023 13:30</t>
  </si>
  <si>
    <t>13/06/2023 13:45</t>
  </si>
  <si>
    <t>13/06/2023 14:00</t>
  </si>
  <si>
    <t>13/06/2023 14:15</t>
  </si>
  <si>
    <t>13/06/2023 14:30</t>
  </si>
  <si>
    <t>13/06/2023 14:45</t>
  </si>
  <si>
    <t>13/06/2023 15:00</t>
  </si>
  <si>
    <t>13/06/2023 15:15</t>
  </si>
  <si>
    <t>13/06/2023 15:30</t>
  </si>
  <si>
    <t>13/06/2023 15:45</t>
  </si>
  <si>
    <t>13/06/2023 16:00</t>
  </si>
  <si>
    <t>13/06/2023 16:15</t>
  </si>
  <si>
    <t>13/06/2023 16:30</t>
  </si>
  <si>
    <t>13/06/2023 16:45</t>
  </si>
  <si>
    <t>13/06/2023 17:00</t>
  </si>
  <si>
    <t>13/06/2023 17:15</t>
  </si>
  <si>
    <t>13/06/2023 17:30</t>
  </si>
  <si>
    <t>13/06/2023 17:45</t>
  </si>
  <si>
    <t>13/06/2023 18:00</t>
  </si>
  <si>
    <t>13/06/2023 18:15</t>
  </si>
  <si>
    <t>13/06/2023 18:30</t>
  </si>
  <si>
    <t>13/06/2023 18:45</t>
  </si>
  <si>
    <t>13/06/2023 19:00</t>
  </si>
  <si>
    <t>13/06/2023 19:15</t>
  </si>
  <si>
    <t>13/06/2023 19:30</t>
  </si>
  <si>
    <t>13/06/2023 19:45</t>
  </si>
  <si>
    <t>13/06/2023 20:00</t>
  </si>
  <si>
    <t>13/06/2023 20:15</t>
  </si>
  <si>
    <t>13/06/2023 20:30</t>
  </si>
  <si>
    <t>13/06/2023 20:45</t>
  </si>
  <si>
    <t>13/06/2023 21:00</t>
  </si>
  <si>
    <t>13/06/2023 21:15</t>
  </si>
  <si>
    <t>13/06/2023 21:30</t>
  </si>
  <si>
    <t>13/06/2023 21:45</t>
  </si>
  <si>
    <t>13/06/2023 22:00</t>
  </si>
  <si>
    <t>13/06/2023 22:15</t>
  </si>
  <si>
    <t>13/06/2023 22:30</t>
  </si>
  <si>
    <t>13/06/2023 22:45</t>
  </si>
  <si>
    <t>13/06/2023 23:00</t>
  </si>
  <si>
    <t>13/06/2023 23:15</t>
  </si>
  <si>
    <t>13/06/2023 23:30</t>
  </si>
  <si>
    <t>13/06/2023 23:45</t>
  </si>
  <si>
    <t>13/06/2023 24:00</t>
  </si>
  <si>
    <t>14/06/2023 00:15</t>
  </si>
  <si>
    <t>14/06/2023 00:30</t>
  </si>
  <si>
    <t>14/06/2023 00:45</t>
  </si>
  <si>
    <t>14/06/2023 01:15</t>
  </si>
  <si>
    <t>14/06/2023 01:30</t>
  </si>
  <si>
    <t>14/06/2023 01:45</t>
  </si>
  <si>
    <t>14/06/2023 02:00</t>
  </si>
  <si>
    <t>14/06/2023 02:15</t>
  </si>
  <si>
    <t>14/06/2023 02:30</t>
  </si>
  <si>
    <t>14/06/2023 02:45</t>
  </si>
  <si>
    <t>14/06/2023 03:00</t>
  </si>
  <si>
    <t>14/06/2023 03:15</t>
  </si>
  <si>
    <t>14/06/2023 03:30</t>
  </si>
  <si>
    <t>14/06/2023 03:45</t>
  </si>
  <si>
    <t>14/06/2023 04:00</t>
  </si>
  <si>
    <t>14/06/2023 04:15</t>
  </si>
  <si>
    <t>14/06/2023 04:30</t>
  </si>
  <si>
    <t>14/06/2023 04:45</t>
  </si>
  <si>
    <t>14/06/2023 05:00</t>
  </si>
  <si>
    <t>14/06/2023 05:15</t>
  </si>
  <si>
    <t>14/06/2023 05:30</t>
  </si>
  <si>
    <t>14/06/2023 05:45</t>
  </si>
  <si>
    <t>14/06/2023 06:00</t>
  </si>
  <si>
    <t>14/06/2023 06:15</t>
  </si>
  <si>
    <t>14/06/2023 06:30</t>
  </si>
  <si>
    <t>14/06/2023 06:45</t>
  </si>
  <si>
    <t>14/06/2023 07:00</t>
  </si>
  <si>
    <t>14/06/2023 07:15</t>
  </si>
  <si>
    <t>14/06/2023 07:30</t>
  </si>
  <si>
    <t>14/06/2023 07:45</t>
  </si>
  <si>
    <t>14/06/2023 08:00</t>
  </si>
  <si>
    <t>14/06/2023 08:15</t>
  </si>
  <si>
    <t>14/06/2023 08:30</t>
  </si>
  <si>
    <t>14/06/2023 08:45</t>
  </si>
  <si>
    <t>14/06/2023 09:00</t>
  </si>
  <si>
    <t>14/06/2023 09:15</t>
  </si>
  <si>
    <t>14/06/2023 09:30</t>
  </si>
  <si>
    <t>14/06/2023 09:45</t>
  </si>
  <si>
    <t>14/06/2023 10:00</t>
  </si>
  <si>
    <t>14/06/2023 10:15</t>
  </si>
  <si>
    <t>14/06/2023 10:30</t>
  </si>
  <si>
    <t>14/06/2023 10:45</t>
  </si>
  <si>
    <t>14/06/2023 11:00</t>
  </si>
  <si>
    <t>14/06/2023 11:15</t>
  </si>
  <si>
    <t>14/06/2023 11:30</t>
  </si>
  <si>
    <t>14/06/2023 11:45</t>
  </si>
  <si>
    <t>14/06/2023 12:00</t>
  </si>
  <si>
    <t>14/06/2023 12:15</t>
  </si>
  <si>
    <t>14/06/2023 12:30</t>
  </si>
  <si>
    <t>14/06/2023 12:45</t>
  </si>
  <si>
    <t>14/06/2023 13:00</t>
  </si>
  <si>
    <t>14/06/2023 13:15</t>
  </si>
  <si>
    <t>14/06/2023 13:30</t>
  </si>
  <si>
    <t>14/06/2023 13:45</t>
  </si>
  <si>
    <t>14/06/2023 14:00</t>
  </si>
  <si>
    <t>14/06/2023 14:15</t>
  </si>
  <si>
    <t>14/06/2023 14:30</t>
  </si>
  <si>
    <t>14/06/2023 14:45</t>
  </si>
  <si>
    <t>14/06/2023 15:00</t>
  </si>
  <si>
    <t>14/06/2023 15:15</t>
  </si>
  <si>
    <t>14/06/2023 15:30</t>
  </si>
  <si>
    <t>14/06/2023 15:45</t>
  </si>
  <si>
    <t>14/06/2023 16:00</t>
  </si>
  <si>
    <t>14/06/2023 16:15</t>
  </si>
  <si>
    <t>14/06/2023 16:30</t>
  </si>
  <si>
    <t>14/06/2023 16:45</t>
  </si>
  <si>
    <t>14/06/2023 17:00</t>
  </si>
  <si>
    <t>14/06/2023 17:15</t>
  </si>
  <si>
    <t>14/06/2023 17:30</t>
  </si>
  <si>
    <t>14/06/2023 17:45</t>
  </si>
  <si>
    <t>14/06/2023 18:00</t>
  </si>
  <si>
    <t>14/06/2023 18:15</t>
  </si>
  <si>
    <t>14/06/2023 18:30</t>
  </si>
  <si>
    <t>14/06/2023 18:45</t>
  </si>
  <si>
    <t>14/06/2023 19:00</t>
  </si>
  <si>
    <t>14/06/2023 19:15</t>
  </si>
  <si>
    <t>14/06/2023 19:30</t>
  </si>
  <si>
    <t>14/06/2023 19:45</t>
  </si>
  <si>
    <t>14/06/2023 20:00</t>
  </si>
  <si>
    <t>14/06/2023 20:15</t>
  </si>
  <si>
    <t>14/06/2023 20:30</t>
  </si>
  <si>
    <t>14/06/2023 20:45</t>
  </si>
  <si>
    <t>14/06/2023 21:00</t>
  </si>
  <si>
    <t>14/06/2023 21:15</t>
  </si>
  <si>
    <t>14/06/2023 21:30</t>
  </si>
  <si>
    <t>14/06/2023 21:45</t>
  </si>
  <si>
    <t>14/06/2023 22:00</t>
  </si>
  <si>
    <t>14/06/2023 22:15</t>
  </si>
  <si>
    <t>14/06/2023 22:30</t>
  </si>
  <si>
    <t>14/06/2023 22:45</t>
  </si>
  <si>
    <t>14/06/2023 23:00</t>
  </si>
  <si>
    <t>14/06/2023 23:15</t>
  </si>
  <si>
    <t>14/06/2023 23:30</t>
  </si>
  <si>
    <t>14/06/2023 23:45</t>
  </si>
  <si>
    <t>14/06/2023 24:00</t>
  </si>
  <si>
    <t>15/06/2023 00:15</t>
  </si>
  <si>
    <t>15/06/2023 00:30</t>
  </si>
  <si>
    <t>15/06/2023 00:45</t>
  </si>
  <si>
    <t>15/06/2023 01:00</t>
  </si>
  <si>
    <t>15/06/2023 01:15</t>
  </si>
  <si>
    <t>15/06/2023 01:30</t>
  </si>
  <si>
    <t>15/06/2023 01:45</t>
  </si>
  <si>
    <t>15/06/2023 02:00</t>
  </si>
  <si>
    <t>15/06/2023 02:15</t>
  </si>
  <si>
    <t>15/06/2023 02:30</t>
  </si>
  <si>
    <t>15/06/2023 02:45</t>
  </si>
  <si>
    <t>15/06/2023 03:00</t>
  </si>
  <si>
    <t>15/06/2023 03:15</t>
  </si>
  <si>
    <t>15/06/2023 03:30</t>
  </si>
  <si>
    <t>15/06/2023 03:45</t>
  </si>
  <si>
    <t>15/06/2023 04:00</t>
  </si>
  <si>
    <t>15/06/2023 04:15</t>
  </si>
  <si>
    <t>15/06/2023 04:30</t>
  </si>
  <si>
    <t>15/06/2023 04:45</t>
  </si>
  <si>
    <t>15/06/2023 05:00</t>
  </si>
  <si>
    <t>15/06/2023 05:15</t>
  </si>
  <si>
    <t>15/06/2023 05:30</t>
  </si>
  <si>
    <t>15/06/2023 05:45</t>
  </si>
  <si>
    <t>15/06/2023 06:00</t>
  </si>
  <si>
    <t>15/06/2023 06:15</t>
  </si>
  <si>
    <t>15/06/2023 06:30</t>
  </si>
  <si>
    <t>15/06/2023 06:45</t>
  </si>
  <si>
    <t>15/06/2023 07:00</t>
  </si>
  <si>
    <t>15/06/2023 07:15</t>
  </si>
  <si>
    <t>15/06/2023 07:30</t>
  </si>
  <si>
    <t>15/06/2023 07:45</t>
  </si>
  <si>
    <t>15/06/2023 08:00</t>
  </si>
  <si>
    <t>15/06/2023 08:15</t>
  </si>
  <si>
    <t>15/06/2023 08:30</t>
  </si>
  <si>
    <t>15/06/2023 08:45</t>
  </si>
  <si>
    <t>15/06/2023 09:00</t>
  </si>
  <si>
    <t>15/06/2023 09:15</t>
  </si>
  <si>
    <t>15/06/2023 09:30</t>
  </si>
  <si>
    <t>15/06/2023 09:45</t>
  </si>
  <si>
    <t>15/06/2023 10:00</t>
  </si>
  <si>
    <t>15/06/2023 10:15</t>
  </si>
  <si>
    <t>15/06/2023 10:30</t>
  </si>
  <si>
    <t>15/06/2023 10:45</t>
  </si>
  <si>
    <t>15/06/2023 11:00</t>
  </si>
  <si>
    <t>15/06/2023 11:15</t>
  </si>
  <si>
    <t>15/06/2023 11:30</t>
  </si>
  <si>
    <t>15/06/2023 11:45</t>
  </si>
  <si>
    <t>15/06/2023 12:00</t>
  </si>
  <si>
    <t>15/06/2023 12:15</t>
  </si>
  <si>
    <t>15/06/2023 12:30</t>
  </si>
  <si>
    <t>15/06/2023 12:45</t>
  </si>
  <si>
    <t>15/06/2023 13:00</t>
  </si>
  <si>
    <t>15/06/2023 13:15</t>
  </si>
  <si>
    <t>15/06/2023 13:30</t>
  </si>
  <si>
    <t>15/06/2023 13:45</t>
  </si>
  <si>
    <t>15/06/2023 14:00</t>
  </si>
  <si>
    <t>15/06/2023 14:15</t>
  </si>
  <si>
    <t>15/06/2023 14:30</t>
  </si>
  <si>
    <t>15/06/2023 14:45</t>
  </si>
  <si>
    <t>15/06/2023 15:00</t>
  </si>
  <si>
    <t>15/06/2023 15:15</t>
  </si>
  <si>
    <t>15/06/2023 15:30</t>
  </si>
  <si>
    <t>15/06/2023 15:45</t>
  </si>
  <si>
    <t>15/06/2023 16:00</t>
  </si>
  <si>
    <t>15/06/2023 16:15</t>
  </si>
  <si>
    <t>15/06/2023 16:30</t>
  </si>
  <si>
    <t>15/06/2023 16:45</t>
  </si>
  <si>
    <t>15/06/2023 17:00</t>
  </si>
  <si>
    <t>15/06/2023 17:15</t>
  </si>
  <si>
    <t>15/06/2023 17:30</t>
  </si>
  <si>
    <t>15/06/2023 17:45</t>
  </si>
  <si>
    <t>15/06/2023 18:00</t>
  </si>
  <si>
    <t>15/06/2023 18:15</t>
  </si>
  <si>
    <t>15/06/2023 18:30</t>
  </si>
  <si>
    <t>15/06/2023 18:45</t>
  </si>
  <si>
    <t>15/06/2023 19:00</t>
  </si>
  <si>
    <t>15/06/2023 19:15</t>
  </si>
  <si>
    <t>15/06/2023 19:30</t>
  </si>
  <si>
    <t>15/06/2023 19:45</t>
  </si>
  <si>
    <t>15/06/2023 20:00</t>
  </si>
  <si>
    <t>15/06/2023 20:15</t>
  </si>
  <si>
    <t>15/06/2023 20:30</t>
  </si>
  <si>
    <t>15/06/2023 20:45</t>
  </si>
  <si>
    <t>15/06/2023 21:00</t>
  </si>
  <si>
    <t>15/06/2023 21:15</t>
  </si>
  <si>
    <t>15/06/2023 21:30</t>
  </si>
  <si>
    <t>15/06/2023 21:45</t>
  </si>
  <si>
    <t>15/06/2023 22:00</t>
  </si>
  <si>
    <t>15/06/2023 22:15</t>
  </si>
  <si>
    <t>15/06/2023 22:30</t>
  </si>
  <si>
    <t>15/06/2023 22:45</t>
  </si>
  <si>
    <t>15/06/2023 23:00</t>
  </si>
  <si>
    <t>15/06/2023 23:15</t>
  </si>
  <si>
    <t>15/06/2023 23:30</t>
  </si>
  <si>
    <t>15/06/2023 23:45</t>
  </si>
  <si>
    <t>15/06/2023 24:00</t>
  </si>
  <si>
    <t>16/06/2023 00:15</t>
  </si>
  <si>
    <t>16/06/2023 00:30</t>
  </si>
  <si>
    <t>16/06/2023 00:45</t>
  </si>
  <si>
    <t>16/06/2023 01:00</t>
  </si>
  <si>
    <t>16/06/2023 01:15</t>
  </si>
  <si>
    <t>16/06/2023 01:30</t>
  </si>
  <si>
    <t>16/06/2023 01:45</t>
  </si>
  <si>
    <t>16/06/2023 02:00</t>
  </si>
  <si>
    <t>16/06/2023 02:15</t>
  </si>
  <si>
    <t>16/06/2023 02:30</t>
  </si>
  <si>
    <t>16/06/2023 02:45</t>
  </si>
  <si>
    <t>16/06/2023 03:00</t>
  </si>
  <si>
    <t>16/06/2023 03:15</t>
  </si>
  <si>
    <t>16/06/2023 03:30</t>
  </si>
  <si>
    <t>16/06/2023 03:45</t>
  </si>
  <si>
    <t>16/06/2023 04:00</t>
  </si>
  <si>
    <t>16/06/2023 04:15</t>
  </si>
  <si>
    <t>16/06/2023 04:30</t>
  </si>
  <si>
    <t>16/06/2023 04:45</t>
  </si>
  <si>
    <t>16/06/2023 05:00</t>
  </si>
  <si>
    <t>16/06/2023 05:15</t>
  </si>
  <si>
    <t>16/06/2023 05:30</t>
  </si>
  <si>
    <t>16/06/2023 05:45</t>
  </si>
  <si>
    <t>16/06/2023 06:00</t>
  </si>
  <si>
    <t>16/06/2023 06:15</t>
  </si>
  <si>
    <t>16/06/2023 06:30</t>
  </si>
  <si>
    <t>16/06/2023 06:45</t>
  </si>
  <si>
    <t>16/06/2023 07:00</t>
  </si>
  <si>
    <t>16/06/2023 07:15</t>
  </si>
  <si>
    <t>16/06/2023 07:30</t>
  </si>
  <si>
    <t>16/06/2023 07:45</t>
  </si>
  <si>
    <t>16/06/2023 08:00</t>
  </si>
  <si>
    <t>16/06/2023 08:15</t>
  </si>
  <si>
    <t>16/06/2023 08:30</t>
  </si>
  <si>
    <t>16/06/2023 08:45</t>
  </si>
  <si>
    <t>16/06/2023 09:00</t>
  </si>
  <si>
    <t>16/06/2023 09:15</t>
  </si>
  <si>
    <t>16/06/2023 09:30</t>
  </si>
  <si>
    <t>16/06/2023 09:45</t>
  </si>
  <si>
    <t>16/06/2023 10:00</t>
  </si>
  <si>
    <t>16/06/2023 10:15</t>
  </si>
  <si>
    <t>16/06/2023 10:30</t>
  </si>
  <si>
    <t>16/06/2023 10:45</t>
  </si>
  <si>
    <t>16/06/2023 11:00</t>
  </si>
  <si>
    <t>16/06/2023 11:15</t>
  </si>
  <si>
    <t>16/06/2023 11:30</t>
  </si>
  <si>
    <t>16/06/2023 11:45</t>
  </si>
  <si>
    <t>16/06/2023 12:00</t>
  </si>
  <si>
    <t>16/06/2023 12:15</t>
  </si>
  <si>
    <t>16/06/2023 12:30</t>
  </si>
  <si>
    <t>16/06/2023 12:45</t>
  </si>
  <si>
    <t>16/06/2023 13:00</t>
  </si>
  <si>
    <t>16/06/2023 13:15</t>
  </si>
  <si>
    <t>16/06/2023 13:30</t>
  </si>
  <si>
    <t>16/06/2023 13:45</t>
  </si>
  <si>
    <t>16/06/2023 14:00</t>
  </si>
  <si>
    <t>16/06/2023 14:15</t>
  </si>
  <si>
    <t>16/06/2023 14:30</t>
  </si>
  <si>
    <t>16/06/2023 14:45</t>
  </si>
  <si>
    <t>16/06/2023 15:00</t>
  </si>
  <si>
    <t>16/06/2023 15:15</t>
  </si>
  <si>
    <t>16/06/2023 15:30</t>
  </si>
  <si>
    <t>16/06/2023 15:45</t>
  </si>
  <si>
    <t>16/06/2023 16:00</t>
  </si>
  <si>
    <t>16/06/2023 16:15</t>
  </si>
  <si>
    <t>16/06/2023 16:30</t>
  </si>
  <si>
    <t>16/06/2023 16:45</t>
  </si>
  <si>
    <t>16/06/2023 17:00</t>
  </si>
  <si>
    <t>16/06/2023 17:15</t>
  </si>
  <si>
    <t>16/06/2023 17:30</t>
  </si>
  <si>
    <t>16/06/2023 17:45</t>
  </si>
  <si>
    <t>16/06/2023 18:00</t>
  </si>
  <si>
    <t>16/06/2023 18:15</t>
  </si>
  <si>
    <t>16/06/2023 18:30</t>
  </si>
  <si>
    <t>16/06/2023 18:45</t>
  </si>
  <si>
    <t>16/06/2023 19:00</t>
  </si>
  <si>
    <t>16/06/2023 19:15</t>
  </si>
  <si>
    <t>16/06/2023 19:30</t>
  </si>
  <si>
    <t>16/06/2023 19:45</t>
  </si>
  <si>
    <t>16/06/2023 20:00</t>
  </si>
  <si>
    <t>16/06/2023 20:15</t>
  </si>
  <si>
    <t>16/06/2023 20:30</t>
  </si>
  <si>
    <t>16/06/2023 20:45</t>
  </si>
  <si>
    <t>16/06/2023 21:00</t>
  </si>
  <si>
    <t>16/06/2023 21:15</t>
  </si>
  <si>
    <t>16/06/2023 21:30</t>
  </si>
  <si>
    <t>16/06/2023 21:45</t>
  </si>
  <si>
    <t>16/06/2023 22:00</t>
  </si>
  <si>
    <t>16/06/2023 22:15</t>
  </si>
  <si>
    <t>16/06/2023 22:30</t>
  </si>
  <si>
    <t>16/06/2023 22:45</t>
  </si>
  <si>
    <t>16/06/2023 23:00</t>
  </si>
  <si>
    <t>16/06/2023 23:15</t>
  </si>
  <si>
    <t>16/06/2023 23:30</t>
  </si>
  <si>
    <t>16/06/2023 23:45</t>
  </si>
  <si>
    <t>16/06/2023 24:00</t>
  </si>
  <si>
    <t>17/06/2023 00:15</t>
  </si>
  <si>
    <t>17/06/2023 00:30</t>
  </si>
  <si>
    <t>17/06/2023 00:45</t>
  </si>
  <si>
    <t>17/06/2023 01:00</t>
  </si>
  <si>
    <t>17/06/2023 01:15</t>
  </si>
  <si>
    <t>17/06/2023 01:30</t>
  </si>
  <si>
    <t>17/06/2023 01:45</t>
  </si>
  <si>
    <t>17/06/2023 02:00</t>
  </si>
  <si>
    <t>17/06/2023 02:15</t>
  </si>
  <si>
    <t>17/06/2023 02:30</t>
  </si>
  <si>
    <t>17/06/2023 02:45</t>
  </si>
  <si>
    <t>17/06/2023 03:00</t>
  </si>
  <si>
    <t>17/06/2023 03:15</t>
  </si>
  <si>
    <t>17/06/2023 03:30</t>
  </si>
  <si>
    <t>17/06/2023 03:45</t>
  </si>
  <si>
    <t>17/06/2023 04:00</t>
  </si>
  <si>
    <t>17/06/2023 04:15</t>
  </si>
  <si>
    <t>17/06/2023 04:30</t>
  </si>
  <si>
    <t>17/06/2023 04:45</t>
  </si>
  <si>
    <t>17/06/2023 05:00</t>
  </si>
  <si>
    <t>17/06/2023 05:15</t>
  </si>
  <si>
    <t>17/06/2023 05:30</t>
  </si>
  <si>
    <t>17/06/2023 05:45</t>
  </si>
  <si>
    <t>17/06/2023 06:00</t>
  </si>
  <si>
    <t>17/06/2023 06:15</t>
  </si>
  <si>
    <t>17/06/2023 06:30</t>
  </si>
  <si>
    <t>17/06/2023 06:45</t>
  </si>
  <si>
    <t>17/06/2023 07:00</t>
  </si>
  <si>
    <t>17/06/2023 07:15</t>
  </si>
  <si>
    <t>17/06/2023 07:30</t>
  </si>
  <si>
    <t>17/06/2023 07:45</t>
  </si>
  <si>
    <t>17/06/2023 08:00</t>
  </si>
  <si>
    <t>17/06/2023 08:15</t>
  </si>
  <si>
    <t>17/06/2023 08:30</t>
  </si>
  <si>
    <t>17/06/2023 08:45</t>
  </si>
  <si>
    <t>17/06/2023 09:00</t>
  </si>
  <si>
    <t>17/06/2023 09:15</t>
  </si>
  <si>
    <t>17/06/2023 09:30</t>
  </si>
  <si>
    <t>17/06/2023 09:45</t>
  </si>
  <si>
    <t>17/06/2023 10:00</t>
  </si>
  <si>
    <t>17/06/2023 10:15</t>
  </si>
  <si>
    <t>17/06/2023 10:30</t>
  </si>
  <si>
    <t>17/06/2023 10:45</t>
  </si>
  <si>
    <t>17/06/2023 11:00</t>
  </si>
  <si>
    <t>17/06/2023 11:15</t>
  </si>
  <si>
    <t>17/06/2023 11:30</t>
  </si>
  <si>
    <t>17/06/2023 11:45</t>
  </si>
  <si>
    <t>17/06/2023 12:00</t>
  </si>
  <si>
    <t>17/06/2023 12:15</t>
  </si>
  <si>
    <t>17/06/2023 12:30</t>
  </si>
  <si>
    <t>17/06/2023 12:45</t>
  </si>
  <si>
    <t>17/06/2023 13:00</t>
  </si>
  <si>
    <t>17/06/2023 13:15</t>
  </si>
  <si>
    <t>17/06/2023 13:30</t>
  </si>
  <si>
    <t>17/06/2023 13:45</t>
  </si>
  <si>
    <t>17/06/2023 14:00</t>
  </si>
  <si>
    <t>17/06/2023 14:15</t>
  </si>
  <si>
    <t>17/06/2023 14:30</t>
  </si>
  <si>
    <t>17/06/2023 14:45</t>
  </si>
  <si>
    <t>17/06/2023 15:00</t>
  </si>
  <si>
    <t>17/06/2023 15:15</t>
  </si>
  <si>
    <t>17/06/2023 15:30</t>
  </si>
  <si>
    <t>17/06/2023 15:45</t>
  </si>
  <si>
    <t>17/06/2023 16:00</t>
  </si>
  <si>
    <t>17/06/2023 16:15</t>
  </si>
  <si>
    <t>17/06/2023 16:30</t>
  </si>
  <si>
    <t>17/06/2023 16:45</t>
  </si>
  <si>
    <t>17/06/2023 17:00</t>
  </si>
  <si>
    <t>17/06/2023 17:15</t>
  </si>
  <si>
    <t>17/06/2023 17:30</t>
  </si>
  <si>
    <t>17/06/2023 17:45</t>
  </si>
  <si>
    <t>17/06/2023 18:00</t>
  </si>
  <si>
    <t>17/06/2023 18:15</t>
  </si>
  <si>
    <t>17/06/2023 18:30</t>
  </si>
  <si>
    <t>17/06/2023 18:45</t>
  </si>
  <si>
    <t>17/06/2023 19:00</t>
  </si>
  <si>
    <t>17/06/2023 19:15</t>
  </si>
  <si>
    <t>17/06/2023 19:30</t>
  </si>
  <si>
    <t>17/06/2023 19:45</t>
  </si>
  <si>
    <t>17/06/2023 20:00</t>
  </si>
  <si>
    <t>17/06/2023 20:15</t>
  </si>
  <si>
    <t>17/06/2023 20:30</t>
  </si>
  <si>
    <t>17/06/2023 20:45</t>
  </si>
  <si>
    <t>17/06/2023 21:00</t>
  </si>
  <si>
    <t>17/06/2023 21:15</t>
  </si>
  <si>
    <t>17/06/2023 21:30</t>
  </si>
  <si>
    <t>17/06/2023 21:45</t>
  </si>
  <si>
    <t>17/06/2023 22:00</t>
  </si>
  <si>
    <t>17/06/2023 22:15</t>
  </si>
  <si>
    <t>17/06/2023 22:30</t>
  </si>
  <si>
    <t>17/06/2023 22:45</t>
  </si>
  <si>
    <t>17/06/2023 23:00</t>
  </si>
  <si>
    <t>17/06/2023 23:15</t>
  </si>
  <si>
    <t>17/06/2023 23:30</t>
  </si>
  <si>
    <t>17/06/2023 23:45</t>
  </si>
  <si>
    <t>17/06/2023 24:00</t>
  </si>
  <si>
    <t>18/06/2023 00:15</t>
  </si>
  <si>
    <t>18/06/2023 00:30</t>
  </si>
  <si>
    <t>18/06/2023 00:45</t>
  </si>
  <si>
    <t>18/06/2023 01:00</t>
  </si>
  <si>
    <t>18/06/2023 01:15</t>
  </si>
  <si>
    <t>18/06/2023 01:30</t>
  </si>
  <si>
    <t>18/06/2023 01:45</t>
  </si>
  <si>
    <t>18/06/2023 02:00</t>
  </si>
  <si>
    <t>18/06/2023 02:15</t>
  </si>
  <si>
    <t>18/06/2023 02:30</t>
  </si>
  <si>
    <t>18/06/2023 02:45</t>
  </si>
  <si>
    <t>18/06/2023 03:00</t>
  </si>
  <si>
    <t>18/06/2023 03:15</t>
  </si>
  <si>
    <t>18/06/2023 03:30</t>
  </si>
  <si>
    <t>18/06/2023 03:45</t>
  </si>
  <si>
    <t>18/06/2023 04:00</t>
  </si>
  <si>
    <t>18/06/2023 04:15</t>
  </si>
  <si>
    <t>18/06/2023 04:30</t>
  </si>
  <si>
    <t>18/06/2023 04:45</t>
  </si>
  <si>
    <t>18/06/2023 05:00</t>
  </si>
  <si>
    <t>18/06/2023 05:15</t>
  </si>
  <si>
    <t>18/06/2023 05:30</t>
  </si>
  <si>
    <t>18/06/2023 05:45</t>
  </si>
  <si>
    <t>18/06/2023 06:00</t>
  </si>
  <si>
    <t>18/06/2023 06:15</t>
  </si>
  <si>
    <t>18/06/2023 06:30</t>
  </si>
  <si>
    <t>18/06/2023 06:45</t>
  </si>
  <si>
    <t>18/06/2023 07:00</t>
  </si>
  <si>
    <t>18/06/2023 07:15</t>
  </si>
  <si>
    <t>18/06/2023 07:30</t>
  </si>
  <si>
    <t>18/06/2023 07:45</t>
  </si>
  <si>
    <t>18/06/2023 08:00</t>
  </si>
  <si>
    <t>18/06/2023 08:15</t>
  </si>
  <si>
    <t>18/06/2023 08:30</t>
  </si>
  <si>
    <t>18/06/2023 08:45</t>
  </si>
  <si>
    <t>18/06/2023 09:00</t>
  </si>
  <si>
    <t>18/06/2023 09:15</t>
  </si>
  <si>
    <t>18/06/2023 09:30</t>
  </si>
  <si>
    <t>18/06/2023 09:45</t>
  </si>
  <si>
    <t>18/06/2023 10:00</t>
  </si>
  <si>
    <t>18/06/2023 10:15</t>
  </si>
  <si>
    <t>18/06/2023 10:30</t>
  </si>
  <si>
    <t>18/06/2023 10:45</t>
  </si>
  <si>
    <t>18/06/2023 11:00</t>
  </si>
  <si>
    <t>18/06/2023 11:15</t>
  </si>
  <si>
    <t>18/06/2023 11:30</t>
  </si>
  <si>
    <t>18/06/2023 11:45</t>
  </si>
  <si>
    <t>18/06/2023 12:00</t>
  </si>
  <si>
    <t>18/06/2023 12:15</t>
  </si>
  <si>
    <t>18/06/2023 12:30</t>
  </si>
  <si>
    <t>18/06/2023 12:45</t>
  </si>
  <si>
    <t>18/06/2023 13:00</t>
  </si>
  <si>
    <t>18/06/2023 13:15</t>
  </si>
  <si>
    <t>18/06/2023 13:30</t>
  </si>
  <si>
    <t>18/06/2023 13:45</t>
  </si>
  <si>
    <t>18/06/2023 14:00</t>
  </si>
  <si>
    <t>18/06/2023 14:15</t>
  </si>
  <si>
    <t>18/06/2023 14:30</t>
  </si>
  <si>
    <t>18/06/2023 14:45</t>
  </si>
  <si>
    <t>18/06/2023 15:00</t>
  </si>
  <si>
    <t>18/06/2023 15:15</t>
  </si>
  <si>
    <t>18/06/2023 15:30</t>
  </si>
  <si>
    <t>18/06/2023 15:45</t>
  </si>
  <si>
    <t>18/06/2023 16:00</t>
  </si>
  <si>
    <t>18/06/2023 16:15</t>
  </si>
  <si>
    <t>18/06/2023 16:30</t>
  </si>
  <si>
    <t>18/06/2023 16:45</t>
  </si>
  <si>
    <t>18/06/2023 17:00</t>
  </si>
  <si>
    <t>18/06/2023 17:15</t>
  </si>
  <si>
    <t>18/06/2023 17:30</t>
  </si>
  <si>
    <t>18/06/2023 17:45</t>
  </si>
  <si>
    <t>18/06/2023 18:00</t>
  </si>
  <si>
    <t>18/06/2023 18:15</t>
  </si>
  <si>
    <t>18/06/2023 18:30</t>
  </si>
  <si>
    <t>18/06/2023 18:45</t>
  </si>
  <si>
    <t>18/06/2023 19:00</t>
  </si>
  <si>
    <t>18/06/2023 19:15</t>
  </si>
  <si>
    <t>18/06/2023 19:30</t>
  </si>
  <si>
    <t>18/06/2023 19:45</t>
  </si>
  <si>
    <t>18/06/2023 20:00</t>
  </si>
  <si>
    <t>18/06/2023 20:15</t>
  </si>
  <si>
    <t>18/06/2023 20:30</t>
  </si>
  <si>
    <t>18/06/2023 20:45</t>
  </si>
  <si>
    <t>18/06/2023 21:00</t>
  </si>
  <si>
    <t>18/06/2023 21:15</t>
  </si>
  <si>
    <t>18/06/2023 21:30</t>
  </si>
  <si>
    <t>18/06/2023 21:45</t>
  </si>
  <si>
    <t>18/06/2023 22:00</t>
  </si>
  <si>
    <t>18/06/2023 22:15</t>
  </si>
  <si>
    <t>18/06/2023 22:30</t>
  </si>
  <si>
    <t>18/06/2023 22:45</t>
  </si>
  <si>
    <t>18/06/2023 23:00</t>
  </si>
  <si>
    <t>18/06/2023 23:15</t>
  </si>
  <si>
    <t>18/06/2023 23:30</t>
  </si>
  <si>
    <t>18/06/2023 23:45</t>
  </si>
  <si>
    <t>18/06/2023 24:00</t>
  </si>
  <si>
    <t>19/06/2023 00:15</t>
  </si>
  <si>
    <t>19/06/2023 00:30</t>
  </si>
  <si>
    <t>19/06/2023 00:45</t>
  </si>
  <si>
    <t>19/06/2023 01:00</t>
  </si>
  <si>
    <t>19/06/2023 01:15</t>
  </si>
  <si>
    <t>19/06/2023 01:30</t>
  </si>
  <si>
    <t>19/06/2023 01:45</t>
  </si>
  <si>
    <t>19/06/2023 02:00</t>
  </si>
  <si>
    <t>19/06/2023 02:15</t>
  </si>
  <si>
    <t>19/06/2023 02:30</t>
  </si>
  <si>
    <t>19/06/2023 02:45</t>
  </si>
  <si>
    <t>19/06/2023 03:00</t>
  </si>
  <si>
    <t>19/06/2023 03:15</t>
  </si>
  <si>
    <t>19/06/2023 03:30</t>
  </si>
  <si>
    <t>19/06/2023 03:45</t>
  </si>
  <si>
    <t>19/06/2023 04:00</t>
  </si>
  <si>
    <t>19/06/2023 04:15</t>
  </si>
  <si>
    <t>19/06/2023 04:30</t>
  </si>
  <si>
    <t>19/06/2023 04:45</t>
  </si>
  <si>
    <t>19/06/2023 05:00</t>
  </si>
  <si>
    <t>19/06/2023 05:15</t>
  </si>
  <si>
    <t>19/06/2023 05:30</t>
  </si>
  <si>
    <t>19/06/2023 05:45</t>
  </si>
  <si>
    <t>19/06/2023 06:00</t>
  </si>
  <si>
    <t>19/06/2023 06:15</t>
  </si>
  <si>
    <t>19/06/2023 06:30</t>
  </si>
  <si>
    <t>19/06/2023 06:45</t>
  </si>
  <si>
    <t>19/06/2023 07:00</t>
  </si>
  <si>
    <t>19/06/2023 07:15</t>
  </si>
  <si>
    <t>19/06/2023 07:30</t>
  </si>
  <si>
    <t>19/06/2023 07:45</t>
  </si>
  <si>
    <t>19/06/2023 08:00</t>
  </si>
  <si>
    <t>19/06/2023 08:15</t>
  </si>
  <si>
    <t>19/06/2023 08:30</t>
  </si>
  <si>
    <t>19/06/2023 08:45</t>
  </si>
  <si>
    <t>19/06/2023 09:00</t>
  </si>
  <si>
    <t>19/06/2023 09:15</t>
  </si>
  <si>
    <t>19/06/2023 09:30</t>
  </si>
  <si>
    <t>19/06/2023 09:45</t>
  </si>
  <si>
    <t>19/06/2023 10:00</t>
  </si>
  <si>
    <t>19/06/2023 10:15</t>
  </si>
  <si>
    <t>19/06/2023 10:30</t>
  </si>
  <si>
    <t>19/06/2023 10:45</t>
  </si>
  <si>
    <t>19/06/2023 11:00</t>
  </si>
  <si>
    <t>19/06/2023 11:15</t>
  </si>
  <si>
    <t>19/06/2023 11:30</t>
  </si>
  <si>
    <t>19/06/2023 11:45</t>
  </si>
  <si>
    <t>19/06/2023 12:00</t>
  </si>
  <si>
    <t>19/06/2023 12:15</t>
  </si>
  <si>
    <t>19/06/2023 12:30</t>
  </si>
  <si>
    <t>19/06/2023 12:45</t>
  </si>
  <si>
    <t>19/06/2023 13:00</t>
  </si>
  <si>
    <t>19/06/2023 13:15</t>
  </si>
  <si>
    <t>19/06/2023 13:30</t>
  </si>
  <si>
    <t>19/06/2023 13:45</t>
  </si>
  <si>
    <t>19/06/2023 14:00</t>
  </si>
  <si>
    <t>19/06/2023 14:15</t>
  </si>
  <si>
    <t>19/06/2023 14:30</t>
  </si>
  <si>
    <t>19/06/2023 14:45</t>
  </si>
  <si>
    <t>19/06/2023 15:00</t>
  </si>
  <si>
    <t>19/06/2023 15:15</t>
  </si>
  <si>
    <t>19/06/2023 15:30</t>
  </si>
  <si>
    <t>19/06/2023 15:45</t>
  </si>
  <si>
    <t>19/06/2023 16:00</t>
  </si>
  <si>
    <t>19/06/2023 16:15</t>
  </si>
  <si>
    <t>19/06/2023 16:30</t>
  </si>
  <si>
    <t>19/06/2023 16:45</t>
  </si>
  <si>
    <t>19/06/2023 17:00</t>
  </si>
  <si>
    <t>19/06/2023 17:15</t>
  </si>
  <si>
    <t>19/06/2023 17:30</t>
  </si>
  <si>
    <t>19/06/2023 17:45</t>
  </si>
  <si>
    <t>19/06/2023 18:00</t>
  </si>
  <si>
    <t>19/06/2023 18:15</t>
  </si>
  <si>
    <t>19/06/2023 18:30</t>
  </si>
  <si>
    <t>19/06/2023 18:45</t>
  </si>
  <si>
    <t>19/06/2023 19:00</t>
  </si>
  <si>
    <t>19/06/2023 19:15</t>
  </si>
  <si>
    <t>19/06/2023 19:30</t>
  </si>
  <si>
    <t>19/06/2023 19:45</t>
  </si>
  <si>
    <t>19/06/2023 20:00</t>
  </si>
  <si>
    <t>19/06/2023 20:15</t>
  </si>
  <si>
    <t>19/06/2023 20:30</t>
  </si>
  <si>
    <t>19/06/2023 20:45</t>
  </si>
  <si>
    <t>19/06/2023 21:00</t>
  </si>
  <si>
    <t>19/06/2023 21:15</t>
  </si>
  <si>
    <t>19/06/2023 21:30</t>
  </si>
  <si>
    <t>19/06/2023 21:45</t>
  </si>
  <si>
    <t>19/06/2023 22:00</t>
  </si>
  <si>
    <t>19/06/2023 22:15</t>
  </si>
  <si>
    <t>19/06/2023 22:30</t>
  </si>
  <si>
    <t>19/06/2023 22:45</t>
  </si>
  <si>
    <t>19/06/2023 23:00</t>
  </si>
  <si>
    <t>19/06/2023 23:15</t>
  </si>
  <si>
    <t>19/06/2023 23:30</t>
  </si>
  <si>
    <t>19/06/2023 23:45</t>
  </si>
  <si>
    <t>19/06/2023 24:00</t>
  </si>
  <si>
    <t>20/06/2023 00:15</t>
  </si>
  <si>
    <t>20/06/2023 00:30</t>
  </si>
  <si>
    <t>20/06/2023 00:45</t>
  </si>
  <si>
    <t>20/06/2023 01:00</t>
  </si>
  <si>
    <t>20/06/2023 01:15</t>
  </si>
  <si>
    <t>20/06/2023 01:30</t>
  </si>
  <si>
    <t>20/06/2023 01:45</t>
  </si>
  <si>
    <t>20/06/2023 02:00</t>
  </si>
  <si>
    <t>20/06/2023 02:15</t>
  </si>
  <si>
    <t>20/06/2023 02:30</t>
  </si>
  <si>
    <t>20/06/2023 02:45</t>
  </si>
  <si>
    <t>20/06/2023 03:00</t>
  </si>
  <si>
    <t>20/06/2023 03:15</t>
  </si>
  <si>
    <t>20/06/2023 03:30</t>
  </si>
  <si>
    <t>20/06/2023 03:45</t>
  </si>
  <si>
    <t>20/06/2023 04:00</t>
  </si>
  <si>
    <t>20/06/2023 04:15</t>
  </si>
  <si>
    <t>20/06/2023 04:30</t>
  </si>
  <si>
    <t>20/06/2023 04:45</t>
  </si>
  <si>
    <t>20/06/2023 05:00</t>
  </si>
  <si>
    <t>20/06/2023 05:15</t>
  </si>
  <si>
    <t>20/06/2023 05:30</t>
  </si>
  <si>
    <t>20/06/2023 05:45</t>
  </si>
  <si>
    <t>20/06/2023 06:00</t>
  </si>
  <si>
    <t>20/06/2023 06:15</t>
  </si>
  <si>
    <t>20/06/2023 06:30</t>
  </si>
  <si>
    <t>20/06/2023 06:45</t>
  </si>
  <si>
    <t>20/06/2023 07:00</t>
  </si>
  <si>
    <t>20/06/2023 07:15</t>
  </si>
  <si>
    <t>20/06/2023 07:30</t>
  </si>
  <si>
    <t>20/06/2023 07:45</t>
  </si>
  <si>
    <t>20/06/2023 08:00</t>
  </si>
  <si>
    <t>20/06/2023 08:15</t>
  </si>
  <si>
    <t>20/06/2023 08:30</t>
  </si>
  <si>
    <t>20/06/2023 08:45</t>
  </si>
  <si>
    <t>20/06/2023 09:00</t>
  </si>
  <si>
    <t>20/06/2023 09:15</t>
  </si>
  <si>
    <t>20/06/2023 09:30</t>
  </si>
  <si>
    <t>20/06/2023 09:45</t>
  </si>
  <si>
    <t>20/06/2023 10:00</t>
  </si>
  <si>
    <t>20/06/2023 10:15</t>
  </si>
  <si>
    <t>20/06/2023 10:30</t>
  </si>
  <si>
    <t>20/06/2023 10:45</t>
  </si>
  <si>
    <t>20/06/2023 11:00</t>
  </si>
  <si>
    <t>20/06/2023 11:15</t>
  </si>
  <si>
    <t>20/06/2023 11:30</t>
  </si>
  <si>
    <t>20/06/2023 11:45</t>
  </si>
  <si>
    <t>20/06/2023 12:00</t>
  </si>
  <si>
    <t>20/06/2023 12:15</t>
  </si>
  <si>
    <t>20/06/2023 12:30</t>
  </si>
  <si>
    <t>20/06/2023 12:45</t>
  </si>
  <si>
    <t>20/06/2023 13:00</t>
  </si>
  <si>
    <t>20/06/2023 13:15</t>
  </si>
  <si>
    <t>20/06/2023 13:30</t>
  </si>
  <si>
    <t>20/06/2023 13:45</t>
  </si>
  <si>
    <t>20/06/2023 14:00</t>
  </si>
  <si>
    <t>20/06/2023 14:15</t>
  </si>
  <si>
    <t>20/06/2023 14:30</t>
  </si>
  <si>
    <t>20/06/2023 14:45</t>
  </si>
  <si>
    <t>20/06/2023 15:00</t>
  </si>
  <si>
    <t>20/06/2023 15:15</t>
  </si>
  <si>
    <t>20/06/2023 15:30</t>
  </si>
  <si>
    <t>20/06/2023 15:45</t>
  </si>
  <si>
    <t>20/06/2023 16:00</t>
  </si>
  <si>
    <t>20/06/2023 16:15</t>
  </si>
  <si>
    <t>20/06/2023 16:30</t>
  </si>
  <si>
    <t>20/06/2023 16:45</t>
  </si>
  <si>
    <t>20/06/2023 17:00</t>
  </si>
  <si>
    <t>20/06/2023 17:15</t>
  </si>
  <si>
    <t>20/06/2023 17:30</t>
  </si>
  <si>
    <t>20/06/2023 17:45</t>
  </si>
  <si>
    <t>20/06/2023 18:00</t>
  </si>
  <si>
    <t>20/06/2023 18:15</t>
  </si>
  <si>
    <t>20/06/2023 18:30</t>
  </si>
  <si>
    <t>20/06/2023 18:45</t>
  </si>
  <si>
    <t>20/06/2023 19:00</t>
  </si>
  <si>
    <t>20/06/2023 19:15</t>
  </si>
  <si>
    <t>20/06/2023 19:30</t>
  </si>
  <si>
    <t>20/06/2023 19:45</t>
  </si>
  <si>
    <t>20/06/2023 20:00</t>
  </si>
  <si>
    <t>20/06/2023 20:15</t>
  </si>
  <si>
    <t>20/06/2023 20:30</t>
  </si>
  <si>
    <t>20/06/2023 20:45</t>
  </si>
  <si>
    <t>20/06/2023 21:00</t>
  </si>
  <si>
    <t>20/06/2023 21:15</t>
  </si>
  <si>
    <t>20/06/2023 21:30</t>
  </si>
  <si>
    <t>20/06/2023 21:45</t>
  </si>
  <si>
    <t>20/06/2023 22:00</t>
  </si>
  <si>
    <t>20/06/2023 22:15</t>
  </si>
  <si>
    <t>20/06/2023 22:30</t>
  </si>
  <si>
    <t>20/06/2023 22:45</t>
  </si>
  <si>
    <t>20/06/2023 23:00</t>
  </si>
  <si>
    <t>20/06/2023 23:15</t>
  </si>
  <si>
    <t>20/06/2023 23:30</t>
  </si>
  <si>
    <t>20/06/2023 23:45</t>
  </si>
  <si>
    <t>20/06/2023 24:00</t>
  </si>
  <si>
    <t>21/06/2023 00:15</t>
  </si>
  <si>
    <t>21/06/2023 00:30</t>
  </si>
  <si>
    <t>21/06/2023 00:45</t>
  </si>
  <si>
    <t>21/06/2023 01:00</t>
  </si>
  <si>
    <t>21/06/2023 01:15</t>
  </si>
  <si>
    <t>21/06/2023 01:30</t>
  </si>
  <si>
    <t>21/06/2023 01:45</t>
  </si>
  <si>
    <t>21/06/2023 02:00</t>
  </si>
  <si>
    <t>21/06/2023 02:15</t>
  </si>
  <si>
    <t>21/06/2023 02:30</t>
  </si>
  <si>
    <t>21/06/2023 02:45</t>
  </si>
  <si>
    <t>21/06/2023 03:00</t>
  </si>
  <si>
    <t>21/06/2023 03:15</t>
  </si>
  <si>
    <t>21/06/2023 03:30</t>
  </si>
  <si>
    <t>21/06/2023 03:45</t>
  </si>
  <si>
    <t>21/06/2023 04:00</t>
  </si>
  <si>
    <t>21/06/2023 04:15</t>
  </si>
  <si>
    <t>21/06/2023 04:30</t>
  </si>
  <si>
    <t>21/06/2023 04:45</t>
  </si>
  <si>
    <t>21/06/2023 05:00</t>
  </si>
  <si>
    <t>21/06/2023 05:15</t>
  </si>
  <si>
    <t>21/06/2023 05:30</t>
  </si>
  <si>
    <t>21/06/2023 05:45</t>
  </si>
  <si>
    <t>21/06/2023 06:00</t>
  </si>
  <si>
    <t>21/06/2023 06:15</t>
  </si>
  <si>
    <t>21/06/2023 06:30</t>
  </si>
  <si>
    <t>21/06/2023 06:45</t>
  </si>
  <si>
    <t>21/06/2023 07:00</t>
  </si>
  <si>
    <t>21/06/2023 07:15</t>
  </si>
  <si>
    <t>21/06/2023 07:30</t>
  </si>
  <si>
    <t>21/06/2023 07:45</t>
  </si>
  <si>
    <t>21/06/2023 08:00</t>
  </si>
  <si>
    <t>21/06/2023 08:15</t>
  </si>
  <si>
    <t>21/06/2023 08:30</t>
  </si>
  <si>
    <t>21/06/2023 08:45</t>
  </si>
  <si>
    <t>21/06/2023 09:00</t>
  </si>
  <si>
    <t>21/06/2023 09:15</t>
  </si>
  <si>
    <t>21/06/2023 09:30</t>
  </si>
  <si>
    <t>21/06/2023 09:45</t>
  </si>
  <si>
    <t>21/06/2023 10:00</t>
  </si>
  <si>
    <t>21/06/2023 10:15</t>
  </si>
  <si>
    <t>21/06/2023 10:30</t>
  </si>
  <si>
    <t>21/06/2023 10:45</t>
  </si>
  <si>
    <t>21/06/2023 11:00</t>
  </si>
  <si>
    <t>21/06/2023 11:15</t>
  </si>
  <si>
    <t>21/06/2023 11:30</t>
  </si>
  <si>
    <t>21/06/2023 11:45</t>
  </si>
  <si>
    <t>21/06/2023 12:00</t>
  </si>
  <si>
    <t>21/06/2023 12:15</t>
  </si>
  <si>
    <t>21/06/2023 12:30</t>
  </si>
  <si>
    <t>21/06/2023 12:45</t>
  </si>
  <si>
    <t>21/06/2023 13:00</t>
  </si>
  <si>
    <t>21/06/2023 13:15</t>
  </si>
  <si>
    <t>21/06/2023 13:30</t>
  </si>
  <si>
    <t>21/06/2023 13:45</t>
  </si>
  <si>
    <t>21/06/2023 14:00</t>
  </si>
  <si>
    <t>21/06/2023 14:15</t>
  </si>
  <si>
    <t>21/06/2023 14:30</t>
  </si>
  <si>
    <t>21/06/2023 14:45</t>
  </si>
  <si>
    <t>21/06/2023 15:00</t>
  </si>
  <si>
    <t>21/06/2023 15:15</t>
  </si>
  <si>
    <t>21/06/2023 15:30</t>
  </si>
  <si>
    <t>21/06/2023 15:45</t>
  </si>
  <si>
    <t>21/06/2023 16:00</t>
  </si>
  <si>
    <t>21/06/2023 16:15</t>
  </si>
  <si>
    <t>21/06/2023 16:30</t>
  </si>
  <si>
    <t>21/06/2023 16:45</t>
  </si>
  <si>
    <t>21/06/2023 17:00</t>
  </si>
  <si>
    <t>21/06/2023 17:15</t>
  </si>
  <si>
    <t>21/06/2023 17:30</t>
  </si>
  <si>
    <t>21/06/2023 17:45</t>
  </si>
  <si>
    <t>21/06/2023 18:00</t>
  </si>
  <si>
    <t>21/06/2023 18:15</t>
  </si>
  <si>
    <t>21/06/2023 18:30</t>
  </si>
  <si>
    <t>21/06/2023 18:45</t>
  </si>
  <si>
    <t>21/06/2023 19:00</t>
  </si>
  <si>
    <t>21/06/2023 19:15</t>
  </si>
  <si>
    <t>21/06/2023 19:30</t>
  </si>
  <si>
    <t>21/06/2023 19:45</t>
  </si>
  <si>
    <t>21/06/2023 20:00</t>
  </si>
  <si>
    <t>21/06/2023 20:15</t>
  </si>
  <si>
    <t>21/06/2023 20:30</t>
  </si>
  <si>
    <t>21/06/2023 20:45</t>
  </si>
  <si>
    <t>21/06/2023 21:00</t>
  </si>
  <si>
    <t>21/06/2023 21:15</t>
  </si>
  <si>
    <t>21/06/2023 21:30</t>
  </si>
  <si>
    <t>21/06/2023 21:45</t>
  </si>
  <si>
    <t>21/06/2023 22:00</t>
  </si>
  <si>
    <t>21/06/2023 22:15</t>
  </si>
  <si>
    <t>21/06/2023 22:30</t>
  </si>
  <si>
    <t>21/06/2023 22:45</t>
  </si>
  <si>
    <t>21/06/2023 23:00</t>
  </si>
  <si>
    <t>21/06/2023 23:15</t>
  </si>
  <si>
    <t>21/06/2023 23:30</t>
  </si>
  <si>
    <t>21/06/2023 23:45</t>
  </si>
  <si>
    <t>21/06/2023 24:00</t>
  </si>
  <si>
    <t>22/06/2023 00:15</t>
  </si>
  <si>
    <t>22/06/2023 00:30</t>
  </si>
  <si>
    <t>22/06/2023 00:45</t>
  </si>
  <si>
    <t>22/06/2023 01:00</t>
  </si>
  <si>
    <t>22/06/2023 01:15</t>
  </si>
  <si>
    <t>22/06/2023 01:30</t>
  </si>
  <si>
    <t>22/06/2023 01:45</t>
  </si>
  <si>
    <t>22/06/2023 02:00</t>
  </si>
  <si>
    <t>22/06/2023 02:15</t>
  </si>
  <si>
    <t>22/06/2023 02:30</t>
  </si>
  <si>
    <t>22/06/2023 02:45</t>
  </si>
  <si>
    <t>22/06/2023 03:00</t>
  </si>
  <si>
    <t>22/06/2023 03:15</t>
  </si>
  <si>
    <t>22/06/2023 03:30</t>
  </si>
  <si>
    <t>22/06/2023 03:45</t>
  </si>
  <si>
    <t>22/06/2023 04:00</t>
  </si>
  <si>
    <t>22/06/2023 04:15</t>
  </si>
  <si>
    <t>22/06/2023 04:30</t>
  </si>
  <si>
    <t>22/06/2023 04:45</t>
  </si>
  <si>
    <t>22/06/2023 05:00</t>
  </si>
  <si>
    <t>22/06/2023 05:15</t>
  </si>
  <si>
    <t>22/06/2023 05:30</t>
  </si>
  <si>
    <t>22/06/2023 05:45</t>
  </si>
  <si>
    <t>22/06/2023 06:00</t>
  </si>
  <si>
    <t>22/06/2023 06:15</t>
  </si>
  <si>
    <t>22/06/2023 06:30</t>
  </si>
  <si>
    <t>22/06/2023 06:45</t>
  </si>
  <si>
    <t>22/06/2023 07:00</t>
  </si>
  <si>
    <t>22/06/2023 07:15</t>
  </si>
  <si>
    <t>22/06/2023 07:30</t>
  </si>
  <si>
    <t>22/06/2023 07:45</t>
  </si>
  <si>
    <t>22/06/2023 08:00</t>
  </si>
  <si>
    <t>22/06/2023 08:15</t>
  </si>
  <si>
    <t>22/06/2023 08:30</t>
  </si>
  <si>
    <t>22/06/2023 08:45</t>
  </si>
  <si>
    <t>22/06/2023 09:00</t>
  </si>
  <si>
    <t>22/06/2023 09:15</t>
  </si>
  <si>
    <t>22/06/2023 09:30</t>
  </si>
  <si>
    <t>22/06/2023 09:45</t>
  </si>
  <si>
    <t>22/06/2023 10:00</t>
  </si>
  <si>
    <t>22/06/2023 10:15</t>
  </si>
  <si>
    <t>22/06/2023 10:30</t>
  </si>
  <si>
    <t>22/06/2023 10:45</t>
  </si>
  <si>
    <t>22/06/2023 11:00</t>
  </si>
  <si>
    <t>22/06/2023 11:15</t>
  </si>
  <si>
    <t>22/06/2023 11:30</t>
  </si>
  <si>
    <t>22/06/2023 11:45</t>
  </si>
  <si>
    <t>22/06/2023 12:00</t>
  </si>
  <si>
    <t>22/06/2023 12:15</t>
  </si>
  <si>
    <t>22/06/2023 12:30</t>
  </si>
  <si>
    <t>22/06/2023 12:45</t>
  </si>
  <si>
    <t>22/06/2023 13:00</t>
  </si>
  <si>
    <t>22/06/2023 13:15</t>
  </si>
  <si>
    <t>22/06/2023 13:30</t>
  </si>
  <si>
    <t>22/06/2023 13:45</t>
  </si>
  <si>
    <t>22/06/2023 14:00</t>
  </si>
  <si>
    <t>22/06/2023 14:15</t>
  </si>
  <si>
    <t>22/06/2023 14:30</t>
  </si>
  <si>
    <t>22/06/2023 14:45</t>
  </si>
  <si>
    <t>22/06/2023 15:00</t>
  </si>
  <si>
    <t>22/06/2023 15:15</t>
  </si>
  <si>
    <t>22/06/2023 15:30</t>
  </si>
  <si>
    <t>22/06/2023 15:45</t>
  </si>
  <si>
    <t>22/06/2023 16:00</t>
  </si>
  <si>
    <t>22/06/2023 16:15</t>
  </si>
  <si>
    <t>22/06/2023 16:30</t>
  </si>
  <si>
    <t>22/06/2023 16:45</t>
  </si>
  <si>
    <t>22/06/2023 17:00</t>
  </si>
  <si>
    <t>22/06/2023 17:15</t>
  </si>
  <si>
    <t>22/06/2023 17:30</t>
  </si>
  <si>
    <t>22/06/2023 17:45</t>
  </si>
  <si>
    <t>22/06/2023 18:00</t>
  </si>
  <si>
    <t>22/06/2023 18:15</t>
  </si>
  <si>
    <t>22/06/2023 18:30</t>
  </si>
  <si>
    <t>22/06/2023 18:45</t>
  </si>
  <si>
    <t>22/06/2023 19:00</t>
  </si>
  <si>
    <t>22/06/2023 19:15</t>
  </si>
  <si>
    <t>22/06/2023 19:30</t>
  </si>
  <si>
    <t>22/06/2023 19:45</t>
  </si>
  <si>
    <t>22/06/2023 20:00</t>
  </si>
  <si>
    <t>22/06/2023 20:15</t>
  </si>
  <si>
    <t>22/06/2023 20:30</t>
  </si>
  <si>
    <t>22/06/2023 20:45</t>
  </si>
  <si>
    <t>22/06/2023 21:00</t>
  </si>
  <si>
    <t>22/06/2023 21:15</t>
  </si>
  <si>
    <t>22/06/2023 21:30</t>
  </si>
  <si>
    <t>22/06/2023 21:45</t>
  </si>
  <si>
    <t>22/06/2023 22:00</t>
  </si>
  <si>
    <t>22/06/2023 22:15</t>
  </si>
  <si>
    <t>22/06/2023 22:30</t>
  </si>
  <si>
    <t>22/06/2023 22:45</t>
  </si>
  <si>
    <t>22/06/2023 23:00</t>
  </si>
  <si>
    <t>22/06/2023 23:15</t>
  </si>
  <si>
    <t>22/06/2023 23:30</t>
  </si>
  <si>
    <t>22/06/2023 23:45</t>
  </si>
  <si>
    <t>22/06/2023 24:00</t>
  </si>
  <si>
    <t>23/06/2023 00:15</t>
  </si>
  <si>
    <t>23/06/2023 00:30</t>
  </si>
  <si>
    <t>23/06/2023 00:45</t>
  </si>
  <si>
    <t>23/06/2023 01:00</t>
  </si>
  <si>
    <t>23/06/2023 01:15</t>
  </si>
  <si>
    <t>23/06/2023 01:30</t>
  </si>
  <si>
    <t>23/06/2023 01:45</t>
  </si>
  <si>
    <t>23/06/2023 02:00</t>
  </si>
  <si>
    <t>23/06/2023 02:15</t>
  </si>
  <si>
    <t>23/06/2023 02:30</t>
  </si>
  <si>
    <t>23/06/2023 02:45</t>
  </si>
  <si>
    <t>23/06/2023 03:00</t>
  </si>
  <si>
    <t>23/06/2023 03:15</t>
  </si>
  <si>
    <t>23/06/2023 03:30</t>
  </si>
  <si>
    <t>23/06/2023 03:45</t>
  </si>
  <si>
    <t>23/06/2023 04:00</t>
  </si>
  <si>
    <t>23/06/2023 04:15</t>
  </si>
  <si>
    <t>23/06/2023 04:30</t>
  </si>
  <si>
    <t>23/06/2023 04:45</t>
  </si>
  <si>
    <t>23/06/2023 05:00</t>
  </si>
  <si>
    <t>23/06/2023 05:15</t>
  </si>
  <si>
    <t>23/06/2023 05:30</t>
  </si>
  <si>
    <t>23/06/2023 05:45</t>
  </si>
  <si>
    <t>23/06/2023 06:00</t>
  </si>
  <si>
    <t>23/06/2023 06:15</t>
  </si>
  <si>
    <t>23/06/2023 06:30</t>
  </si>
  <si>
    <t>23/06/2023 06:45</t>
  </si>
  <si>
    <t>23/06/2023 07:00</t>
  </si>
  <si>
    <t>23/06/2023 07:15</t>
  </si>
  <si>
    <t>23/06/2023 07:30</t>
  </si>
  <si>
    <t>23/06/2023 07:45</t>
  </si>
  <si>
    <t>23/06/2023 08:00</t>
  </si>
  <si>
    <t>23/06/2023 08:15</t>
  </si>
  <si>
    <t>23/06/2023 08:30</t>
  </si>
  <si>
    <t>23/06/2023 08:45</t>
  </si>
  <si>
    <t>23/06/2023 09:00</t>
  </si>
  <si>
    <t>23/06/2023 09:15</t>
  </si>
  <si>
    <t>23/06/2023 09:30</t>
  </si>
  <si>
    <t>23/06/2023 09:45</t>
  </si>
  <si>
    <t>23/06/2023 10:00</t>
  </si>
  <si>
    <t>23/06/2023 10:15</t>
  </si>
  <si>
    <t>23/06/2023 10:30</t>
  </si>
  <si>
    <t>23/06/2023 10:45</t>
  </si>
  <si>
    <t>23/06/2023 11:00</t>
  </si>
  <si>
    <t>23/06/2023 11:15</t>
  </si>
  <si>
    <t>23/06/2023 11:30</t>
  </si>
  <si>
    <t>23/06/2023 11:45</t>
  </si>
  <si>
    <t>23/06/2023 12:00</t>
  </si>
  <si>
    <t>23/06/2023 12:15</t>
  </si>
  <si>
    <t>23/06/2023 12:30</t>
  </si>
  <si>
    <t>23/06/2023 12:45</t>
  </si>
  <si>
    <t>23/06/2023 13:00</t>
  </si>
  <si>
    <t>23/06/2023 13:15</t>
  </si>
  <si>
    <t>23/06/2023 13:30</t>
  </si>
  <si>
    <t>23/06/2023 13:45</t>
  </si>
  <si>
    <t>23/06/2023 14:00</t>
  </si>
  <si>
    <t>23/06/2023 14:15</t>
  </si>
  <si>
    <t>23/06/2023 14:30</t>
  </si>
  <si>
    <t>23/06/2023 14:45</t>
  </si>
  <si>
    <t>23/06/2023 15:00</t>
  </si>
  <si>
    <t>23/06/2023 15:15</t>
  </si>
  <si>
    <t>23/06/2023 15:30</t>
  </si>
  <si>
    <t>23/06/2023 15:45</t>
  </si>
  <si>
    <t>23/06/2023 16:00</t>
  </si>
  <si>
    <t>23/06/2023 16:15</t>
  </si>
  <si>
    <t>23/06/2023 16:30</t>
  </si>
  <si>
    <t>23/06/2023 16:45</t>
  </si>
  <si>
    <t>23/06/2023 17:00</t>
  </si>
  <si>
    <t>23/06/2023 17:15</t>
  </si>
  <si>
    <t>23/06/2023 17:30</t>
  </si>
  <si>
    <t>23/06/2023 17:45</t>
  </si>
  <si>
    <t>23/06/2023 18:00</t>
  </si>
  <si>
    <t>23/06/2023 18:15</t>
  </si>
  <si>
    <t>23/06/2023 18:30</t>
  </si>
  <si>
    <t>23/06/2023 18:45</t>
  </si>
  <si>
    <t>23/06/2023 19:00</t>
  </si>
  <si>
    <t>23/06/2023 19:15</t>
  </si>
  <si>
    <t>23/06/2023 19:30</t>
  </si>
  <si>
    <t>23/06/2023 19:45</t>
  </si>
  <si>
    <t>23/06/2023 20:00</t>
  </si>
  <si>
    <t>23/06/2023 20:15</t>
  </si>
  <si>
    <t>23/06/2023 20:30</t>
  </si>
  <si>
    <t>23/06/2023 20:45</t>
  </si>
  <si>
    <t>23/06/2023 21:00</t>
  </si>
  <si>
    <t>23/06/2023 21:15</t>
  </si>
  <si>
    <t>23/06/2023 21:30</t>
  </si>
  <si>
    <t>23/06/2023 21:45</t>
  </si>
  <si>
    <t>23/06/2023 22:00</t>
  </si>
  <si>
    <t>23/06/2023 22:15</t>
  </si>
  <si>
    <t>23/06/2023 22:30</t>
  </si>
  <si>
    <t>23/06/2023 22:45</t>
  </si>
  <si>
    <t>23/06/2023 23:00</t>
  </si>
  <si>
    <t>23/06/2023 23:15</t>
  </si>
  <si>
    <t>23/06/2023 23:30</t>
  </si>
  <si>
    <t>23/06/2023 23:45</t>
  </si>
  <si>
    <t>23/06/2023 24:00</t>
  </si>
  <si>
    <t>24/06/2023 00:15</t>
  </si>
  <si>
    <t>24/06/2023 00:30</t>
  </si>
  <si>
    <t>24/06/2023 00:45</t>
  </si>
  <si>
    <t>24/06/2023 01:00</t>
  </si>
  <si>
    <t>24/06/2023 01:15</t>
  </si>
  <si>
    <t>24/06/2023 01:30</t>
  </si>
  <si>
    <t>24/06/2023 01:45</t>
  </si>
  <si>
    <t>24/06/2023 02:00</t>
  </si>
  <si>
    <t>24/06/2023 02:15</t>
  </si>
  <si>
    <t>24/06/2023 02:30</t>
  </si>
  <si>
    <t>24/06/2023 02:45</t>
  </si>
  <si>
    <t>24/06/2023 03:00</t>
  </si>
  <si>
    <t>24/06/2023 03:15</t>
  </si>
  <si>
    <t>24/06/2023 03:30</t>
  </si>
  <si>
    <t>24/06/2023 03:45</t>
  </si>
  <si>
    <t>24/06/2023 04:00</t>
  </si>
  <si>
    <t>24/06/2023 04:15</t>
  </si>
  <si>
    <t>24/06/2023 04:30</t>
  </si>
  <si>
    <t>24/06/2023 04:45</t>
  </si>
  <si>
    <t>24/06/2023 05:00</t>
  </si>
  <si>
    <t>24/06/2023 05:15</t>
  </si>
  <si>
    <t>24/06/2023 05:30</t>
  </si>
  <si>
    <t>24/06/2023 05:45</t>
  </si>
  <si>
    <t>24/06/2023 06:00</t>
  </si>
  <si>
    <t>24/06/2023 06:15</t>
  </si>
  <si>
    <t>24/06/2023 06:30</t>
  </si>
  <si>
    <t>24/06/2023 06:45</t>
  </si>
  <si>
    <t>24/06/2023 07:00</t>
  </si>
  <si>
    <t>24/06/2023 07:15</t>
  </si>
  <si>
    <t>24/06/2023 07:30</t>
  </si>
  <si>
    <t>24/06/2023 07:45</t>
  </si>
  <si>
    <t>24/06/2023 08:00</t>
  </si>
  <si>
    <t>24/06/2023 08:15</t>
  </si>
  <si>
    <t>24/06/2023 08:30</t>
  </si>
  <si>
    <t>24/06/2023 08:45</t>
  </si>
  <si>
    <t>24/06/2023 09:00</t>
  </si>
  <si>
    <t>24/06/2023 09:15</t>
  </si>
  <si>
    <t>24/06/2023 09:30</t>
  </si>
  <si>
    <t>24/06/2023 09:45</t>
  </si>
  <si>
    <t>24/06/2023 10:00</t>
  </si>
  <si>
    <t>24/06/2023 10:15</t>
  </si>
  <si>
    <t>24/06/2023 10:30</t>
  </si>
  <si>
    <t>24/06/2023 10:45</t>
  </si>
  <si>
    <t>24/06/2023 11:00</t>
  </si>
  <si>
    <t>24/06/2023 11:15</t>
  </si>
  <si>
    <t>24/06/2023 11:30</t>
  </si>
  <si>
    <t>24/06/2023 11:45</t>
  </si>
  <si>
    <t>24/06/2023 12:00</t>
  </si>
  <si>
    <t>24/06/2023 12:15</t>
  </si>
  <si>
    <t>24/06/2023 12:30</t>
  </si>
  <si>
    <t>24/06/2023 12:45</t>
  </si>
  <si>
    <t>24/06/2023 13:00</t>
  </si>
  <si>
    <t>24/06/2023 13:15</t>
  </si>
  <si>
    <t>24/06/2023 13:30</t>
  </si>
  <si>
    <t>24/06/2023 13:45</t>
  </si>
  <si>
    <t>24/06/2023 14:00</t>
  </si>
  <si>
    <t>24/06/2023 14:15</t>
  </si>
  <si>
    <t>24/06/2023 14:30</t>
  </si>
  <si>
    <t>24/06/2023 14:45</t>
  </si>
  <si>
    <t>24/06/2023 15:00</t>
  </si>
  <si>
    <t>24/06/2023 15:15</t>
  </si>
  <si>
    <t>24/06/2023 15:30</t>
  </si>
  <si>
    <t>24/06/2023 15:45</t>
  </si>
  <si>
    <t>24/06/2023 16:00</t>
  </si>
  <si>
    <t>24/06/2023 16:15</t>
  </si>
  <si>
    <t>24/06/2023 16:30</t>
  </si>
  <si>
    <t>24/06/2023 16:45</t>
  </si>
  <si>
    <t>24/06/2023 17:00</t>
  </si>
  <si>
    <t>24/06/2023 17:15</t>
  </si>
  <si>
    <t>24/06/2023 17:30</t>
  </si>
  <si>
    <t>24/06/2023 17:45</t>
  </si>
  <si>
    <t>24/06/2023 18:00</t>
  </si>
  <si>
    <t>24/06/2023 18:15</t>
  </si>
  <si>
    <t>24/06/2023 18:30</t>
  </si>
  <si>
    <t>24/06/2023 18:45</t>
  </si>
  <si>
    <t>24/06/2023 19:00</t>
  </si>
  <si>
    <t>24/06/2023 19:15</t>
  </si>
  <si>
    <t>24/06/2023 19:30</t>
  </si>
  <si>
    <t>24/06/2023 19:45</t>
  </si>
  <si>
    <t>24/06/2023 20:00</t>
  </si>
  <si>
    <t>24/06/2023 20:15</t>
  </si>
  <si>
    <t>24/06/2023 20:30</t>
  </si>
  <si>
    <t>24/06/2023 20:45</t>
  </si>
  <si>
    <t>24/06/2023 21:00</t>
  </si>
  <si>
    <t>24/06/2023 21:15</t>
  </si>
  <si>
    <t>24/06/2023 21:30</t>
  </si>
  <si>
    <t>24/06/2023 21:45</t>
  </si>
  <si>
    <t>24/06/2023 22:00</t>
  </si>
  <si>
    <t>24/06/2023 22:15</t>
  </si>
  <si>
    <t>24/06/2023 22:30</t>
  </si>
  <si>
    <t>24/06/2023 22:45</t>
  </si>
  <si>
    <t>24/06/2023 23:00</t>
  </si>
  <si>
    <t>24/06/2023 23:15</t>
  </si>
  <si>
    <t>24/06/2023 23:30</t>
  </si>
  <si>
    <t>24/06/2023 23:45</t>
  </si>
  <si>
    <t>24/06/2023 24:00</t>
  </si>
  <si>
    <t>25/06/2023 00:15</t>
  </si>
  <si>
    <t>25/06/2023 00:30</t>
  </si>
  <si>
    <t>25/06/2023 00:45</t>
  </si>
  <si>
    <t>25/06/2023 01:00</t>
  </si>
  <si>
    <t>25/06/2023 01:15</t>
  </si>
  <si>
    <t>25/06/2023 01:30</t>
  </si>
  <si>
    <t>25/06/2023 01:45</t>
  </si>
  <si>
    <t>25/06/2023 02:00</t>
  </si>
  <si>
    <t>25/06/2023 02:15</t>
  </si>
  <si>
    <t>25/06/2023 02:30</t>
  </si>
  <si>
    <t>25/06/2023 02:45</t>
  </si>
  <si>
    <t>25/06/2023 03:00</t>
  </si>
  <si>
    <t>25/06/2023 03:15</t>
  </si>
  <si>
    <t>25/06/2023 03:30</t>
  </si>
  <si>
    <t>25/06/2023 03:45</t>
  </si>
  <si>
    <t>25/06/2023 04:00</t>
  </si>
  <si>
    <t>25/06/2023 04:15</t>
  </si>
  <si>
    <t>25/06/2023 04:30</t>
  </si>
  <si>
    <t>25/06/2023 04:45</t>
  </si>
  <si>
    <t>25/06/2023 05:00</t>
  </si>
  <si>
    <t>25/06/2023 05:15</t>
  </si>
  <si>
    <t>25/06/2023 05:30</t>
  </si>
  <si>
    <t>25/06/2023 05:45</t>
  </si>
  <si>
    <t>25/06/2023 06:00</t>
  </si>
  <si>
    <t>25/06/2023 06:15</t>
  </si>
  <si>
    <t>25/06/2023 06:30</t>
  </si>
  <si>
    <t>25/06/2023 06:45</t>
  </si>
  <si>
    <t>25/06/2023 07:00</t>
  </si>
  <si>
    <t>25/06/2023 07:15</t>
  </si>
  <si>
    <t>25/06/2023 07:30</t>
  </si>
  <si>
    <t>25/06/2023 07:45</t>
  </si>
  <si>
    <t>25/06/2023 08:00</t>
  </si>
  <si>
    <t>25/06/2023 08:15</t>
  </si>
  <si>
    <t>25/06/2023 08:30</t>
  </si>
  <si>
    <t>25/06/2023 08:45</t>
  </si>
  <si>
    <t>25/06/2023 09:00</t>
  </si>
  <si>
    <t>25/06/2023 09:15</t>
  </si>
  <si>
    <t>25/06/2023 09:30</t>
  </si>
  <si>
    <t>25/06/2023 09:45</t>
  </si>
  <si>
    <t>25/06/2023 10:00</t>
  </si>
  <si>
    <t>25/06/2023 10:15</t>
  </si>
  <si>
    <t>25/06/2023 10:30</t>
  </si>
  <si>
    <t>25/06/2023 10:45</t>
  </si>
  <si>
    <t>25/06/2023 11:00</t>
  </si>
  <si>
    <t>25/06/2023 11:15</t>
  </si>
  <si>
    <t>25/06/2023 11:30</t>
  </si>
  <si>
    <t>25/06/2023 11:45</t>
  </si>
  <si>
    <t>25/06/2023 12:00</t>
  </si>
  <si>
    <t>25/06/2023 12:15</t>
  </si>
  <si>
    <t>25/06/2023 12:30</t>
  </si>
  <si>
    <t>25/06/2023 12:45</t>
  </si>
  <si>
    <t>25/06/2023 13:00</t>
  </si>
  <si>
    <t>25/06/2023 13:15</t>
  </si>
  <si>
    <t>25/06/2023 13:30</t>
  </si>
  <si>
    <t>25/06/2023 13:45</t>
  </si>
  <si>
    <t>25/06/2023 14:00</t>
  </si>
  <si>
    <t>25/06/2023 14:15</t>
  </si>
  <si>
    <t>25/06/2023 14:30</t>
  </si>
  <si>
    <t>25/06/2023 14:45</t>
  </si>
  <si>
    <t>25/06/2023 15:00</t>
  </si>
  <si>
    <t>25/06/2023 15:15</t>
  </si>
  <si>
    <t>25/06/2023 15:30</t>
  </si>
  <si>
    <t>25/06/2023 15:45</t>
  </si>
  <si>
    <t>25/06/2023 16:00</t>
  </si>
  <si>
    <t>25/06/2023 16:15</t>
  </si>
  <si>
    <t>25/06/2023 16:30</t>
  </si>
  <si>
    <t>25/06/2023 16:45</t>
  </si>
  <si>
    <t>25/06/2023 17:00</t>
  </si>
  <si>
    <t>25/06/2023 17:15</t>
  </si>
  <si>
    <t>25/06/2023 17:30</t>
  </si>
  <si>
    <t>25/06/2023 17:45</t>
  </si>
  <si>
    <t>25/06/2023 18:00</t>
  </si>
  <si>
    <t>25/06/2023 18:15</t>
  </si>
  <si>
    <t>25/06/2023 18:30</t>
  </si>
  <si>
    <t>25/06/2023 18:45</t>
  </si>
  <si>
    <t>25/06/2023 19:00</t>
  </si>
  <si>
    <t>25/06/2023 19:15</t>
  </si>
  <si>
    <t>25/06/2023 19:30</t>
  </si>
  <si>
    <t>25/06/2023 19:45</t>
  </si>
  <si>
    <t>25/06/2023 20:00</t>
  </si>
  <si>
    <t>25/06/2023 20:15</t>
  </si>
  <si>
    <t>25/06/2023 20:30</t>
  </si>
  <si>
    <t>25/06/2023 20:45</t>
  </si>
  <si>
    <t>25/06/2023 21:00</t>
  </si>
  <si>
    <t>25/06/2023 21:15</t>
  </si>
  <si>
    <t>25/06/2023 21:30</t>
  </si>
  <si>
    <t>25/06/2023 21:45</t>
  </si>
  <si>
    <t>25/06/2023 22:00</t>
  </si>
  <si>
    <t>25/06/2023 22:15</t>
  </si>
  <si>
    <t>25/06/2023 22:30</t>
  </si>
  <si>
    <t>25/06/2023 22:45</t>
  </si>
  <si>
    <t>25/06/2023 23:00</t>
  </si>
  <si>
    <t>25/06/2023 23:15</t>
  </si>
  <si>
    <t>25/06/2023 23:30</t>
  </si>
  <si>
    <t>25/06/2023 23:45</t>
  </si>
  <si>
    <t>25/06/2023 24:00</t>
  </si>
  <si>
    <t>26/06/2023 00:15</t>
  </si>
  <si>
    <t>26/06/2023 00:30</t>
  </si>
  <si>
    <t>26/06/2023 00:45</t>
  </si>
  <si>
    <t>26/06/2023 01:00</t>
  </si>
  <si>
    <t>26/06/2023 01:15</t>
  </si>
  <si>
    <t>26/06/2023 01:30</t>
  </si>
  <si>
    <t>26/06/2023 01:45</t>
  </si>
  <si>
    <t>26/06/2023 02:00</t>
  </si>
  <si>
    <t>26/06/2023 02:15</t>
  </si>
  <si>
    <t>26/06/2023 02:30</t>
  </si>
  <si>
    <t>26/06/2023 02:45</t>
  </si>
  <si>
    <t>26/06/2023 03:00</t>
  </si>
  <si>
    <t>26/06/2023 03:15</t>
  </si>
  <si>
    <t>26/06/2023 03:30</t>
  </si>
  <si>
    <t>26/06/2023 03:45</t>
  </si>
  <si>
    <t>26/06/2023 04:00</t>
  </si>
  <si>
    <t>26/06/2023 04:15</t>
  </si>
  <si>
    <t>26/06/2023 04:30</t>
  </si>
  <si>
    <t>26/06/2023 04:45</t>
  </si>
  <si>
    <t>26/06/2023 05:00</t>
  </si>
  <si>
    <t>26/06/2023 05:15</t>
  </si>
  <si>
    <t>26/06/2023 05:30</t>
  </si>
  <si>
    <t>26/06/2023 05:45</t>
  </si>
  <si>
    <t>26/06/2023 06:00</t>
  </si>
  <si>
    <t>26/06/2023 06:15</t>
  </si>
  <si>
    <t>26/06/2023 06:30</t>
  </si>
  <si>
    <t>26/06/2023 06:45</t>
  </si>
  <si>
    <t>26/06/2023 07:00</t>
  </si>
  <si>
    <t>26/06/2023 07:15</t>
  </si>
  <si>
    <t>26/06/2023 07:30</t>
  </si>
  <si>
    <t>26/06/2023 07:45</t>
  </si>
  <si>
    <t>26/06/2023 08:00</t>
  </si>
  <si>
    <t>26/06/2023 08:15</t>
  </si>
  <si>
    <t>26/06/2023 08:30</t>
  </si>
  <si>
    <t>26/06/2023 08:45</t>
  </si>
  <si>
    <t>26/06/2023 09:00</t>
  </si>
  <si>
    <t>26/06/2023 09:15</t>
  </si>
  <si>
    <t>26/06/2023 09:30</t>
  </si>
  <si>
    <t>26/06/2023 09:45</t>
  </si>
  <si>
    <t>26/06/2023 10:00</t>
  </si>
  <si>
    <t>26/06/2023 10:15</t>
  </si>
  <si>
    <t>26/06/2023 10:30</t>
  </si>
  <si>
    <t>26/06/2023 10:45</t>
  </si>
  <si>
    <t>26/06/2023 11:00</t>
  </si>
  <si>
    <t>26/06/2023 11:15</t>
  </si>
  <si>
    <t>26/06/2023 11:30</t>
  </si>
  <si>
    <t>26/06/2023 11:45</t>
  </si>
  <si>
    <t>26/06/2023 12:00</t>
  </si>
  <si>
    <t>26/06/2023 12:15</t>
  </si>
  <si>
    <t>26/06/2023 12:30</t>
  </si>
  <si>
    <t>26/06/2023 12:45</t>
  </si>
  <si>
    <t>26/06/2023 13:00</t>
  </si>
  <si>
    <t>26/06/2023 13:15</t>
  </si>
  <si>
    <t>26/06/2023 13:30</t>
  </si>
  <si>
    <t>26/06/2023 13:45</t>
  </si>
  <si>
    <t>26/06/2023 14:00</t>
  </si>
  <si>
    <t>26/06/2023 14:15</t>
  </si>
  <si>
    <t>26/06/2023 14:30</t>
  </si>
  <si>
    <t>26/06/2023 14:45</t>
  </si>
  <si>
    <t>26/06/2023 15:00</t>
  </si>
  <si>
    <t>26/06/2023 15:15</t>
  </si>
  <si>
    <t>26/06/2023 15:30</t>
  </si>
  <si>
    <t>26/06/2023 15:45</t>
  </si>
  <si>
    <t>26/06/2023 16:00</t>
  </si>
  <si>
    <t>26/06/2023 16:15</t>
  </si>
  <si>
    <t>26/06/2023 16:30</t>
  </si>
  <si>
    <t>26/06/2023 16:45</t>
  </si>
  <si>
    <t>26/06/2023 17:00</t>
  </si>
  <si>
    <t>26/06/2023 17:15</t>
  </si>
  <si>
    <t>26/06/2023 17:30</t>
  </si>
  <si>
    <t>26/06/2023 17:45</t>
  </si>
  <si>
    <t>26/06/2023 18:00</t>
  </si>
  <si>
    <t>26/06/2023 18:15</t>
  </si>
  <si>
    <t>26/06/2023 18:30</t>
  </si>
  <si>
    <t>26/06/2023 18:45</t>
  </si>
  <si>
    <t>26/06/2023 19:00</t>
  </si>
  <si>
    <t>26/06/2023 19:15</t>
  </si>
  <si>
    <t>26/06/2023 19:30</t>
  </si>
  <si>
    <t>26/06/2023 19:45</t>
  </si>
  <si>
    <t>26/06/2023 20:00</t>
  </si>
  <si>
    <t>26/06/2023 20:15</t>
  </si>
  <si>
    <t>26/06/2023 20:30</t>
  </si>
  <si>
    <t>26/06/2023 20:45</t>
  </si>
  <si>
    <t>26/06/2023 21:00</t>
  </si>
  <si>
    <t>26/06/2023 21:15</t>
  </si>
  <si>
    <t>26/06/2023 21:30</t>
  </si>
  <si>
    <t>26/06/2023 21:45</t>
  </si>
  <si>
    <t>26/06/2023 22:00</t>
  </si>
  <si>
    <t>26/06/2023 22:15</t>
  </si>
  <si>
    <t>26/06/2023 22:30</t>
  </si>
  <si>
    <t>26/06/2023 22:45</t>
  </si>
  <si>
    <t>26/06/2023 23:00</t>
  </si>
  <si>
    <t>26/06/2023 23:15</t>
  </si>
  <si>
    <t>26/06/2023 23:30</t>
  </si>
  <si>
    <t>26/06/2023 23:45</t>
  </si>
  <si>
    <t>26/06/2023 24:00</t>
  </si>
  <si>
    <t>27/06/2023 00:15</t>
  </si>
  <si>
    <t>27/06/2023 00:30</t>
  </si>
  <si>
    <t>27/06/2023 00:45</t>
  </si>
  <si>
    <t>27/06/2023 01:00</t>
  </si>
  <si>
    <t>27/06/2023 01:15</t>
  </si>
  <si>
    <t>27/06/2023 01:30</t>
  </si>
  <si>
    <t>27/06/2023 01:45</t>
  </si>
  <si>
    <t>27/06/2023 02:00</t>
  </si>
  <si>
    <t>27/06/2023 02:15</t>
  </si>
  <si>
    <t>27/06/2023 02:30</t>
  </si>
  <si>
    <t>27/06/2023 02:45</t>
  </si>
  <si>
    <t>27/06/2023 03:00</t>
  </si>
  <si>
    <t>27/06/2023 03:15</t>
  </si>
  <si>
    <t>27/06/2023 03:30</t>
  </si>
  <si>
    <t>27/06/2023 03:45</t>
  </si>
  <si>
    <t>27/06/2023 04:00</t>
  </si>
  <si>
    <t>27/06/2023 04:15</t>
  </si>
  <si>
    <t>27/06/2023 04:30</t>
  </si>
  <si>
    <t>27/06/2023 04:45</t>
  </si>
  <si>
    <t>27/06/2023 05:00</t>
  </si>
  <si>
    <t>27/06/2023 05:15</t>
  </si>
  <si>
    <t>27/06/2023 05:30</t>
  </si>
  <si>
    <t>27/06/2023 05:45</t>
  </si>
  <si>
    <t>27/06/2023 06:00</t>
  </si>
  <si>
    <t>27/06/2023 06:15</t>
  </si>
  <si>
    <t>27/06/2023 06:30</t>
  </si>
  <si>
    <t>27/06/2023 06:45</t>
  </si>
  <si>
    <t>27/06/2023 07:00</t>
  </si>
  <si>
    <t>27/06/2023 07:15</t>
  </si>
  <si>
    <t>27/06/2023 07:30</t>
  </si>
  <si>
    <t>27/06/2023 07:45</t>
  </si>
  <si>
    <t>27/06/2023 08:00</t>
  </si>
  <si>
    <t>27/06/2023 08:15</t>
  </si>
  <si>
    <t>27/06/2023 08:30</t>
  </si>
  <si>
    <t>27/06/2023 08:45</t>
  </si>
  <si>
    <t>27/06/2023 09:00</t>
  </si>
  <si>
    <t>27/06/2023 09:15</t>
  </si>
  <si>
    <t>27/06/2023 09:30</t>
  </si>
  <si>
    <t>27/06/2023 09:45</t>
  </si>
  <si>
    <t>27/06/2023 10:00</t>
  </si>
  <si>
    <t>27/06/2023 10:15</t>
  </si>
  <si>
    <t>27/06/2023 10:30</t>
  </si>
  <si>
    <t>27/06/2023 10:45</t>
  </si>
  <si>
    <t>27/06/2023 11:00</t>
  </si>
  <si>
    <t>27/06/2023 11:15</t>
  </si>
  <si>
    <t>27/06/2023 11:30</t>
  </si>
  <si>
    <t>27/06/2023 11:45</t>
  </si>
  <si>
    <t>27/06/2023 12:00</t>
  </si>
  <si>
    <t>27/06/2023 12:15</t>
  </si>
  <si>
    <t>27/06/2023 12:30</t>
  </si>
  <si>
    <t>27/06/2023 12:45</t>
  </si>
  <si>
    <t>27/06/2023 13:00</t>
  </si>
  <si>
    <t>27/06/2023 13:15</t>
  </si>
  <si>
    <t>27/06/2023 13:30</t>
  </si>
  <si>
    <t>27/06/2023 13:45</t>
  </si>
  <si>
    <t>27/06/2023 14:00</t>
  </si>
  <si>
    <t>27/06/2023 14:15</t>
  </si>
  <si>
    <t>27/06/2023 14:30</t>
  </si>
  <si>
    <t>27/06/2023 14:45</t>
  </si>
  <si>
    <t>27/06/2023 15:00</t>
  </si>
  <si>
    <t>27/06/2023 15:15</t>
  </si>
  <si>
    <t>27/06/2023 15:30</t>
  </si>
  <si>
    <t>27/06/2023 15:45</t>
  </si>
  <si>
    <t>27/06/2023 16:00</t>
  </si>
  <si>
    <t>27/06/2023 16:15</t>
  </si>
  <si>
    <t>27/06/2023 16:30</t>
  </si>
  <si>
    <t>27/06/2023 16:45</t>
  </si>
  <si>
    <t>27/06/2023 17:00</t>
  </si>
  <si>
    <t>27/06/2023 17:15</t>
  </si>
  <si>
    <t>27/06/2023 17:30</t>
  </si>
  <si>
    <t>27/06/2023 17:45</t>
  </si>
  <si>
    <t>27/06/2023 18:00</t>
  </si>
  <si>
    <t>27/06/2023 18:15</t>
  </si>
  <si>
    <t>27/06/2023 18:30</t>
  </si>
  <si>
    <t>27/06/2023 18:45</t>
  </si>
  <si>
    <t>27/06/2023 19:00</t>
  </si>
  <si>
    <t>27/06/2023 19:15</t>
  </si>
  <si>
    <t>27/06/2023 19:30</t>
  </si>
  <si>
    <t>27/06/2023 19:45</t>
  </si>
  <si>
    <t>27/06/2023 20:00</t>
  </si>
  <si>
    <t>27/06/2023 20:15</t>
  </si>
  <si>
    <t>27/06/2023 20:30</t>
  </si>
  <si>
    <t>27/06/2023 20:45</t>
  </si>
  <si>
    <t>27/06/2023 21:00</t>
  </si>
  <si>
    <t>27/06/2023 21:15</t>
  </si>
  <si>
    <t>27/06/2023 21:30</t>
  </si>
  <si>
    <t>27/06/2023 21:45</t>
  </si>
  <si>
    <t>27/06/2023 22:00</t>
  </si>
  <si>
    <t>27/06/2023 22:15</t>
  </si>
  <si>
    <t>27/06/2023 22:30</t>
  </si>
  <si>
    <t>27/06/2023 22:45</t>
  </si>
  <si>
    <t>27/06/2023 23:00</t>
  </si>
  <si>
    <t>27/06/2023 23:15</t>
  </si>
  <si>
    <t>27/06/2023 23:30</t>
  </si>
  <si>
    <t>27/06/2023 23:45</t>
  </si>
  <si>
    <t>27/06/2023 24:00</t>
  </si>
  <si>
    <t>28/06/2023 00:15</t>
  </si>
  <si>
    <t>28/06/2023 00:30</t>
  </si>
  <si>
    <t>28/06/2023 00:45</t>
  </si>
  <si>
    <t>28/06/2023 01:00</t>
  </si>
  <si>
    <t>28/06/2023 01:15</t>
  </si>
  <si>
    <t>28/06/2023 01:30</t>
  </si>
  <si>
    <t>28/06/2023 01:45</t>
  </si>
  <si>
    <t>28/06/2023 02:00</t>
  </si>
  <si>
    <t>28/06/2023 02:15</t>
  </si>
  <si>
    <t>28/06/2023 02:30</t>
  </si>
  <si>
    <t>28/06/2023 02:45</t>
  </si>
  <si>
    <t>28/06/2023 03:00</t>
  </si>
  <si>
    <t>28/06/2023 03:15</t>
  </si>
  <si>
    <t>28/06/2023 03:30</t>
  </si>
  <si>
    <t>28/06/2023 03:45</t>
  </si>
  <si>
    <t>28/06/2023 04:00</t>
  </si>
  <si>
    <t>28/06/2023 04:15</t>
  </si>
  <si>
    <t>28/06/2023 04:30</t>
  </si>
  <si>
    <t>28/06/2023 04:45</t>
  </si>
  <si>
    <t>28/06/2023 05:00</t>
  </si>
  <si>
    <t>28/06/2023 05:15</t>
  </si>
  <si>
    <t>28/06/2023 05:30</t>
  </si>
  <si>
    <t>28/06/2023 05:45</t>
  </si>
  <si>
    <t>28/06/2023 06:00</t>
  </si>
  <si>
    <t>28/06/2023 06:15</t>
  </si>
  <si>
    <t>28/06/2023 06:30</t>
  </si>
  <si>
    <t>28/06/2023 06:45</t>
  </si>
  <si>
    <t>28/06/2023 07:00</t>
  </si>
  <si>
    <t>28/06/2023 07:15</t>
  </si>
  <si>
    <t>28/06/2023 07:30</t>
  </si>
  <si>
    <t>28/06/2023 07:45</t>
  </si>
  <si>
    <t>28/06/2023 08:00</t>
  </si>
  <si>
    <t>28/06/2023 08:15</t>
  </si>
  <si>
    <t>28/06/2023 08:30</t>
  </si>
  <si>
    <t>28/06/2023 08:45</t>
  </si>
  <si>
    <t>28/06/2023 09:00</t>
  </si>
  <si>
    <t>28/06/2023 09:15</t>
  </si>
  <si>
    <t>28/06/2023 09:30</t>
  </si>
  <si>
    <t>28/06/2023 09:45</t>
  </si>
  <si>
    <t>28/06/2023 10:00</t>
  </si>
  <si>
    <t>28/06/2023 10:15</t>
  </si>
  <si>
    <t>28/06/2023 10:30</t>
  </si>
  <si>
    <t>28/06/2023 10:45</t>
  </si>
  <si>
    <t>28/06/2023 11:00</t>
  </si>
  <si>
    <t>28/06/2023 11:15</t>
  </si>
  <si>
    <t>28/06/2023 11:30</t>
  </si>
  <si>
    <t>28/06/2023 11:45</t>
  </si>
  <si>
    <t>28/06/2023 12:00</t>
  </si>
  <si>
    <t>28/06/2023 12:15</t>
  </si>
  <si>
    <t>28/06/2023 12:30</t>
  </si>
  <si>
    <t>28/06/2023 12:45</t>
  </si>
  <si>
    <t>28/06/2023 13:00</t>
  </si>
  <si>
    <t>28/06/2023 13:15</t>
  </si>
  <si>
    <t>28/06/2023 13:30</t>
  </si>
  <si>
    <t>28/06/2023 13:45</t>
  </si>
  <si>
    <t>28/06/2023 14:00</t>
  </si>
  <si>
    <t>28/06/2023 14:15</t>
  </si>
  <si>
    <t>28/06/2023 14:30</t>
  </si>
  <si>
    <t>28/06/2023 14:45</t>
  </si>
  <si>
    <t>28/06/2023 15:00</t>
  </si>
  <si>
    <t>28/06/2023 15:15</t>
  </si>
  <si>
    <t>28/06/2023 15:30</t>
  </si>
  <si>
    <t>28/06/2023 15:45</t>
  </si>
  <si>
    <t>28/06/2023 16:00</t>
  </si>
  <si>
    <t>28/06/2023 16:15</t>
  </si>
  <si>
    <t>28/06/2023 16:30</t>
  </si>
  <si>
    <t>28/06/2023 16:45</t>
  </si>
  <si>
    <t>28/06/2023 17:00</t>
  </si>
  <si>
    <t>28/06/2023 17:15</t>
  </si>
  <si>
    <t>28/06/2023 17:30</t>
  </si>
  <si>
    <t>28/06/2023 17:45</t>
  </si>
  <si>
    <t>28/06/2023 18:00</t>
  </si>
  <si>
    <t>28/06/2023 18:15</t>
  </si>
  <si>
    <t>28/06/2023 18:30</t>
  </si>
  <si>
    <t>28/06/2023 18:45</t>
  </si>
  <si>
    <t>28/06/2023 19:00</t>
  </si>
  <si>
    <t>28/06/2023 19:15</t>
  </si>
  <si>
    <t>28/06/2023 19:30</t>
  </si>
  <si>
    <t>28/06/2023 19:45</t>
  </si>
  <si>
    <t>28/06/2023 20:00</t>
  </si>
  <si>
    <t>28/06/2023 20:15</t>
  </si>
  <si>
    <t>28/06/2023 20:30</t>
  </si>
  <si>
    <t>28/06/2023 20:45</t>
  </si>
  <si>
    <t>28/06/2023 21:00</t>
  </si>
  <si>
    <t>28/06/2023 21:15</t>
  </si>
  <si>
    <t>28/06/2023 21:30</t>
  </si>
  <si>
    <t>28/06/2023 21:45</t>
  </si>
  <si>
    <t>28/06/2023 22:00</t>
  </si>
  <si>
    <t>28/06/2023 22:15</t>
  </si>
  <si>
    <t>28/06/2023 22:30</t>
  </si>
  <si>
    <t>28/06/2023 22:45</t>
  </si>
  <si>
    <t>28/06/2023 23:00</t>
  </si>
  <si>
    <t>28/06/2023 23:15</t>
  </si>
  <si>
    <t>28/06/2023 23:30</t>
  </si>
  <si>
    <t>28/06/2023 23:45</t>
  </si>
  <si>
    <t>28/06/2023 24:00</t>
  </si>
  <si>
    <t>29/06/2023 00:15</t>
  </si>
  <si>
    <t>29/06/2023 00:30</t>
  </si>
  <si>
    <t>29/06/2023 00:45</t>
  </si>
  <si>
    <t>29/06/2023 01:00</t>
  </si>
  <si>
    <t>29/06/2023 01:15</t>
  </si>
  <si>
    <t>29/06/2023 01:30</t>
  </si>
  <si>
    <t>29/06/2023 01:45</t>
  </si>
  <si>
    <t>29/06/2023 02:00</t>
  </si>
  <si>
    <t>29/06/2023 02:15</t>
  </si>
  <si>
    <t>29/06/2023 02:30</t>
  </si>
  <si>
    <t>29/06/2023 02:45</t>
  </si>
  <si>
    <t>29/06/2023 03:00</t>
  </si>
  <si>
    <t>29/06/2023 03:15</t>
  </si>
  <si>
    <t>29/06/2023 03:30</t>
  </si>
  <si>
    <t>29/06/2023 03:45</t>
  </si>
  <si>
    <t>29/06/2023 04:00</t>
  </si>
  <si>
    <t>29/06/2023 04:15</t>
  </si>
  <si>
    <t>29/06/2023 04:30</t>
  </si>
  <si>
    <t>29/06/2023 04:45</t>
  </si>
  <si>
    <t>29/06/2023 05:00</t>
  </si>
  <si>
    <t>29/06/2023 05:15</t>
  </si>
  <si>
    <t>29/06/2023 05:30</t>
  </si>
  <si>
    <t>29/06/2023 05:45</t>
  </si>
  <si>
    <t>29/06/2023 06:00</t>
  </si>
  <si>
    <t>29/06/2023 06:15</t>
  </si>
  <si>
    <t>29/06/2023 06:30</t>
  </si>
  <si>
    <t>29/06/2023 06:45</t>
  </si>
  <si>
    <t>29/06/2023 07:00</t>
  </si>
  <si>
    <t>29/06/2023 07:15</t>
  </si>
  <si>
    <t>29/06/2023 07:30</t>
  </si>
  <si>
    <t>29/06/2023 07:45</t>
  </si>
  <si>
    <t>29/06/2023 08:00</t>
  </si>
  <si>
    <t>29/06/2023 08:15</t>
  </si>
  <si>
    <t>29/06/2023 08:30</t>
  </si>
  <si>
    <t>29/06/2023 08:45</t>
  </si>
  <si>
    <t>29/06/2023 09:00</t>
  </si>
  <si>
    <t>29/06/2023 09:15</t>
  </si>
  <si>
    <t>29/06/2023 09:30</t>
  </si>
  <si>
    <t>29/06/2023 09:45</t>
  </si>
  <si>
    <t>29/06/2023 10:00</t>
  </si>
  <si>
    <t>29/06/2023 10:15</t>
  </si>
  <si>
    <t>29/06/2023 10:30</t>
  </si>
  <si>
    <t>29/06/2023 10:45</t>
  </si>
  <si>
    <t>29/06/2023 11:00</t>
  </si>
  <si>
    <t>29/06/2023 11:15</t>
  </si>
  <si>
    <t>29/06/2023 11:30</t>
  </si>
  <si>
    <t>29/06/2023 11:45</t>
  </si>
  <si>
    <t>29/06/2023 12:00</t>
  </si>
  <si>
    <t>29/06/2023 12:15</t>
  </si>
  <si>
    <t>29/06/2023 12:30</t>
  </si>
  <si>
    <t>29/06/2023 12:45</t>
  </si>
  <si>
    <t>29/06/2023 13:00</t>
  </si>
  <si>
    <t>29/06/2023 13:15</t>
  </si>
  <si>
    <t>29/06/2023 13:30</t>
  </si>
  <si>
    <t>29/06/2023 13:45</t>
  </si>
  <si>
    <t>29/06/2023 14:00</t>
  </si>
  <si>
    <t>29/06/2023 14:15</t>
  </si>
  <si>
    <t>29/06/2023 14:30</t>
  </si>
  <si>
    <t>29/06/2023 14:45</t>
  </si>
  <si>
    <t>29/06/2023 15:00</t>
  </si>
  <si>
    <t>29/06/2023 15:15</t>
  </si>
  <si>
    <t>29/06/2023 15:30</t>
  </si>
  <si>
    <t>29/06/2023 15:45</t>
  </si>
  <si>
    <t>29/06/2023 16:00</t>
  </si>
  <si>
    <t>29/06/2023 16:15</t>
  </si>
  <si>
    <t>29/06/2023 16:30</t>
  </si>
  <si>
    <t>29/06/2023 16:45</t>
  </si>
  <si>
    <t>29/06/2023 17:00</t>
  </si>
  <si>
    <t>29/06/2023 17:15</t>
  </si>
  <si>
    <t>29/06/2023 17:30</t>
  </si>
  <si>
    <t>29/06/2023 17:45</t>
  </si>
  <si>
    <t>29/06/2023 18:00</t>
  </si>
  <si>
    <t>29/06/2023 18:15</t>
  </si>
  <si>
    <t>29/06/2023 18:30</t>
  </si>
  <si>
    <t>29/06/2023 18:45</t>
  </si>
  <si>
    <t>29/06/2023 19:00</t>
  </si>
  <si>
    <t>29/06/2023 19:15</t>
  </si>
  <si>
    <t>29/06/2023 19:30</t>
  </si>
  <si>
    <t>29/06/2023 19:45</t>
  </si>
  <si>
    <t>29/06/2023 20:00</t>
  </si>
  <si>
    <t>29/06/2023 20:15</t>
  </si>
  <si>
    <t>29/06/2023 20:30</t>
  </si>
  <si>
    <t>29/06/2023 20:45</t>
  </si>
  <si>
    <t>29/06/2023 21:00</t>
  </si>
  <si>
    <t>29/06/2023 21:15</t>
  </si>
  <si>
    <t>29/06/2023 21:30</t>
  </si>
  <si>
    <t>29/06/2023 21:45</t>
  </si>
  <si>
    <t>29/06/2023 22:00</t>
  </si>
  <si>
    <t>29/06/2023 22:15</t>
  </si>
  <si>
    <t>29/06/2023 22:30</t>
  </si>
  <si>
    <t>29/06/2023 22:45</t>
  </si>
  <si>
    <t>29/06/2023 23:00</t>
  </si>
  <si>
    <t>29/06/2023 23:15</t>
  </si>
  <si>
    <t>29/06/2023 23:30</t>
  </si>
  <si>
    <t>29/06/2023 23:45</t>
  </si>
  <si>
    <t>29/06/2023 24:00</t>
  </si>
  <si>
    <t>30/06/2023 00:15</t>
  </si>
  <si>
    <t>30/06/2023 00:30</t>
  </si>
  <si>
    <t>30/06/2023 00:45</t>
  </si>
  <si>
    <t>30/06/2023 01:00</t>
  </si>
  <si>
    <t>30/06/2023 01:15</t>
  </si>
  <si>
    <t>30/06/2023 01:30</t>
  </si>
  <si>
    <t>30/06/2023 01:45</t>
  </si>
  <si>
    <t>30/06/2023 02:00</t>
  </si>
  <si>
    <t>30/06/2023 02:15</t>
  </si>
  <si>
    <t>30/06/2023 02:30</t>
  </si>
  <si>
    <t>30/06/2023 02:45</t>
  </si>
  <si>
    <t>30/06/2023 03:00</t>
  </si>
  <si>
    <t>30/06/2023 03:15</t>
  </si>
  <si>
    <t>30/06/2023 03:30</t>
  </si>
  <si>
    <t>30/06/2023 03:45</t>
  </si>
  <si>
    <t>30/06/2023 04:00</t>
  </si>
  <si>
    <t>30/06/2023 04:15</t>
  </si>
  <si>
    <t>30/06/2023 04:30</t>
  </si>
  <si>
    <t>30/06/2023 04:45</t>
  </si>
  <si>
    <t>30/06/2023 05:00</t>
  </si>
  <si>
    <t>30/06/2023 05:15</t>
  </si>
  <si>
    <t>30/06/2023 05:30</t>
  </si>
  <si>
    <t>30/06/2023 05:45</t>
  </si>
  <si>
    <t>30/06/2023 06:00</t>
  </si>
  <si>
    <t>30/06/2023 06:15</t>
  </si>
  <si>
    <t>30/06/2023 06:30</t>
  </si>
  <si>
    <t>30/06/2023 06:45</t>
  </si>
  <si>
    <t>30/06/2023 07:00</t>
  </si>
  <si>
    <t>30/06/2023 07:15</t>
  </si>
  <si>
    <t>30/06/2023 07:30</t>
  </si>
  <si>
    <t>30/06/2023 07:45</t>
  </si>
  <si>
    <t>30/06/2023 08:00</t>
  </si>
  <si>
    <t>30/06/2023 08:15</t>
  </si>
  <si>
    <t>30/06/2023 08:30</t>
  </si>
  <si>
    <t>30/06/2023 08:45</t>
  </si>
  <si>
    <t>30/06/2023 09:00</t>
  </si>
  <si>
    <t>30/06/2023 09:15</t>
  </si>
  <si>
    <t>30/06/2023 09:30</t>
  </si>
  <si>
    <t>30/06/2023 09:45</t>
  </si>
  <si>
    <t>30/06/2023 10:00</t>
  </si>
  <si>
    <t>30/06/2023 10:15</t>
  </si>
  <si>
    <t>30/06/2023 10:30</t>
  </si>
  <si>
    <t>30/06/2023 10:45</t>
  </si>
  <si>
    <t>30/06/2023 11:00</t>
  </si>
  <si>
    <t>30/06/2023 11:15</t>
  </si>
  <si>
    <t>30/06/2023 11:30</t>
  </si>
  <si>
    <t>30/06/2023 11:45</t>
  </si>
  <si>
    <t>30/06/2023 12:00</t>
  </si>
  <si>
    <t>30/06/2023 12:15</t>
  </si>
  <si>
    <t>30/06/2023 12:30</t>
  </si>
  <si>
    <t>30/06/2023 12:45</t>
  </si>
  <si>
    <t>30/06/2023 13:00</t>
  </si>
  <si>
    <t>30/06/2023 13:15</t>
  </si>
  <si>
    <t>30/06/2023 13:30</t>
  </si>
  <si>
    <t>30/06/2023 13:45</t>
  </si>
  <si>
    <t>30/06/2023 14:00</t>
  </si>
  <si>
    <t>30/06/2023 14:15</t>
  </si>
  <si>
    <t>30/06/2023 14:30</t>
  </si>
  <si>
    <t>30/06/2023 14:45</t>
  </si>
  <si>
    <t>30/06/2023 15:00</t>
  </si>
  <si>
    <t>30/06/2023 15:15</t>
  </si>
  <si>
    <t>30/06/2023 15:30</t>
  </si>
  <si>
    <t>30/06/2023 15:45</t>
  </si>
  <si>
    <t>30/06/2023 16:00</t>
  </si>
  <si>
    <t>30/06/2023 16:15</t>
  </si>
  <si>
    <t>30/06/2023 16:30</t>
  </si>
  <si>
    <t>30/06/2023 16:45</t>
  </si>
  <si>
    <t>30/06/2023 17:00</t>
  </si>
  <si>
    <t>30/06/2023 17:15</t>
  </si>
  <si>
    <t>30/06/2023 17:30</t>
  </si>
  <si>
    <t>30/06/2023 17:45</t>
  </si>
  <si>
    <t>30/06/2023 18:00</t>
  </si>
  <si>
    <t>30/06/2023 18:15</t>
  </si>
  <si>
    <t>30/06/2023 18:30</t>
  </si>
  <si>
    <t>30/06/2023 18:45</t>
  </si>
  <si>
    <t>30/06/2023 19:00</t>
  </si>
  <si>
    <t>30/06/2023 19:15</t>
  </si>
  <si>
    <t>30/06/2023 19:30</t>
  </si>
  <si>
    <t>30/06/2023 19:45</t>
  </si>
  <si>
    <t>30/06/2023 20:00</t>
  </si>
  <si>
    <t>30/06/2023 20:15</t>
  </si>
  <si>
    <t>30/06/2023 20:30</t>
  </si>
  <si>
    <t>30/06/2023 20:45</t>
  </si>
  <si>
    <t>30/06/2023 21:00</t>
  </si>
  <si>
    <t>30/06/2023 21:15</t>
  </si>
  <si>
    <t>30/06/2023 21:30</t>
  </si>
  <si>
    <t>30/06/2023 22:00</t>
  </si>
  <si>
    <t>30/06/2023 22:15</t>
  </si>
  <si>
    <t>30/06/2023 22:30</t>
  </si>
  <si>
    <t>30/06/2023 22:45</t>
  </si>
  <si>
    <t>30/06/2023 23:00</t>
  </si>
  <si>
    <t>30/06/2023 23:15</t>
  </si>
  <si>
    <t>30/06/2023 23:30</t>
  </si>
  <si>
    <t>30/06/2023 23:45</t>
  </si>
  <si>
    <t>30/06/2023 24:00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</si>
</sst>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0" fillId="0" borderId="7" xfId="0" applyNumberFormat="1" applyBorder="1" applyAlignment="1">
      <alignment horizontal="center"/>
    </xf>
    <xf numFmtId="0" fontId="33" fillId="5" borderId="7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3" activePane="bottomRight" state="frozen"/>
      <selection pane="topRight"/>
      <selection pane="bottomLeft"/>
      <selection pane="bottomRight" activeCell="J115" sqref="J115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01/06/2023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239</v>
      </c>
      <c r="B9" s="134">
        <v>22.03</v>
      </c>
      <c r="C9" s="134">
        <v>59.97</v>
      </c>
      <c r="D9" s="134">
        <v>47.95</v>
      </c>
      <c r="E9" s="134">
        <v>6.35</v>
      </c>
      <c r="F9" s="134">
        <v>4.95</v>
      </c>
      <c r="G9" s="134">
        <v>88.44</v>
      </c>
      <c r="H9" s="134">
        <v>26.68</v>
      </c>
      <c r="I9" s="134">
        <v>6.9</v>
      </c>
      <c r="J9" s="134">
        <v>0.27</v>
      </c>
      <c r="K9" s="134">
        <v>248.6</v>
      </c>
      <c r="L9" s="134">
        <v>30.32</v>
      </c>
      <c r="M9" s="134">
        <v>44.4</v>
      </c>
      <c r="N9" s="134">
        <v>0</v>
      </c>
      <c r="O9" s="134">
        <v>0</v>
      </c>
      <c r="P9" s="134">
        <v>0.81</v>
      </c>
      <c r="Q9" s="134">
        <v>5.78</v>
      </c>
    </row>
    <row r="10" spans="1:21" customFormat="1">
      <c r="A10" s="112" t="s">
        <v>240</v>
      </c>
      <c r="B10" s="134">
        <v>32.47</v>
      </c>
      <c r="C10" s="134">
        <v>61.88</v>
      </c>
      <c r="D10" s="134">
        <v>57.32</v>
      </c>
      <c r="E10" s="134">
        <v>6.63</v>
      </c>
      <c r="F10" s="134">
        <v>4.22</v>
      </c>
      <c r="G10" s="134">
        <v>93.43</v>
      </c>
      <c r="H10" s="134">
        <v>29.22</v>
      </c>
      <c r="I10" s="134">
        <v>6.98</v>
      </c>
      <c r="J10" s="134">
        <v>0.13</v>
      </c>
      <c r="K10" s="134">
        <v>201.09</v>
      </c>
      <c r="L10" s="134">
        <v>30.49</v>
      </c>
      <c r="M10" s="134">
        <v>43.92</v>
      </c>
      <c r="N10" s="134">
        <v>0</v>
      </c>
      <c r="O10" s="134">
        <v>0</v>
      </c>
      <c r="P10" s="134">
        <v>0.84</v>
      </c>
      <c r="Q10" s="134">
        <v>5.71</v>
      </c>
    </row>
    <row r="11" spans="1:21" customFormat="1">
      <c r="A11" s="112" t="s">
        <v>241</v>
      </c>
      <c r="B11" s="134">
        <v>47.45</v>
      </c>
      <c r="C11" s="134">
        <v>68.260000000000005</v>
      </c>
      <c r="D11" s="134">
        <v>72.67</v>
      </c>
      <c r="E11" s="134">
        <v>6.68</v>
      </c>
      <c r="F11" s="134">
        <v>3.44</v>
      </c>
      <c r="G11" s="134">
        <v>100.58</v>
      </c>
      <c r="H11" s="134">
        <v>31.4</v>
      </c>
      <c r="I11" s="134">
        <v>6.96</v>
      </c>
      <c r="J11" s="134">
        <v>0.13</v>
      </c>
      <c r="K11" s="134">
        <v>123.85</v>
      </c>
      <c r="L11" s="134">
        <v>30.51</v>
      </c>
      <c r="M11" s="134">
        <v>44.63</v>
      </c>
      <c r="N11" s="134">
        <v>0</v>
      </c>
      <c r="O11" s="134">
        <v>0</v>
      </c>
      <c r="P11" s="134">
        <v>0.89</v>
      </c>
      <c r="Q11" s="134">
        <v>5.91</v>
      </c>
    </row>
    <row r="12" spans="1:21" customFormat="1">
      <c r="A12" s="112" t="s">
        <v>242</v>
      </c>
      <c r="B12" s="134">
        <v>30.74</v>
      </c>
      <c r="C12" s="134">
        <v>63.49</v>
      </c>
      <c r="D12" s="134">
        <v>56.78</v>
      </c>
      <c r="E12" s="134">
        <v>5.9</v>
      </c>
      <c r="F12" s="134">
        <v>3.87</v>
      </c>
      <c r="G12" s="134">
        <v>100.58</v>
      </c>
      <c r="H12" s="134">
        <v>31.4</v>
      </c>
      <c r="I12" s="134">
        <v>7.12</v>
      </c>
      <c r="J12" s="134">
        <v>0.21</v>
      </c>
      <c r="K12" s="134">
        <v>95</v>
      </c>
      <c r="L12" s="134">
        <v>30.52</v>
      </c>
      <c r="M12" s="134">
        <v>43.62</v>
      </c>
      <c r="N12" s="134">
        <v>0</v>
      </c>
      <c r="O12" s="134">
        <v>0</v>
      </c>
      <c r="P12" s="134">
        <v>0.84</v>
      </c>
      <c r="Q12" s="134">
        <v>6.05</v>
      </c>
    </row>
    <row r="13" spans="1:21" customFormat="1">
      <c r="A13" s="112" t="s">
        <v>243</v>
      </c>
      <c r="B13" s="134">
        <v>29.36</v>
      </c>
      <c r="C13" s="134">
        <v>63.59</v>
      </c>
      <c r="D13" s="134">
        <v>55.72</v>
      </c>
      <c r="E13" s="134">
        <v>6.28</v>
      </c>
      <c r="F13" s="134">
        <v>4.16</v>
      </c>
      <c r="G13" s="134">
        <v>100.58</v>
      </c>
      <c r="H13" s="134">
        <v>31.4</v>
      </c>
      <c r="I13" s="134">
        <v>7.29</v>
      </c>
      <c r="J13" s="134">
        <v>0.16</v>
      </c>
      <c r="K13" s="134">
        <v>111.01</v>
      </c>
      <c r="L13" s="134">
        <v>30.65</v>
      </c>
      <c r="M13" s="134">
        <v>43.97</v>
      </c>
      <c r="N13" s="134">
        <v>0</v>
      </c>
      <c r="O13" s="134">
        <v>0</v>
      </c>
      <c r="P13" s="134">
        <v>0.84</v>
      </c>
      <c r="Q13" s="134">
        <v>6.18</v>
      </c>
    </row>
    <row r="14" spans="1:21" customFormat="1">
      <c r="A14" s="112" t="s">
        <v>244</v>
      </c>
      <c r="B14" s="134">
        <v>30.63</v>
      </c>
      <c r="C14" s="134">
        <v>61.47</v>
      </c>
      <c r="D14" s="134">
        <v>55.64</v>
      </c>
      <c r="E14" s="134">
        <v>7.33</v>
      </c>
      <c r="F14" s="134">
        <v>4.78</v>
      </c>
      <c r="G14" s="134">
        <v>105.3</v>
      </c>
      <c r="H14" s="134">
        <v>31.87</v>
      </c>
      <c r="I14" s="134">
        <v>7.42</v>
      </c>
      <c r="J14" s="134">
        <v>0.12</v>
      </c>
      <c r="K14" s="134">
        <v>5.4</v>
      </c>
      <c r="L14" s="134">
        <v>30.61</v>
      </c>
      <c r="M14" s="134">
        <v>43.03</v>
      </c>
      <c r="N14" s="134">
        <v>0</v>
      </c>
      <c r="O14" s="134">
        <v>0</v>
      </c>
      <c r="P14" s="134">
        <v>0.85</v>
      </c>
      <c r="Q14" s="134">
        <v>6.27</v>
      </c>
    </row>
    <row r="15" spans="1:21" customFormat="1">
      <c r="A15" s="80">
        <v>45078.072916666664</v>
      </c>
      <c r="B15" s="134">
        <v>30.58</v>
      </c>
      <c r="C15" s="134">
        <v>59.83</v>
      </c>
      <c r="D15" s="134">
        <v>54.74</v>
      </c>
      <c r="E15" s="134">
        <v>6.47</v>
      </c>
      <c r="F15" s="134">
        <v>5.13</v>
      </c>
      <c r="G15" s="134">
        <v>112.38</v>
      </c>
      <c r="H15" s="134">
        <v>32.99</v>
      </c>
      <c r="I15" s="134">
        <v>7.52</v>
      </c>
      <c r="J15" s="134">
        <v>0.13</v>
      </c>
      <c r="K15" s="134">
        <v>205.32</v>
      </c>
      <c r="L15" s="134">
        <v>30.54</v>
      </c>
      <c r="M15" s="134">
        <v>43.21</v>
      </c>
      <c r="N15" s="134">
        <v>0</v>
      </c>
      <c r="O15" s="134">
        <v>0</v>
      </c>
      <c r="P15" s="134">
        <v>0.83</v>
      </c>
      <c r="Q15" s="134">
        <v>6.24</v>
      </c>
    </row>
    <row r="16" spans="1:21" customFormat="1">
      <c r="A16" s="112" t="s">
        <v>245</v>
      </c>
      <c r="B16" s="134">
        <v>28.12</v>
      </c>
      <c r="C16" s="134">
        <v>60.23</v>
      </c>
      <c r="D16" s="134">
        <v>52.98</v>
      </c>
      <c r="E16" s="134">
        <v>6.12</v>
      </c>
      <c r="F16" s="134">
        <v>5.07</v>
      </c>
      <c r="G16" s="134">
        <v>112.38</v>
      </c>
      <c r="H16" s="134">
        <v>32.99</v>
      </c>
      <c r="I16" s="134">
        <v>7.48</v>
      </c>
      <c r="J16" s="134">
        <v>0.25</v>
      </c>
      <c r="K16" s="134">
        <v>157.56</v>
      </c>
      <c r="L16" s="134">
        <v>29.88</v>
      </c>
      <c r="M16" s="134">
        <v>47.63</v>
      </c>
      <c r="N16" s="134">
        <v>0</v>
      </c>
      <c r="O16" s="134">
        <v>0</v>
      </c>
      <c r="P16" s="134">
        <v>0.82</v>
      </c>
      <c r="Q16" s="134">
        <v>6.31</v>
      </c>
    </row>
    <row r="17" spans="1:17" customFormat="1">
      <c r="A17" s="112" t="s">
        <v>246</v>
      </c>
      <c r="B17" s="134">
        <v>32.700000000000003</v>
      </c>
      <c r="C17" s="134">
        <v>62.32</v>
      </c>
      <c r="D17" s="134">
        <v>57.74</v>
      </c>
      <c r="E17" s="134">
        <v>7.43</v>
      </c>
      <c r="F17" s="134">
        <v>3.97</v>
      </c>
      <c r="G17" s="134">
        <v>112.38</v>
      </c>
      <c r="H17" s="134">
        <v>32.99</v>
      </c>
      <c r="I17" s="134">
        <v>7.54</v>
      </c>
      <c r="J17" s="134">
        <v>0.13</v>
      </c>
      <c r="K17" s="134">
        <v>175.87</v>
      </c>
      <c r="L17" s="134">
        <v>29.36</v>
      </c>
      <c r="M17" s="134">
        <v>48.77</v>
      </c>
      <c r="N17" s="134">
        <v>0</v>
      </c>
      <c r="O17" s="134">
        <v>0</v>
      </c>
      <c r="P17" s="134">
        <v>0.84</v>
      </c>
      <c r="Q17" s="134">
        <v>6.36</v>
      </c>
    </row>
    <row r="18" spans="1:17" customFormat="1">
      <c r="A18" s="112" t="s">
        <v>247</v>
      </c>
      <c r="B18" s="134">
        <v>35.51</v>
      </c>
      <c r="C18" s="134">
        <v>60.63</v>
      </c>
      <c r="D18" s="134">
        <v>59.11</v>
      </c>
      <c r="E18" s="134">
        <v>13.55</v>
      </c>
      <c r="F18" s="134">
        <v>4.3600000000000003</v>
      </c>
      <c r="G18" s="134">
        <v>106.65</v>
      </c>
      <c r="H18" s="134">
        <v>32.76</v>
      </c>
      <c r="I18" s="134">
        <v>7.65</v>
      </c>
      <c r="J18" s="134">
        <v>0.06</v>
      </c>
      <c r="K18" s="134">
        <v>34.92</v>
      </c>
      <c r="L18" s="134">
        <v>29.79</v>
      </c>
      <c r="M18" s="134">
        <v>42.72</v>
      </c>
      <c r="N18" s="134">
        <v>0</v>
      </c>
      <c r="O18" s="134">
        <v>0</v>
      </c>
      <c r="P18" s="134">
        <v>0.84</v>
      </c>
      <c r="Q18" s="134">
        <v>6.4</v>
      </c>
    </row>
    <row r="19" spans="1:17" customFormat="1">
      <c r="A19" s="112" t="s">
        <v>248</v>
      </c>
      <c r="B19" s="134">
        <v>34.04</v>
      </c>
      <c r="C19" s="134">
        <v>59.32</v>
      </c>
      <c r="D19" s="134">
        <v>57.25</v>
      </c>
      <c r="E19" s="134">
        <v>15.82</v>
      </c>
      <c r="F19" s="134">
        <v>5.52</v>
      </c>
      <c r="G19" s="134">
        <v>98.45</v>
      </c>
      <c r="H19" s="134">
        <v>32.56</v>
      </c>
      <c r="I19" s="134">
        <v>8.06</v>
      </c>
      <c r="J19" s="134">
        <v>0.34</v>
      </c>
      <c r="K19" s="134">
        <v>56.02</v>
      </c>
      <c r="L19" s="134">
        <v>30.16</v>
      </c>
      <c r="M19" s="134">
        <v>40.46</v>
      </c>
      <c r="N19" s="134">
        <v>0</v>
      </c>
      <c r="O19" s="134">
        <v>0</v>
      </c>
      <c r="P19" s="134">
        <v>0.84</v>
      </c>
      <c r="Q19" s="134">
        <v>6.4</v>
      </c>
    </row>
    <row r="20" spans="1:17" customFormat="1">
      <c r="A20" s="112" t="s">
        <v>249</v>
      </c>
      <c r="B20" s="134">
        <v>32.4</v>
      </c>
      <c r="C20" s="134">
        <v>59.03</v>
      </c>
      <c r="D20" s="134">
        <v>55.77</v>
      </c>
      <c r="E20" s="134">
        <v>15.71</v>
      </c>
      <c r="F20" s="134">
        <v>6.59</v>
      </c>
      <c r="G20" s="134">
        <v>98.45</v>
      </c>
      <c r="H20" s="134">
        <v>32.56</v>
      </c>
      <c r="I20" s="134">
        <v>8.9700000000000006</v>
      </c>
      <c r="J20" s="134">
        <v>0.55000000000000004</v>
      </c>
      <c r="K20" s="134">
        <v>58.69</v>
      </c>
      <c r="L20" s="134">
        <v>30.27</v>
      </c>
      <c r="M20" s="134">
        <v>38.119999999999997</v>
      </c>
      <c r="N20" s="134">
        <v>0</v>
      </c>
      <c r="O20" s="134">
        <v>0</v>
      </c>
      <c r="P20" s="134">
        <v>0.87</v>
      </c>
      <c r="Q20" s="134">
        <v>6.46</v>
      </c>
    </row>
    <row r="21" spans="1:17" customFormat="1">
      <c r="A21" s="112" t="s">
        <v>250</v>
      </c>
      <c r="B21" s="134">
        <v>35.65</v>
      </c>
      <c r="C21" s="134">
        <v>60.86</v>
      </c>
      <c r="D21" s="134">
        <v>59.35</v>
      </c>
      <c r="E21" s="134">
        <v>18.11</v>
      </c>
      <c r="F21" s="134">
        <v>6.2</v>
      </c>
      <c r="G21" s="134">
        <v>98.45</v>
      </c>
      <c r="H21" s="134">
        <v>32.56</v>
      </c>
      <c r="I21" s="134">
        <v>9.32</v>
      </c>
      <c r="J21" s="134">
        <v>0.51</v>
      </c>
      <c r="K21" s="134">
        <v>46.52</v>
      </c>
      <c r="L21" s="134">
        <v>30.16</v>
      </c>
      <c r="M21" s="134">
        <v>36.92</v>
      </c>
      <c r="N21" s="134">
        <v>0</v>
      </c>
      <c r="O21" s="134">
        <v>0</v>
      </c>
      <c r="P21" s="134">
        <v>0.85</v>
      </c>
      <c r="Q21" s="134">
        <v>6.54</v>
      </c>
    </row>
    <row r="22" spans="1:17" customFormat="1">
      <c r="A22" s="112" t="s">
        <v>251</v>
      </c>
      <c r="B22" s="134">
        <v>35.979999999999997</v>
      </c>
      <c r="C22" s="134">
        <v>60.48</v>
      </c>
      <c r="D22" s="134">
        <v>59.41</v>
      </c>
      <c r="E22" s="134">
        <v>15.43</v>
      </c>
      <c r="F22" s="134">
        <v>5.68</v>
      </c>
      <c r="G22" s="134">
        <v>100.83</v>
      </c>
      <c r="H22" s="134">
        <v>32.18</v>
      </c>
      <c r="I22" s="134">
        <v>8.7899999999999991</v>
      </c>
      <c r="J22" s="134">
        <v>0.28999999999999998</v>
      </c>
      <c r="K22" s="134">
        <v>40.93</v>
      </c>
      <c r="L22" s="134">
        <v>29.79</v>
      </c>
      <c r="M22" s="134">
        <v>38.26</v>
      </c>
      <c r="N22" s="134">
        <v>0</v>
      </c>
      <c r="O22" s="134">
        <v>0</v>
      </c>
      <c r="P22" s="134">
        <v>0.85</v>
      </c>
      <c r="Q22" s="134">
        <v>6.49</v>
      </c>
    </row>
    <row r="23" spans="1:17" customFormat="1">
      <c r="A23" s="112" t="s">
        <v>252</v>
      </c>
      <c r="B23" s="134">
        <v>36.4</v>
      </c>
      <c r="C23" s="134">
        <v>60.26</v>
      </c>
      <c r="D23" s="134">
        <v>59.63</v>
      </c>
      <c r="E23" s="134">
        <v>14.99</v>
      </c>
      <c r="F23" s="134">
        <v>5</v>
      </c>
      <c r="G23" s="134">
        <v>104.24</v>
      </c>
      <c r="H23" s="134">
        <v>31.86</v>
      </c>
      <c r="I23" s="134">
        <v>8.32</v>
      </c>
      <c r="J23" s="134">
        <v>0.23</v>
      </c>
      <c r="K23" s="134">
        <v>72.34</v>
      </c>
      <c r="L23" s="134">
        <v>29.34</v>
      </c>
      <c r="M23" s="134">
        <v>40.39</v>
      </c>
      <c r="N23" s="134">
        <v>0</v>
      </c>
      <c r="O23" s="134">
        <v>0</v>
      </c>
      <c r="P23" s="134">
        <v>0.84</v>
      </c>
      <c r="Q23" s="134">
        <v>6.52</v>
      </c>
    </row>
    <row r="24" spans="1:17" customFormat="1">
      <c r="A24" s="112" t="s">
        <v>253</v>
      </c>
      <c r="B24" s="134">
        <v>38.42</v>
      </c>
      <c r="C24" s="134">
        <v>61.93</v>
      </c>
      <c r="D24" s="134">
        <v>62.12</v>
      </c>
      <c r="E24" s="134">
        <v>12.43</v>
      </c>
      <c r="F24" s="134">
        <v>4.37</v>
      </c>
      <c r="G24" s="134">
        <v>104.24</v>
      </c>
      <c r="H24" s="134">
        <v>31.86</v>
      </c>
      <c r="I24" s="134">
        <v>8</v>
      </c>
      <c r="J24" s="134">
        <v>0.24</v>
      </c>
      <c r="K24" s="134">
        <v>71.540000000000006</v>
      </c>
      <c r="L24" s="134">
        <v>28.99</v>
      </c>
      <c r="M24" s="134">
        <v>41.45</v>
      </c>
      <c r="N24" s="134">
        <v>0</v>
      </c>
      <c r="O24" s="134">
        <v>0</v>
      </c>
      <c r="P24" s="134">
        <v>0.83</v>
      </c>
      <c r="Q24" s="134">
        <v>6.58</v>
      </c>
    </row>
    <row r="25" spans="1:17" customFormat="1">
      <c r="A25" s="112" t="s">
        <v>254</v>
      </c>
      <c r="B25" s="134">
        <v>39.42</v>
      </c>
      <c r="C25" s="134">
        <v>62.68</v>
      </c>
      <c r="D25" s="134">
        <v>63.31</v>
      </c>
      <c r="E25" s="134">
        <v>9.69</v>
      </c>
      <c r="F25" s="134">
        <v>4.16</v>
      </c>
      <c r="G25" s="134">
        <v>104.24</v>
      </c>
      <c r="H25" s="134">
        <v>31.86</v>
      </c>
      <c r="I25" s="134">
        <v>7.94</v>
      </c>
      <c r="J25" s="134">
        <v>0.11</v>
      </c>
      <c r="K25" s="134">
        <v>52.2</v>
      </c>
      <c r="L25" s="134">
        <v>28.58</v>
      </c>
      <c r="M25" s="134">
        <v>42.45</v>
      </c>
      <c r="N25" s="134">
        <v>0</v>
      </c>
      <c r="O25" s="134">
        <v>0</v>
      </c>
      <c r="P25" s="134">
        <v>0.84</v>
      </c>
      <c r="Q25" s="134">
        <v>6.6</v>
      </c>
    </row>
    <row r="26" spans="1:17" customFormat="1">
      <c r="A26" s="112" t="s">
        <v>255</v>
      </c>
      <c r="B26" s="134">
        <v>39.979999999999997</v>
      </c>
      <c r="C26" s="134">
        <v>61.79</v>
      </c>
      <c r="D26" s="134">
        <v>63.3</v>
      </c>
      <c r="E26" s="134">
        <v>9.6300000000000008</v>
      </c>
      <c r="F26" s="134">
        <v>4.28</v>
      </c>
      <c r="G26" s="134">
        <v>100.43</v>
      </c>
      <c r="H26" s="134">
        <v>31.46</v>
      </c>
      <c r="I26" s="134">
        <v>8.1199999999999992</v>
      </c>
      <c r="J26" s="134">
        <v>0.05</v>
      </c>
      <c r="K26" s="134">
        <v>79.03</v>
      </c>
      <c r="L26" s="134">
        <v>28.38</v>
      </c>
      <c r="M26" s="134">
        <v>43.43</v>
      </c>
      <c r="N26" s="134">
        <v>0</v>
      </c>
      <c r="O26" s="134">
        <v>0</v>
      </c>
      <c r="P26" s="134">
        <v>0.84</v>
      </c>
      <c r="Q26" s="134">
        <v>6.59</v>
      </c>
    </row>
    <row r="27" spans="1:17" customFormat="1">
      <c r="A27" s="112" t="s">
        <v>256</v>
      </c>
      <c r="B27" s="134">
        <v>41.29</v>
      </c>
      <c r="C27" s="134">
        <v>63.72</v>
      </c>
      <c r="D27" s="134">
        <v>65.349999999999994</v>
      </c>
      <c r="E27" s="134">
        <v>8.24</v>
      </c>
      <c r="F27" s="134">
        <v>4.0999999999999996</v>
      </c>
      <c r="G27" s="134">
        <v>94.71</v>
      </c>
      <c r="H27" s="134">
        <v>31.11</v>
      </c>
      <c r="I27" s="134">
        <v>8.02</v>
      </c>
      <c r="J27" s="134">
        <v>0.16</v>
      </c>
      <c r="K27" s="134">
        <v>154.97999999999999</v>
      </c>
      <c r="L27" s="134">
        <v>27.91</v>
      </c>
      <c r="M27" s="134">
        <v>46.72</v>
      </c>
      <c r="N27" s="134">
        <v>0</v>
      </c>
      <c r="O27" s="134">
        <v>0</v>
      </c>
      <c r="P27" s="134">
        <v>0.85</v>
      </c>
      <c r="Q27" s="134">
        <v>6.68</v>
      </c>
    </row>
    <row r="28" spans="1:17" customFormat="1">
      <c r="A28" s="112" t="s">
        <v>257</v>
      </c>
      <c r="B28" s="134">
        <v>42.5</v>
      </c>
      <c r="C28" s="134">
        <v>64.069999999999993</v>
      </c>
      <c r="D28" s="134">
        <v>66.510000000000005</v>
      </c>
      <c r="E28" s="134">
        <v>7.52</v>
      </c>
      <c r="F28" s="134">
        <v>3.8</v>
      </c>
      <c r="G28" s="134">
        <v>94.71</v>
      </c>
      <c r="H28" s="134">
        <v>31.11</v>
      </c>
      <c r="I28" s="134">
        <v>8.02</v>
      </c>
      <c r="J28" s="134">
        <v>0.2</v>
      </c>
      <c r="K28" s="134">
        <v>168.61</v>
      </c>
      <c r="L28" s="134">
        <v>27.21</v>
      </c>
      <c r="M28" s="134">
        <v>49.66</v>
      </c>
      <c r="N28" s="134">
        <v>0</v>
      </c>
      <c r="O28" s="134">
        <v>0</v>
      </c>
      <c r="P28" s="134">
        <v>0.85</v>
      </c>
      <c r="Q28" s="134">
        <v>6.68</v>
      </c>
    </row>
    <row r="29" spans="1:17" customFormat="1">
      <c r="A29" s="112" t="s">
        <v>258</v>
      </c>
      <c r="B29" s="134">
        <v>43.65</v>
      </c>
      <c r="C29" s="134">
        <v>63.19</v>
      </c>
      <c r="D29" s="134">
        <v>66.97</v>
      </c>
      <c r="E29" s="134">
        <v>7.97</v>
      </c>
      <c r="F29" s="134">
        <v>3.74</v>
      </c>
      <c r="G29" s="134">
        <v>94.71</v>
      </c>
      <c r="H29" s="134">
        <v>31.11</v>
      </c>
      <c r="I29" s="134">
        <v>8.27</v>
      </c>
      <c r="J29" s="134">
        <v>0.27</v>
      </c>
      <c r="K29" s="134">
        <v>58.99</v>
      </c>
      <c r="L29" s="134">
        <v>27.16</v>
      </c>
      <c r="M29" s="134">
        <v>47.41</v>
      </c>
      <c r="N29" s="134">
        <v>0</v>
      </c>
      <c r="O29" s="134">
        <v>0</v>
      </c>
      <c r="P29" s="134">
        <v>0.84</v>
      </c>
      <c r="Q29" s="134">
        <v>6.65</v>
      </c>
    </row>
    <row r="30" spans="1:17" customFormat="1">
      <c r="A30" s="112" t="s">
        <v>259</v>
      </c>
      <c r="B30" s="134">
        <v>44.07</v>
      </c>
      <c r="C30" s="134">
        <v>62.83</v>
      </c>
      <c r="D30" s="134">
        <v>67.12</v>
      </c>
      <c r="E30" s="134">
        <v>9.01</v>
      </c>
      <c r="F30" s="134">
        <v>3.66</v>
      </c>
      <c r="G30" s="134">
        <v>96.74</v>
      </c>
      <c r="H30" s="134">
        <v>30.1</v>
      </c>
      <c r="I30" s="134">
        <v>8.33</v>
      </c>
      <c r="J30" s="134">
        <v>0.22</v>
      </c>
      <c r="K30" s="134">
        <v>66.25</v>
      </c>
      <c r="L30" s="134">
        <v>27.89</v>
      </c>
      <c r="M30" s="134">
        <v>43.87</v>
      </c>
      <c r="N30" s="134">
        <v>0.4</v>
      </c>
      <c r="O30" s="134">
        <v>0</v>
      </c>
      <c r="P30" s="134">
        <v>0.84</v>
      </c>
      <c r="Q30" s="134">
        <v>6.71</v>
      </c>
    </row>
    <row r="31" spans="1:17" customFormat="1">
      <c r="A31" s="112" t="s">
        <v>260</v>
      </c>
      <c r="B31" s="134">
        <v>45.37</v>
      </c>
      <c r="C31" s="134">
        <v>63.86</v>
      </c>
      <c r="D31" s="134">
        <v>68.7</v>
      </c>
      <c r="E31" s="134">
        <v>8.5399999999999991</v>
      </c>
      <c r="F31" s="134">
        <v>3.8</v>
      </c>
      <c r="G31" s="134">
        <v>99.78</v>
      </c>
      <c r="H31" s="134">
        <v>29.2</v>
      </c>
      <c r="I31" s="134">
        <v>8.17</v>
      </c>
      <c r="J31" s="134">
        <v>0.09</v>
      </c>
      <c r="K31" s="134">
        <v>159.31</v>
      </c>
      <c r="L31" s="134">
        <v>27.81</v>
      </c>
      <c r="M31" s="134">
        <v>47.19</v>
      </c>
      <c r="N31" s="134">
        <v>9.4</v>
      </c>
      <c r="O31" s="134">
        <v>0</v>
      </c>
      <c r="P31" s="134">
        <v>0.85</v>
      </c>
      <c r="Q31" s="134">
        <v>6.79</v>
      </c>
    </row>
    <row r="32" spans="1:17" customFormat="1">
      <c r="A32" s="112" t="s">
        <v>261</v>
      </c>
      <c r="B32" s="134">
        <v>47</v>
      </c>
      <c r="C32" s="134">
        <v>65.31</v>
      </c>
      <c r="D32" s="134">
        <v>70.77</v>
      </c>
      <c r="E32" s="134">
        <v>7.74</v>
      </c>
      <c r="F32" s="134">
        <v>3.55</v>
      </c>
      <c r="G32" s="134">
        <v>99.78</v>
      </c>
      <c r="H32" s="134">
        <v>29.2</v>
      </c>
      <c r="I32" s="134">
        <v>8.0500000000000007</v>
      </c>
      <c r="J32" s="134">
        <v>0.2</v>
      </c>
      <c r="K32" s="134">
        <v>167.93</v>
      </c>
      <c r="L32" s="134">
        <v>27.3</v>
      </c>
      <c r="M32" s="134">
        <v>51.6</v>
      </c>
      <c r="N32" s="134">
        <v>22.3</v>
      </c>
      <c r="O32" s="134">
        <v>0</v>
      </c>
      <c r="P32" s="134">
        <v>0.85</v>
      </c>
      <c r="Q32" s="134">
        <v>6.89</v>
      </c>
    </row>
    <row r="33" spans="1:17" customFormat="1">
      <c r="A33" s="112" t="s">
        <v>262</v>
      </c>
      <c r="B33" s="134">
        <v>47.95</v>
      </c>
      <c r="C33" s="134">
        <v>66.150000000000006</v>
      </c>
      <c r="D33" s="134">
        <v>71.97</v>
      </c>
      <c r="E33" s="134">
        <v>8.06</v>
      </c>
      <c r="F33" s="134">
        <v>3.38</v>
      </c>
      <c r="G33" s="134">
        <v>99.78</v>
      </c>
      <c r="H33" s="134">
        <v>29.2</v>
      </c>
      <c r="I33" s="134">
        <v>8.2100000000000009</v>
      </c>
      <c r="J33" s="134">
        <v>0.04</v>
      </c>
      <c r="K33" s="134">
        <v>340.83</v>
      </c>
      <c r="L33" s="134">
        <v>27.7</v>
      </c>
      <c r="M33" s="134">
        <v>50.13</v>
      </c>
      <c r="N33" s="134">
        <v>33.4</v>
      </c>
      <c r="O33" s="134">
        <v>0</v>
      </c>
      <c r="P33" s="134">
        <v>0.87</v>
      </c>
      <c r="Q33" s="134">
        <v>6.93</v>
      </c>
    </row>
    <row r="34" spans="1:17" customFormat="1">
      <c r="A34" s="112" t="s">
        <v>263</v>
      </c>
      <c r="B34" s="134">
        <v>47.71</v>
      </c>
      <c r="C34" s="134">
        <v>62.6</v>
      </c>
      <c r="D34" s="134">
        <v>69.92</v>
      </c>
      <c r="E34" s="134">
        <v>10.25</v>
      </c>
      <c r="F34" s="134">
        <v>4.1500000000000004</v>
      </c>
      <c r="G34" s="134">
        <v>101.76</v>
      </c>
      <c r="H34" s="134">
        <v>31.44</v>
      </c>
      <c r="I34" s="134">
        <v>8.3000000000000007</v>
      </c>
      <c r="J34" s="134">
        <v>0.2</v>
      </c>
      <c r="K34" s="134">
        <v>42.97</v>
      </c>
      <c r="L34" s="134">
        <v>28.77</v>
      </c>
      <c r="M34" s="134">
        <v>45.53</v>
      </c>
      <c r="N34" s="134">
        <v>44.2</v>
      </c>
      <c r="O34" s="134">
        <v>0</v>
      </c>
      <c r="P34" s="134">
        <v>0.9</v>
      </c>
      <c r="Q34" s="134">
        <v>6.93</v>
      </c>
    </row>
    <row r="35" spans="1:17" customFormat="1">
      <c r="A35" s="112" t="s">
        <v>264</v>
      </c>
      <c r="B35" s="134">
        <v>46.16</v>
      </c>
      <c r="C35" s="134">
        <v>61.7</v>
      </c>
      <c r="D35" s="134">
        <v>68.209999999999994</v>
      </c>
      <c r="E35" s="134">
        <v>15.39</v>
      </c>
      <c r="F35" s="134">
        <v>5.04</v>
      </c>
      <c r="G35" s="134">
        <v>104.72</v>
      </c>
      <c r="H35" s="134">
        <v>33.369999999999997</v>
      </c>
      <c r="I35" s="134">
        <v>8.42</v>
      </c>
      <c r="J35" s="134">
        <v>0.22</v>
      </c>
      <c r="K35" s="134">
        <v>43.63</v>
      </c>
      <c r="L35" s="134">
        <v>29.66</v>
      </c>
      <c r="M35" s="134">
        <v>43.4</v>
      </c>
      <c r="N35" s="134">
        <v>54.5</v>
      </c>
      <c r="O35" s="134">
        <v>0</v>
      </c>
      <c r="P35" s="134">
        <v>0.92</v>
      </c>
      <c r="Q35" s="134">
        <v>7.03</v>
      </c>
    </row>
    <row r="36" spans="1:17" customFormat="1">
      <c r="A36" s="112" t="s">
        <v>265</v>
      </c>
      <c r="B36" s="134">
        <v>45.58</v>
      </c>
      <c r="C36" s="134">
        <v>61.71</v>
      </c>
      <c r="D36" s="134">
        <v>67.75</v>
      </c>
      <c r="E36" s="134">
        <v>13.11</v>
      </c>
      <c r="F36" s="134">
        <v>6.69</v>
      </c>
      <c r="G36" s="134">
        <v>104.72</v>
      </c>
      <c r="H36" s="134">
        <v>33.369999999999997</v>
      </c>
      <c r="I36" s="134">
        <v>8.66</v>
      </c>
      <c r="J36" s="134">
        <v>0.32</v>
      </c>
      <c r="K36" s="134">
        <v>27.56</v>
      </c>
      <c r="L36" s="134">
        <v>30.75</v>
      </c>
      <c r="M36" s="134">
        <v>41.49</v>
      </c>
      <c r="N36" s="134">
        <v>62.9</v>
      </c>
      <c r="O36" s="134">
        <v>0</v>
      </c>
      <c r="P36" s="134">
        <v>0.93</v>
      </c>
      <c r="Q36" s="134">
        <v>7.04</v>
      </c>
    </row>
    <row r="37" spans="1:17" customFormat="1">
      <c r="A37" s="112" t="s">
        <v>266</v>
      </c>
      <c r="B37" s="134">
        <v>41.3</v>
      </c>
      <c r="C37" s="134">
        <v>57.45</v>
      </c>
      <c r="D37" s="134">
        <v>62.09</v>
      </c>
      <c r="E37" s="134">
        <v>19.53</v>
      </c>
      <c r="F37" s="134">
        <v>11.29</v>
      </c>
      <c r="G37" s="134">
        <v>104.72</v>
      </c>
      <c r="H37" s="134">
        <v>33.369999999999997</v>
      </c>
      <c r="I37" s="134">
        <v>8.8000000000000007</v>
      </c>
      <c r="J37" s="134">
        <v>0.23</v>
      </c>
      <c r="K37" s="134">
        <v>1.71</v>
      </c>
      <c r="L37" s="134">
        <v>31.94</v>
      </c>
      <c r="M37" s="134">
        <v>39.18</v>
      </c>
      <c r="N37" s="134">
        <v>71</v>
      </c>
      <c r="O37" s="134">
        <v>0</v>
      </c>
      <c r="P37" s="134">
        <v>0.97</v>
      </c>
      <c r="Q37" s="134">
        <v>7</v>
      </c>
    </row>
    <row r="38" spans="1:17" customFormat="1">
      <c r="A38" s="112" t="s">
        <v>267</v>
      </c>
      <c r="B38" s="134">
        <v>40.450000000000003</v>
      </c>
      <c r="C38" s="134">
        <v>61.26</v>
      </c>
      <c r="D38" s="134">
        <v>63.4</v>
      </c>
      <c r="E38" s="134">
        <v>15.94</v>
      </c>
      <c r="F38" s="134">
        <v>11.76</v>
      </c>
      <c r="G38" s="134">
        <v>112.57</v>
      </c>
      <c r="H38" s="134">
        <v>34.67</v>
      </c>
      <c r="I38" s="134">
        <v>9.11</v>
      </c>
      <c r="J38" s="134">
        <v>0.35</v>
      </c>
      <c r="K38" s="134">
        <v>0.87</v>
      </c>
      <c r="L38" s="134">
        <v>32.549999999999997</v>
      </c>
      <c r="M38" s="134">
        <v>38.06</v>
      </c>
      <c r="N38" s="134">
        <v>79.3</v>
      </c>
      <c r="O38" s="134">
        <v>0</v>
      </c>
      <c r="P38" s="134">
        <v>0.95</v>
      </c>
      <c r="Q38" s="134">
        <v>7.01</v>
      </c>
    </row>
    <row r="39" spans="1:17" customFormat="1">
      <c r="A39" s="112" t="s">
        <v>268</v>
      </c>
      <c r="B39" s="134">
        <v>39.19</v>
      </c>
      <c r="C39" s="134">
        <v>59.16</v>
      </c>
      <c r="D39" s="134">
        <v>61.29</v>
      </c>
      <c r="E39" s="134">
        <v>18.239999999999998</v>
      </c>
      <c r="F39" s="134">
        <v>13.82</v>
      </c>
      <c r="G39" s="134">
        <v>123.82</v>
      </c>
      <c r="H39" s="134">
        <v>37.78</v>
      </c>
      <c r="I39" s="134">
        <v>9.2799999999999994</v>
      </c>
      <c r="J39" s="134">
        <v>0.28999999999999998</v>
      </c>
      <c r="K39" s="134">
        <v>24.5</v>
      </c>
      <c r="L39" s="134">
        <v>33.44</v>
      </c>
      <c r="M39" s="134">
        <v>36.78</v>
      </c>
      <c r="N39" s="134">
        <v>85.1</v>
      </c>
      <c r="O39" s="134">
        <v>0</v>
      </c>
      <c r="P39" s="134">
        <v>0.94</v>
      </c>
      <c r="Q39" s="134">
        <v>6.94</v>
      </c>
    </row>
    <row r="40" spans="1:17" customFormat="1">
      <c r="A40" s="112" t="s">
        <v>269</v>
      </c>
      <c r="B40" s="134">
        <v>36.56</v>
      </c>
      <c r="C40" s="134">
        <v>62.79</v>
      </c>
      <c r="D40" s="134">
        <v>61.08</v>
      </c>
      <c r="E40" s="134">
        <v>16.46</v>
      </c>
      <c r="F40" s="134">
        <v>17.75</v>
      </c>
      <c r="G40" s="134">
        <v>123.82</v>
      </c>
      <c r="H40" s="134">
        <v>37.78</v>
      </c>
      <c r="I40" s="134">
        <v>9.14</v>
      </c>
      <c r="J40" s="134">
        <v>0.72</v>
      </c>
      <c r="K40" s="134">
        <v>27.5</v>
      </c>
      <c r="L40" s="134">
        <v>34.21</v>
      </c>
      <c r="M40" s="134">
        <v>34.39</v>
      </c>
      <c r="N40" s="134">
        <v>92.3</v>
      </c>
      <c r="O40" s="134">
        <v>0</v>
      </c>
      <c r="P40" s="134">
        <v>0.94</v>
      </c>
      <c r="Q40" s="134">
        <v>6.94</v>
      </c>
    </row>
    <row r="41" spans="1:17" customFormat="1">
      <c r="A41" s="112" t="s">
        <v>270</v>
      </c>
      <c r="B41" s="134">
        <v>34.51</v>
      </c>
      <c r="C41" s="134">
        <v>58.56</v>
      </c>
      <c r="D41" s="134">
        <v>57.22</v>
      </c>
      <c r="E41" s="134">
        <v>18.61</v>
      </c>
      <c r="F41" s="134">
        <v>18.91</v>
      </c>
      <c r="G41" s="134">
        <v>123.82</v>
      </c>
      <c r="H41" s="134">
        <v>37.78</v>
      </c>
      <c r="I41" s="134">
        <v>9.08</v>
      </c>
      <c r="J41" s="134">
        <v>0.99</v>
      </c>
      <c r="K41" s="134">
        <v>47.31</v>
      </c>
      <c r="L41" s="134">
        <v>34.770000000000003</v>
      </c>
      <c r="M41" s="134">
        <v>32.06</v>
      </c>
      <c r="N41" s="134">
        <v>100.4</v>
      </c>
      <c r="O41" s="134">
        <v>0</v>
      </c>
      <c r="P41" s="134">
        <v>0.9</v>
      </c>
      <c r="Q41" s="134">
        <v>6.77</v>
      </c>
    </row>
    <row r="42" spans="1:17" customFormat="1">
      <c r="A42" s="112" t="s">
        <v>271</v>
      </c>
      <c r="B42" s="134">
        <v>34.03</v>
      </c>
      <c r="C42" s="134">
        <v>60.81</v>
      </c>
      <c r="D42" s="134">
        <v>58.02</v>
      </c>
      <c r="E42" s="134">
        <v>16.829999999999998</v>
      </c>
      <c r="F42" s="134">
        <v>18.23</v>
      </c>
      <c r="G42" s="134">
        <v>117.82</v>
      </c>
      <c r="H42" s="134">
        <v>36.53</v>
      </c>
      <c r="I42" s="134">
        <v>8.7100000000000009</v>
      </c>
      <c r="J42" s="134">
        <v>1.26</v>
      </c>
      <c r="K42" s="134">
        <v>36.32</v>
      </c>
      <c r="L42" s="134">
        <v>35.51</v>
      </c>
      <c r="M42" s="134">
        <v>28.72</v>
      </c>
      <c r="N42" s="134">
        <v>108.8</v>
      </c>
      <c r="O42" s="134">
        <v>0</v>
      </c>
      <c r="P42" s="134">
        <v>0.88</v>
      </c>
      <c r="Q42" s="134">
        <v>6.65</v>
      </c>
    </row>
    <row r="43" spans="1:17" customFormat="1">
      <c r="A43" s="112" t="s">
        <v>272</v>
      </c>
      <c r="B43" s="134">
        <v>30.74</v>
      </c>
      <c r="C43" s="134">
        <v>63.45</v>
      </c>
      <c r="D43" s="134">
        <v>56.76</v>
      </c>
      <c r="E43" s="134">
        <v>18.510000000000002</v>
      </c>
      <c r="F43" s="134">
        <v>19.43</v>
      </c>
      <c r="G43" s="134">
        <v>109.24</v>
      </c>
      <c r="H43" s="134">
        <v>35.46</v>
      </c>
      <c r="I43" s="134">
        <v>8.32</v>
      </c>
      <c r="J43" s="134">
        <v>1.39</v>
      </c>
      <c r="K43" s="134">
        <v>41.84</v>
      </c>
      <c r="L43" s="134">
        <v>35.86</v>
      </c>
      <c r="M43" s="134">
        <v>27.15</v>
      </c>
      <c r="N43" s="134">
        <v>119.8</v>
      </c>
      <c r="O43" s="134">
        <v>0</v>
      </c>
      <c r="P43" s="134">
        <v>0.86</v>
      </c>
      <c r="Q43" s="134">
        <v>6.66</v>
      </c>
    </row>
    <row r="44" spans="1:17" customFormat="1">
      <c r="A44" s="112" t="s">
        <v>273</v>
      </c>
      <c r="B44" s="134">
        <v>26.63</v>
      </c>
      <c r="C44" s="134">
        <v>55.66</v>
      </c>
      <c r="D44" s="134">
        <v>49.4</v>
      </c>
      <c r="E44" s="134">
        <v>22.1</v>
      </c>
      <c r="F44" s="134">
        <v>27.09</v>
      </c>
      <c r="G44" s="134">
        <v>109.24</v>
      </c>
      <c r="H44" s="134">
        <v>35.46</v>
      </c>
      <c r="I44" s="134">
        <v>8.1199999999999992</v>
      </c>
      <c r="J44" s="134">
        <v>1.06</v>
      </c>
      <c r="K44" s="134">
        <v>33.369999999999997</v>
      </c>
      <c r="L44" s="134">
        <v>36.65</v>
      </c>
      <c r="M44" s="134">
        <v>26.33</v>
      </c>
      <c r="N44" s="134">
        <v>133.9</v>
      </c>
      <c r="O44" s="134">
        <v>0</v>
      </c>
      <c r="P44" s="134">
        <v>0.86</v>
      </c>
      <c r="Q44" s="134">
        <v>6.49</v>
      </c>
    </row>
    <row r="45" spans="1:17" customFormat="1">
      <c r="A45" s="112" t="s">
        <v>274</v>
      </c>
      <c r="B45" s="134">
        <v>25.12</v>
      </c>
      <c r="C45" s="134">
        <v>54.25</v>
      </c>
      <c r="D45" s="134">
        <v>47.44</v>
      </c>
      <c r="E45" s="134">
        <v>16.600000000000001</v>
      </c>
      <c r="F45" s="134">
        <v>26.89</v>
      </c>
      <c r="G45" s="134">
        <v>109.24</v>
      </c>
      <c r="H45" s="134">
        <v>35.46</v>
      </c>
      <c r="I45" s="134">
        <v>7.93</v>
      </c>
      <c r="J45" s="134">
        <v>1.1399999999999999</v>
      </c>
      <c r="K45" s="134">
        <v>28.67</v>
      </c>
      <c r="L45" s="134">
        <v>37.25</v>
      </c>
      <c r="M45" s="134">
        <v>25.29</v>
      </c>
      <c r="N45" s="134">
        <v>148</v>
      </c>
      <c r="O45" s="134">
        <v>0</v>
      </c>
      <c r="P45" s="134">
        <v>0.84</v>
      </c>
      <c r="Q45" s="134">
        <v>6.31</v>
      </c>
    </row>
    <row r="46" spans="1:17" customFormat="1">
      <c r="A46" s="112" t="s">
        <v>275</v>
      </c>
      <c r="B46" s="134">
        <v>23.49</v>
      </c>
      <c r="C46" s="134">
        <v>54.1</v>
      </c>
      <c r="D46" s="134">
        <v>46.06</v>
      </c>
      <c r="E46" s="134">
        <v>15.86</v>
      </c>
      <c r="F46" s="134">
        <v>23.83</v>
      </c>
      <c r="G46" s="134">
        <v>106.1</v>
      </c>
      <c r="H46" s="134">
        <v>35.36</v>
      </c>
      <c r="I46" s="134">
        <v>7.72</v>
      </c>
      <c r="J46" s="134">
        <v>1.29</v>
      </c>
      <c r="K46" s="134">
        <v>30.01</v>
      </c>
      <c r="L46" s="134">
        <v>37.53</v>
      </c>
      <c r="M46" s="134">
        <v>23.72</v>
      </c>
      <c r="N46" s="134">
        <v>156.1</v>
      </c>
      <c r="O46" s="134">
        <v>0</v>
      </c>
      <c r="P46" s="134">
        <v>0.83</v>
      </c>
      <c r="Q46" s="134">
        <v>6.13</v>
      </c>
    </row>
    <row r="47" spans="1:17" customFormat="1">
      <c r="A47" s="112" t="s">
        <v>276</v>
      </c>
      <c r="B47" s="134">
        <v>23.13</v>
      </c>
      <c r="C47" s="134">
        <v>58.97</v>
      </c>
      <c r="D47" s="134">
        <v>48.31</v>
      </c>
      <c r="E47" s="134">
        <v>12.54</v>
      </c>
      <c r="F47" s="134">
        <v>20.5</v>
      </c>
      <c r="G47" s="134">
        <v>101.61</v>
      </c>
      <c r="H47" s="134">
        <v>35.270000000000003</v>
      </c>
      <c r="I47" s="134">
        <v>7.54</v>
      </c>
      <c r="J47" s="134">
        <v>1.41</v>
      </c>
      <c r="K47" s="134">
        <v>37.44</v>
      </c>
      <c r="L47" s="134">
        <v>37.96</v>
      </c>
      <c r="M47" s="134">
        <v>22.13</v>
      </c>
      <c r="N47" s="134">
        <v>163.80000000000001</v>
      </c>
      <c r="O47" s="134">
        <v>0</v>
      </c>
      <c r="P47" s="134">
        <v>0.83</v>
      </c>
      <c r="Q47" s="134">
        <v>6.01</v>
      </c>
    </row>
    <row r="48" spans="1:17" customFormat="1">
      <c r="A48" s="112" t="s">
        <v>277</v>
      </c>
      <c r="B48" s="134">
        <v>19.96</v>
      </c>
      <c r="C48" s="134">
        <v>56.63</v>
      </c>
      <c r="D48" s="134">
        <v>44.55</v>
      </c>
      <c r="E48" s="134">
        <v>12.55</v>
      </c>
      <c r="F48" s="134">
        <v>24.96</v>
      </c>
      <c r="G48" s="134">
        <v>101.61</v>
      </c>
      <c r="H48" s="134">
        <v>35.270000000000003</v>
      </c>
      <c r="I48" s="134">
        <v>7.63</v>
      </c>
      <c r="J48" s="134">
        <v>1.3</v>
      </c>
      <c r="K48" s="134">
        <v>42.73</v>
      </c>
      <c r="L48" s="134">
        <v>38.369999999999997</v>
      </c>
      <c r="M48" s="134">
        <v>21.1</v>
      </c>
      <c r="N48" s="134">
        <v>173</v>
      </c>
      <c r="O48" s="134">
        <v>0</v>
      </c>
      <c r="P48" s="134">
        <v>0.8</v>
      </c>
      <c r="Q48" s="134">
        <v>6</v>
      </c>
    </row>
    <row r="49" spans="1:17" customFormat="1">
      <c r="A49" s="112" t="s">
        <v>278</v>
      </c>
      <c r="B49" s="134">
        <v>18.59</v>
      </c>
      <c r="C49" s="134">
        <v>56.18</v>
      </c>
      <c r="D49" s="134">
        <v>43.22</v>
      </c>
      <c r="E49" s="134">
        <v>9.64</v>
      </c>
      <c r="F49" s="134">
        <v>24.91</v>
      </c>
      <c r="G49" s="134">
        <v>101.61</v>
      </c>
      <c r="H49" s="134">
        <v>35.270000000000003</v>
      </c>
      <c r="I49" s="134">
        <v>7.64</v>
      </c>
      <c r="J49" s="134">
        <v>1.02</v>
      </c>
      <c r="K49" s="134">
        <v>29.47</v>
      </c>
      <c r="L49" s="134">
        <v>38.81</v>
      </c>
      <c r="M49" s="134">
        <v>19.57</v>
      </c>
      <c r="N49" s="134">
        <v>179.7</v>
      </c>
      <c r="O49" s="134">
        <v>0</v>
      </c>
      <c r="P49" s="134">
        <v>0.78</v>
      </c>
      <c r="Q49" s="134">
        <v>5.89</v>
      </c>
    </row>
    <row r="50" spans="1:17" customFormat="1">
      <c r="A50" s="112" t="s">
        <v>279</v>
      </c>
      <c r="B50" s="134">
        <v>17.34</v>
      </c>
      <c r="C50" s="134">
        <v>54.42</v>
      </c>
      <c r="D50" s="134">
        <v>41.29</v>
      </c>
      <c r="E50" s="134">
        <v>12.86</v>
      </c>
      <c r="F50" s="134">
        <v>25.03</v>
      </c>
      <c r="G50" s="134">
        <v>97.6</v>
      </c>
      <c r="H50" s="134">
        <v>33.69</v>
      </c>
      <c r="I50" s="134">
        <v>7.23</v>
      </c>
      <c r="J50" s="134">
        <v>1.45</v>
      </c>
      <c r="K50" s="134">
        <v>38.82</v>
      </c>
      <c r="L50" s="134">
        <v>38.840000000000003</v>
      </c>
      <c r="M50" s="134">
        <v>19.25</v>
      </c>
      <c r="N50" s="134">
        <v>192.1</v>
      </c>
      <c r="O50" s="134">
        <v>0</v>
      </c>
      <c r="P50" s="134">
        <v>0.78</v>
      </c>
      <c r="Q50" s="134">
        <v>5.76</v>
      </c>
    </row>
    <row r="51" spans="1:17" customFormat="1">
      <c r="A51" s="112" t="s">
        <v>280</v>
      </c>
      <c r="B51" s="134">
        <v>16.5</v>
      </c>
      <c r="C51" s="134">
        <v>51.09</v>
      </c>
      <c r="D51" s="134">
        <v>38.880000000000003</v>
      </c>
      <c r="E51" s="134">
        <v>13.59</v>
      </c>
      <c r="F51" s="134">
        <v>27.72</v>
      </c>
      <c r="G51" s="134">
        <v>91.87</v>
      </c>
      <c r="H51" s="134">
        <v>32.340000000000003</v>
      </c>
      <c r="I51" s="134">
        <v>7.05</v>
      </c>
      <c r="J51" s="134">
        <v>1.25</v>
      </c>
      <c r="K51" s="134">
        <v>40.07</v>
      </c>
      <c r="L51" s="134">
        <v>39.11</v>
      </c>
      <c r="M51" s="134">
        <v>18.489999999999998</v>
      </c>
      <c r="N51" s="134">
        <v>201.3</v>
      </c>
      <c r="O51" s="134">
        <v>0</v>
      </c>
      <c r="P51" s="134">
        <v>0.75</v>
      </c>
      <c r="Q51" s="134">
        <v>5.67</v>
      </c>
    </row>
    <row r="52" spans="1:17" customFormat="1">
      <c r="A52" s="112" t="s">
        <v>281</v>
      </c>
      <c r="B52" s="134">
        <v>15.71</v>
      </c>
      <c r="C52" s="134">
        <v>51.87</v>
      </c>
      <c r="D52" s="134">
        <v>38.65</v>
      </c>
      <c r="E52" s="134">
        <v>13.12</v>
      </c>
      <c r="F52" s="134">
        <v>24.74</v>
      </c>
      <c r="G52" s="134">
        <v>91.87</v>
      </c>
      <c r="H52" s="134">
        <v>32.340000000000003</v>
      </c>
      <c r="I52" s="134">
        <v>7.04</v>
      </c>
      <c r="J52" s="134">
        <v>1.47</v>
      </c>
      <c r="K52" s="134">
        <v>38.729999999999997</v>
      </c>
      <c r="L52" s="134">
        <v>39.369999999999997</v>
      </c>
      <c r="M52" s="134">
        <v>16.96</v>
      </c>
      <c r="N52" s="134">
        <v>213.4</v>
      </c>
      <c r="O52" s="134">
        <v>0</v>
      </c>
      <c r="P52" s="134">
        <v>0.73</v>
      </c>
      <c r="Q52" s="134">
        <v>5.59</v>
      </c>
    </row>
    <row r="53" spans="1:17" customFormat="1">
      <c r="A53" s="112" t="s">
        <v>282</v>
      </c>
      <c r="B53" s="134">
        <v>13.96</v>
      </c>
      <c r="C53" s="134">
        <v>50.12</v>
      </c>
      <c r="D53" s="134">
        <v>36.340000000000003</v>
      </c>
      <c r="E53" s="134">
        <v>12.74</v>
      </c>
      <c r="F53" s="134">
        <v>26.14</v>
      </c>
      <c r="G53" s="134">
        <v>91.87</v>
      </c>
      <c r="H53" s="134">
        <v>32.340000000000003</v>
      </c>
      <c r="I53" s="134">
        <v>6.82</v>
      </c>
      <c r="J53" s="134">
        <v>1.22</v>
      </c>
      <c r="K53" s="134">
        <v>53.61</v>
      </c>
      <c r="L53" s="134">
        <v>39.64</v>
      </c>
      <c r="M53" s="134">
        <v>15.75</v>
      </c>
      <c r="N53" s="134">
        <v>228.7</v>
      </c>
      <c r="O53" s="134">
        <v>0</v>
      </c>
      <c r="P53" s="134">
        <v>0.7</v>
      </c>
      <c r="Q53" s="134">
        <v>5.54</v>
      </c>
    </row>
    <row r="54" spans="1:17" customFormat="1">
      <c r="A54" s="112" t="s">
        <v>283</v>
      </c>
      <c r="B54" s="134">
        <v>12.02</v>
      </c>
      <c r="C54" s="134">
        <v>50.88</v>
      </c>
      <c r="D54" s="134">
        <v>35.17</v>
      </c>
      <c r="E54" s="134">
        <v>10.87</v>
      </c>
      <c r="F54" s="134">
        <v>23.78</v>
      </c>
      <c r="G54" s="134">
        <v>90.1</v>
      </c>
      <c r="H54" s="134">
        <v>32.29</v>
      </c>
      <c r="I54" s="134">
        <v>6.66</v>
      </c>
      <c r="J54" s="134">
        <v>1.31</v>
      </c>
      <c r="K54" s="134">
        <v>53.04</v>
      </c>
      <c r="L54" s="134">
        <v>40.049999999999997</v>
      </c>
      <c r="M54" s="134">
        <v>14.84</v>
      </c>
      <c r="N54" s="134">
        <v>245.7</v>
      </c>
      <c r="O54" s="134">
        <v>0</v>
      </c>
      <c r="P54" s="134">
        <v>0.72</v>
      </c>
      <c r="Q54" s="134">
        <v>5.44</v>
      </c>
    </row>
    <row r="55" spans="1:17" customFormat="1">
      <c r="A55" s="112" t="s">
        <v>284</v>
      </c>
      <c r="B55" s="134">
        <v>10.15</v>
      </c>
      <c r="C55" s="134">
        <v>49.65</v>
      </c>
      <c r="D55" s="134">
        <v>33.03</v>
      </c>
      <c r="E55" s="134">
        <v>13.37</v>
      </c>
      <c r="F55" s="134">
        <v>32.53</v>
      </c>
      <c r="G55" s="134">
        <v>87.57</v>
      </c>
      <c r="H55" s="134">
        <v>32.24</v>
      </c>
      <c r="I55" s="134">
        <v>6.65</v>
      </c>
      <c r="J55" s="134">
        <v>0.96</v>
      </c>
      <c r="K55" s="134">
        <v>25.34</v>
      </c>
      <c r="L55" s="134">
        <v>40.130000000000003</v>
      </c>
      <c r="M55" s="134">
        <v>14.11</v>
      </c>
      <c r="N55" s="134">
        <v>385.1</v>
      </c>
      <c r="O55" s="134">
        <v>0</v>
      </c>
      <c r="P55" s="134">
        <v>0.69</v>
      </c>
      <c r="Q55" s="134">
        <v>5.34</v>
      </c>
    </row>
    <row r="56" spans="1:17" customFormat="1">
      <c r="A56" s="112" t="s">
        <v>285</v>
      </c>
      <c r="B56" s="134">
        <v>9.48</v>
      </c>
      <c r="C56" s="134">
        <v>47.47</v>
      </c>
      <c r="D56" s="134">
        <v>31.36</v>
      </c>
      <c r="E56" s="134">
        <v>12.21</v>
      </c>
      <c r="F56" s="134">
        <v>32.18</v>
      </c>
      <c r="G56" s="134">
        <v>87.57</v>
      </c>
      <c r="H56" s="134">
        <v>32.24</v>
      </c>
      <c r="I56" s="134">
        <v>6.7</v>
      </c>
      <c r="J56" s="134">
        <v>1.04</v>
      </c>
      <c r="K56" s="134">
        <v>41.18</v>
      </c>
      <c r="L56" s="134">
        <v>40.590000000000003</v>
      </c>
      <c r="M56" s="134">
        <v>13.86</v>
      </c>
      <c r="N56" s="134">
        <v>756.2</v>
      </c>
      <c r="O56" s="134">
        <v>0</v>
      </c>
      <c r="P56" s="134">
        <v>0.67</v>
      </c>
      <c r="Q56" s="134">
        <v>5.27</v>
      </c>
    </row>
    <row r="57" spans="1:17" customFormat="1">
      <c r="A57" s="112" t="s">
        <v>286</v>
      </c>
      <c r="B57" s="134">
        <v>9.14</v>
      </c>
      <c r="C57" s="134">
        <v>46.86</v>
      </c>
      <c r="D57" s="134">
        <v>30.77</v>
      </c>
      <c r="E57" s="134">
        <v>11.77</v>
      </c>
      <c r="F57" s="134">
        <v>27.87</v>
      </c>
      <c r="G57" s="134">
        <v>87.57</v>
      </c>
      <c r="H57" s="134">
        <v>32.24</v>
      </c>
      <c r="I57" s="134">
        <v>6.55</v>
      </c>
      <c r="J57" s="134">
        <v>1.36</v>
      </c>
      <c r="K57" s="134">
        <v>46.24</v>
      </c>
      <c r="L57" s="134">
        <v>40.86</v>
      </c>
      <c r="M57" s="134">
        <v>13.37</v>
      </c>
      <c r="N57" s="134">
        <v>782.6</v>
      </c>
      <c r="O57" s="134">
        <v>0</v>
      </c>
      <c r="P57" s="134">
        <v>0.67</v>
      </c>
      <c r="Q57" s="134">
        <v>5.18</v>
      </c>
    </row>
    <row r="58" spans="1:17" customFormat="1">
      <c r="A58" s="112" t="s">
        <v>287</v>
      </c>
      <c r="B58" s="134">
        <v>8.4</v>
      </c>
      <c r="C58" s="134">
        <v>47.67</v>
      </c>
      <c r="D58" s="134">
        <v>30.6</v>
      </c>
      <c r="E58" s="134">
        <v>13.23</v>
      </c>
      <c r="F58" s="134">
        <v>32.03</v>
      </c>
      <c r="G58" s="134">
        <v>88.54</v>
      </c>
      <c r="H58" s="134">
        <v>30.99</v>
      </c>
      <c r="I58" s="134">
        <v>6.41</v>
      </c>
      <c r="J58" s="134">
        <v>0.76</v>
      </c>
      <c r="K58" s="134">
        <v>9.7799999999999994</v>
      </c>
      <c r="L58" s="134">
        <v>40.909999999999997</v>
      </c>
      <c r="M58" s="134">
        <v>11.85</v>
      </c>
      <c r="N58" s="134">
        <v>770.2</v>
      </c>
      <c r="O58" s="134">
        <v>0</v>
      </c>
      <c r="P58" s="134">
        <v>0.66</v>
      </c>
      <c r="Q58" s="134">
        <v>5.2</v>
      </c>
    </row>
    <row r="59" spans="1:17" customFormat="1">
      <c r="A59" s="112" t="s">
        <v>288</v>
      </c>
      <c r="B59" s="134">
        <v>8.32</v>
      </c>
      <c r="C59" s="134">
        <v>50.19</v>
      </c>
      <c r="D59" s="134">
        <v>31.85</v>
      </c>
      <c r="E59" s="134">
        <v>11.94</v>
      </c>
      <c r="F59" s="134">
        <v>22.84</v>
      </c>
      <c r="G59" s="134">
        <v>89.94</v>
      </c>
      <c r="H59" s="134">
        <v>29.91</v>
      </c>
      <c r="I59" s="134">
        <v>6.36</v>
      </c>
      <c r="J59" s="134">
        <v>0.87</v>
      </c>
      <c r="K59" s="134">
        <v>53.55</v>
      </c>
      <c r="L59" s="134">
        <v>41.23</v>
      </c>
      <c r="M59" s="134">
        <v>11.5</v>
      </c>
      <c r="N59" s="134">
        <v>710.8</v>
      </c>
      <c r="O59" s="134">
        <v>0</v>
      </c>
      <c r="P59" s="134">
        <v>0.66</v>
      </c>
      <c r="Q59" s="134">
        <v>5.24</v>
      </c>
    </row>
    <row r="60" spans="1:17" customFormat="1">
      <c r="A60" s="112" t="s">
        <v>289</v>
      </c>
      <c r="B60" s="134">
        <v>7.71</v>
      </c>
      <c r="C60" s="134">
        <v>51.62</v>
      </c>
      <c r="D60" s="134">
        <v>32.11</v>
      </c>
      <c r="E60" s="134">
        <v>11.83</v>
      </c>
      <c r="F60" s="134">
        <v>26.19</v>
      </c>
      <c r="G60" s="134">
        <v>89.94</v>
      </c>
      <c r="H60" s="134">
        <v>29.91</v>
      </c>
      <c r="I60" s="134">
        <v>6.4</v>
      </c>
      <c r="J60" s="134">
        <v>0.74</v>
      </c>
      <c r="K60" s="134">
        <v>304.18</v>
      </c>
      <c r="L60" s="134">
        <v>41.45</v>
      </c>
      <c r="M60" s="134">
        <v>10.84</v>
      </c>
      <c r="N60" s="134">
        <v>776.7</v>
      </c>
      <c r="O60" s="134">
        <v>0</v>
      </c>
      <c r="P60" s="134">
        <v>0.65</v>
      </c>
      <c r="Q60" s="134">
        <v>5.26</v>
      </c>
    </row>
    <row r="61" spans="1:17" customFormat="1">
      <c r="A61" s="112" t="s">
        <v>290</v>
      </c>
      <c r="B61" s="134">
        <v>7.57</v>
      </c>
      <c r="C61" s="134">
        <v>54.23</v>
      </c>
      <c r="D61" s="134">
        <v>33.36</v>
      </c>
      <c r="E61" s="134">
        <v>13.59</v>
      </c>
      <c r="F61" s="134">
        <v>28.31</v>
      </c>
      <c r="G61" s="134">
        <v>89.94</v>
      </c>
      <c r="H61" s="134">
        <v>29.91</v>
      </c>
      <c r="I61" s="134">
        <v>6.35</v>
      </c>
      <c r="J61" s="134">
        <v>0.66</v>
      </c>
      <c r="K61" s="134">
        <v>323.22000000000003</v>
      </c>
      <c r="L61" s="134">
        <v>42</v>
      </c>
      <c r="M61" s="134">
        <v>10.48</v>
      </c>
      <c r="N61" s="134">
        <v>702.4</v>
      </c>
      <c r="O61" s="134">
        <v>0</v>
      </c>
      <c r="P61" s="134">
        <v>0.64</v>
      </c>
      <c r="Q61" s="134">
        <v>5.29</v>
      </c>
    </row>
    <row r="62" spans="1:17" customFormat="1">
      <c r="A62" s="112" t="s">
        <v>291</v>
      </c>
      <c r="B62" s="134">
        <v>7.31</v>
      </c>
      <c r="C62" s="134">
        <v>54.36</v>
      </c>
      <c r="D62" s="134">
        <v>33.22</v>
      </c>
      <c r="E62" s="134">
        <v>9.83</v>
      </c>
      <c r="F62" s="134">
        <v>20.170000000000002</v>
      </c>
      <c r="G62" s="134">
        <v>89.47</v>
      </c>
      <c r="H62" s="134">
        <v>30.1</v>
      </c>
      <c r="I62" s="134">
        <v>6.28</v>
      </c>
      <c r="J62" s="134">
        <v>1.07</v>
      </c>
      <c r="K62" s="134">
        <v>312.08999999999997</v>
      </c>
      <c r="L62" s="134">
        <v>41.64</v>
      </c>
      <c r="M62" s="134">
        <v>10.61</v>
      </c>
      <c r="N62" s="134">
        <v>748.4</v>
      </c>
      <c r="O62" s="134">
        <v>0</v>
      </c>
      <c r="P62" s="134">
        <v>0.65</v>
      </c>
      <c r="Q62" s="134">
        <v>5.36</v>
      </c>
    </row>
    <row r="63" spans="1:17" customFormat="1">
      <c r="A63" s="112" t="s">
        <v>292</v>
      </c>
      <c r="B63" s="134">
        <v>7.5</v>
      </c>
      <c r="C63" s="134">
        <v>55.88</v>
      </c>
      <c r="D63" s="134">
        <v>34.159999999999997</v>
      </c>
      <c r="E63" s="134">
        <v>8.8699999999999992</v>
      </c>
      <c r="F63" s="134">
        <v>22.9</v>
      </c>
      <c r="G63" s="134">
        <v>88.8</v>
      </c>
      <c r="H63" s="134">
        <v>30.56</v>
      </c>
      <c r="I63" s="134">
        <v>6.32</v>
      </c>
      <c r="J63" s="134">
        <v>0.79</v>
      </c>
      <c r="K63" s="134">
        <v>337.83</v>
      </c>
      <c r="L63" s="134">
        <v>42</v>
      </c>
      <c r="M63" s="134">
        <v>10.46</v>
      </c>
      <c r="N63" s="134">
        <v>735.4</v>
      </c>
      <c r="O63" s="134">
        <v>0</v>
      </c>
      <c r="P63" s="134">
        <v>0.63</v>
      </c>
      <c r="Q63" s="134">
        <v>5.44</v>
      </c>
    </row>
    <row r="64" spans="1:17" customFormat="1">
      <c r="A64" s="112" t="s">
        <v>293</v>
      </c>
      <c r="B64" s="134">
        <v>7.3</v>
      </c>
      <c r="C64" s="134">
        <v>55.64</v>
      </c>
      <c r="D64" s="134">
        <v>33.880000000000003</v>
      </c>
      <c r="E64" s="134">
        <v>10.68</v>
      </c>
      <c r="F64" s="134">
        <v>29.46</v>
      </c>
      <c r="G64" s="134">
        <v>88.8</v>
      </c>
      <c r="H64" s="134">
        <v>30.56</v>
      </c>
      <c r="I64" s="134">
        <v>6.36</v>
      </c>
      <c r="J64" s="134">
        <v>0.88</v>
      </c>
      <c r="K64" s="134">
        <v>34.200000000000003</v>
      </c>
      <c r="L64" s="134">
        <v>41.81</v>
      </c>
      <c r="M64" s="134">
        <v>11.02</v>
      </c>
      <c r="N64" s="134">
        <v>690.5</v>
      </c>
      <c r="O64" s="134">
        <v>0</v>
      </c>
      <c r="P64" s="134">
        <v>0.61</v>
      </c>
      <c r="Q64" s="134">
        <v>5.47</v>
      </c>
    </row>
    <row r="65" spans="1:17" customFormat="1">
      <c r="A65" s="112" t="s">
        <v>294</v>
      </c>
      <c r="B65" s="134">
        <v>5.96</v>
      </c>
      <c r="C65" s="134">
        <v>54.5</v>
      </c>
      <c r="D65" s="134">
        <v>32.21</v>
      </c>
      <c r="E65" s="134">
        <v>14.53</v>
      </c>
      <c r="F65" s="134">
        <v>39.85</v>
      </c>
      <c r="G65" s="134">
        <v>88.8</v>
      </c>
      <c r="H65" s="134">
        <v>30.56</v>
      </c>
      <c r="I65" s="134">
        <v>6.14</v>
      </c>
      <c r="J65" s="134">
        <v>0.76</v>
      </c>
      <c r="K65" s="134">
        <v>23.3</v>
      </c>
      <c r="L65" s="134">
        <v>42.14</v>
      </c>
      <c r="M65" s="134">
        <v>10.86</v>
      </c>
      <c r="N65" s="134">
        <v>693.5</v>
      </c>
      <c r="O65" s="134">
        <v>0</v>
      </c>
      <c r="P65" s="134">
        <v>0.49</v>
      </c>
      <c r="Q65" s="134">
        <v>5.54</v>
      </c>
    </row>
    <row r="66" spans="1:17" customFormat="1">
      <c r="A66" s="112" t="s">
        <v>295</v>
      </c>
      <c r="B66" s="134">
        <v>3.1</v>
      </c>
      <c r="C66" s="134">
        <v>63.73</v>
      </c>
      <c r="D66" s="134">
        <v>34.729999999999997</v>
      </c>
      <c r="E66" s="134">
        <v>11.42</v>
      </c>
      <c r="F66" s="134">
        <v>27.28</v>
      </c>
      <c r="G66" s="134">
        <v>88.03</v>
      </c>
      <c r="H66" s="134">
        <v>27.13</v>
      </c>
      <c r="I66" s="134">
        <v>5.8</v>
      </c>
      <c r="J66" s="134">
        <v>1.07</v>
      </c>
      <c r="K66" s="134">
        <v>25.16</v>
      </c>
      <c r="L66" s="134">
        <v>41.7</v>
      </c>
      <c r="M66" s="134">
        <v>11.36</v>
      </c>
      <c r="N66" s="134">
        <v>691.8</v>
      </c>
      <c r="O66" s="134">
        <v>0</v>
      </c>
      <c r="P66" s="134">
        <v>0.54</v>
      </c>
      <c r="Q66" s="134">
        <v>5.51</v>
      </c>
    </row>
    <row r="67" spans="1:17" customFormat="1">
      <c r="A67" s="112" t="s">
        <v>296</v>
      </c>
      <c r="B67" s="134">
        <v>2.41</v>
      </c>
      <c r="C67" s="134">
        <v>60.33</v>
      </c>
      <c r="D67" s="134">
        <v>32.409999999999997</v>
      </c>
      <c r="E67" s="134">
        <v>13.4</v>
      </c>
      <c r="F67" s="134">
        <v>39.590000000000003</v>
      </c>
      <c r="G67" s="134">
        <v>86.94</v>
      </c>
      <c r="H67" s="134">
        <v>24.18</v>
      </c>
      <c r="I67" s="134">
        <v>5.4</v>
      </c>
      <c r="J67" s="134">
        <v>0.77</v>
      </c>
      <c r="K67" s="134">
        <v>347.09</v>
      </c>
      <c r="L67" s="134">
        <v>41.8</v>
      </c>
      <c r="M67" s="134">
        <v>10.9</v>
      </c>
      <c r="N67" s="134">
        <v>610.9</v>
      </c>
      <c r="O67" s="134">
        <v>0</v>
      </c>
      <c r="P67" s="134">
        <v>0.48</v>
      </c>
      <c r="Q67" s="134">
        <v>5.54</v>
      </c>
    </row>
    <row r="68" spans="1:17" customFormat="1">
      <c r="A68" s="112" t="s">
        <v>297</v>
      </c>
      <c r="B68" s="134">
        <v>1.75</v>
      </c>
      <c r="C68" s="134">
        <v>65.56</v>
      </c>
      <c r="D68" s="134">
        <v>34.61</v>
      </c>
      <c r="E68" s="134">
        <v>9.64</v>
      </c>
      <c r="F68" s="134">
        <v>24.26</v>
      </c>
      <c r="G68" s="134">
        <v>86.94</v>
      </c>
      <c r="H68" s="134">
        <v>24.18</v>
      </c>
      <c r="I68" s="134">
        <v>4.92</v>
      </c>
      <c r="J68" s="134">
        <v>0.57999999999999996</v>
      </c>
      <c r="K68" s="134">
        <v>64.22</v>
      </c>
      <c r="L68" s="134">
        <v>41.85</v>
      </c>
      <c r="M68" s="134">
        <v>10.9</v>
      </c>
      <c r="N68" s="134">
        <v>617</v>
      </c>
      <c r="O68" s="134">
        <v>0</v>
      </c>
      <c r="P68" s="134">
        <v>0.49</v>
      </c>
      <c r="Q68" s="134">
        <v>5.45</v>
      </c>
    </row>
    <row r="69" spans="1:17" customFormat="1">
      <c r="A69" s="112" t="s">
        <v>298</v>
      </c>
      <c r="B69" s="134">
        <v>1.88</v>
      </c>
      <c r="C69" s="134">
        <v>67.66</v>
      </c>
      <c r="D69" s="134">
        <v>35.82</v>
      </c>
      <c r="E69" s="134">
        <v>7.84</v>
      </c>
      <c r="F69" s="134">
        <v>24.58</v>
      </c>
      <c r="G69" s="134">
        <v>86.94</v>
      </c>
      <c r="H69" s="134">
        <v>24.18</v>
      </c>
      <c r="I69" s="134">
        <v>4.47</v>
      </c>
      <c r="J69" s="134">
        <v>0.65</v>
      </c>
      <c r="K69" s="134">
        <v>316.14999999999998</v>
      </c>
      <c r="L69" s="134">
        <v>42.44</v>
      </c>
      <c r="M69" s="134">
        <v>10.35</v>
      </c>
      <c r="N69" s="134">
        <v>590.79999999999995</v>
      </c>
      <c r="O69" s="134">
        <v>0</v>
      </c>
      <c r="P69" s="134">
        <v>0.48</v>
      </c>
      <c r="Q69" s="134">
        <v>5.46</v>
      </c>
    </row>
    <row r="70" spans="1:17" customFormat="1">
      <c r="A70" s="112" t="s">
        <v>299</v>
      </c>
      <c r="B70" s="134">
        <v>2.67</v>
      </c>
      <c r="C70" s="134">
        <v>65.37</v>
      </c>
      <c r="D70" s="134">
        <v>35.24</v>
      </c>
      <c r="E70" s="134">
        <v>7.85</v>
      </c>
      <c r="F70" s="134">
        <v>23.51</v>
      </c>
      <c r="G70" s="134">
        <v>81.62</v>
      </c>
      <c r="H70" s="134">
        <v>23.97</v>
      </c>
      <c r="I70" s="134">
        <v>4.43</v>
      </c>
      <c r="J70" s="134">
        <v>1.1000000000000001</v>
      </c>
      <c r="K70" s="134">
        <v>302.22000000000003</v>
      </c>
      <c r="L70" s="134">
        <v>42.16</v>
      </c>
      <c r="M70" s="134">
        <v>10.220000000000001</v>
      </c>
      <c r="N70" s="134">
        <v>547.9</v>
      </c>
      <c r="O70" s="134">
        <v>0</v>
      </c>
      <c r="P70" s="134">
        <v>0.46</v>
      </c>
      <c r="Q70" s="134">
        <v>5.52</v>
      </c>
    </row>
    <row r="71" spans="1:17" customFormat="1">
      <c r="A71" s="112" t="s">
        <v>300</v>
      </c>
      <c r="B71" s="134">
        <v>3.19</v>
      </c>
      <c r="C71" s="134">
        <v>64.5</v>
      </c>
      <c r="D71" s="134">
        <v>35.21</v>
      </c>
      <c r="E71" s="134">
        <v>7.77</v>
      </c>
      <c r="F71" s="134">
        <v>26.52</v>
      </c>
      <c r="G71" s="134">
        <v>73.989999999999995</v>
      </c>
      <c r="H71" s="134">
        <v>23.79</v>
      </c>
      <c r="I71" s="134">
        <v>4.57</v>
      </c>
      <c r="J71" s="134">
        <v>0.76</v>
      </c>
      <c r="K71" s="134">
        <v>302.2</v>
      </c>
      <c r="L71" s="134">
        <v>42.04</v>
      </c>
      <c r="M71" s="134">
        <v>10.09</v>
      </c>
      <c r="N71" s="134">
        <v>526.70000000000005</v>
      </c>
      <c r="O71" s="134">
        <v>0</v>
      </c>
      <c r="P71" s="134">
        <v>0.44</v>
      </c>
      <c r="Q71" s="134">
        <v>5.55</v>
      </c>
    </row>
    <row r="72" spans="1:17" customFormat="1">
      <c r="A72" s="112" t="s">
        <v>301</v>
      </c>
      <c r="B72" s="134">
        <v>3.48</v>
      </c>
      <c r="C72" s="134">
        <v>60.54</v>
      </c>
      <c r="D72" s="134">
        <v>33.369999999999997</v>
      </c>
      <c r="E72" s="134">
        <v>8.61</v>
      </c>
      <c r="F72" s="134">
        <v>35.979999999999997</v>
      </c>
      <c r="G72" s="134">
        <v>73.989999999999995</v>
      </c>
      <c r="H72" s="134">
        <v>23.79</v>
      </c>
      <c r="I72" s="134">
        <v>4.49</v>
      </c>
      <c r="J72" s="134">
        <v>0.37</v>
      </c>
      <c r="K72" s="134">
        <v>49.98</v>
      </c>
      <c r="L72" s="134">
        <v>42.24</v>
      </c>
      <c r="M72" s="134">
        <v>10.119999999999999</v>
      </c>
      <c r="N72" s="134">
        <v>444.3</v>
      </c>
      <c r="O72" s="134">
        <v>0</v>
      </c>
      <c r="P72" s="134">
        <v>0.41</v>
      </c>
      <c r="Q72" s="134">
        <v>5.52</v>
      </c>
    </row>
    <row r="73" spans="1:17" customFormat="1">
      <c r="A73" s="112" t="s">
        <v>302</v>
      </c>
      <c r="B73" s="134">
        <v>3.55</v>
      </c>
      <c r="C73" s="134">
        <v>58.46</v>
      </c>
      <c r="D73" s="134">
        <v>32.35</v>
      </c>
      <c r="E73" s="134">
        <v>7.9</v>
      </c>
      <c r="F73" s="134">
        <v>37.1</v>
      </c>
      <c r="G73" s="134">
        <v>73.989999999999995</v>
      </c>
      <c r="H73" s="134">
        <v>23.79</v>
      </c>
      <c r="I73" s="134">
        <v>4.32</v>
      </c>
      <c r="J73" s="134">
        <v>0.18</v>
      </c>
      <c r="K73" s="134">
        <v>38.270000000000003</v>
      </c>
      <c r="L73" s="134">
        <v>42.24</v>
      </c>
      <c r="M73" s="134">
        <v>10.58</v>
      </c>
      <c r="N73" s="134">
        <v>270.2</v>
      </c>
      <c r="O73" s="134">
        <v>0</v>
      </c>
      <c r="P73" s="134">
        <v>0.4</v>
      </c>
      <c r="Q73" s="134">
        <v>5.46</v>
      </c>
    </row>
    <row r="74" spans="1:17" customFormat="1">
      <c r="A74" s="112" t="s">
        <v>303</v>
      </c>
      <c r="B74" s="134">
        <v>6.39</v>
      </c>
      <c r="C74" s="134">
        <v>58.31</v>
      </c>
      <c r="D74" s="134">
        <v>34.549999999999997</v>
      </c>
      <c r="E74" s="134">
        <v>8.89</v>
      </c>
      <c r="F74" s="134">
        <v>33.69</v>
      </c>
      <c r="G74" s="134">
        <v>73.11</v>
      </c>
      <c r="H74" s="134">
        <v>21.43</v>
      </c>
      <c r="I74" s="134">
        <v>4.0599999999999996</v>
      </c>
      <c r="J74" s="134">
        <v>0.92</v>
      </c>
      <c r="K74" s="134">
        <v>45.29</v>
      </c>
      <c r="L74" s="134">
        <v>40.729999999999997</v>
      </c>
      <c r="M74" s="134">
        <v>11.22</v>
      </c>
      <c r="N74" s="134">
        <v>164.5</v>
      </c>
      <c r="O74" s="134">
        <v>0</v>
      </c>
      <c r="P74" s="134">
        <v>0.41</v>
      </c>
      <c r="Q74" s="134">
        <v>5.38</v>
      </c>
    </row>
    <row r="75" spans="1:17" customFormat="1">
      <c r="A75" s="112" t="s">
        <v>304</v>
      </c>
      <c r="B75" s="134">
        <v>6.07</v>
      </c>
      <c r="C75" s="134">
        <v>54.06</v>
      </c>
      <c r="D75" s="134">
        <v>32.07</v>
      </c>
      <c r="E75" s="134">
        <v>8.7799999999999994</v>
      </c>
      <c r="F75" s="134">
        <v>36.409999999999997</v>
      </c>
      <c r="G75" s="134">
        <v>71.849999999999994</v>
      </c>
      <c r="H75" s="134">
        <v>19.41</v>
      </c>
      <c r="I75" s="134">
        <v>3.96</v>
      </c>
      <c r="J75" s="134">
        <v>0.75</v>
      </c>
      <c r="K75" s="134">
        <v>59.58</v>
      </c>
      <c r="L75" s="134">
        <v>40.35</v>
      </c>
      <c r="M75" s="134">
        <v>11.65</v>
      </c>
      <c r="N75" s="134">
        <v>195.3</v>
      </c>
      <c r="O75" s="134">
        <v>0</v>
      </c>
      <c r="P75" s="134">
        <v>0.41</v>
      </c>
      <c r="Q75" s="134">
        <v>5.24</v>
      </c>
    </row>
    <row r="76" spans="1:17" customFormat="1">
      <c r="A76" s="112" t="s">
        <v>305</v>
      </c>
      <c r="B76" s="134">
        <v>5.53</v>
      </c>
      <c r="C76" s="134">
        <v>49.57</v>
      </c>
      <c r="D76" s="134">
        <v>29.29</v>
      </c>
      <c r="E76" s="134">
        <v>8.5500000000000007</v>
      </c>
      <c r="F76" s="134">
        <v>40.770000000000003</v>
      </c>
      <c r="G76" s="134">
        <v>71.849999999999994</v>
      </c>
      <c r="H76" s="134">
        <v>19.41</v>
      </c>
      <c r="I76" s="134">
        <v>3.77</v>
      </c>
      <c r="J76" s="134">
        <v>0.14000000000000001</v>
      </c>
      <c r="K76" s="134">
        <v>36.619999999999997</v>
      </c>
      <c r="L76" s="134">
        <v>41.22</v>
      </c>
      <c r="M76" s="134">
        <v>11.62</v>
      </c>
      <c r="N76" s="134">
        <v>177.8</v>
      </c>
      <c r="O76" s="134">
        <v>0</v>
      </c>
      <c r="P76" s="134">
        <v>0.38</v>
      </c>
      <c r="Q76" s="134">
        <v>5.22</v>
      </c>
    </row>
    <row r="77" spans="1:17" customFormat="1">
      <c r="A77" s="112" t="s">
        <v>306</v>
      </c>
      <c r="B77" s="134">
        <v>5.39</v>
      </c>
      <c r="C77" s="134">
        <v>51.74</v>
      </c>
      <c r="D77" s="134">
        <v>30.32</v>
      </c>
      <c r="E77" s="134">
        <v>9.83</v>
      </c>
      <c r="F77" s="134">
        <v>38.56</v>
      </c>
      <c r="G77" s="134">
        <v>71.849999999999994</v>
      </c>
      <c r="H77" s="134">
        <v>19.41</v>
      </c>
      <c r="I77" s="134">
        <v>3.59</v>
      </c>
      <c r="J77" s="134">
        <v>0.05</v>
      </c>
      <c r="K77" s="134">
        <v>29.07</v>
      </c>
      <c r="L77" s="134">
        <v>40.64</v>
      </c>
      <c r="M77" s="134">
        <v>12.02</v>
      </c>
      <c r="N77" s="134">
        <v>105.3</v>
      </c>
      <c r="O77" s="134">
        <v>0</v>
      </c>
      <c r="P77" s="134">
        <v>0.42</v>
      </c>
      <c r="Q77" s="134">
        <v>5.19</v>
      </c>
    </row>
    <row r="78" spans="1:17" customFormat="1">
      <c r="A78" s="112" t="s">
        <v>307</v>
      </c>
      <c r="B78" s="134">
        <v>4.59</v>
      </c>
      <c r="C78" s="134">
        <v>45.33</v>
      </c>
      <c r="D78" s="134">
        <v>26.32</v>
      </c>
      <c r="E78" s="134">
        <v>10.97</v>
      </c>
      <c r="F78" s="134">
        <v>51.75</v>
      </c>
      <c r="G78" s="134">
        <v>70.17</v>
      </c>
      <c r="H78" s="134">
        <v>19.329999999999998</v>
      </c>
      <c r="I78" s="134">
        <v>3.54</v>
      </c>
      <c r="J78" s="134">
        <v>0.25</v>
      </c>
      <c r="K78" s="134">
        <v>198.39</v>
      </c>
      <c r="L78" s="134">
        <v>40.29</v>
      </c>
      <c r="M78" s="134">
        <v>13.83</v>
      </c>
      <c r="N78" s="134">
        <v>127.9</v>
      </c>
      <c r="O78" s="134">
        <v>0</v>
      </c>
      <c r="P78" s="134">
        <v>0.35</v>
      </c>
      <c r="Q78" s="134">
        <v>5.16</v>
      </c>
    </row>
    <row r="79" spans="1:17" customFormat="1">
      <c r="A79" s="112" t="s">
        <v>308</v>
      </c>
      <c r="B79" s="134">
        <v>7.17</v>
      </c>
      <c r="C79" s="134">
        <v>53.34</v>
      </c>
      <c r="D79" s="134">
        <v>32.57</v>
      </c>
      <c r="E79" s="134">
        <v>7.97</v>
      </c>
      <c r="F79" s="134">
        <v>30.5</v>
      </c>
      <c r="G79" s="134">
        <v>67.75</v>
      </c>
      <c r="H79" s="134">
        <v>19.260000000000002</v>
      </c>
      <c r="I79" s="134">
        <v>3.44</v>
      </c>
      <c r="J79" s="134">
        <v>0.44</v>
      </c>
      <c r="K79" s="134">
        <v>294.58999999999997</v>
      </c>
      <c r="L79" s="134">
        <v>40.14</v>
      </c>
      <c r="M79" s="134">
        <v>11.21</v>
      </c>
      <c r="N79" s="134">
        <v>65</v>
      </c>
      <c r="O79" s="134">
        <v>0</v>
      </c>
      <c r="P79" s="134">
        <v>0.44</v>
      </c>
      <c r="Q79" s="134">
        <v>5.0999999999999996</v>
      </c>
    </row>
    <row r="80" spans="1:17" customFormat="1">
      <c r="A80" s="112" t="s">
        <v>309</v>
      </c>
      <c r="B80" s="134">
        <v>8.2100000000000009</v>
      </c>
      <c r="C80" s="134">
        <v>56.52</v>
      </c>
      <c r="D80" s="134">
        <v>35.07</v>
      </c>
      <c r="E80" s="134">
        <v>8.6999999999999993</v>
      </c>
      <c r="F80" s="134">
        <v>31.69</v>
      </c>
      <c r="G80" s="134">
        <v>67.75</v>
      </c>
      <c r="H80" s="134">
        <v>19.260000000000002</v>
      </c>
      <c r="I80" s="134">
        <v>3.3</v>
      </c>
      <c r="J80" s="134">
        <v>0.14000000000000001</v>
      </c>
      <c r="K80" s="134">
        <v>54.84</v>
      </c>
      <c r="L80" s="134">
        <v>39.58</v>
      </c>
      <c r="M80" s="134">
        <v>12.98</v>
      </c>
      <c r="N80" s="134">
        <v>54.5</v>
      </c>
      <c r="O80" s="134">
        <v>0</v>
      </c>
      <c r="P80" s="134">
        <v>0.5</v>
      </c>
      <c r="Q80" s="134">
        <v>5.0599999999999996</v>
      </c>
    </row>
    <row r="81" spans="1:17" customFormat="1">
      <c r="A81" s="112" t="s">
        <v>310</v>
      </c>
      <c r="B81" s="134">
        <v>7.86</v>
      </c>
      <c r="C81" s="134">
        <v>58.15</v>
      </c>
      <c r="D81" s="134">
        <v>35.64</v>
      </c>
      <c r="E81" s="134">
        <v>7.86</v>
      </c>
      <c r="F81" s="134">
        <v>28.92</v>
      </c>
      <c r="G81" s="134">
        <v>67.75</v>
      </c>
      <c r="H81" s="134">
        <v>19.260000000000002</v>
      </c>
      <c r="I81" s="134">
        <v>3.4</v>
      </c>
      <c r="J81" s="134">
        <v>0.16</v>
      </c>
      <c r="K81" s="134">
        <v>256.14</v>
      </c>
      <c r="L81" s="134">
        <v>39.25</v>
      </c>
      <c r="M81" s="134">
        <v>13.67</v>
      </c>
      <c r="N81" s="134">
        <v>27.9</v>
      </c>
      <c r="O81" s="134">
        <v>0</v>
      </c>
      <c r="P81" s="134">
        <v>0.53</v>
      </c>
      <c r="Q81" s="134">
        <v>5.05</v>
      </c>
    </row>
    <row r="82" spans="1:17" customFormat="1">
      <c r="A82" s="112" t="s">
        <v>311</v>
      </c>
      <c r="B82" s="134">
        <v>9.94</v>
      </c>
      <c r="C82" s="134">
        <v>59.76</v>
      </c>
      <c r="D82" s="134">
        <v>38.15</v>
      </c>
      <c r="E82" s="134">
        <v>10.96</v>
      </c>
      <c r="F82" s="134">
        <v>25.55</v>
      </c>
      <c r="G82" s="134">
        <v>68</v>
      </c>
      <c r="H82" s="134">
        <v>18.63</v>
      </c>
      <c r="I82" s="134">
        <v>4.0199999999999996</v>
      </c>
      <c r="J82" s="134">
        <v>0.5</v>
      </c>
      <c r="K82" s="134">
        <v>300.77999999999997</v>
      </c>
      <c r="L82" s="134">
        <v>38.9</v>
      </c>
      <c r="M82" s="134">
        <v>12.31</v>
      </c>
      <c r="N82" s="134">
        <v>3.8</v>
      </c>
      <c r="O82" s="134">
        <v>0</v>
      </c>
      <c r="P82" s="134">
        <v>0.49</v>
      </c>
      <c r="Q82" s="134">
        <v>5.12</v>
      </c>
    </row>
    <row r="83" spans="1:17" customFormat="1">
      <c r="A83" s="112" t="s">
        <v>312</v>
      </c>
      <c r="B83" s="134">
        <v>8.24</v>
      </c>
      <c r="C83" s="134">
        <v>62.94</v>
      </c>
      <c r="D83" s="134">
        <v>38.450000000000003</v>
      </c>
      <c r="E83" s="134">
        <v>12.85</v>
      </c>
      <c r="F83" s="134">
        <v>23.08</v>
      </c>
      <c r="G83" s="134">
        <v>68.37</v>
      </c>
      <c r="H83" s="134">
        <v>18.09</v>
      </c>
      <c r="I83" s="134">
        <v>4.43</v>
      </c>
      <c r="J83" s="134">
        <v>0.08</v>
      </c>
      <c r="K83" s="134">
        <v>264.3</v>
      </c>
      <c r="L83" s="134">
        <v>38.299999999999997</v>
      </c>
      <c r="M83" s="134">
        <v>13.07</v>
      </c>
      <c r="N83" s="134">
        <v>0</v>
      </c>
      <c r="O83" s="134">
        <v>0</v>
      </c>
      <c r="P83" s="134">
        <v>0.57999999999999996</v>
      </c>
      <c r="Q83" s="134">
        <v>5.34</v>
      </c>
    </row>
    <row r="84" spans="1:17" customFormat="1">
      <c r="A84" s="112" t="s">
        <v>313</v>
      </c>
      <c r="B84" s="134">
        <v>8.8699999999999992</v>
      </c>
      <c r="C84" s="134">
        <v>66.91</v>
      </c>
      <c r="D84" s="134">
        <v>41.03</v>
      </c>
      <c r="E84" s="134">
        <v>12.15</v>
      </c>
      <c r="F84" s="134">
        <v>20.56</v>
      </c>
      <c r="G84" s="134">
        <v>68.37</v>
      </c>
      <c r="H84" s="134">
        <v>18.09</v>
      </c>
      <c r="I84" s="134">
        <v>4.3600000000000003</v>
      </c>
      <c r="J84" s="134">
        <v>0.19</v>
      </c>
      <c r="K84" s="134">
        <v>234.48</v>
      </c>
      <c r="L84" s="134">
        <v>37.33</v>
      </c>
      <c r="M84" s="134">
        <v>14.16</v>
      </c>
      <c r="N84" s="134">
        <v>0</v>
      </c>
      <c r="O84" s="134">
        <v>0</v>
      </c>
      <c r="P84" s="134">
        <v>0.59</v>
      </c>
      <c r="Q84" s="134">
        <v>5.47</v>
      </c>
    </row>
    <row r="85" spans="1:17" customFormat="1">
      <c r="A85" s="112" t="s">
        <v>314</v>
      </c>
      <c r="B85" s="134">
        <v>14.29</v>
      </c>
      <c r="C85" s="134">
        <v>69.08</v>
      </c>
      <c r="D85" s="134">
        <v>47.22</v>
      </c>
      <c r="E85" s="134">
        <v>11.34</v>
      </c>
      <c r="F85" s="134">
        <v>13.51</v>
      </c>
      <c r="G85" s="134">
        <v>68.37</v>
      </c>
      <c r="H85" s="134">
        <v>18.09</v>
      </c>
      <c r="I85" s="134">
        <v>4.91</v>
      </c>
      <c r="J85" s="134">
        <v>0.12</v>
      </c>
      <c r="K85" s="134">
        <v>252.79</v>
      </c>
      <c r="L85" s="134">
        <v>36.65</v>
      </c>
      <c r="M85" s="134">
        <v>14.65</v>
      </c>
      <c r="N85" s="134">
        <v>0</v>
      </c>
      <c r="O85" s="134">
        <v>0</v>
      </c>
      <c r="P85" s="134">
        <v>0.63</v>
      </c>
      <c r="Q85" s="134">
        <v>5.52</v>
      </c>
    </row>
    <row r="86" spans="1:17" customFormat="1">
      <c r="A86" s="112" t="s">
        <v>315</v>
      </c>
      <c r="B86" s="134">
        <v>12.17</v>
      </c>
      <c r="C86" s="134">
        <v>72.67</v>
      </c>
      <c r="D86" s="134">
        <v>46.68</v>
      </c>
      <c r="E86" s="134">
        <v>15.33</v>
      </c>
      <c r="F86" s="134">
        <v>12.47</v>
      </c>
      <c r="G86" s="134">
        <v>72.319999999999993</v>
      </c>
      <c r="H86" s="134">
        <v>19.05</v>
      </c>
      <c r="I86" s="134">
        <v>5.33</v>
      </c>
      <c r="J86" s="134">
        <v>0.17</v>
      </c>
      <c r="K86" s="134">
        <v>213.55</v>
      </c>
      <c r="L86" s="134">
        <v>36.32</v>
      </c>
      <c r="M86" s="134">
        <v>15.01</v>
      </c>
      <c r="N86" s="134">
        <v>0</v>
      </c>
      <c r="O86" s="134">
        <v>0</v>
      </c>
      <c r="P86" s="134">
        <v>0.74</v>
      </c>
      <c r="Q86" s="134">
        <v>5.6</v>
      </c>
    </row>
    <row r="87" spans="1:17" customFormat="1">
      <c r="A87" s="112" t="s">
        <v>316</v>
      </c>
      <c r="B87" s="134">
        <v>10.43</v>
      </c>
      <c r="C87" s="134">
        <v>68.75</v>
      </c>
      <c r="D87" s="134">
        <v>43.24</v>
      </c>
      <c r="E87" s="134">
        <v>18.149999999999999</v>
      </c>
      <c r="F87" s="134">
        <v>12.02</v>
      </c>
      <c r="G87" s="134">
        <v>77.97</v>
      </c>
      <c r="H87" s="134">
        <v>21.53</v>
      </c>
      <c r="I87" s="134">
        <v>5.73</v>
      </c>
      <c r="J87" s="134">
        <v>0.21</v>
      </c>
      <c r="K87" s="134">
        <v>197.45</v>
      </c>
      <c r="L87" s="134">
        <v>35.659999999999997</v>
      </c>
      <c r="M87" s="134">
        <v>16.66</v>
      </c>
      <c r="N87" s="134">
        <v>0</v>
      </c>
      <c r="O87" s="134">
        <v>0</v>
      </c>
      <c r="P87" s="134">
        <v>0.7</v>
      </c>
      <c r="Q87" s="134">
        <v>5.66</v>
      </c>
    </row>
    <row r="88" spans="1:17" customFormat="1">
      <c r="A88" s="112" t="s">
        <v>317</v>
      </c>
      <c r="B88" s="134">
        <v>14.73</v>
      </c>
      <c r="C88" s="134">
        <v>67.66</v>
      </c>
      <c r="D88" s="134">
        <v>46.11</v>
      </c>
      <c r="E88" s="134">
        <v>21.72</v>
      </c>
      <c r="F88" s="134">
        <v>11.86</v>
      </c>
      <c r="G88" s="134">
        <v>77.97</v>
      </c>
      <c r="H88" s="134">
        <v>21.53</v>
      </c>
      <c r="I88" s="134">
        <v>6.22</v>
      </c>
      <c r="J88" s="134">
        <v>0.17</v>
      </c>
      <c r="K88" s="134">
        <v>167.87</v>
      </c>
      <c r="L88" s="134">
        <v>34.770000000000003</v>
      </c>
      <c r="M88" s="134">
        <v>19.23</v>
      </c>
      <c r="N88" s="134">
        <v>0</v>
      </c>
      <c r="O88" s="134">
        <v>0</v>
      </c>
      <c r="P88" s="134">
        <v>0.72</v>
      </c>
      <c r="Q88" s="134">
        <v>5.65</v>
      </c>
    </row>
    <row r="89" spans="1:17" customFormat="1">
      <c r="A89" s="112" t="s">
        <v>318</v>
      </c>
      <c r="B89" s="134">
        <v>26.17</v>
      </c>
      <c r="C89" s="134">
        <v>73.040000000000006</v>
      </c>
      <c r="D89" s="134">
        <v>58.1</v>
      </c>
      <c r="E89" s="134">
        <v>28.59</v>
      </c>
      <c r="F89" s="134">
        <v>6.85</v>
      </c>
      <c r="G89" s="134">
        <v>77.97</v>
      </c>
      <c r="H89" s="134">
        <v>21.53</v>
      </c>
      <c r="I89" s="134">
        <v>6.4</v>
      </c>
      <c r="J89" s="134">
        <v>0.12</v>
      </c>
      <c r="K89" s="134">
        <v>130.03</v>
      </c>
      <c r="L89" s="134">
        <v>34.21</v>
      </c>
      <c r="M89" s="134">
        <v>20.68</v>
      </c>
      <c r="N89" s="134">
        <v>0</v>
      </c>
      <c r="O89" s="134">
        <v>0</v>
      </c>
      <c r="P89" s="134">
        <v>0.83</v>
      </c>
      <c r="Q89" s="134">
        <v>5.64</v>
      </c>
    </row>
    <row r="90" spans="1:17" customFormat="1">
      <c r="A90" s="112" t="s">
        <v>319</v>
      </c>
      <c r="B90" s="134">
        <v>35.47</v>
      </c>
      <c r="C90" s="134">
        <v>74.319999999999993</v>
      </c>
      <c r="D90" s="134">
        <v>66.23</v>
      </c>
      <c r="E90" s="134">
        <v>33.99</v>
      </c>
      <c r="F90" s="134">
        <v>5.31</v>
      </c>
      <c r="G90" s="134">
        <v>81.239999999999995</v>
      </c>
      <c r="H90" s="134">
        <v>22.04</v>
      </c>
      <c r="I90" s="134">
        <v>6.8</v>
      </c>
      <c r="J90" s="134">
        <v>0.14000000000000001</v>
      </c>
      <c r="K90" s="134">
        <v>197.03</v>
      </c>
      <c r="L90" s="134">
        <v>34.049999999999997</v>
      </c>
      <c r="M90" s="134">
        <v>19.41</v>
      </c>
      <c r="N90" s="134">
        <v>0</v>
      </c>
      <c r="O90" s="134">
        <v>0</v>
      </c>
      <c r="P90" s="134">
        <v>0.95</v>
      </c>
      <c r="Q90" s="134">
        <v>5.73</v>
      </c>
    </row>
    <row r="91" spans="1:17" customFormat="1">
      <c r="A91" s="112" t="s">
        <v>320</v>
      </c>
      <c r="B91" s="134">
        <v>30.81</v>
      </c>
      <c r="C91" s="134">
        <v>72.5</v>
      </c>
      <c r="D91" s="134">
        <v>61.54</v>
      </c>
      <c r="E91" s="134">
        <v>35.07</v>
      </c>
      <c r="F91" s="134">
        <v>5.07</v>
      </c>
      <c r="G91" s="134">
        <v>85.93</v>
      </c>
      <c r="H91" s="134">
        <v>22.47</v>
      </c>
      <c r="I91" s="134">
        <v>7.87</v>
      </c>
      <c r="J91" s="134">
        <v>0.2</v>
      </c>
      <c r="K91" s="134">
        <v>184.95</v>
      </c>
      <c r="L91" s="134">
        <v>33.97</v>
      </c>
      <c r="M91" s="134">
        <v>20.41</v>
      </c>
      <c r="N91" s="134">
        <v>0</v>
      </c>
      <c r="O91" s="134">
        <v>0</v>
      </c>
      <c r="P91" s="134">
        <v>0.94</v>
      </c>
      <c r="Q91" s="134">
        <v>5.84</v>
      </c>
    </row>
    <row r="92" spans="1:17" customFormat="1">
      <c r="A92" s="112" t="s">
        <v>321</v>
      </c>
      <c r="B92" s="134">
        <v>19.260000000000002</v>
      </c>
      <c r="C92" s="134">
        <v>67.650000000000006</v>
      </c>
      <c r="D92" s="134">
        <v>49.75</v>
      </c>
      <c r="E92" s="134">
        <v>18.329999999999998</v>
      </c>
      <c r="F92" s="134">
        <v>4.41</v>
      </c>
      <c r="G92" s="134">
        <v>85.93</v>
      </c>
      <c r="H92" s="134">
        <v>22.47</v>
      </c>
      <c r="I92" s="134">
        <v>9.23</v>
      </c>
      <c r="J92" s="134">
        <v>0.28000000000000003</v>
      </c>
      <c r="K92" s="134">
        <v>172.97</v>
      </c>
      <c r="L92" s="134">
        <v>32.76</v>
      </c>
      <c r="M92" s="134">
        <v>25.63</v>
      </c>
      <c r="N92" s="134">
        <v>0</v>
      </c>
      <c r="O92" s="134">
        <v>0</v>
      </c>
      <c r="P92" s="134">
        <v>0.84</v>
      </c>
      <c r="Q92" s="134">
        <v>5.92</v>
      </c>
    </row>
    <row r="93" spans="1:17" customFormat="1">
      <c r="A93" s="112" t="s">
        <v>322</v>
      </c>
      <c r="B93" s="134">
        <v>23.52</v>
      </c>
      <c r="C93" s="134">
        <v>67.900000000000006</v>
      </c>
      <c r="D93" s="134">
        <v>53.86</v>
      </c>
      <c r="E93" s="134">
        <v>22.09</v>
      </c>
      <c r="F93" s="134">
        <v>4.41</v>
      </c>
      <c r="G93" s="134">
        <v>85.93</v>
      </c>
      <c r="H93" s="134">
        <v>22.47</v>
      </c>
      <c r="I93" s="134">
        <v>9.49</v>
      </c>
      <c r="J93" s="134">
        <v>0.21</v>
      </c>
      <c r="K93" s="134">
        <v>161.31</v>
      </c>
      <c r="L93" s="134">
        <v>32.07</v>
      </c>
      <c r="M93" s="134">
        <v>25.06</v>
      </c>
      <c r="N93" s="134">
        <v>0</v>
      </c>
      <c r="O93" s="134">
        <v>0</v>
      </c>
      <c r="P93" s="134">
        <v>0.93</v>
      </c>
      <c r="Q93" s="134">
        <v>5.91</v>
      </c>
    </row>
    <row r="94" spans="1:17" customFormat="1">
      <c r="A94" s="112" t="s">
        <v>323</v>
      </c>
      <c r="B94" s="134">
        <v>29.49</v>
      </c>
      <c r="C94" s="134">
        <v>70.62</v>
      </c>
      <c r="D94" s="134">
        <v>59.5</v>
      </c>
      <c r="E94" s="134">
        <v>26.01</v>
      </c>
      <c r="F94" s="134">
        <v>4.08</v>
      </c>
      <c r="G94" s="134">
        <v>95.44</v>
      </c>
      <c r="H94" s="134">
        <v>26.97</v>
      </c>
      <c r="I94" s="134">
        <v>8.9</v>
      </c>
      <c r="J94" s="134">
        <v>0.21</v>
      </c>
      <c r="K94" s="134">
        <v>176.21</v>
      </c>
      <c r="L94" s="134">
        <v>31.69</v>
      </c>
      <c r="M94" s="134">
        <v>25.95</v>
      </c>
      <c r="N94" s="134">
        <v>0</v>
      </c>
      <c r="O94" s="134">
        <v>0</v>
      </c>
      <c r="P94" s="134">
        <v>0.95</v>
      </c>
      <c r="Q94" s="134">
        <v>5.99</v>
      </c>
    </row>
    <row r="95" spans="1:17" customFormat="1">
      <c r="A95" s="112" t="s">
        <v>324</v>
      </c>
      <c r="B95" s="134">
        <v>27.62</v>
      </c>
      <c r="C95" s="134">
        <v>67.819999999999993</v>
      </c>
      <c r="D95" s="134">
        <v>56.54</v>
      </c>
      <c r="E95" s="134">
        <v>18.54</v>
      </c>
      <c r="F95" s="134">
        <v>4.04</v>
      </c>
      <c r="G95" s="134">
        <v>109.07</v>
      </c>
      <c r="H95" s="134">
        <v>30.86</v>
      </c>
      <c r="I95" s="134">
        <v>9</v>
      </c>
      <c r="J95" s="134">
        <v>0.23</v>
      </c>
      <c r="K95" s="134">
        <v>154.36000000000001</v>
      </c>
      <c r="L95" s="134">
        <v>31.37</v>
      </c>
      <c r="M95" s="134">
        <v>27.93</v>
      </c>
      <c r="N95" s="134">
        <v>0</v>
      </c>
      <c r="O95" s="134">
        <v>0</v>
      </c>
      <c r="P95" s="134">
        <v>0.91</v>
      </c>
      <c r="Q95" s="134">
        <v>6.06</v>
      </c>
    </row>
    <row r="96" spans="1:17" customFormat="1">
      <c r="A96" s="112" t="s">
        <v>325</v>
      </c>
      <c r="B96" s="134">
        <v>32.26</v>
      </c>
      <c r="C96" s="134">
        <v>68.48</v>
      </c>
      <c r="D96" s="134">
        <v>60.6</v>
      </c>
      <c r="E96" s="134">
        <v>17.309999999999999</v>
      </c>
      <c r="F96" s="134">
        <v>4.2300000000000004</v>
      </c>
      <c r="G96" s="134">
        <v>109.07</v>
      </c>
      <c r="H96" s="134">
        <v>30.86</v>
      </c>
      <c r="I96" s="134">
        <v>8.9700000000000006</v>
      </c>
      <c r="J96" s="134">
        <v>0.21</v>
      </c>
      <c r="K96" s="134">
        <v>153.80000000000001</v>
      </c>
      <c r="L96" s="134">
        <v>31.52</v>
      </c>
      <c r="M96" s="134">
        <v>25.79</v>
      </c>
      <c r="N96" s="134">
        <v>0</v>
      </c>
      <c r="O96" s="134">
        <v>0</v>
      </c>
      <c r="P96" s="134">
        <v>0.94</v>
      </c>
      <c r="Q96" s="134">
        <v>6.1</v>
      </c>
    </row>
    <row r="97" spans="1:22" customFormat="1">
      <c r="A97" s="112" t="s">
        <v>326</v>
      </c>
      <c r="B97" s="134">
        <v>27</v>
      </c>
      <c r="C97" s="134">
        <v>67.06</v>
      </c>
      <c r="D97" s="134">
        <v>55.65</v>
      </c>
      <c r="E97" s="134">
        <v>13.29</v>
      </c>
      <c r="F97" s="134">
        <v>3.86</v>
      </c>
      <c r="G97" s="134">
        <v>109.07</v>
      </c>
      <c r="H97" s="134">
        <v>30.86</v>
      </c>
      <c r="I97" s="134">
        <v>9.1199999999999992</v>
      </c>
      <c r="J97" s="134">
        <v>0.25</v>
      </c>
      <c r="K97" s="134">
        <v>176.41</v>
      </c>
      <c r="L97" s="134">
        <v>30.87</v>
      </c>
      <c r="M97" s="134">
        <v>28.74</v>
      </c>
      <c r="N97" s="134">
        <v>0</v>
      </c>
      <c r="O97" s="134">
        <v>0</v>
      </c>
      <c r="P97" s="134">
        <v>0.9</v>
      </c>
      <c r="Q97" s="134">
        <v>6.2</v>
      </c>
    </row>
    <row r="98" spans="1:22" customFormat="1">
      <c r="A98" s="112" t="s">
        <v>327</v>
      </c>
      <c r="B98" s="134">
        <v>24.93</v>
      </c>
      <c r="C98" s="134">
        <v>66.459999999999994</v>
      </c>
      <c r="D98" s="134">
        <v>53.67</v>
      </c>
      <c r="E98" s="134">
        <v>13.23</v>
      </c>
      <c r="F98" s="134">
        <v>4.01</v>
      </c>
      <c r="G98" s="134">
        <v>115.51</v>
      </c>
      <c r="H98" s="134">
        <v>32.28</v>
      </c>
      <c r="I98" s="134">
        <v>9.09</v>
      </c>
      <c r="J98" s="134">
        <v>0.19</v>
      </c>
      <c r="K98" s="134">
        <v>169.46</v>
      </c>
      <c r="L98" s="134">
        <v>30.25</v>
      </c>
      <c r="M98" s="134">
        <v>29.18</v>
      </c>
      <c r="N98" s="134">
        <v>0</v>
      </c>
      <c r="O98" s="134">
        <v>0</v>
      </c>
      <c r="P98" s="134">
        <v>0.92</v>
      </c>
      <c r="Q98" s="134">
        <v>6.22</v>
      </c>
    </row>
    <row r="99" spans="1:22" customFormat="1">
      <c r="A99" s="112" t="s">
        <v>328</v>
      </c>
      <c r="B99" s="134">
        <v>34.54</v>
      </c>
      <c r="C99" s="134">
        <v>66.010000000000005</v>
      </c>
      <c r="D99" s="134">
        <v>61.14</v>
      </c>
      <c r="E99" s="134">
        <v>12.01</v>
      </c>
      <c r="F99" s="134">
        <v>3.87</v>
      </c>
      <c r="G99" s="134">
        <v>124.73</v>
      </c>
      <c r="H99" s="134">
        <v>33.51</v>
      </c>
      <c r="I99" s="134">
        <v>8.91</v>
      </c>
      <c r="J99" s="134">
        <v>0.19</v>
      </c>
      <c r="K99" s="134">
        <v>180.09</v>
      </c>
      <c r="L99" s="134">
        <v>30.12</v>
      </c>
      <c r="M99" s="134">
        <v>30.62</v>
      </c>
      <c r="N99" s="134">
        <v>0</v>
      </c>
      <c r="O99" s="134">
        <v>0</v>
      </c>
      <c r="P99" s="134">
        <v>0.95</v>
      </c>
      <c r="Q99" s="134">
        <v>6.23</v>
      </c>
    </row>
    <row r="100" spans="1:22" customFormat="1">
      <c r="A100" s="112" t="s">
        <v>329</v>
      </c>
      <c r="B100" s="134">
        <v>32</v>
      </c>
      <c r="C100" s="134">
        <v>64.430000000000007</v>
      </c>
      <c r="D100" s="134">
        <v>58.28</v>
      </c>
      <c r="E100" s="134">
        <v>11.18</v>
      </c>
      <c r="F100" s="134">
        <v>4.16</v>
      </c>
      <c r="G100" s="134">
        <v>124.73</v>
      </c>
      <c r="H100" s="134">
        <v>33.51</v>
      </c>
      <c r="I100" s="134">
        <v>8.94</v>
      </c>
      <c r="J100" s="134">
        <v>0.2</v>
      </c>
      <c r="K100" s="134">
        <v>188.01</v>
      </c>
      <c r="L100" s="134">
        <v>29.77</v>
      </c>
      <c r="M100" s="134">
        <v>33.54</v>
      </c>
      <c r="N100" s="134">
        <v>0</v>
      </c>
      <c r="O100" s="134">
        <v>0</v>
      </c>
      <c r="P100" s="134">
        <v>0.94</v>
      </c>
      <c r="Q100" s="134">
        <v>6.28</v>
      </c>
    </row>
    <row r="101" spans="1:22" customFormat="1">
      <c r="A101" s="112" t="s">
        <v>330</v>
      </c>
      <c r="B101" s="134">
        <v>38.82</v>
      </c>
      <c r="C101" s="134">
        <v>65.41</v>
      </c>
      <c r="D101" s="134">
        <v>64.27</v>
      </c>
      <c r="E101" s="134">
        <v>12.04</v>
      </c>
      <c r="F101" s="134">
        <v>3.92</v>
      </c>
      <c r="G101" s="134">
        <v>124.73</v>
      </c>
      <c r="H101" s="134">
        <v>33.51</v>
      </c>
      <c r="I101" s="134">
        <v>8.9700000000000006</v>
      </c>
      <c r="J101" s="134">
        <v>0.25</v>
      </c>
      <c r="K101" s="134">
        <v>139.02000000000001</v>
      </c>
      <c r="L101" s="134">
        <v>29.72</v>
      </c>
      <c r="M101" s="134">
        <v>33.4</v>
      </c>
      <c r="N101" s="134">
        <v>0</v>
      </c>
      <c r="O101" s="134">
        <v>0</v>
      </c>
      <c r="P101" s="134">
        <v>0.98</v>
      </c>
      <c r="Q101" s="134">
        <v>6.33</v>
      </c>
    </row>
    <row r="102" spans="1:22" customFormat="1">
      <c r="A102" s="112" t="s">
        <v>331</v>
      </c>
      <c r="B102" s="134">
        <v>44.93</v>
      </c>
      <c r="C102" s="134">
        <v>66.989999999999995</v>
      </c>
      <c r="D102" s="134">
        <v>69.989999999999995</v>
      </c>
      <c r="E102" s="134">
        <v>20.04</v>
      </c>
      <c r="F102" s="134">
        <v>4.08</v>
      </c>
      <c r="G102" s="134">
        <v>127.77</v>
      </c>
      <c r="H102" s="134">
        <v>34.799999999999997</v>
      </c>
      <c r="I102" s="134">
        <v>9.08</v>
      </c>
      <c r="J102" s="134">
        <v>0.18</v>
      </c>
      <c r="K102" s="134">
        <v>124.1</v>
      </c>
      <c r="L102" s="134">
        <v>30.28</v>
      </c>
      <c r="M102" s="134">
        <v>30.79</v>
      </c>
      <c r="N102" s="134">
        <v>0</v>
      </c>
      <c r="O102" s="134">
        <v>0</v>
      </c>
      <c r="P102" s="134">
        <v>1.04</v>
      </c>
      <c r="Q102" s="134">
        <v>6.4</v>
      </c>
    </row>
    <row r="103" spans="1:22" customFormat="1">
      <c r="A103" s="112" t="s">
        <v>332</v>
      </c>
      <c r="B103" s="134">
        <v>39.89</v>
      </c>
      <c r="C103" s="134">
        <v>64.69</v>
      </c>
      <c r="D103" s="134">
        <v>64.739999999999995</v>
      </c>
      <c r="E103" s="134">
        <v>15.62</v>
      </c>
      <c r="F103" s="134">
        <v>4.01</v>
      </c>
      <c r="G103" s="134">
        <v>132.13</v>
      </c>
      <c r="H103" s="134">
        <v>35.92</v>
      </c>
      <c r="I103" s="134">
        <v>9.18</v>
      </c>
      <c r="J103" s="134">
        <v>0.28999999999999998</v>
      </c>
      <c r="K103" s="134">
        <v>214.76</v>
      </c>
      <c r="L103" s="134">
        <v>30.01</v>
      </c>
      <c r="M103" s="134">
        <v>32.39</v>
      </c>
      <c r="N103" s="134">
        <v>0</v>
      </c>
      <c r="O103" s="134">
        <v>0</v>
      </c>
      <c r="P103" s="134">
        <v>1.02</v>
      </c>
      <c r="Q103" s="134">
        <v>6.49</v>
      </c>
    </row>
    <row r="104" spans="1:22" customFormat="1">
      <c r="A104" s="112" t="s">
        <v>333</v>
      </c>
      <c r="B104" s="134">
        <v>33.82</v>
      </c>
      <c r="C104" s="134">
        <v>62.58</v>
      </c>
      <c r="D104" s="134">
        <v>58.77</v>
      </c>
      <c r="E104" s="134">
        <v>11.03</v>
      </c>
      <c r="F104" s="134">
        <v>3.82</v>
      </c>
      <c r="G104" s="134">
        <v>132.13</v>
      </c>
      <c r="H104" s="134">
        <v>35.92</v>
      </c>
      <c r="I104" s="134">
        <v>9.44</v>
      </c>
      <c r="J104" s="134">
        <v>0.14000000000000001</v>
      </c>
      <c r="K104" s="134">
        <v>237.9</v>
      </c>
      <c r="L104" s="134">
        <v>29.4</v>
      </c>
      <c r="M104" s="134">
        <v>35.58</v>
      </c>
      <c r="N104" s="134">
        <v>0</v>
      </c>
      <c r="O104" s="134">
        <v>0</v>
      </c>
      <c r="P104" s="134">
        <v>1.02</v>
      </c>
      <c r="Q104" s="134">
        <v>6.57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1.75</v>
      </c>
      <c r="C106" s="183">
        <f>MIN(C9:C104)</f>
        <v>45.33</v>
      </c>
      <c r="D106" s="183">
        <f t="shared" ref="D106:Q106" si="0">MIN(D9:D104)</f>
        <v>26.32</v>
      </c>
      <c r="E106" s="183">
        <f t="shared" si="0"/>
        <v>5.9</v>
      </c>
      <c r="F106" s="183">
        <f t="shared" si="0"/>
        <v>3.38</v>
      </c>
      <c r="G106" s="183">
        <f t="shared" si="0"/>
        <v>67.75</v>
      </c>
      <c r="H106" s="183">
        <f t="shared" si="0"/>
        <v>18.09</v>
      </c>
      <c r="I106" s="183">
        <f t="shared" si="0"/>
        <v>3.3</v>
      </c>
      <c r="J106" s="183">
        <f t="shared" si="0"/>
        <v>0.04</v>
      </c>
      <c r="K106" s="183">
        <f t="shared" si="0"/>
        <v>0.87</v>
      </c>
      <c r="L106" s="183">
        <f t="shared" si="0"/>
        <v>27.16</v>
      </c>
      <c r="M106" s="183">
        <f t="shared" si="0"/>
        <v>10.09</v>
      </c>
      <c r="N106" s="183">
        <f t="shared" si="0"/>
        <v>0</v>
      </c>
      <c r="O106" s="183">
        <f t="shared" si="0"/>
        <v>0</v>
      </c>
      <c r="P106" s="183">
        <f t="shared" si="0"/>
        <v>0.35</v>
      </c>
      <c r="Q106" s="183">
        <f t="shared" si="0"/>
        <v>5.05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47.95</v>
      </c>
      <c r="C107" s="184">
        <f t="shared" ref="C107:Q107" si="1">MAX(C9:C104)</f>
        <v>74.319999999999993</v>
      </c>
      <c r="D107" s="184">
        <f t="shared" si="1"/>
        <v>72.67</v>
      </c>
      <c r="E107" s="184">
        <f t="shared" si="1"/>
        <v>35.07</v>
      </c>
      <c r="F107" s="184">
        <f t="shared" si="1"/>
        <v>51.75</v>
      </c>
      <c r="G107" s="184">
        <f t="shared" si="1"/>
        <v>132.13</v>
      </c>
      <c r="H107" s="184">
        <f t="shared" si="1"/>
        <v>37.78</v>
      </c>
      <c r="I107" s="184">
        <f t="shared" si="1"/>
        <v>9.49</v>
      </c>
      <c r="J107" s="184">
        <f t="shared" si="1"/>
        <v>1.47</v>
      </c>
      <c r="K107" s="184">
        <f t="shared" si="1"/>
        <v>347.09</v>
      </c>
      <c r="L107" s="184">
        <f t="shared" si="1"/>
        <v>42.44</v>
      </c>
      <c r="M107" s="184">
        <f t="shared" si="1"/>
        <v>51.6</v>
      </c>
      <c r="N107" s="184">
        <f t="shared" si="1"/>
        <v>782.6</v>
      </c>
      <c r="O107" s="184">
        <f t="shared" si="1"/>
        <v>0</v>
      </c>
      <c r="P107" s="184">
        <f t="shared" si="1"/>
        <v>1.04</v>
      </c>
      <c r="Q107" s="184">
        <f t="shared" si="1"/>
        <v>7.04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23.6840625</v>
      </c>
      <c r="C108" s="183">
        <f t="shared" ref="C108:Q108" si="2">AVERAGE(C9:C104)</f>
        <v>60.581041666666636</v>
      </c>
      <c r="D108" s="183">
        <f t="shared" si="2"/>
        <v>49.613125000000018</v>
      </c>
      <c r="E108" s="183">
        <f t="shared" si="2"/>
        <v>12.975729166666667</v>
      </c>
      <c r="F108" s="183">
        <f t="shared" si="2"/>
        <v>16.13604166666666</v>
      </c>
      <c r="G108" s="183">
        <f t="shared" si="2"/>
        <v>95.376874999999941</v>
      </c>
      <c r="H108" s="183">
        <f t="shared" si="2"/>
        <v>29.211041666666691</v>
      </c>
      <c r="I108" s="183">
        <f t="shared" si="2"/>
        <v>7.0731250000000019</v>
      </c>
      <c r="J108" s="183">
        <f t="shared" si="2"/>
        <v>0.49927083333333316</v>
      </c>
      <c r="K108" s="183">
        <f t="shared" si="2"/>
        <v>124.95114583333337</v>
      </c>
      <c r="L108" s="183">
        <f t="shared" si="2"/>
        <v>34.956041666666657</v>
      </c>
      <c r="M108" s="183">
        <f t="shared" si="2"/>
        <v>26.625208333333308</v>
      </c>
      <c r="N108" s="183">
        <f t="shared" si="2"/>
        <v>165.55104166666661</v>
      </c>
      <c r="O108" s="183">
        <f t="shared" si="2"/>
        <v>0</v>
      </c>
      <c r="P108" s="183">
        <f t="shared" si="2"/>
        <v>0.75614583333333341</v>
      </c>
      <c r="Q108" s="183">
        <f t="shared" si="2"/>
        <v>5.987395833333335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14.543535556399728</v>
      </c>
      <c r="C109" s="183">
        <f t="shared" ref="C109:Q109" si="3">STDEV(C9:C104)</f>
        <v>6.3681220034543964</v>
      </c>
      <c r="D109" s="183">
        <f t="shared" si="3"/>
        <v>13.397530040429393</v>
      </c>
      <c r="E109" s="183">
        <f t="shared" si="3"/>
        <v>5.5391684241536003</v>
      </c>
      <c r="F109" s="183">
        <f t="shared" si="3"/>
        <v>12.449159724691356</v>
      </c>
      <c r="G109" s="183">
        <f t="shared" si="3"/>
        <v>16.401571382516941</v>
      </c>
      <c r="H109" s="183">
        <f t="shared" si="3"/>
        <v>5.5969797267277936</v>
      </c>
      <c r="I109" s="183">
        <f t="shared" si="3"/>
        <v>1.7550272527498509</v>
      </c>
      <c r="J109" s="183">
        <f t="shared" si="3"/>
        <v>0.42780281929059599</v>
      </c>
      <c r="K109" s="183">
        <f t="shared" si="3"/>
        <v>99.522358290616665</v>
      </c>
      <c r="L109" s="183">
        <f t="shared" si="3"/>
        <v>5.1001385903082612</v>
      </c>
      <c r="M109" s="183">
        <f t="shared" si="3"/>
        <v>13.573884909453483</v>
      </c>
      <c r="N109" s="183">
        <f t="shared" si="3"/>
        <v>250.89011643589964</v>
      </c>
      <c r="O109" s="183">
        <f t="shared" si="3"/>
        <v>0</v>
      </c>
      <c r="P109" s="183">
        <f t="shared" si="3"/>
        <v>0.17839264671927807</v>
      </c>
      <c r="Q109" s="183">
        <f t="shared" si="3"/>
        <v>0.58563549790248826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02/06/2023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334</v>
      </c>
      <c r="B9" s="134">
        <v>45.89</v>
      </c>
      <c r="C9" s="134">
        <v>65.38</v>
      </c>
      <c r="D9" s="134">
        <v>69.91</v>
      </c>
      <c r="E9" s="134">
        <v>12.23</v>
      </c>
      <c r="F9" s="134">
        <v>3.73</v>
      </c>
      <c r="G9" s="134">
        <v>132.13</v>
      </c>
      <c r="H9" s="134">
        <v>35.92</v>
      </c>
      <c r="I9" s="134">
        <v>9.4600000000000009</v>
      </c>
      <c r="J9" s="134">
        <v>0.19</v>
      </c>
      <c r="K9" s="134">
        <v>147.25</v>
      </c>
      <c r="L9" s="134">
        <v>29.66</v>
      </c>
      <c r="M9" s="134">
        <v>35.22</v>
      </c>
      <c r="N9" s="134">
        <v>0</v>
      </c>
      <c r="O9" s="134">
        <v>0</v>
      </c>
      <c r="P9" s="134">
        <v>1.1000000000000001</v>
      </c>
      <c r="Q9" s="134">
        <v>6.64</v>
      </c>
    </row>
    <row r="10" spans="1:21" customFormat="1">
      <c r="A10" s="112" t="s">
        <v>335</v>
      </c>
      <c r="B10" s="134">
        <v>47.92</v>
      </c>
      <c r="C10" s="134">
        <v>65.13</v>
      </c>
      <c r="D10" s="134">
        <v>71.41</v>
      </c>
      <c r="E10" s="134">
        <v>19.73</v>
      </c>
      <c r="F10" s="134">
        <v>3.88</v>
      </c>
      <c r="G10" s="134">
        <v>131.66999999999999</v>
      </c>
      <c r="H10" s="134">
        <v>38.15</v>
      </c>
      <c r="I10" s="134">
        <v>9.61</v>
      </c>
      <c r="J10" s="134">
        <v>0.2</v>
      </c>
      <c r="K10" s="134">
        <v>212.43</v>
      </c>
      <c r="L10" s="134">
        <v>29.61</v>
      </c>
      <c r="M10" s="134">
        <v>35.18</v>
      </c>
      <c r="N10" s="134">
        <v>0</v>
      </c>
      <c r="O10" s="134">
        <v>0</v>
      </c>
      <c r="P10" s="134">
        <v>1.1100000000000001</v>
      </c>
      <c r="Q10" s="134">
        <v>6.74</v>
      </c>
    </row>
    <row r="11" spans="1:21" customFormat="1">
      <c r="A11" s="112" t="s">
        <v>336</v>
      </c>
      <c r="B11" s="134">
        <v>54.09</v>
      </c>
      <c r="C11" s="134">
        <v>67.02</v>
      </c>
      <c r="D11" s="134">
        <v>77.349999999999994</v>
      </c>
      <c r="E11" s="134">
        <v>22.85</v>
      </c>
      <c r="F11" s="134">
        <v>3.92</v>
      </c>
      <c r="G11" s="134">
        <v>131.02000000000001</v>
      </c>
      <c r="H11" s="134">
        <v>40.07</v>
      </c>
      <c r="I11" s="134">
        <v>10.36</v>
      </c>
      <c r="J11" s="134">
        <v>0.13</v>
      </c>
      <c r="K11" s="134">
        <v>122.47</v>
      </c>
      <c r="L11" s="134">
        <v>29.54</v>
      </c>
      <c r="M11" s="134">
        <v>34.479999999999997</v>
      </c>
      <c r="N11" s="134">
        <v>0</v>
      </c>
      <c r="O11" s="134">
        <v>0</v>
      </c>
      <c r="P11" s="134">
        <v>1.1499999999999999</v>
      </c>
      <c r="Q11" s="134">
        <v>6.81</v>
      </c>
    </row>
    <row r="12" spans="1:21" customFormat="1">
      <c r="A12" s="112" t="s">
        <v>337</v>
      </c>
      <c r="B12" s="134">
        <v>49.79</v>
      </c>
      <c r="C12" s="134">
        <v>65.72</v>
      </c>
      <c r="D12" s="134">
        <v>73.22</v>
      </c>
      <c r="E12" s="134">
        <v>23.65</v>
      </c>
      <c r="F12" s="134">
        <v>3.99</v>
      </c>
      <c r="G12" s="134">
        <v>131.02000000000001</v>
      </c>
      <c r="H12" s="134">
        <v>40.07</v>
      </c>
      <c r="I12" s="134">
        <v>11.06</v>
      </c>
      <c r="J12" s="134">
        <v>0.19</v>
      </c>
      <c r="K12" s="134">
        <v>131.4</v>
      </c>
      <c r="L12" s="134">
        <v>29.84</v>
      </c>
      <c r="M12" s="134">
        <v>33.79</v>
      </c>
      <c r="N12" s="134">
        <v>0</v>
      </c>
      <c r="O12" s="134">
        <v>0</v>
      </c>
      <c r="P12" s="134">
        <v>1.1399999999999999</v>
      </c>
      <c r="Q12" s="134">
        <v>6.91</v>
      </c>
    </row>
    <row r="13" spans="1:21" customFormat="1">
      <c r="A13" s="112" t="s">
        <v>338</v>
      </c>
      <c r="B13" s="134">
        <v>53.54</v>
      </c>
      <c r="C13" s="134">
        <v>65.53</v>
      </c>
      <c r="D13" s="134">
        <v>76.13</v>
      </c>
      <c r="E13" s="134">
        <v>28.48</v>
      </c>
      <c r="F13" s="134">
        <v>3.89</v>
      </c>
      <c r="G13" s="134">
        <v>131.02000000000001</v>
      </c>
      <c r="H13" s="134">
        <v>40.07</v>
      </c>
      <c r="I13" s="134">
        <v>11.35</v>
      </c>
      <c r="J13" s="134">
        <v>0.15</v>
      </c>
      <c r="K13" s="134">
        <v>136.79</v>
      </c>
      <c r="L13" s="134">
        <v>29.97</v>
      </c>
      <c r="M13" s="134">
        <v>33.479999999999997</v>
      </c>
      <c r="N13" s="134">
        <v>0</v>
      </c>
      <c r="O13" s="134">
        <v>0</v>
      </c>
      <c r="P13" s="134">
        <v>1.18</v>
      </c>
      <c r="Q13" s="134">
        <v>7.03</v>
      </c>
    </row>
    <row r="14" spans="1:21" customFormat="1">
      <c r="A14" s="112" t="s">
        <v>339</v>
      </c>
      <c r="B14" s="134">
        <v>49.09</v>
      </c>
      <c r="C14" s="134">
        <v>64.83</v>
      </c>
      <c r="D14" s="134">
        <v>72.19</v>
      </c>
      <c r="E14" s="134">
        <v>18.239999999999998</v>
      </c>
      <c r="F14" s="134">
        <v>3.85</v>
      </c>
      <c r="G14" s="134">
        <v>138.22</v>
      </c>
      <c r="H14" s="134">
        <v>41.17</v>
      </c>
      <c r="I14" s="134">
        <v>11.56</v>
      </c>
      <c r="J14" s="134">
        <v>0.22</v>
      </c>
      <c r="K14" s="134">
        <v>193.74</v>
      </c>
      <c r="L14" s="134">
        <v>29.32</v>
      </c>
      <c r="M14" s="134">
        <v>35.42</v>
      </c>
      <c r="N14" s="134">
        <v>0</v>
      </c>
      <c r="O14" s="134">
        <v>0</v>
      </c>
      <c r="P14" s="134">
        <v>1.1299999999999999</v>
      </c>
      <c r="Q14" s="134">
        <v>7.11</v>
      </c>
    </row>
    <row r="15" spans="1:21" customFormat="1">
      <c r="A15" s="112" t="s">
        <v>340</v>
      </c>
      <c r="B15" s="134">
        <v>55.62</v>
      </c>
      <c r="C15" s="134">
        <v>64.33</v>
      </c>
      <c r="D15" s="134">
        <v>77.17</v>
      </c>
      <c r="E15" s="134">
        <v>18.18</v>
      </c>
      <c r="F15" s="134">
        <v>3.88</v>
      </c>
      <c r="G15" s="134">
        <v>149.04</v>
      </c>
      <c r="H15" s="134">
        <v>43.81</v>
      </c>
      <c r="I15" s="134">
        <v>11.63</v>
      </c>
      <c r="J15" s="134">
        <v>0.09</v>
      </c>
      <c r="K15" s="134">
        <v>159.87</v>
      </c>
      <c r="L15" s="134">
        <v>28.88</v>
      </c>
      <c r="M15" s="134">
        <v>36.36</v>
      </c>
      <c r="N15" s="134">
        <v>0</v>
      </c>
      <c r="O15" s="134">
        <v>0</v>
      </c>
      <c r="P15" s="134">
        <v>1.1499999999999999</v>
      </c>
      <c r="Q15" s="134">
        <v>7.18</v>
      </c>
    </row>
    <row r="16" spans="1:21" customFormat="1">
      <c r="A16" s="112" t="s">
        <v>341</v>
      </c>
      <c r="B16" s="134">
        <v>56.98</v>
      </c>
      <c r="C16" s="134">
        <v>65.739999999999995</v>
      </c>
      <c r="D16" s="134">
        <v>79</v>
      </c>
      <c r="E16" s="134">
        <v>13.02</v>
      </c>
      <c r="F16" s="134">
        <v>3.87</v>
      </c>
      <c r="G16" s="134">
        <v>149.04</v>
      </c>
      <c r="H16" s="134">
        <v>43.81</v>
      </c>
      <c r="I16" s="134">
        <v>11.62</v>
      </c>
      <c r="J16" s="134">
        <v>0.2</v>
      </c>
      <c r="K16" s="134">
        <v>156.43</v>
      </c>
      <c r="L16" s="134">
        <v>28.8</v>
      </c>
      <c r="M16" s="134">
        <v>37.74</v>
      </c>
      <c r="N16" s="134">
        <v>0</v>
      </c>
      <c r="O16" s="134">
        <v>0</v>
      </c>
      <c r="P16" s="134">
        <v>1.1399999999999999</v>
      </c>
      <c r="Q16" s="134">
        <v>7.25</v>
      </c>
    </row>
    <row r="17" spans="1:17" customFormat="1">
      <c r="A17" s="112" t="s">
        <v>342</v>
      </c>
      <c r="B17" s="134">
        <v>70.25</v>
      </c>
      <c r="C17" s="134">
        <v>64.92</v>
      </c>
      <c r="D17" s="134">
        <v>89.2</v>
      </c>
      <c r="E17" s="134">
        <v>11.46</v>
      </c>
      <c r="F17" s="134">
        <v>3.94</v>
      </c>
      <c r="G17" s="134">
        <v>149.04</v>
      </c>
      <c r="H17" s="134">
        <v>43.81</v>
      </c>
      <c r="I17" s="134">
        <v>11.64</v>
      </c>
      <c r="J17" s="134">
        <v>0.01</v>
      </c>
      <c r="K17" s="134">
        <v>212.11</v>
      </c>
      <c r="L17" s="134">
        <v>28.69</v>
      </c>
      <c r="M17" s="134">
        <v>35.950000000000003</v>
      </c>
      <c r="N17" s="134">
        <v>0</v>
      </c>
      <c r="O17" s="134">
        <v>0</v>
      </c>
      <c r="P17" s="134">
        <v>1.1299999999999999</v>
      </c>
      <c r="Q17" s="134">
        <v>7.33</v>
      </c>
    </row>
    <row r="18" spans="1:17" customFormat="1">
      <c r="A18" s="112" t="s">
        <v>343</v>
      </c>
      <c r="B18" s="134">
        <v>56.75</v>
      </c>
      <c r="C18" s="134">
        <v>60.96</v>
      </c>
      <c r="D18" s="134">
        <v>76.31</v>
      </c>
      <c r="E18" s="134">
        <v>27.48</v>
      </c>
      <c r="F18" s="134">
        <v>3.74</v>
      </c>
      <c r="G18" s="134">
        <v>149.62</v>
      </c>
      <c r="H18" s="134">
        <v>42.82</v>
      </c>
      <c r="I18" s="134">
        <v>11.66</v>
      </c>
      <c r="J18" s="134">
        <v>0.15</v>
      </c>
      <c r="K18" s="134">
        <v>48.79</v>
      </c>
      <c r="L18" s="134">
        <v>29.11</v>
      </c>
      <c r="M18" s="134">
        <v>31.39</v>
      </c>
      <c r="N18" s="134">
        <v>0</v>
      </c>
      <c r="O18" s="134">
        <v>0</v>
      </c>
      <c r="P18" s="134">
        <v>1.1100000000000001</v>
      </c>
      <c r="Q18" s="134">
        <v>7.48</v>
      </c>
    </row>
    <row r="19" spans="1:17" customFormat="1">
      <c r="A19" s="112" t="s">
        <v>344</v>
      </c>
      <c r="B19" s="134">
        <v>52.82</v>
      </c>
      <c r="C19" s="134">
        <v>60.95</v>
      </c>
      <c r="D19" s="134">
        <v>73.16</v>
      </c>
      <c r="E19" s="134">
        <v>22.93</v>
      </c>
      <c r="F19" s="134">
        <v>4.3899999999999997</v>
      </c>
      <c r="G19" s="134">
        <v>150.46</v>
      </c>
      <c r="H19" s="134">
        <v>41.98</v>
      </c>
      <c r="I19" s="134">
        <v>11.62</v>
      </c>
      <c r="J19" s="134">
        <v>0.28999999999999998</v>
      </c>
      <c r="K19" s="134">
        <v>69.400000000000006</v>
      </c>
      <c r="L19" s="134">
        <v>29.63</v>
      </c>
      <c r="M19" s="134">
        <v>28.08</v>
      </c>
      <c r="N19" s="134">
        <v>0</v>
      </c>
      <c r="O19" s="134">
        <v>0</v>
      </c>
      <c r="P19" s="134">
        <v>1.0900000000000001</v>
      </c>
      <c r="Q19" s="134">
        <v>7.51</v>
      </c>
    </row>
    <row r="20" spans="1:17" customFormat="1">
      <c r="A20" s="112" t="s">
        <v>345</v>
      </c>
      <c r="B20" s="134">
        <v>54.61</v>
      </c>
      <c r="C20" s="134">
        <v>63.03</v>
      </c>
      <c r="D20" s="134">
        <v>75.69</v>
      </c>
      <c r="E20" s="134">
        <v>26.09</v>
      </c>
      <c r="F20" s="134">
        <v>4.4800000000000004</v>
      </c>
      <c r="G20" s="134">
        <v>150.46</v>
      </c>
      <c r="H20" s="134">
        <v>41.98</v>
      </c>
      <c r="I20" s="134">
        <v>11.43</v>
      </c>
      <c r="J20" s="134">
        <v>0.14000000000000001</v>
      </c>
      <c r="K20" s="134">
        <v>81.58</v>
      </c>
      <c r="L20" s="134">
        <v>29.89</v>
      </c>
      <c r="M20" s="134">
        <v>26.75</v>
      </c>
      <c r="N20" s="134">
        <v>0</v>
      </c>
      <c r="O20" s="134">
        <v>0</v>
      </c>
      <c r="P20" s="134">
        <v>1.06</v>
      </c>
      <c r="Q20" s="134">
        <v>7.53</v>
      </c>
    </row>
    <row r="21" spans="1:17" customFormat="1">
      <c r="A21" s="112" t="s">
        <v>346</v>
      </c>
      <c r="B21" s="134">
        <v>51.45</v>
      </c>
      <c r="C21" s="134">
        <v>61.37</v>
      </c>
      <c r="D21" s="134">
        <v>72.28</v>
      </c>
      <c r="E21" s="134">
        <v>23.31</v>
      </c>
      <c r="F21" s="134">
        <v>4.34</v>
      </c>
      <c r="G21" s="134">
        <v>150.46</v>
      </c>
      <c r="H21" s="134">
        <v>41.98</v>
      </c>
      <c r="I21" s="134">
        <v>11.21</v>
      </c>
      <c r="J21" s="134">
        <v>0.2</v>
      </c>
      <c r="K21" s="134">
        <v>163.06</v>
      </c>
      <c r="L21" s="134">
        <v>29.35</v>
      </c>
      <c r="M21" s="134">
        <v>31.02</v>
      </c>
      <c r="N21" s="134">
        <v>0</v>
      </c>
      <c r="O21" s="134">
        <v>0</v>
      </c>
      <c r="P21" s="134">
        <v>1.04</v>
      </c>
      <c r="Q21" s="134">
        <v>7.54</v>
      </c>
    </row>
    <row r="22" spans="1:17" customFormat="1">
      <c r="A22" s="112" t="s">
        <v>347</v>
      </c>
      <c r="B22" s="134">
        <v>50.18</v>
      </c>
      <c r="C22" s="134">
        <v>62.72</v>
      </c>
      <c r="D22" s="134">
        <v>71.97</v>
      </c>
      <c r="E22" s="134">
        <v>12.82</v>
      </c>
      <c r="F22" s="134">
        <v>4.0199999999999996</v>
      </c>
      <c r="G22" s="134">
        <v>147.97999999999999</v>
      </c>
      <c r="H22" s="134">
        <v>42.4</v>
      </c>
      <c r="I22" s="134">
        <v>10.83</v>
      </c>
      <c r="J22" s="134">
        <v>0.24</v>
      </c>
      <c r="K22" s="134">
        <v>160.44</v>
      </c>
      <c r="L22" s="134">
        <v>28.38</v>
      </c>
      <c r="M22" s="134">
        <v>37.54</v>
      </c>
      <c r="N22" s="134">
        <v>0</v>
      </c>
      <c r="O22" s="134">
        <v>0</v>
      </c>
      <c r="P22" s="134">
        <v>1.07</v>
      </c>
      <c r="Q22" s="134">
        <v>7.55</v>
      </c>
    </row>
    <row r="23" spans="1:17" customFormat="1">
      <c r="A23" s="112" t="s">
        <v>348</v>
      </c>
      <c r="B23" s="134">
        <v>52.15</v>
      </c>
      <c r="C23" s="134">
        <v>60.84</v>
      </c>
      <c r="D23" s="134">
        <v>72.56</v>
      </c>
      <c r="E23" s="134">
        <v>12.67</v>
      </c>
      <c r="F23" s="134">
        <v>4.38</v>
      </c>
      <c r="G23" s="134">
        <v>144.41999999999999</v>
      </c>
      <c r="H23" s="134">
        <v>42.76</v>
      </c>
      <c r="I23" s="134">
        <v>10.81</v>
      </c>
      <c r="J23" s="134">
        <v>0.19</v>
      </c>
      <c r="K23" s="134">
        <v>93.41</v>
      </c>
      <c r="L23" s="134">
        <v>28.41</v>
      </c>
      <c r="M23" s="134">
        <v>34.68</v>
      </c>
      <c r="N23" s="134">
        <v>0</v>
      </c>
      <c r="O23" s="134">
        <v>0</v>
      </c>
      <c r="P23" s="134">
        <v>1.05</v>
      </c>
      <c r="Q23" s="134">
        <v>7.49</v>
      </c>
    </row>
    <row r="24" spans="1:17" customFormat="1">
      <c r="A24" s="112" t="s">
        <v>349</v>
      </c>
      <c r="B24" s="134">
        <v>54.26</v>
      </c>
      <c r="C24" s="134">
        <v>61.83</v>
      </c>
      <c r="D24" s="134">
        <v>74.77</v>
      </c>
      <c r="E24" s="134">
        <v>14.37</v>
      </c>
      <c r="F24" s="134">
        <v>4.3</v>
      </c>
      <c r="G24" s="134">
        <v>144.41999999999999</v>
      </c>
      <c r="H24" s="134">
        <v>42.76</v>
      </c>
      <c r="I24" s="134">
        <v>11.04</v>
      </c>
      <c r="J24" s="134">
        <v>0.37</v>
      </c>
      <c r="K24" s="134">
        <v>65.53</v>
      </c>
      <c r="L24" s="134">
        <v>29.06</v>
      </c>
      <c r="M24" s="134">
        <v>28.71</v>
      </c>
      <c r="N24" s="134">
        <v>0</v>
      </c>
      <c r="O24" s="134">
        <v>0</v>
      </c>
      <c r="P24" s="134">
        <v>1.01</v>
      </c>
      <c r="Q24" s="134">
        <v>7.48</v>
      </c>
    </row>
    <row r="25" spans="1:17" customFormat="1">
      <c r="A25" s="112" t="s">
        <v>350</v>
      </c>
      <c r="B25" s="134">
        <v>54.36</v>
      </c>
      <c r="C25" s="134">
        <v>62.27</v>
      </c>
      <c r="D25" s="134">
        <v>75.08</v>
      </c>
      <c r="E25" s="134">
        <v>18.690000000000001</v>
      </c>
      <c r="F25" s="134">
        <v>4.46</v>
      </c>
      <c r="G25" s="134">
        <v>144.41999999999999</v>
      </c>
      <c r="H25" s="134">
        <v>42.76</v>
      </c>
      <c r="I25" s="134">
        <v>10.98</v>
      </c>
      <c r="J25" s="134">
        <v>0.36</v>
      </c>
      <c r="K25" s="134">
        <v>51.78</v>
      </c>
      <c r="L25" s="134">
        <v>29.31</v>
      </c>
      <c r="M25" s="134">
        <v>27.92</v>
      </c>
      <c r="N25" s="134">
        <v>0</v>
      </c>
      <c r="O25" s="134">
        <v>0</v>
      </c>
      <c r="P25" s="134">
        <v>1.05</v>
      </c>
      <c r="Q25" s="134">
        <v>7.47</v>
      </c>
    </row>
    <row r="26" spans="1:17" customFormat="1">
      <c r="A26" s="112" t="s">
        <v>351</v>
      </c>
      <c r="B26" s="134">
        <v>51.97</v>
      </c>
      <c r="C26" s="134">
        <v>61.92</v>
      </c>
      <c r="D26" s="134">
        <v>72.98</v>
      </c>
      <c r="E26" s="134">
        <v>20.68</v>
      </c>
      <c r="F26" s="134">
        <v>4.45</v>
      </c>
      <c r="G26" s="134">
        <v>141.69</v>
      </c>
      <c r="H26" s="134">
        <v>46.7</v>
      </c>
      <c r="I26" s="134">
        <v>10.84</v>
      </c>
      <c r="J26" s="134">
        <v>0.44</v>
      </c>
      <c r="K26" s="134">
        <v>66.27</v>
      </c>
      <c r="L26" s="134">
        <v>28.83</v>
      </c>
      <c r="M26" s="134">
        <v>29.29</v>
      </c>
      <c r="N26" s="134">
        <v>0</v>
      </c>
      <c r="O26" s="134">
        <v>0</v>
      </c>
      <c r="P26" s="134">
        <v>1.05</v>
      </c>
      <c r="Q26" s="134">
        <v>7.51</v>
      </c>
    </row>
    <row r="27" spans="1:17" customFormat="1">
      <c r="A27" s="112" t="s">
        <v>352</v>
      </c>
      <c r="B27" s="134">
        <v>54.25</v>
      </c>
      <c r="C27" s="134">
        <v>63.09</v>
      </c>
      <c r="D27" s="134">
        <v>75.42</v>
      </c>
      <c r="E27" s="134">
        <v>16.64</v>
      </c>
      <c r="F27" s="134">
        <v>4.32</v>
      </c>
      <c r="G27" s="134">
        <v>137.79</v>
      </c>
      <c r="H27" s="134">
        <v>50.1</v>
      </c>
      <c r="I27" s="134">
        <v>10.77</v>
      </c>
      <c r="J27" s="134">
        <v>0.6</v>
      </c>
      <c r="K27" s="134">
        <v>65.790000000000006</v>
      </c>
      <c r="L27" s="134">
        <v>28.76</v>
      </c>
      <c r="M27" s="134">
        <v>29.27</v>
      </c>
      <c r="N27" s="134">
        <v>0</v>
      </c>
      <c r="O27" s="134">
        <v>0</v>
      </c>
      <c r="P27" s="134">
        <v>1.05</v>
      </c>
      <c r="Q27" s="134">
        <v>7.49</v>
      </c>
    </row>
    <row r="28" spans="1:17" customFormat="1">
      <c r="A28" s="112" t="s">
        <v>353</v>
      </c>
      <c r="B28" s="134">
        <v>57.14</v>
      </c>
      <c r="C28" s="134">
        <v>64.569999999999993</v>
      </c>
      <c r="D28" s="134">
        <v>78.510000000000005</v>
      </c>
      <c r="E28" s="134">
        <v>9.57</v>
      </c>
      <c r="F28" s="134">
        <v>3.98</v>
      </c>
      <c r="G28" s="134">
        <v>137.79</v>
      </c>
      <c r="H28" s="134">
        <v>50.1</v>
      </c>
      <c r="I28" s="134">
        <v>10.77</v>
      </c>
      <c r="J28" s="134">
        <v>0.41</v>
      </c>
      <c r="K28" s="134">
        <v>69.67</v>
      </c>
      <c r="L28" s="134">
        <v>28.8</v>
      </c>
      <c r="M28" s="134">
        <v>28.76</v>
      </c>
      <c r="N28" s="134">
        <v>0</v>
      </c>
      <c r="O28" s="134">
        <v>0</v>
      </c>
      <c r="P28" s="134">
        <v>1.07</v>
      </c>
      <c r="Q28" s="134">
        <v>7.45</v>
      </c>
    </row>
    <row r="29" spans="1:17" customFormat="1">
      <c r="A29" s="112" t="s">
        <v>354</v>
      </c>
      <c r="B29" s="134">
        <v>58.71</v>
      </c>
      <c r="C29" s="134">
        <v>64.63</v>
      </c>
      <c r="D29" s="134">
        <v>79.8</v>
      </c>
      <c r="E29" s="134">
        <v>7.88</v>
      </c>
      <c r="F29" s="134">
        <v>3.76</v>
      </c>
      <c r="G29" s="134">
        <v>137.79</v>
      </c>
      <c r="H29" s="134">
        <v>50.1</v>
      </c>
      <c r="I29" s="134">
        <v>10.75</v>
      </c>
      <c r="J29" s="134">
        <v>0.21</v>
      </c>
      <c r="K29" s="134">
        <v>206.11</v>
      </c>
      <c r="L29" s="134">
        <v>28.16</v>
      </c>
      <c r="M29" s="134">
        <v>32.72</v>
      </c>
      <c r="N29" s="134">
        <v>0</v>
      </c>
      <c r="O29" s="134">
        <v>0</v>
      </c>
      <c r="P29" s="134">
        <v>1.07</v>
      </c>
      <c r="Q29" s="134">
        <v>7.47</v>
      </c>
    </row>
    <row r="30" spans="1:17" customFormat="1">
      <c r="A30" s="112" t="s">
        <v>355</v>
      </c>
      <c r="B30" s="134">
        <v>55.94</v>
      </c>
      <c r="C30" s="134">
        <v>63.07</v>
      </c>
      <c r="D30" s="134">
        <v>76.77</v>
      </c>
      <c r="E30" s="134">
        <v>6.63</v>
      </c>
      <c r="F30" s="134">
        <v>3.89</v>
      </c>
      <c r="G30" s="134">
        <v>137.34</v>
      </c>
      <c r="H30" s="134">
        <v>64.64</v>
      </c>
      <c r="I30" s="134">
        <v>10.63</v>
      </c>
      <c r="J30" s="134">
        <v>0.21</v>
      </c>
      <c r="K30" s="134">
        <v>197.39</v>
      </c>
      <c r="L30" s="134">
        <v>26.8</v>
      </c>
      <c r="M30" s="134">
        <v>40.39</v>
      </c>
      <c r="N30" s="134">
        <v>0.9</v>
      </c>
      <c r="O30" s="134">
        <v>0</v>
      </c>
      <c r="P30" s="134">
        <v>1.06</v>
      </c>
      <c r="Q30" s="134">
        <v>7.47</v>
      </c>
    </row>
    <row r="31" spans="1:17" customFormat="1">
      <c r="A31" s="112" t="s">
        <v>356</v>
      </c>
      <c r="B31" s="134">
        <v>54.07</v>
      </c>
      <c r="C31" s="134">
        <v>63.6</v>
      </c>
      <c r="D31" s="134">
        <v>75.540000000000006</v>
      </c>
      <c r="E31" s="134">
        <v>6.97</v>
      </c>
      <c r="F31" s="134">
        <v>4.05</v>
      </c>
      <c r="G31" s="134">
        <v>136.69999999999999</v>
      </c>
      <c r="H31" s="134">
        <v>77.510000000000005</v>
      </c>
      <c r="I31" s="134">
        <v>10.54</v>
      </c>
      <c r="J31" s="134">
        <v>0.13</v>
      </c>
      <c r="K31" s="134">
        <v>238.09</v>
      </c>
      <c r="L31" s="134">
        <v>26.55</v>
      </c>
      <c r="M31" s="134">
        <v>39.83</v>
      </c>
      <c r="N31" s="134">
        <v>9.8000000000000007</v>
      </c>
      <c r="O31" s="134">
        <v>0</v>
      </c>
      <c r="P31" s="134">
        <v>1.05</v>
      </c>
      <c r="Q31" s="134">
        <v>7.44</v>
      </c>
    </row>
    <row r="32" spans="1:17" customFormat="1">
      <c r="A32" s="112" t="s">
        <v>357</v>
      </c>
      <c r="B32" s="134">
        <v>55.13</v>
      </c>
      <c r="C32" s="134">
        <v>63.35</v>
      </c>
      <c r="D32" s="134">
        <v>76.260000000000005</v>
      </c>
      <c r="E32" s="134">
        <v>6.67</v>
      </c>
      <c r="F32" s="134">
        <v>4.04</v>
      </c>
      <c r="G32" s="134">
        <v>136.69999999999999</v>
      </c>
      <c r="H32" s="134">
        <v>77.510000000000005</v>
      </c>
      <c r="I32" s="134">
        <v>10.6</v>
      </c>
      <c r="J32" s="134">
        <v>0.2</v>
      </c>
      <c r="K32" s="134">
        <v>145.96</v>
      </c>
      <c r="L32" s="134">
        <v>26.95</v>
      </c>
      <c r="M32" s="134">
        <v>41.95</v>
      </c>
      <c r="N32" s="134">
        <v>21.7</v>
      </c>
      <c r="O32" s="134">
        <v>0</v>
      </c>
      <c r="P32" s="134">
        <v>1.05</v>
      </c>
      <c r="Q32" s="134">
        <v>7.38</v>
      </c>
    </row>
    <row r="33" spans="1:17" customFormat="1">
      <c r="A33" s="112" t="s">
        <v>358</v>
      </c>
      <c r="B33" s="134">
        <v>53.38</v>
      </c>
      <c r="C33" s="134">
        <v>62.1</v>
      </c>
      <c r="D33" s="134">
        <v>74.209999999999994</v>
      </c>
      <c r="E33" s="134">
        <v>6.61</v>
      </c>
      <c r="F33" s="134">
        <v>3.99</v>
      </c>
      <c r="G33" s="134">
        <v>136.69999999999999</v>
      </c>
      <c r="H33" s="134">
        <v>77.510000000000005</v>
      </c>
      <c r="I33" s="134">
        <v>10.54</v>
      </c>
      <c r="J33" s="134">
        <v>0.2</v>
      </c>
      <c r="K33" s="134">
        <v>181.65</v>
      </c>
      <c r="L33" s="134">
        <v>27.2</v>
      </c>
      <c r="M33" s="134">
        <v>41.83</v>
      </c>
      <c r="N33" s="134">
        <v>33.5</v>
      </c>
      <c r="O33" s="134">
        <v>0</v>
      </c>
      <c r="P33" s="134">
        <v>1.04</v>
      </c>
      <c r="Q33" s="134">
        <v>7.35</v>
      </c>
    </row>
    <row r="34" spans="1:17" customFormat="1">
      <c r="A34" s="112" t="s">
        <v>359</v>
      </c>
      <c r="B34" s="134">
        <v>50.64</v>
      </c>
      <c r="C34" s="134">
        <v>60.95</v>
      </c>
      <c r="D34" s="134">
        <v>71.400000000000006</v>
      </c>
      <c r="E34" s="134">
        <v>7.26</v>
      </c>
      <c r="F34" s="134">
        <v>4.0999999999999996</v>
      </c>
      <c r="G34" s="134">
        <v>133.34</v>
      </c>
      <c r="H34" s="134">
        <v>82.02</v>
      </c>
      <c r="I34" s="134">
        <v>10.49</v>
      </c>
      <c r="J34" s="134">
        <v>0.21</v>
      </c>
      <c r="K34" s="134">
        <v>192.23</v>
      </c>
      <c r="L34" s="134">
        <v>27.79</v>
      </c>
      <c r="M34" s="134">
        <v>42.41</v>
      </c>
      <c r="N34" s="134">
        <v>44.2</v>
      </c>
      <c r="O34" s="134">
        <v>0</v>
      </c>
      <c r="P34" s="134">
        <v>1.04</v>
      </c>
      <c r="Q34" s="134">
        <v>7.31</v>
      </c>
    </row>
    <row r="35" spans="1:17" customFormat="1">
      <c r="A35" s="112" t="s">
        <v>360</v>
      </c>
      <c r="B35" s="134">
        <v>51.69</v>
      </c>
      <c r="C35" s="134">
        <v>60.97</v>
      </c>
      <c r="D35" s="134">
        <v>72.260000000000005</v>
      </c>
      <c r="E35" s="134">
        <v>8.7200000000000006</v>
      </c>
      <c r="F35" s="134">
        <v>4.47</v>
      </c>
      <c r="G35" s="134">
        <v>128.29</v>
      </c>
      <c r="H35" s="134">
        <v>85.9</v>
      </c>
      <c r="I35" s="134">
        <v>10.47</v>
      </c>
      <c r="J35" s="134">
        <v>0.1</v>
      </c>
      <c r="K35" s="134">
        <v>246.54</v>
      </c>
      <c r="L35" s="134">
        <v>28.68</v>
      </c>
      <c r="M35" s="134">
        <v>38.42</v>
      </c>
      <c r="N35" s="134">
        <v>53.8</v>
      </c>
      <c r="O35" s="134">
        <v>0</v>
      </c>
      <c r="P35" s="134">
        <v>1.03</v>
      </c>
      <c r="Q35" s="134">
        <v>7.28</v>
      </c>
    </row>
    <row r="36" spans="1:17" customFormat="1">
      <c r="A36" s="112" t="s">
        <v>361</v>
      </c>
      <c r="B36" s="134">
        <v>51.9</v>
      </c>
      <c r="C36" s="134">
        <v>61.87</v>
      </c>
      <c r="D36" s="134">
        <v>72.900000000000006</v>
      </c>
      <c r="E36" s="134">
        <v>11.76</v>
      </c>
      <c r="F36" s="134">
        <v>4.8899999999999997</v>
      </c>
      <c r="G36" s="134">
        <v>128.29</v>
      </c>
      <c r="H36" s="134">
        <v>85.9</v>
      </c>
      <c r="I36" s="134">
        <v>10.43</v>
      </c>
      <c r="J36" s="134">
        <v>0.19</v>
      </c>
      <c r="K36" s="134">
        <v>320.07</v>
      </c>
      <c r="L36" s="134">
        <v>30.51</v>
      </c>
      <c r="M36" s="134">
        <v>34.1</v>
      </c>
      <c r="N36" s="134">
        <v>61.6</v>
      </c>
      <c r="O36" s="134">
        <v>0</v>
      </c>
      <c r="P36" s="134">
        <v>1.04</v>
      </c>
      <c r="Q36" s="134">
        <v>7.28</v>
      </c>
    </row>
    <row r="37" spans="1:17" customFormat="1">
      <c r="A37" s="112" t="s">
        <v>362</v>
      </c>
      <c r="B37" s="134">
        <v>49.44</v>
      </c>
      <c r="C37" s="134">
        <v>61.33</v>
      </c>
      <c r="D37" s="134">
        <v>70.650000000000006</v>
      </c>
      <c r="E37" s="134">
        <v>12.96</v>
      </c>
      <c r="F37" s="134">
        <v>7.18</v>
      </c>
      <c r="G37" s="134">
        <v>128.29</v>
      </c>
      <c r="H37" s="134">
        <v>85.9</v>
      </c>
      <c r="I37" s="134">
        <v>10.33</v>
      </c>
      <c r="J37" s="134">
        <v>0.39</v>
      </c>
      <c r="K37" s="134">
        <v>72.67</v>
      </c>
      <c r="L37" s="134">
        <v>32.24</v>
      </c>
      <c r="M37" s="134">
        <v>29.02</v>
      </c>
      <c r="N37" s="134">
        <v>66.3</v>
      </c>
      <c r="O37" s="134">
        <v>0</v>
      </c>
      <c r="P37" s="134">
        <v>1</v>
      </c>
      <c r="Q37" s="134">
        <v>7.25</v>
      </c>
    </row>
    <row r="38" spans="1:17" customFormat="1">
      <c r="A38" s="112" t="s">
        <v>363</v>
      </c>
      <c r="B38" s="134">
        <v>42</v>
      </c>
      <c r="C38" s="134">
        <v>61.04</v>
      </c>
      <c r="D38" s="134">
        <v>64.53</v>
      </c>
      <c r="E38" s="134">
        <v>11.25</v>
      </c>
      <c r="F38" s="134">
        <v>12.34</v>
      </c>
      <c r="G38" s="134">
        <v>123.36</v>
      </c>
      <c r="H38" s="134">
        <v>85.79</v>
      </c>
      <c r="I38" s="134">
        <v>10.27</v>
      </c>
      <c r="J38" s="134">
        <v>0.15</v>
      </c>
      <c r="K38" s="134">
        <v>150.07</v>
      </c>
      <c r="L38" s="134">
        <v>33.630000000000003</v>
      </c>
      <c r="M38" s="134">
        <v>28.09</v>
      </c>
      <c r="N38" s="134">
        <v>72.599999999999994</v>
      </c>
      <c r="O38" s="134">
        <v>0</v>
      </c>
      <c r="P38" s="134">
        <v>0.97</v>
      </c>
      <c r="Q38" s="134">
        <v>7.27</v>
      </c>
    </row>
    <row r="39" spans="1:17" customFormat="1">
      <c r="A39" s="112" t="s">
        <v>364</v>
      </c>
      <c r="B39" s="134">
        <v>40.299999999999997</v>
      </c>
      <c r="C39" s="134">
        <v>57.04</v>
      </c>
      <c r="D39" s="134">
        <v>61.07</v>
      </c>
      <c r="E39" s="134">
        <v>10.14</v>
      </c>
      <c r="F39" s="134">
        <v>14.85</v>
      </c>
      <c r="G39" s="134">
        <v>115.95</v>
      </c>
      <c r="H39" s="134">
        <v>85.51</v>
      </c>
      <c r="I39" s="134">
        <v>10.119999999999999</v>
      </c>
      <c r="J39" s="134">
        <v>0.26</v>
      </c>
      <c r="K39" s="134">
        <v>93.59</v>
      </c>
      <c r="L39" s="134">
        <v>34.869999999999997</v>
      </c>
      <c r="M39" s="134">
        <v>25.99</v>
      </c>
      <c r="N39" s="134">
        <v>78</v>
      </c>
      <c r="O39" s="134">
        <v>0</v>
      </c>
      <c r="P39" s="134">
        <v>0.91</v>
      </c>
      <c r="Q39" s="134">
        <v>7.23</v>
      </c>
    </row>
    <row r="40" spans="1:17" customFormat="1">
      <c r="A40" s="112" t="s">
        <v>365</v>
      </c>
      <c r="B40" s="134">
        <v>38.79</v>
      </c>
      <c r="C40" s="134">
        <v>60.27</v>
      </c>
      <c r="D40" s="134">
        <v>61.55</v>
      </c>
      <c r="E40" s="134">
        <v>8.77</v>
      </c>
      <c r="F40" s="134">
        <v>14.24</v>
      </c>
      <c r="G40" s="134">
        <v>115.95</v>
      </c>
      <c r="H40" s="134">
        <v>85.51</v>
      </c>
      <c r="I40" s="134">
        <v>9.84</v>
      </c>
      <c r="J40" s="134">
        <v>0.43</v>
      </c>
      <c r="K40" s="134">
        <v>296.79000000000002</v>
      </c>
      <c r="L40" s="134">
        <v>35.4</v>
      </c>
      <c r="M40" s="134">
        <v>25.33</v>
      </c>
      <c r="N40" s="134">
        <v>86.9</v>
      </c>
      <c r="O40" s="134">
        <v>0</v>
      </c>
      <c r="P40" s="134">
        <v>0.89</v>
      </c>
      <c r="Q40" s="134">
        <v>7.09</v>
      </c>
    </row>
    <row r="41" spans="1:17" customFormat="1">
      <c r="A41" s="112" t="s">
        <v>366</v>
      </c>
      <c r="B41" s="134">
        <v>36.549999999999997</v>
      </c>
      <c r="C41" s="134">
        <v>59.6</v>
      </c>
      <c r="D41" s="134">
        <v>59.4</v>
      </c>
      <c r="E41" s="134">
        <v>11.42</v>
      </c>
      <c r="F41" s="134">
        <v>18.43</v>
      </c>
      <c r="G41" s="134">
        <v>115.95</v>
      </c>
      <c r="H41" s="134">
        <v>85.51</v>
      </c>
      <c r="I41" s="134">
        <v>9.3000000000000007</v>
      </c>
      <c r="J41" s="134">
        <v>0.73</v>
      </c>
      <c r="K41" s="134">
        <v>330.06</v>
      </c>
      <c r="L41" s="134">
        <v>35.369999999999997</v>
      </c>
      <c r="M41" s="134">
        <v>23.53</v>
      </c>
      <c r="N41" s="134">
        <v>96.3</v>
      </c>
      <c r="O41" s="134">
        <v>0</v>
      </c>
      <c r="P41" s="134">
        <v>0.89</v>
      </c>
      <c r="Q41" s="134">
        <v>6.96</v>
      </c>
    </row>
    <row r="42" spans="1:17" customFormat="1">
      <c r="A42" s="112" t="s">
        <v>367</v>
      </c>
      <c r="B42" s="134">
        <v>35.07</v>
      </c>
      <c r="C42" s="134">
        <v>61.7</v>
      </c>
      <c r="D42" s="134">
        <v>59.31</v>
      </c>
      <c r="E42" s="134">
        <v>20.2</v>
      </c>
      <c r="F42" s="134">
        <v>18.47</v>
      </c>
      <c r="G42" s="134">
        <v>106.74</v>
      </c>
      <c r="H42" s="134">
        <v>79.73</v>
      </c>
      <c r="I42" s="134">
        <v>9.01</v>
      </c>
      <c r="J42" s="134">
        <v>0.8</v>
      </c>
      <c r="K42" s="134">
        <v>335.27</v>
      </c>
      <c r="L42" s="134">
        <v>35.49</v>
      </c>
      <c r="M42" s="134">
        <v>22.97</v>
      </c>
      <c r="N42" s="134">
        <v>108.4</v>
      </c>
      <c r="O42" s="134">
        <v>0</v>
      </c>
      <c r="P42" s="134">
        <v>0.93</v>
      </c>
      <c r="Q42" s="134">
        <v>6.83</v>
      </c>
    </row>
    <row r="43" spans="1:17" customFormat="1">
      <c r="A43" s="112" t="s">
        <v>368</v>
      </c>
      <c r="B43" s="134">
        <v>31.2</v>
      </c>
      <c r="C43" s="134">
        <v>62.18</v>
      </c>
      <c r="D43" s="134">
        <v>56.46</v>
      </c>
      <c r="E43" s="134">
        <v>40.32</v>
      </c>
      <c r="F43" s="134">
        <v>23.69</v>
      </c>
      <c r="G43" s="134">
        <v>93.55</v>
      </c>
      <c r="H43" s="134">
        <v>74.75</v>
      </c>
      <c r="I43" s="134">
        <v>9.2799999999999994</v>
      </c>
      <c r="J43" s="134">
        <v>0.35</v>
      </c>
      <c r="K43" s="134">
        <v>310.7</v>
      </c>
      <c r="L43" s="134">
        <v>36</v>
      </c>
      <c r="M43" s="134">
        <v>22.08</v>
      </c>
      <c r="N43" s="134">
        <v>113.7</v>
      </c>
      <c r="O43" s="134">
        <v>0</v>
      </c>
      <c r="P43" s="134">
        <v>0.95</v>
      </c>
      <c r="Q43" s="134">
        <v>6.71</v>
      </c>
    </row>
    <row r="44" spans="1:17" customFormat="1">
      <c r="A44" s="112" t="s">
        <v>369</v>
      </c>
      <c r="B44" s="134">
        <v>28.22</v>
      </c>
      <c r="C44" s="134">
        <v>63.6</v>
      </c>
      <c r="D44" s="134">
        <v>54.81</v>
      </c>
      <c r="E44" s="134">
        <v>41.59</v>
      </c>
      <c r="F44" s="134">
        <v>26.64</v>
      </c>
      <c r="G44" s="134">
        <v>93.55</v>
      </c>
      <c r="H44" s="134">
        <v>74.75</v>
      </c>
      <c r="I44" s="134">
        <v>9.48</v>
      </c>
      <c r="J44" s="134">
        <v>0.28999999999999998</v>
      </c>
      <c r="K44" s="134">
        <v>281.3</v>
      </c>
      <c r="L44" s="134">
        <v>36.950000000000003</v>
      </c>
      <c r="M44" s="134">
        <v>21.45</v>
      </c>
      <c r="N44" s="134">
        <v>120.5</v>
      </c>
      <c r="O44" s="134">
        <v>0</v>
      </c>
      <c r="P44" s="134">
        <v>0.94</v>
      </c>
      <c r="Q44" s="134">
        <v>6.59</v>
      </c>
    </row>
    <row r="45" spans="1:17" customFormat="1">
      <c r="A45" s="112" t="s">
        <v>370</v>
      </c>
      <c r="B45" s="134">
        <v>24.89</v>
      </c>
      <c r="C45" s="134">
        <v>63.37</v>
      </c>
      <c r="D45" s="134">
        <v>52.03</v>
      </c>
      <c r="E45" s="134">
        <v>40.78</v>
      </c>
      <c r="F45" s="134">
        <v>33.19</v>
      </c>
      <c r="G45" s="134">
        <v>93.55</v>
      </c>
      <c r="H45" s="134">
        <v>74.75</v>
      </c>
      <c r="I45" s="134">
        <v>9.64</v>
      </c>
      <c r="J45" s="134">
        <v>0.12</v>
      </c>
      <c r="K45" s="134">
        <v>35.549999999999997</v>
      </c>
      <c r="L45" s="134">
        <v>37.74</v>
      </c>
      <c r="M45" s="134">
        <v>20.100000000000001</v>
      </c>
      <c r="N45" s="134">
        <v>126.7</v>
      </c>
      <c r="O45" s="134">
        <v>0</v>
      </c>
      <c r="P45" s="134">
        <v>0.94</v>
      </c>
      <c r="Q45" s="134">
        <v>6.49</v>
      </c>
    </row>
    <row r="46" spans="1:17" customFormat="1">
      <c r="A46" s="112" t="s">
        <v>371</v>
      </c>
      <c r="B46" s="134">
        <v>20.6</v>
      </c>
      <c r="C46" s="134">
        <v>62.77</v>
      </c>
      <c r="D46" s="134">
        <v>48.27</v>
      </c>
      <c r="E46" s="134">
        <v>39.49</v>
      </c>
      <c r="F46" s="134">
        <v>37.68</v>
      </c>
      <c r="G46" s="134">
        <v>106.27</v>
      </c>
      <c r="H46" s="134">
        <v>75.38</v>
      </c>
      <c r="I46" s="134">
        <v>9.59</v>
      </c>
      <c r="J46" s="134">
        <v>0.27</v>
      </c>
      <c r="K46" s="134">
        <v>68.47</v>
      </c>
      <c r="L46" s="134">
        <v>38.82</v>
      </c>
      <c r="M46" s="134">
        <v>18.690000000000001</v>
      </c>
      <c r="N46" s="134">
        <v>131.5</v>
      </c>
      <c r="O46" s="134">
        <v>0</v>
      </c>
      <c r="P46" s="134">
        <v>0.89</v>
      </c>
      <c r="Q46" s="134">
        <v>6.37</v>
      </c>
    </row>
    <row r="47" spans="1:17" customFormat="1">
      <c r="A47" s="112" t="s">
        <v>372</v>
      </c>
      <c r="B47" s="134">
        <v>21.48</v>
      </c>
      <c r="C47" s="134">
        <v>65.66</v>
      </c>
      <c r="D47" s="134">
        <v>50.48</v>
      </c>
      <c r="E47" s="134">
        <v>29.85</v>
      </c>
      <c r="F47" s="134">
        <v>27.99</v>
      </c>
      <c r="G47" s="134">
        <v>124.48</v>
      </c>
      <c r="H47" s="134">
        <v>75.92</v>
      </c>
      <c r="I47" s="134">
        <v>9.26</v>
      </c>
      <c r="J47" s="134">
        <v>0.05</v>
      </c>
      <c r="K47" s="134">
        <v>314.88</v>
      </c>
      <c r="L47" s="134">
        <v>39.04</v>
      </c>
      <c r="M47" s="134">
        <v>18.78</v>
      </c>
      <c r="N47" s="134">
        <v>136.80000000000001</v>
      </c>
      <c r="O47" s="134">
        <v>0</v>
      </c>
      <c r="P47" s="134">
        <v>0.93</v>
      </c>
      <c r="Q47" s="134">
        <v>6.24</v>
      </c>
    </row>
    <row r="48" spans="1:17" customFormat="1">
      <c r="A48" s="112" t="s">
        <v>373</v>
      </c>
      <c r="B48" s="134">
        <v>17.73</v>
      </c>
      <c r="C48" s="134">
        <v>65.55</v>
      </c>
      <c r="D48" s="134">
        <v>47.52</v>
      </c>
      <c r="E48" s="134">
        <v>45.1</v>
      </c>
      <c r="F48" s="134">
        <v>41.14</v>
      </c>
      <c r="G48" s="134">
        <v>124.48</v>
      </c>
      <c r="H48" s="134">
        <v>75.92</v>
      </c>
      <c r="I48" s="134">
        <v>9</v>
      </c>
      <c r="J48" s="134">
        <v>0.85</v>
      </c>
      <c r="K48" s="134">
        <v>47.61</v>
      </c>
      <c r="L48" s="134">
        <v>39.5</v>
      </c>
      <c r="M48" s="134">
        <v>17.64</v>
      </c>
      <c r="N48" s="134">
        <v>141.4</v>
      </c>
      <c r="O48" s="134">
        <v>0</v>
      </c>
      <c r="P48" s="134">
        <v>0.93</v>
      </c>
      <c r="Q48" s="134">
        <v>6.14</v>
      </c>
    </row>
    <row r="49" spans="1:17" customFormat="1">
      <c r="A49" s="112" t="s">
        <v>374</v>
      </c>
      <c r="B49" s="134">
        <v>15.36</v>
      </c>
      <c r="C49" s="134">
        <v>62.11</v>
      </c>
      <c r="D49" s="134">
        <v>43.73</v>
      </c>
      <c r="E49" s="134">
        <v>21.21</v>
      </c>
      <c r="F49" s="134">
        <v>31.91</v>
      </c>
      <c r="G49" s="134">
        <v>124.48</v>
      </c>
      <c r="H49" s="134">
        <v>75.92</v>
      </c>
      <c r="I49" s="134">
        <v>9.07</v>
      </c>
      <c r="J49" s="134">
        <v>0.48</v>
      </c>
      <c r="K49" s="134">
        <v>338.58</v>
      </c>
      <c r="L49" s="134">
        <v>39.29</v>
      </c>
      <c r="M49" s="134">
        <v>16.61</v>
      </c>
      <c r="N49" s="134">
        <v>145.69999999999999</v>
      </c>
      <c r="O49" s="134">
        <v>0</v>
      </c>
      <c r="P49" s="134">
        <v>0.87</v>
      </c>
      <c r="Q49" s="134">
        <v>6.04</v>
      </c>
    </row>
    <row r="50" spans="1:17" customFormat="1">
      <c r="A50" s="112" t="s">
        <v>375</v>
      </c>
      <c r="B50" s="134">
        <v>13.66</v>
      </c>
      <c r="C50" s="134">
        <v>61.02</v>
      </c>
      <c r="D50" s="134">
        <v>41.79</v>
      </c>
      <c r="E50" s="134">
        <v>26.6</v>
      </c>
      <c r="F50" s="134">
        <v>42.4</v>
      </c>
      <c r="G50" s="134">
        <v>123.22</v>
      </c>
      <c r="H50" s="134">
        <v>69.22</v>
      </c>
      <c r="I50" s="134">
        <v>8.7899999999999991</v>
      </c>
      <c r="J50" s="134">
        <v>0.1</v>
      </c>
      <c r="K50" s="134">
        <v>293.82</v>
      </c>
      <c r="L50" s="134">
        <v>40.090000000000003</v>
      </c>
      <c r="M50" s="134">
        <v>15.57</v>
      </c>
      <c r="N50" s="134">
        <v>153.30000000000001</v>
      </c>
      <c r="O50" s="134">
        <v>0</v>
      </c>
      <c r="P50" s="134">
        <v>0.82</v>
      </c>
      <c r="Q50" s="134">
        <v>5.89</v>
      </c>
    </row>
    <row r="51" spans="1:17" customFormat="1">
      <c r="A51" s="112" t="s">
        <v>376</v>
      </c>
      <c r="B51" s="134">
        <v>11.67</v>
      </c>
      <c r="C51" s="134">
        <v>60.42</v>
      </c>
      <c r="D51" s="134">
        <v>39.880000000000003</v>
      </c>
      <c r="E51" s="134">
        <v>25.89</v>
      </c>
      <c r="F51" s="134">
        <v>38.659999999999997</v>
      </c>
      <c r="G51" s="134">
        <v>121.41</v>
      </c>
      <c r="H51" s="134">
        <v>63.45</v>
      </c>
      <c r="I51" s="134">
        <v>8.39</v>
      </c>
      <c r="J51" s="134">
        <v>0.35</v>
      </c>
      <c r="K51" s="134">
        <v>323.24</v>
      </c>
      <c r="L51" s="134">
        <v>40.619999999999997</v>
      </c>
      <c r="M51" s="134">
        <v>14.93</v>
      </c>
      <c r="N51" s="134">
        <v>167.6</v>
      </c>
      <c r="O51" s="134">
        <v>0</v>
      </c>
      <c r="P51" s="134">
        <v>0.78</v>
      </c>
      <c r="Q51" s="134">
        <v>5.76</v>
      </c>
    </row>
    <row r="52" spans="1:17" customFormat="1">
      <c r="A52" s="112" t="s">
        <v>377</v>
      </c>
      <c r="B52" s="134">
        <v>9.89</v>
      </c>
      <c r="C52" s="134">
        <v>58.18</v>
      </c>
      <c r="D52" s="134">
        <v>37.28</v>
      </c>
      <c r="E52" s="134">
        <v>32.549999999999997</v>
      </c>
      <c r="F52" s="134">
        <v>44.69</v>
      </c>
      <c r="G52" s="134">
        <v>121.41</v>
      </c>
      <c r="H52" s="134">
        <v>63.45</v>
      </c>
      <c r="I52" s="134">
        <v>8.17</v>
      </c>
      <c r="J52" s="134">
        <v>0.28000000000000003</v>
      </c>
      <c r="K52" s="134">
        <v>41.24</v>
      </c>
      <c r="L52" s="134">
        <v>40.51</v>
      </c>
      <c r="M52" s="134">
        <v>14</v>
      </c>
      <c r="N52" s="134">
        <v>185.1</v>
      </c>
      <c r="O52" s="134">
        <v>0</v>
      </c>
      <c r="P52" s="134">
        <v>0.73</v>
      </c>
      <c r="Q52" s="134">
        <v>5.64</v>
      </c>
    </row>
    <row r="53" spans="1:17" customFormat="1">
      <c r="A53" s="112" t="s">
        <v>378</v>
      </c>
      <c r="B53" s="134">
        <v>8.83</v>
      </c>
      <c r="C53" s="134">
        <v>58.86</v>
      </c>
      <c r="D53" s="134">
        <v>36.79</v>
      </c>
      <c r="E53" s="134">
        <v>30.75</v>
      </c>
      <c r="F53" s="134">
        <v>40.799999999999997</v>
      </c>
      <c r="G53" s="134">
        <v>121.41</v>
      </c>
      <c r="H53" s="134">
        <v>63.45</v>
      </c>
      <c r="I53" s="134">
        <v>7.78</v>
      </c>
      <c r="J53" s="134">
        <v>0.77</v>
      </c>
      <c r="K53" s="134">
        <v>306.58</v>
      </c>
      <c r="L53" s="134">
        <v>40.72</v>
      </c>
      <c r="M53" s="134">
        <v>13.73</v>
      </c>
      <c r="N53" s="134">
        <v>205.8</v>
      </c>
      <c r="O53" s="134">
        <v>0</v>
      </c>
      <c r="P53" s="134">
        <v>0.77</v>
      </c>
      <c r="Q53" s="134">
        <v>5.54</v>
      </c>
    </row>
    <row r="54" spans="1:17" customFormat="1">
      <c r="A54" s="112" t="s">
        <v>379</v>
      </c>
      <c r="B54" s="134">
        <v>7.69</v>
      </c>
      <c r="C54" s="134">
        <v>54.73</v>
      </c>
      <c r="D54" s="134">
        <v>33.72</v>
      </c>
      <c r="E54" s="134">
        <v>24.28</v>
      </c>
      <c r="F54" s="134">
        <v>48.68</v>
      </c>
      <c r="G54" s="134">
        <v>115.57</v>
      </c>
      <c r="H54" s="134">
        <v>56.42</v>
      </c>
      <c r="I54" s="134">
        <v>7.57</v>
      </c>
      <c r="J54" s="134">
        <v>0.72</v>
      </c>
      <c r="K54" s="134">
        <v>310.14999999999998</v>
      </c>
      <c r="L54" s="134">
        <v>40.89</v>
      </c>
      <c r="M54" s="134">
        <v>13.44</v>
      </c>
      <c r="N54" s="134">
        <v>216.1</v>
      </c>
      <c r="O54" s="134">
        <v>0</v>
      </c>
      <c r="P54" s="134">
        <v>0.72</v>
      </c>
      <c r="Q54" s="134">
        <v>5.44</v>
      </c>
    </row>
    <row r="55" spans="1:17" customFormat="1">
      <c r="A55" s="112" t="s">
        <v>380</v>
      </c>
      <c r="B55" s="134">
        <v>7.08</v>
      </c>
      <c r="C55" s="134">
        <v>53.63</v>
      </c>
      <c r="D55" s="134">
        <v>32.65</v>
      </c>
      <c r="E55" s="134">
        <v>30.85</v>
      </c>
      <c r="F55" s="134">
        <v>56.37</v>
      </c>
      <c r="G55" s="134">
        <v>106.8</v>
      </c>
      <c r="H55" s="134">
        <v>50.36</v>
      </c>
      <c r="I55" s="134">
        <v>7.74</v>
      </c>
      <c r="J55" s="134">
        <v>1.05</v>
      </c>
      <c r="K55" s="134">
        <v>34.549999999999997</v>
      </c>
      <c r="L55" s="134">
        <v>40.96</v>
      </c>
      <c r="M55" s="134">
        <v>13.6</v>
      </c>
      <c r="N55" s="134">
        <v>323.39999999999998</v>
      </c>
      <c r="O55" s="134">
        <v>0</v>
      </c>
      <c r="P55" s="134">
        <v>0.7</v>
      </c>
      <c r="Q55" s="134">
        <v>5.34</v>
      </c>
    </row>
    <row r="56" spans="1:17" customFormat="1">
      <c r="A56" s="112" t="s">
        <v>381</v>
      </c>
      <c r="B56" s="134">
        <v>5.95</v>
      </c>
      <c r="C56" s="134">
        <v>51.26</v>
      </c>
      <c r="D56" s="134">
        <v>30.51</v>
      </c>
      <c r="E56" s="134">
        <v>29.19</v>
      </c>
      <c r="F56" s="134">
        <v>50.72</v>
      </c>
      <c r="G56" s="134">
        <v>106.8</v>
      </c>
      <c r="H56" s="134">
        <v>50.36</v>
      </c>
      <c r="I56" s="134">
        <v>7.53</v>
      </c>
      <c r="J56" s="134">
        <v>0.39</v>
      </c>
      <c r="K56" s="134">
        <v>257.39999999999998</v>
      </c>
      <c r="L56" s="134">
        <v>41.52</v>
      </c>
      <c r="M56" s="134">
        <v>13.37</v>
      </c>
      <c r="N56" s="134">
        <v>692.8</v>
      </c>
      <c r="O56" s="134">
        <v>0</v>
      </c>
      <c r="P56" s="134">
        <v>0.65</v>
      </c>
      <c r="Q56" s="134">
        <v>5.27</v>
      </c>
    </row>
    <row r="57" spans="1:17" customFormat="1">
      <c r="A57" s="112" t="s">
        <v>382</v>
      </c>
      <c r="B57" s="134">
        <v>5.55</v>
      </c>
      <c r="C57" s="134">
        <v>54.21</v>
      </c>
      <c r="D57" s="134">
        <v>31.73</v>
      </c>
      <c r="E57" s="134">
        <v>22.14</v>
      </c>
      <c r="F57" s="134">
        <v>48.24</v>
      </c>
      <c r="G57" s="134">
        <v>106.8</v>
      </c>
      <c r="H57" s="134">
        <v>50.36</v>
      </c>
      <c r="I57" s="134">
        <v>6.76</v>
      </c>
      <c r="J57" s="134">
        <v>0.62</v>
      </c>
      <c r="K57" s="134">
        <v>285.45999999999998</v>
      </c>
      <c r="L57" s="134">
        <v>41.69</v>
      </c>
      <c r="M57" s="134">
        <v>13.58</v>
      </c>
      <c r="N57" s="134">
        <v>738.8</v>
      </c>
      <c r="O57" s="134">
        <v>0</v>
      </c>
      <c r="P57" s="134">
        <v>0.68</v>
      </c>
      <c r="Q57" s="134">
        <v>5.18</v>
      </c>
    </row>
    <row r="58" spans="1:17" customFormat="1">
      <c r="A58" s="112" t="s">
        <v>383</v>
      </c>
      <c r="B58" s="134">
        <v>4.66</v>
      </c>
      <c r="C58" s="134">
        <v>48.68</v>
      </c>
      <c r="D58" s="134">
        <v>28.13</v>
      </c>
      <c r="E58" s="134">
        <v>21.71</v>
      </c>
      <c r="F58" s="134">
        <v>60.38</v>
      </c>
      <c r="G58" s="134">
        <v>102.83</v>
      </c>
      <c r="H58" s="134">
        <v>44.19</v>
      </c>
      <c r="I58" s="134">
        <v>6.73</v>
      </c>
      <c r="J58" s="134">
        <v>0.26</v>
      </c>
      <c r="K58" s="134">
        <v>231.83</v>
      </c>
      <c r="L58" s="134">
        <v>42.32</v>
      </c>
      <c r="M58" s="134">
        <v>12.79</v>
      </c>
      <c r="N58" s="134">
        <v>687.3</v>
      </c>
      <c r="O58" s="134">
        <v>0</v>
      </c>
      <c r="P58" s="134">
        <v>0.62</v>
      </c>
      <c r="Q58" s="134">
        <v>5.0999999999999996</v>
      </c>
    </row>
    <row r="59" spans="1:17" customFormat="1">
      <c r="A59" s="112" t="s">
        <v>384</v>
      </c>
      <c r="B59" s="134">
        <v>4.6100000000000003</v>
      </c>
      <c r="C59" s="134">
        <v>53.93</v>
      </c>
      <c r="D59" s="134">
        <v>30.83</v>
      </c>
      <c r="E59" s="134">
        <v>13.05</v>
      </c>
      <c r="F59" s="134">
        <v>31.59</v>
      </c>
      <c r="G59" s="134">
        <v>97.15</v>
      </c>
      <c r="H59" s="134">
        <v>38.880000000000003</v>
      </c>
      <c r="I59" s="134">
        <v>6.92</v>
      </c>
      <c r="J59" s="134">
        <v>1.0900000000000001</v>
      </c>
      <c r="K59" s="134">
        <v>289.63</v>
      </c>
      <c r="L59" s="134">
        <v>41.79</v>
      </c>
      <c r="M59" s="134">
        <v>12.38</v>
      </c>
      <c r="N59" s="134">
        <v>594</v>
      </c>
      <c r="O59" s="134">
        <v>0</v>
      </c>
      <c r="P59" s="134">
        <v>0.65</v>
      </c>
      <c r="Q59" s="134">
        <v>5.04</v>
      </c>
    </row>
    <row r="60" spans="1:17" customFormat="1">
      <c r="A60" s="112" t="s">
        <v>385</v>
      </c>
      <c r="B60" s="134">
        <v>4.29</v>
      </c>
      <c r="C60" s="134">
        <v>46.17</v>
      </c>
      <c r="D60" s="134">
        <v>26.52</v>
      </c>
      <c r="E60" s="134">
        <v>13.43</v>
      </c>
      <c r="F60" s="134">
        <v>50.84</v>
      </c>
      <c r="G60" s="134">
        <v>97.15</v>
      </c>
      <c r="H60" s="134">
        <v>38.880000000000003</v>
      </c>
      <c r="I60" s="134">
        <v>6.78</v>
      </c>
      <c r="J60" s="134">
        <v>0.34</v>
      </c>
      <c r="K60" s="134">
        <v>254.27</v>
      </c>
      <c r="L60" s="134">
        <v>41.67</v>
      </c>
      <c r="M60" s="134">
        <v>12.29</v>
      </c>
      <c r="N60" s="134">
        <v>613.6</v>
      </c>
      <c r="O60" s="134">
        <v>0</v>
      </c>
      <c r="P60" s="134">
        <v>0.56999999999999995</v>
      </c>
      <c r="Q60" s="134">
        <v>4.99</v>
      </c>
    </row>
    <row r="61" spans="1:17" customFormat="1">
      <c r="A61" s="112" t="s">
        <v>386</v>
      </c>
      <c r="B61" s="134">
        <v>4.2699999999999996</v>
      </c>
      <c r="C61" s="134">
        <v>48.25</v>
      </c>
      <c r="D61" s="134">
        <v>27.59</v>
      </c>
      <c r="E61" s="134">
        <v>12.84</v>
      </c>
      <c r="F61" s="134">
        <v>41.11</v>
      </c>
      <c r="G61" s="134">
        <v>97.15</v>
      </c>
      <c r="H61" s="134">
        <v>38.880000000000003</v>
      </c>
      <c r="I61" s="134">
        <v>6.86</v>
      </c>
      <c r="J61" s="134">
        <v>0.56000000000000005</v>
      </c>
      <c r="K61" s="134">
        <v>309.52</v>
      </c>
      <c r="L61" s="134">
        <v>41.78</v>
      </c>
      <c r="M61" s="134">
        <v>12.34</v>
      </c>
      <c r="N61" s="134">
        <v>490.5</v>
      </c>
      <c r="O61" s="134">
        <v>0</v>
      </c>
      <c r="P61" s="134">
        <v>0.56999999999999995</v>
      </c>
      <c r="Q61" s="134">
        <v>4.97</v>
      </c>
    </row>
    <row r="62" spans="1:17" customFormat="1">
      <c r="A62" s="112" t="s">
        <v>387</v>
      </c>
      <c r="B62" s="134">
        <v>4.34</v>
      </c>
      <c r="C62" s="134">
        <v>46.83</v>
      </c>
      <c r="D62" s="134">
        <v>26.9</v>
      </c>
      <c r="E62" s="134">
        <v>11.57</v>
      </c>
      <c r="F62" s="134">
        <v>39.549999999999997</v>
      </c>
      <c r="G62" s="134">
        <v>86.64</v>
      </c>
      <c r="H62" s="134">
        <v>36.92</v>
      </c>
      <c r="I62" s="134">
        <v>6.37</v>
      </c>
      <c r="J62" s="134">
        <v>0.86</v>
      </c>
      <c r="K62" s="134">
        <v>281.05</v>
      </c>
      <c r="L62" s="134">
        <v>41.09</v>
      </c>
      <c r="M62" s="134">
        <v>12.96</v>
      </c>
      <c r="N62" s="134">
        <v>368.6</v>
      </c>
      <c r="O62" s="134">
        <v>0</v>
      </c>
      <c r="P62" s="134">
        <v>0.55000000000000004</v>
      </c>
      <c r="Q62" s="134">
        <v>4.93</v>
      </c>
    </row>
    <row r="63" spans="1:17" customFormat="1">
      <c r="A63" s="112" t="s">
        <v>388</v>
      </c>
      <c r="B63" s="134">
        <v>4.45</v>
      </c>
      <c r="C63" s="134">
        <v>46.22</v>
      </c>
      <c r="D63" s="134">
        <v>26.68</v>
      </c>
      <c r="E63" s="134">
        <v>11.83</v>
      </c>
      <c r="F63" s="134">
        <v>43.16</v>
      </c>
      <c r="G63" s="134">
        <v>70.88</v>
      </c>
      <c r="H63" s="134">
        <v>32.26</v>
      </c>
      <c r="I63" s="134">
        <v>6.04</v>
      </c>
      <c r="J63" s="134">
        <v>0.47</v>
      </c>
      <c r="K63" s="134">
        <v>302.62</v>
      </c>
      <c r="L63" s="134">
        <v>41</v>
      </c>
      <c r="M63" s="134">
        <v>13.2</v>
      </c>
      <c r="N63" s="134">
        <v>459.6</v>
      </c>
      <c r="O63" s="134">
        <v>0</v>
      </c>
      <c r="P63" s="134">
        <v>0.51</v>
      </c>
      <c r="Q63" s="134">
        <v>4.91</v>
      </c>
    </row>
    <row r="64" spans="1:17" customFormat="1">
      <c r="A64" s="112" t="s">
        <v>389</v>
      </c>
      <c r="B64" s="134">
        <v>4.78</v>
      </c>
      <c r="C64" s="134">
        <v>47.82</v>
      </c>
      <c r="D64" s="134">
        <v>27.77</v>
      </c>
      <c r="E64" s="134">
        <v>11.05</v>
      </c>
      <c r="F64" s="134">
        <v>33.29</v>
      </c>
      <c r="G64" s="134">
        <v>70.88</v>
      </c>
      <c r="H64" s="134">
        <v>32.26</v>
      </c>
      <c r="I64" s="134">
        <v>5.77</v>
      </c>
      <c r="J64" s="134">
        <v>0.19</v>
      </c>
      <c r="K64" s="134">
        <v>293.95999999999998</v>
      </c>
      <c r="L64" s="134">
        <v>42.04</v>
      </c>
      <c r="M64" s="134">
        <v>12.5</v>
      </c>
      <c r="N64" s="134">
        <v>588.20000000000005</v>
      </c>
      <c r="O64" s="134">
        <v>0</v>
      </c>
      <c r="P64" s="134">
        <v>0.54</v>
      </c>
      <c r="Q64" s="134">
        <v>4.9000000000000004</v>
      </c>
    </row>
    <row r="65" spans="1:17" customFormat="1">
      <c r="A65" s="112" t="s">
        <v>390</v>
      </c>
      <c r="B65" s="134">
        <v>5.07</v>
      </c>
      <c r="C65" s="134">
        <v>48.13</v>
      </c>
      <c r="D65" s="134">
        <v>28.17</v>
      </c>
      <c r="E65" s="134">
        <v>10.77</v>
      </c>
      <c r="F65" s="134">
        <v>35.82</v>
      </c>
      <c r="G65" s="134">
        <v>70.88</v>
      </c>
      <c r="H65" s="134">
        <v>32.26</v>
      </c>
      <c r="I65" s="134">
        <v>5.46</v>
      </c>
      <c r="J65" s="134">
        <v>0.9</v>
      </c>
      <c r="K65" s="134">
        <v>319.98</v>
      </c>
      <c r="L65" s="134">
        <v>41.66</v>
      </c>
      <c r="M65" s="134">
        <v>12.53</v>
      </c>
      <c r="N65" s="134">
        <v>618.70000000000005</v>
      </c>
      <c r="O65" s="134">
        <v>0</v>
      </c>
      <c r="P65" s="134">
        <v>0.5</v>
      </c>
      <c r="Q65" s="134">
        <v>4.88</v>
      </c>
    </row>
    <row r="66" spans="1:17" customFormat="1">
      <c r="A66" s="112" t="s">
        <v>391</v>
      </c>
      <c r="B66" s="134">
        <v>5.56</v>
      </c>
      <c r="C66" s="134">
        <v>51.9</v>
      </c>
      <c r="D66" s="134">
        <v>30.53</v>
      </c>
      <c r="E66" s="134">
        <v>9.33</v>
      </c>
      <c r="F66" s="134">
        <v>23.6</v>
      </c>
      <c r="G66" s="134">
        <v>67.91</v>
      </c>
      <c r="H66" s="134">
        <v>28.76</v>
      </c>
      <c r="I66" s="134">
        <v>5.7</v>
      </c>
      <c r="J66" s="134">
        <v>1.27</v>
      </c>
      <c r="K66" s="134">
        <v>293.17</v>
      </c>
      <c r="L66" s="134">
        <v>42.32</v>
      </c>
      <c r="M66" s="134">
        <v>12.19</v>
      </c>
      <c r="N66" s="134">
        <v>698.4</v>
      </c>
      <c r="O66" s="134">
        <v>0</v>
      </c>
      <c r="P66" s="134">
        <v>0.56999999999999995</v>
      </c>
      <c r="Q66" s="134">
        <v>4.88</v>
      </c>
    </row>
    <row r="67" spans="1:17" customFormat="1">
      <c r="A67" s="112" t="s">
        <v>392</v>
      </c>
      <c r="B67" s="134">
        <v>4.41</v>
      </c>
      <c r="C67" s="134">
        <v>45.42</v>
      </c>
      <c r="D67" s="134">
        <v>26.22</v>
      </c>
      <c r="E67" s="134">
        <v>9.42</v>
      </c>
      <c r="F67" s="134">
        <v>29.8</v>
      </c>
      <c r="G67" s="134">
        <v>63.65</v>
      </c>
      <c r="H67" s="134">
        <v>25.74</v>
      </c>
      <c r="I67" s="134">
        <v>5.87</v>
      </c>
      <c r="J67" s="134">
        <v>0.54</v>
      </c>
      <c r="K67" s="134">
        <v>237.52</v>
      </c>
      <c r="L67" s="134">
        <v>42.83</v>
      </c>
      <c r="M67" s="134">
        <v>12.4</v>
      </c>
      <c r="N67" s="134">
        <v>437.5</v>
      </c>
      <c r="O67" s="134">
        <v>0</v>
      </c>
      <c r="P67" s="134">
        <v>0.53</v>
      </c>
      <c r="Q67" s="134">
        <v>4.8899999999999997</v>
      </c>
    </row>
    <row r="68" spans="1:17" customFormat="1">
      <c r="A68" s="112" t="s">
        <v>393</v>
      </c>
      <c r="B68" s="134">
        <v>5.33</v>
      </c>
      <c r="C68" s="134">
        <v>48.53</v>
      </c>
      <c r="D68" s="134">
        <v>28.59</v>
      </c>
      <c r="E68" s="134">
        <v>8.94</v>
      </c>
      <c r="F68" s="134">
        <v>34</v>
      </c>
      <c r="G68" s="134">
        <v>63.65</v>
      </c>
      <c r="H68" s="134">
        <v>25.74</v>
      </c>
      <c r="I68" s="134">
        <v>6.12</v>
      </c>
      <c r="J68" s="134">
        <v>0.49</v>
      </c>
      <c r="K68" s="134">
        <v>253.4</v>
      </c>
      <c r="L68" s="134">
        <v>41.63</v>
      </c>
      <c r="M68" s="134">
        <v>13.24</v>
      </c>
      <c r="N68" s="134">
        <v>216.3</v>
      </c>
      <c r="O68" s="134">
        <v>0</v>
      </c>
      <c r="P68" s="134">
        <v>0.5</v>
      </c>
      <c r="Q68" s="134">
        <v>4.8899999999999997</v>
      </c>
    </row>
    <row r="69" spans="1:17" customFormat="1">
      <c r="A69" s="112" t="s">
        <v>394</v>
      </c>
      <c r="B69" s="134">
        <v>4.6500000000000004</v>
      </c>
      <c r="C69" s="134">
        <v>44.78</v>
      </c>
      <c r="D69" s="134">
        <v>26.08</v>
      </c>
      <c r="E69" s="134">
        <v>9.32</v>
      </c>
      <c r="F69" s="134">
        <v>38.39</v>
      </c>
      <c r="G69" s="134">
        <v>63.65</v>
      </c>
      <c r="H69" s="134">
        <v>25.74</v>
      </c>
      <c r="I69" s="134">
        <v>5.92</v>
      </c>
      <c r="J69" s="134">
        <v>0.67</v>
      </c>
      <c r="K69" s="134">
        <v>264.86</v>
      </c>
      <c r="L69" s="134">
        <v>40.64</v>
      </c>
      <c r="M69" s="134">
        <v>14.29</v>
      </c>
      <c r="N69" s="134">
        <v>152.19999999999999</v>
      </c>
      <c r="O69" s="134">
        <v>0</v>
      </c>
      <c r="P69" s="134">
        <v>0.48</v>
      </c>
      <c r="Q69" s="134">
        <v>4.8899999999999997</v>
      </c>
    </row>
    <row r="70" spans="1:17" customFormat="1">
      <c r="A70" s="112" t="s">
        <v>395</v>
      </c>
      <c r="B70" s="134">
        <v>4.0199999999999996</v>
      </c>
      <c r="C70" s="134">
        <v>40.93</v>
      </c>
      <c r="D70" s="134">
        <v>23.56</v>
      </c>
      <c r="E70" s="134">
        <v>9.67</v>
      </c>
      <c r="F70" s="134">
        <v>47.6</v>
      </c>
      <c r="G70" s="134">
        <v>60.3</v>
      </c>
      <c r="H70" s="134">
        <v>23.2</v>
      </c>
      <c r="I70" s="134">
        <v>5.24</v>
      </c>
      <c r="J70" s="134">
        <v>0.44</v>
      </c>
      <c r="K70" s="134">
        <v>230.87</v>
      </c>
      <c r="L70" s="134">
        <v>41.37</v>
      </c>
      <c r="M70" s="134">
        <v>14</v>
      </c>
      <c r="N70" s="134">
        <v>470.3</v>
      </c>
      <c r="O70" s="134">
        <v>0</v>
      </c>
      <c r="P70" s="134">
        <v>0.43</v>
      </c>
      <c r="Q70" s="134">
        <v>4.8899999999999997</v>
      </c>
    </row>
    <row r="71" spans="1:17" customFormat="1">
      <c r="A71" s="112" t="s">
        <v>396</v>
      </c>
      <c r="B71" s="134">
        <v>4.13</v>
      </c>
      <c r="C71" s="134">
        <v>41.85</v>
      </c>
      <c r="D71" s="134">
        <v>24.13</v>
      </c>
      <c r="E71" s="134">
        <v>9.68</v>
      </c>
      <c r="F71" s="134">
        <v>42.85</v>
      </c>
      <c r="G71" s="134">
        <v>55.5</v>
      </c>
      <c r="H71" s="134">
        <v>21</v>
      </c>
      <c r="I71" s="134">
        <v>4.7699999999999996</v>
      </c>
      <c r="J71" s="134">
        <v>0.31</v>
      </c>
      <c r="K71" s="134">
        <v>167.86</v>
      </c>
      <c r="L71" s="134">
        <v>42.88</v>
      </c>
      <c r="M71" s="134">
        <v>12.14</v>
      </c>
      <c r="N71" s="134">
        <v>495.2</v>
      </c>
      <c r="O71" s="134">
        <v>0</v>
      </c>
      <c r="P71" s="134">
        <v>0.43</v>
      </c>
      <c r="Q71" s="134">
        <v>4.8499999999999996</v>
      </c>
    </row>
    <row r="72" spans="1:17" customFormat="1">
      <c r="A72" s="112" t="s">
        <v>397</v>
      </c>
      <c r="B72" s="134">
        <v>4.03</v>
      </c>
      <c r="C72" s="134">
        <v>41.15</v>
      </c>
      <c r="D72" s="134">
        <v>23.69</v>
      </c>
      <c r="E72" s="134">
        <v>10.19</v>
      </c>
      <c r="F72" s="134">
        <v>46.73</v>
      </c>
      <c r="G72" s="134">
        <v>55.5</v>
      </c>
      <c r="H72" s="134">
        <v>21</v>
      </c>
      <c r="I72" s="134">
        <v>4.53</v>
      </c>
      <c r="J72" s="134">
        <v>0.15</v>
      </c>
      <c r="K72" s="134">
        <v>195.51</v>
      </c>
      <c r="L72" s="134">
        <v>42.85</v>
      </c>
      <c r="M72" s="134">
        <v>12.56</v>
      </c>
      <c r="N72" s="134">
        <v>334.5</v>
      </c>
      <c r="O72" s="134">
        <v>0</v>
      </c>
      <c r="P72" s="134">
        <v>0.42</v>
      </c>
      <c r="Q72" s="134">
        <v>4.83</v>
      </c>
    </row>
    <row r="73" spans="1:17" customFormat="1">
      <c r="A73" s="112" t="s">
        <v>398</v>
      </c>
      <c r="B73" s="134">
        <v>5.1100000000000003</v>
      </c>
      <c r="C73" s="134">
        <v>44.7</v>
      </c>
      <c r="D73" s="134">
        <v>26.41</v>
      </c>
      <c r="E73" s="134">
        <v>10</v>
      </c>
      <c r="F73" s="134">
        <v>38.92</v>
      </c>
      <c r="G73" s="134">
        <v>55.5</v>
      </c>
      <c r="H73" s="134">
        <v>21</v>
      </c>
      <c r="I73" s="134">
        <v>4.51</v>
      </c>
      <c r="J73" s="134">
        <v>0.52</v>
      </c>
      <c r="K73" s="134">
        <v>287.3</v>
      </c>
      <c r="L73" s="134">
        <v>41.96</v>
      </c>
      <c r="M73" s="134">
        <v>12.73</v>
      </c>
      <c r="N73" s="134">
        <v>345</v>
      </c>
      <c r="O73" s="134">
        <v>0</v>
      </c>
      <c r="P73" s="134">
        <v>0.43</v>
      </c>
      <c r="Q73" s="134">
        <v>4.8</v>
      </c>
    </row>
    <row r="74" spans="1:17" customFormat="1">
      <c r="A74" s="112" t="s">
        <v>399</v>
      </c>
      <c r="B74" s="134">
        <v>4.71</v>
      </c>
      <c r="C74" s="134">
        <v>43.08</v>
      </c>
      <c r="D74" s="134">
        <v>25.24</v>
      </c>
      <c r="E74" s="134">
        <v>12.34</v>
      </c>
      <c r="F74" s="134">
        <v>45.76</v>
      </c>
      <c r="G74" s="134">
        <v>51.38</v>
      </c>
      <c r="H74" s="134">
        <v>19.489999999999998</v>
      </c>
      <c r="I74" s="134">
        <v>4.47</v>
      </c>
      <c r="J74" s="134">
        <v>0.76</v>
      </c>
      <c r="K74" s="134">
        <v>291.44</v>
      </c>
      <c r="L74" s="134">
        <v>42.37</v>
      </c>
      <c r="M74" s="134">
        <v>13.01</v>
      </c>
      <c r="N74" s="134">
        <v>310.89999999999998</v>
      </c>
      <c r="O74" s="134">
        <v>0</v>
      </c>
      <c r="P74" s="134">
        <v>0.45</v>
      </c>
      <c r="Q74" s="134">
        <v>4.8</v>
      </c>
    </row>
    <row r="75" spans="1:17" customFormat="1">
      <c r="A75" s="112" t="s">
        <v>400</v>
      </c>
      <c r="B75" s="134">
        <v>4.5</v>
      </c>
      <c r="C75" s="134">
        <v>43.93</v>
      </c>
      <c r="D75" s="134">
        <v>25.52</v>
      </c>
      <c r="E75" s="134">
        <v>10.01</v>
      </c>
      <c r="F75" s="134">
        <v>33.369999999999997</v>
      </c>
      <c r="G75" s="134">
        <v>45.48</v>
      </c>
      <c r="H75" s="134">
        <v>18.190000000000001</v>
      </c>
      <c r="I75" s="134">
        <v>4.32</v>
      </c>
      <c r="J75" s="134">
        <v>0.94</v>
      </c>
      <c r="K75" s="134">
        <v>267.02</v>
      </c>
      <c r="L75" s="134">
        <v>41.31</v>
      </c>
      <c r="M75" s="134">
        <v>12.83</v>
      </c>
      <c r="N75" s="134">
        <v>242.9</v>
      </c>
      <c r="O75" s="134">
        <v>0</v>
      </c>
      <c r="P75" s="134">
        <v>0.43</v>
      </c>
      <c r="Q75" s="134">
        <v>4.79</v>
      </c>
    </row>
    <row r="76" spans="1:17" customFormat="1">
      <c r="A76" s="112" t="s">
        <v>401</v>
      </c>
      <c r="B76" s="134">
        <v>4.8600000000000003</v>
      </c>
      <c r="C76" s="134">
        <v>43.43</v>
      </c>
      <c r="D76" s="134">
        <v>25.54</v>
      </c>
      <c r="E76" s="134">
        <v>9.1</v>
      </c>
      <c r="F76" s="134">
        <v>34.71</v>
      </c>
      <c r="G76" s="134">
        <v>45.48</v>
      </c>
      <c r="H76" s="134">
        <v>18.190000000000001</v>
      </c>
      <c r="I76" s="134">
        <v>4.47</v>
      </c>
      <c r="J76" s="134">
        <v>0.76</v>
      </c>
      <c r="K76" s="134">
        <v>279.27999999999997</v>
      </c>
      <c r="L76" s="134">
        <v>41.64</v>
      </c>
      <c r="M76" s="134">
        <v>12.7</v>
      </c>
      <c r="N76" s="134">
        <v>198.1</v>
      </c>
      <c r="O76" s="134">
        <v>0</v>
      </c>
      <c r="P76" s="134">
        <v>0.41</v>
      </c>
      <c r="Q76" s="134">
        <v>4.8</v>
      </c>
    </row>
    <row r="77" spans="1:17" customFormat="1">
      <c r="A77" s="112" t="s">
        <v>402</v>
      </c>
      <c r="B77" s="134">
        <v>5.62</v>
      </c>
      <c r="C77" s="134">
        <v>45.44</v>
      </c>
      <c r="D77" s="134">
        <v>27.68</v>
      </c>
      <c r="E77" s="134">
        <v>9.0299999999999994</v>
      </c>
      <c r="F77" s="134">
        <v>32.020000000000003</v>
      </c>
      <c r="G77" s="134">
        <v>45.48</v>
      </c>
      <c r="H77" s="134">
        <v>18.190000000000001</v>
      </c>
      <c r="I77" s="134">
        <v>4.57</v>
      </c>
      <c r="J77" s="134">
        <v>0.95</v>
      </c>
      <c r="K77" s="134">
        <v>279.58999999999997</v>
      </c>
      <c r="L77" s="134">
        <v>41.14</v>
      </c>
      <c r="M77" s="134">
        <v>12.87</v>
      </c>
      <c r="N77" s="134">
        <v>123.5</v>
      </c>
      <c r="O77" s="134">
        <v>0</v>
      </c>
      <c r="P77" s="134">
        <v>0.42</v>
      </c>
      <c r="Q77" s="134">
        <v>4.79</v>
      </c>
    </row>
    <row r="78" spans="1:17" customFormat="1">
      <c r="A78" s="112" t="s">
        <v>403</v>
      </c>
      <c r="B78" s="134">
        <v>5.32</v>
      </c>
      <c r="C78" s="134">
        <v>45.33</v>
      </c>
      <c r="D78" s="134">
        <v>26.91</v>
      </c>
      <c r="E78" s="134">
        <v>9.1300000000000008</v>
      </c>
      <c r="F78" s="134">
        <v>31.75</v>
      </c>
      <c r="G78" s="134">
        <v>44.89</v>
      </c>
      <c r="H78" s="134">
        <v>16.48</v>
      </c>
      <c r="I78" s="134">
        <v>4.32</v>
      </c>
      <c r="J78" s="134">
        <v>0.87</v>
      </c>
      <c r="K78" s="134">
        <v>279.49</v>
      </c>
      <c r="L78" s="134">
        <v>40.68</v>
      </c>
      <c r="M78" s="134">
        <v>13.16</v>
      </c>
      <c r="N78" s="134">
        <v>116.5</v>
      </c>
      <c r="O78" s="134">
        <v>0</v>
      </c>
      <c r="P78" s="134">
        <v>0.44</v>
      </c>
      <c r="Q78" s="134">
        <v>4.75</v>
      </c>
    </row>
    <row r="79" spans="1:17" customFormat="1">
      <c r="A79" s="112" t="s">
        <v>404</v>
      </c>
      <c r="B79" s="134">
        <v>4.2699999999999996</v>
      </c>
      <c r="C79" s="134">
        <v>41.51</v>
      </c>
      <c r="D79" s="134">
        <v>24.07</v>
      </c>
      <c r="E79" s="134">
        <v>9.39</v>
      </c>
      <c r="F79" s="134">
        <v>40.229999999999997</v>
      </c>
      <c r="G79" s="134">
        <v>44.04</v>
      </c>
      <c r="H79" s="134">
        <v>15</v>
      </c>
      <c r="I79" s="134">
        <v>4.4800000000000004</v>
      </c>
      <c r="J79" s="134">
        <v>0.79</v>
      </c>
      <c r="K79" s="134">
        <v>265.08999999999997</v>
      </c>
      <c r="L79" s="134">
        <v>40.11</v>
      </c>
      <c r="M79" s="134">
        <v>14.11</v>
      </c>
      <c r="N79" s="134">
        <v>50.4</v>
      </c>
      <c r="O79" s="134">
        <v>0</v>
      </c>
      <c r="P79" s="134">
        <v>0.39</v>
      </c>
      <c r="Q79" s="134">
        <v>4.7300000000000004</v>
      </c>
    </row>
    <row r="80" spans="1:17" customFormat="1">
      <c r="A80" s="112" t="s">
        <v>405</v>
      </c>
      <c r="B80" s="134">
        <v>3.93</v>
      </c>
      <c r="C80" s="134">
        <v>38.5</v>
      </c>
      <c r="D80" s="134">
        <v>22.23</v>
      </c>
      <c r="E80" s="134">
        <v>9.07</v>
      </c>
      <c r="F80" s="134">
        <v>43.78</v>
      </c>
      <c r="G80" s="134">
        <v>44.04</v>
      </c>
      <c r="H80" s="134">
        <v>15</v>
      </c>
      <c r="I80" s="134">
        <v>4.6500000000000004</v>
      </c>
      <c r="J80" s="134">
        <v>0.68</v>
      </c>
      <c r="K80" s="134">
        <v>266.57</v>
      </c>
      <c r="L80" s="134">
        <v>39.65</v>
      </c>
      <c r="M80" s="134">
        <v>14.73</v>
      </c>
      <c r="N80" s="134">
        <v>44.2</v>
      </c>
      <c r="O80" s="134">
        <v>0</v>
      </c>
      <c r="P80" s="134">
        <v>0.39</v>
      </c>
      <c r="Q80" s="134">
        <v>4.7300000000000004</v>
      </c>
    </row>
    <row r="81" spans="1:17" customFormat="1">
      <c r="A81" s="112" t="s">
        <v>406</v>
      </c>
      <c r="B81" s="134">
        <v>4.18</v>
      </c>
      <c r="C81" s="134">
        <v>37.81</v>
      </c>
      <c r="D81" s="134">
        <v>22.06</v>
      </c>
      <c r="E81" s="134">
        <v>6.43</v>
      </c>
      <c r="F81" s="134">
        <v>47.91</v>
      </c>
      <c r="G81" s="134">
        <v>44.04</v>
      </c>
      <c r="H81" s="134">
        <v>15</v>
      </c>
      <c r="I81" s="134">
        <v>4.29</v>
      </c>
      <c r="J81" s="134">
        <v>0.51</v>
      </c>
      <c r="K81" s="134">
        <v>258.55</v>
      </c>
      <c r="L81" s="134">
        <v>39.200000000000003</v>
      </c>
      <c r="M81" s="134">
        <v>15.16</v>
      </c>
      <c r="N81" s="134">
        <v>18.3</v>
      </c>
      <c r="O81" s="134">
        <v>0</v>
      </c>
      <c r="P81" s="134">
        <v>0.43</v>
      </c>
      <c r="Q81" s="134">
        <v>4.72</v>
      </c>
    </row>
    <row r="82" spans="1:17" customFormat="1">
      <c r="A82" s="112" t="s">
        <v>407</v>
      </c>
      <c r="B82" s="134">
        <v>5.5</v>
      </c>
      <c r="C82" s="134">
        <v>42.84</v>
      </c>
      <c r="D82" s="134">
        <v>25.75</v>
      </c>
      <c r="E82" s="134">
        <v>7.63</v>
      </c>
      <c r="F82" s="134">
        <v>38.200000000000003</v>
      </c>
      <c r="G82" s="134">
        <v>45.28</v>
      </c>
      <c r="H82" s="134">
        <v>16.07</v>
      </c>
      <c r="I82" s="134">
        <v>4.25</v>
      </c>
      <c r="J82" s="134">
        <v>0.55000000000000004</v>
      </c>
      <c r="K82" s="134">
        <v>278.45</v>
      </c>
      <c r="L82" s="134">
        <v>38.700000000000003</v>
      </c>
      <c r="M82" s="134">
        <v>15.81</v>
      </c>
      <c r="N82" s="134">
        <v>2.4</v>
      </c>
      <c r="O82" s="134">
        <v>0</v>
      </c>
      <c r="P82" s="134">
        <v>0.45</v>
      </c>
      <c r="Q82" s="134">
        <v>4.71</v>
      </c>
    </row>
    <row r="83" spans="1:17" customFormat="1">
      <c r="A83" s="112" t="s">
        <v>408</v>
      </c>
      <c r="B83" s="134">
        <v>8.19</v>
      </c>
      <c r="C83" s="134">
        <v>55.31</v>
      </c>
      <c r="D83" s="134">
        <v>34.42</v>
      </c>
      <c r="E83" s="134">
        <v>8.52</v>
      </c>
      <c r="F83" s="134">
        <v>23.19</v>
      </c>
      <c r="G83" s="134">
        <v>47.06</v>
      </c>
      <c r="H83" s="134">
        <v>16.98</v>
      </c>
      <c r="I83" s="134">
        <v>4.0999999999999996</v>
      </c>
      <c r="J83" s="134">
        <v>0.56000000000000005</v>
      </c>
      <c r="K83" s="134">
        <v>290.18</v>
      </c>
      <c r="L83" s="134">
        <v>38.520000000000003</v>
      </c>
      <c r="M83" s="134">
        <v>16.350000000000001</v>
      </c>
      <c r="N83" s="134">
        <v>0</v>
      </c>
      <c r="O83" s="134">
        <v>0</v>
      </c>
      <c r="P83" s="134">
        <v>0.62</v>
      </c>
      <c r="Q83" s="134">
        <v>4.72</v>
      </c>
    </row>
    <row r="84" spans="1:17" customFormat="1">
      <c r="A84" s="112" t="s">
        <v>409</v>
      </c>
      <c r="B84" s="134">
        <v>8.34</v>
      </c>
      <c r="C84" s="134">
        <v>56.27</v>
      </c>
      <c r="D84" s="134">
        <v>35.04</v>
      </c>
      <c r="E84" s="134">
        <v>8.7200000000000006</v>
      </c>
      <c r="F84" s="134">
        <v>21.21</v>
      </c>
      <c r="G84" s="134">
        <v>47.06</v>
      </c>
      <c r="H84" s="134">
        <v>16.98</v>
      </c>
      <c r="I84" s="134">
        <v>4.1100000000000003</v>
      </c>
      <c r="J84" s="134">
        <v>0.51</v>
      </c>
      <c r="K84" s="134">
        <v>290.69</v>
      </c>
      <c r="L84" s="134">
        <v>38.14</v>
      </c>
      <c r="M84" s="134">
        <v>17.45</v>
      </c>
      <c r="N84" s="134">
        <v>0</v>
      </c>
      <c r="O84" s="134">
        <v>0</v>
      </c>
      <c r="P84" s="134">
        <v>0.59</v>
      </c>
      <c r="Q84" s="134">
        <v>4.7699999999999996</v>
      </c>
    </row>
    <row r="85" spans="1:17" customFormat="1">
      <c r="A85" s="112" t="s">
        <v>410</v>
      </c>
      <c r="B85" s="134">
        <v>7.59</v>
      </c>
      <c r="C85" s="134">
        <v>56.11</v>
      </c>
      <c r="D85" s="134">
        <v>34.36</v>
      </c>
      <c r="E85" s="134">
        <v>11.65</v>
      </c>
      <c r="F85" s="134">
        <v>17.86</v>
      </c>
      <c r="G85" s="134">
        <v>47.06</v>
      </c>
      <c r="H85" s="134">
        <v>16.98</v>
      </c>
      <c r="I85" s="134">
        <v>4.75</v>
      </c>
      <c r="J85" s="134">
        <v>0.51</v>
      </c>
      <c r="K85" s="134">
        <v>260.77999999999997</v>
      </c>
      <c r="L85" s="134">
        <v>37.700000000000003</v>
      </c>
      <c r="M85" s="134">
        <v>18.48</v>
      </c>
      <c r="N85" s="134">
        <v>0</v>
      </c>
      <c r="O85" s="134">
        <v>0</v>
      </c>
      <c r="P85" s="134">
        <v>0.59</v>
      </c>
      <c r="Q85" s="134">
        <v>4.83</v>
      </c>
    </row>
    <row r="86" spans="1:17" customFormat="1">
      <c r="A86" s="112" t="s">
        <v>411</v>
      </c>
      <c r="B86" s="134">
        <v>7.95</v>
      </c>
      <c r="C86" s="134">
        <v>57.79</v>
      </c>
      <c r="D86" s="134">
        <v>35.520000000000003</v>
      </c>
      <c r="E86" s="134">
        <v>10.89</v>
      </c>
      <c r="F86" s="134">
        <v>15.93</v>
      </c>
      <c r="G86" s="134">
        <v>50.01</v>
      </c>
      <c r="H86" s="134">
        <v>16.25</v>
      </c>
      <c r="I86" s="134">
        <v>4.68</v>
      </c>
      <c r="J86" s="134">
        <v>0.47</v>
      </c>
      <c r="K86" s="134">
        <v>286.17</v>
      </c>
      <c r="L86" s="134">
        <v>37.46</v>
      </c>
      <c r="M86" s="134">
        <v>19.239999999999998</v>
      </c>
      <c r="N86" s="134">
        <v>0</v>
      </c>
      <c r="O86" s="134">
        <v>0</v>
      </c>
      <c r="P86" s="134">
        <v>0.65</v>
      </c>
      <c r="Q86" s="134">
        <v>4.91</v>
      </c>
    </row>
    <row r="87" spans="1:17" customFormat="1">
      <c r="A87" s="112" t="s">
        <v>412</v>
      </c>
      <c r="B87" s="134">
        <v>14.77</v>
      </c>
      <c r="C87" s="134">
        <v>60.69</v>
      </c>
      <c r="D87" s="134">
        <v>42.5</v>
      </c>
      <c r="E87" s="134">
        <v>14.55</v>
      </c>
      <c r="F87" s="134">
        <v>13.84</v>
      </c>
      <c r="G87" s="134">
        <v>54.25</v>
      </c>
      <c r="H87" s="134">
        <v>14.37</v>
      </c>
      <c r="I87" s="134">
        <v>4.97</v>
      </c>
      <c r="J87" s="134">
        <v>0.72</v>
      </c>
      <c r="K87" s="134">
        <v>311.45</v>
      </c>
      <c r="L87" s="134">
        <v>37.479999999999997</v>
      </c>
      <c r="M87" s="134">
        <v>19.3</v>
      </c>
      <c r="N87" s="134">
        <v>0</v>
      </c>
      <c r="O87" s="134">
        <v>0</v>
      </c>
      <c r="P87" s="134">
        <v>0.69</v>
      </c>
      <c r="Q87" s="134">
        <v>5.04</v>
      </c>
    </row>
    <row r="88" spans="1:17" customFormat="1">
      <c r="A88" s="112" t="s">
        <v>413</v>
      </c>
      <c r="B88" s="134">
        <v>15.29</v>
      </c>
      <c r="C88" s="134">
        <v>59.24</v>
      </c>
      <c r="D88" s="134">
        <v>42.17</v>
      </c>
      <c r="E88" s="134">
        <v>22.98</v>
      </c>
      <c r="F88" s="134">
        <v>14.58</v>
      </c>
      <c r="G88" s="134">
        <v>54.25</v>
      </c>
      <c r="H88" s="134">
        <v>14.37</v>
      </c>
      <c r="I88" s="134">
        <v>5.35</v>
      </c>
      <c r="J88" s="134">
        <v>0.71</v>
      </c>
      <c r="K88" s="134">
        <v>305.57</v>
      </c>
      <c r="L88" s="134">
        <v>37.32</v>
      </c>
      <c r="M88" s="134">
        <v>19.809999999999999</v>
      </c>
      <c r="N88" s="134">
        <v>0</v>
      </c>
      <c r="O88" s="134">
        <v>0</v>
      </c>
      <c r="P88" s="134">
        <v>0.69</v>
      </c>
      <c r="Q88" s="134">
        <v>5.1100000000000003</v>
      </c>
    </row>
    <row r="89" spans="1:17" customFormat="1">
      <c r="A89" s="112" t="s">
        <v>414</v>
      </c>
      <c r="B89" s="134">
        <v>11.01</v>
      </c>
      <c r="C89" s="134">
        <v>56.64</v>
      </c>
      <c r="D89" s="134">
        <v>37.380000000000003</v>
      </c>
      <c r="E89" s="134">
        <v>28.82</v>
      </c>
      <c r="F89" s="134">
        <v>16.96</v>
      </c>
      <c r="G89" s="134">
        <v>54.25</v>
      </c>
      <c r="H89" s="134">
        <v>14.37</v>
      </c>
      <c r="I89" s="134">
        <v>5.49</v>
      </c>
      <c r="J89" s="134">
        <v>0.51</v>
      </c>
      <c r="K89" s="134">
        <v>273.33</v>
      </c>
      <c r="L89" s="134">
        <v>36.93</v>
      </c>
      <c r="M89" s="134">
        <v>20.81</v>
      </c>
      <c r="N89" s="134">
        <v>0</v>
      </c>
      <c r="O89" s="134">
        <v>0</v>
      </c>
      <c r="P89" s="134">
        <v>0.68</v>
      </c>
      <c r="Q89" s="134">
        <v>5.15</v>
      </c>
    </row>
    <row r="90" spans="1:17" customFormat="1">
      <c r="A90" s="112" t="s">
        <v>415</v>
      </c>
      <c r="B90" s="134">
        <v>12.37</v>
      </c>
      <c r="C90" s="134">
        <v>59.34</v>
      </c>
      <c r="D90" s="134">
        <v>39.880000000000003</v>
      </c>
      <c r="E90" s="134">
        <v>28.63</v>
      </c>
      <c r="F90" s="134">
        <v>13.95</v>
      </c>
      <c r="G90" s="134">
        <v>56.02</v>
      </c>
      <c r="H90" s="134">
        <v>15.27</v>
      </c>
      <c r="I90" s="134">
        <v>5.51</v>
      </c>
      <c r="J90" s="134">
        <v>0.42</v>
      </c>
      <c r="K90" s="134">
        <v>289.2</v>
      </c>
      <c r="L90" s="134">
        <v>36.590000000000003</v>
      </c>
      <c r="M90" s="134">
        <v>21.71</v>
      </c>
      <c r="N90" s="134">
        <v>0</v>
      </c>
      <c r="O90" s="134">
        <v>0</v>
      </c>
      <c r="P90" s="134">
        <v>0.74</v>
      </c>
      <c r="Q90" s="134">
        <v>5.21</v>
      </c>
    </row>
    <row r="91" spans="1:17" customFormat="1">
      <c r="A91" s="112" t="s">
        <v>416</v>
      </c>
      <c r="B91" s="134">
        <v>12.62</v>
      </c>
      <c r="C91" s="134">
        <v>56.57</v>
      </c>
      <c r="D91" s="134">
        <v>38.64</v>
      </c>
      <c r="E91" s="134">
        <v>18.68</v>
      </c>
      <c r="F91" s="134">
        <v>15.9</v>
      </c>
      <c r="G91" s="134">
        <v>58.57</v>
      </c>
      <c r="H91" s="134">
        <v>16.05</v>
      </c>
      <c r="I91" s="134">
        <v>5.36</v>
      </c>
      <c r="J91" s="134">
        <v>0.28000000000000003</v>
      </c>
      <c r="K91" s="134">
        <v>304.52</v>
      </c>
      <c r="L91" s="134">
        <v>36.43</v>
      </c>
      <c r="M91" s="134">
        <v>22.06</v>
      </c>
      <c r="N91" s="134">
        <v>0</v>
      </c>
      <c r="O91" s="134">
        <v>0</v>
      </c>
      <c r="P91" s="134">
        <v>0.77</v>
      </c>
      <c r="Q91" s="134">
        <v>5.24</v>
      </c>
    </row>
    <row r="92" spans="1:17" customFormat="1">
      <c r="A92" s="112" t="s">
        <v>417</v>
      </c>
      <c r="B92" s="134">
        <v>13.81</v>
      </c>
      <c r="C92" s="134">
        <v>57.54</v>
      </c>
      <c r="D92" s="134">
        <v>40.090000000000003</v>
      </c>
      <c r="E92" s="134">
        <v>16.29</v>
      </c>
      <c r="F92" s="134">
        <v>15.39</v>
      </c>
      <c r="G92" s="134">
        <v>58.57</v>
      </c>
      <c r="H92" s="134">
        <v>16.05</v>
      </c>
      <c r="I92" s="134">
        <v>5.61</v>
      </c>
      <c r="J92" s="134">
        <v>0.34</v>
      </c>
      <c r="K92" s="134">
        <v>304.06</v>
      </c>
      <c r="L92" s="134">
        <v>36.07</v>
      </c>
      <c r="M92" s="134">
        <v>22.65</v>
      </c>
      <c r="N92" s="134">
        <v>0</v>
      </c>
      <c r="O92" s="134">
        <v>0</v>
      </c>
      <c r="P92" s="134">
        <v>0.79</v>
      </c>
      <c r="Q92" s="134">
        <v>5.31</v>
      </c>
    </row>
    <row r="93" spans="1:17" customFormat="1">
      <c r="A93" s="112" t="s">
        <v>418</v>
      </c>
      <c r="B93" s="134">
        <v>17.23</v>
      </c>
      <c r="C93" s="134">
        <v>59.82</v>
      </c>
      <c r="D93" s="134">
        <v>44.02</v>
      </c>
      <c r="E93" s="134">
        <v>30.69</v>
      </c>
      <c r="F93" s="134">
        <v>10.46</v>
      </c>
      <c r="G93" s="134">
        <v>58.57</v>
      </c>
      <c r="H93" s="134">
        <v>16.05</v>
      </c>
      <c r="I93" s="134">
        <v>5.94</v>
      </c>
      <c r="J93" s="134">
        <v>0.08</v>
      </c>
      <c r="K93" s="134">
        <v>298.86</v>
      </c>
      <c r="L93" s="134">
        <v>35.729999999999997</v>
      </c>
      <c r="M93" s="134">
        <v>23.63</v>
      </c>
      <c r="N93" s="134">
        <v>0</v>
      </c>
      <c r="O93" s="134">
        <v>0</v>
      </c>
      <c r="P93" s="134">
        <v>0.81</v>
      </c>
      <c r="Q93" s="134">
        <v>5.34</v>
      </c>
    </row>
    <row r="94" spans="1:17" customFormat="1">
      <c r="A94" s="112" t="s">
        <v>419</v>
      </c>
      <c r="B94" s="134">
        <v>30.14</v>
      </c>
      <c r="C94" s="134">
        <v>65.569999999999993</v>
      </c>
      <c r="D94" s="134">
        <v>57.38</v>
      </c>
      <c r="E94" s="134">
        <v>43.83</v>
      </c>
      <c r="F94" s="134">
        <v>5.99</v>
      </c>
      <c r="G94" s="134">
        <v>63.84</v>
      </c>
      <c r="H94" s="134">
        <v>18.079999999999998</v>
      </c>
      <c r="I94" s="134">
        <v>6.5</v>
      </c>
      <c r="J94" s="134">
        <v>0.12</v>
      </c>
      <c r="K94" s="134">
        <v>194.78</v>
      </c>
      <c r="L94" s="134">
        <v>35.19</v>
      </c>
      <c r="M94" s="134">
        <v>25.08</v>
      </c>
      <c r="N94" s="134">
        <v>0</v>
      </c>
      <c r="O94" s="134">
        <v>0</v>
      </c>
      <c r="P94" s="134">
        <v>0.91</v>
      </c>
      <c r="Q94" s="134">
        <v>5.42</v>
      </c>
    </row>
    <row r="95" spans="1:17" customFormat="1">
      <c r="A95" s="112" t="s">
        <v>420</v>
      </c>
      <c r="B95" s="134">
        <v>32.630000000000003</v>
      </c>
      <c r="C95" s="134">
        <v>64.599999999999994</v>
      </c>
      <c r="D95" s="134">
        <v>58.87</v>
      </c>
      <c r="E95" s="134">
        <v>41.93</v>
      </c>
      <c r="F95" s="134">
        <v>5.28</v>
      </c>
      <c r="G95" s="134">
        <v>71.400000000000006</v>
      </c>
      <c r="H95" s="134">
        <v>19.829999999999998</v>
      </c>
      <c r="I95" s="134">
        <v>7.22</v>
      </c>
      <c r="J95" s="134">
        <v>0.08</v>
      </c>
      <c r="K95" s="134">
        <v>223.01</v>
      </c>
      <c r="L95" s="134">
        <v>34.75</v>
      </c>
      <c r="M95" s="134">
        <v>25.84</v>
      </c>
      <c r="N95" s="134">
        <v>0</v>
      </c>
      <c r="O95" s="134">
        <v>0</v>
      </c>
      <c r="P95" s="134">
        <v>0.88</v>
      </c>
      <c r="Q95" s="134">
        <v>5.52</v>
      </c>
    </row>
    <row r="96" spans="1:17" customFormat="1">
      <c r="A96" s="112" t="s">
        <v>421</v>
      </c>
      <c r="B96" s="134">
        <v>23.83</v>
      </c>
      <c r="C96" s="134">
        <v>60.1</v>
      </c>
      <c r="D96" s="134">
        <v>49.46</v>
      </c>
      <c r="E96" s="134">
        <v>34.49</v>
      </c>
      <c r="F96" s="134">
        <v>6.5</v>
      </c>
      <c r="G96" s="134">
        <v>71.400000000000006</v>
      </c>
      <c r="H96" s="134">
        <v>19.829999999999998</v>
      </c>
      <c r="I96" s="134">
        <v>7.96</v>
      </c>
      <c r="J96" s="134">
        <v>0.04</v>
      </c>
      <c r="K96" s="134">
        <v>72.5</v>
      </c>
      <c r="L96" s="134">
        <v>34.56</v>
      </c>
      <c r="M96" s="134">
        <v>25.74</v>
      </c>
      <c r="N96" s="134">
        <v>0</v>
      </c>
      <c r="O96" s="134">
        <v>0</v>
      </c>
      <c r="P96" s="134">
        <v>0.84</v>
      </c>
      <c r="Q96" s="134">
        <v>5.68</v>
      </c>
    </row>
    <row r="97" spans="1:22" customFormat="1">
      <c r="A97" s="112" t="s">
        <v>422</v>
      </c>
      <c r="B97" s="134">
        <v>23.26</v>
      </c>
      <c r="C97" s="134">
        <v>61.06</v>
      </c>
      <c r="D97" s="134">
        <v>49.52</v>
      </c>
      <c r="E97" s="134">
        <v>27.8</v>
      </c>
      <c r="F97" s="134">
        <v>6.25</v>
      </c>
      <c r="G97" s="134">
        <v>71.400000000000006</v>
      </c>
      <c r="H97" s="134">
        <v>19.829999999999998</v>
      </c>
      <c r="I97" s="134">
        <v>8.23</v>
      </c>
      <c r="J97" s="134">
        <v>0.1</v>
      </c>
      <c r="K97" s="134">
        <v>215.3</v>
      </c>
      <c r="L97" s="134">
        <v>34.32</v>
      </c>
      <c r="M97" s="134">
        <v>25.95</v>
      </c>
      <c r="N97" s="134">
        <v>0</v>
      </c>
      <c r="O97" s="134">
        <v>0</v>
      </c>
      <c r="P97" s="134">
        <v>0.82</v>
      </c>
      <c r="Q97" s="134">
        <v>5.72</v>
      </c>
    </row>
    <row r="98" spans="1:22" customFormat="1">
      <c r="A98" s="112" t="s">
        <v>423</v>
      </c>
      <c r="B98" s="134">
        <v>28.96</v>
      </c>
      <c r="C98" s="134">
        <v>60.38</v>
      </c>
      <c r="D98" s="134">
        <v>53.73</v>
      </c>
      <c r="E98" s="134">
        <v>24.9</v>
      </c>
      <c r="F98" s="134">
        <v>6.14</v>
      </c>
      <c r="G98" s="134">
        <v>77.430000000000007</v>
      </c>
      <c r="H98" s="134">
        <v>21.9</v>
      </c>
      <c r="I98" s="134">
        <v>7.87</v>
      </c>
      <c r="J98" s="134">
        <v>0.14000000000000001</v>
      </c>
      <c r="K98" s="134">
        <v>251.03</v>
      </c>
      <c r="L98" s="134">
        <v>34.090000000000003</v>
      </c>
      <c r="M98" s="134">
        <v>25.75</v>
      </c>
      <c r="N98" s="134">
        <v>0</v>
      </c>
      <c r="O98" s="134">
        <v>0</v>
      </c>
      <c r="P98" s="134">
        <v>0.8</v>
      </c>
      <c r="Q98" s="134">
        <v>5.79</v>
      </c>
    </row>
    <row r="99" spans="1:22" customFormat="1">
      <c r="A99" s="112" t="s">
        <v>424</v>
      </c>
      <c r="B99" s="134">
        <v>33.159999999999997</v>
      </c>
      <c r="C99" s="134">
        <v>60.22</v>
      </c>
      <c r="D99" s="134">
        <v>57.01</v>
      </c>
      <c r="E99" s="134">
        <v>25.35</v>
      </c>
      <c r="F99" s="134">
        <v>5.88</v>
      </c>
      <c r="G99" s="134">
        <v>86.06</v>
      </c>
      <c r="H99" s="134">
        <v>23.67</v>
      </c>
      <c r="I99" s="134">
        <v>7.94</v>
      </c>
      <c r="J99" s="134">
        <v>0.26</v>
      </c>
      <c r="K99" s="134">
        <v>294.81</v>
      </c>
      <c r="L99" s="134">
        <v>34.18</v>
      </c>
      <c r="M99" s="134">
        <v>24.54</v>
      </c>
      <c r="N99" s="134">
        <v>0</v>
      </c>
      <c r="O99" s="134">
        <v>0</v>
      </c>
      <c r="P99" s="134">
        <v>0.76</v>
      </c>
      <c r="Q99" s="134">
        <v>5.87</v>
      </c>
    </row>
    <row r="100" spans="1:22" customFormat="1">
      <c r="A100" s="112" t="s">
        <v>425</v>
      </c>
      <c r="B100" s="134">
        <v>29.59</v>
      </c>
      <c r="C100" s="134">
        <v>60.78</v>
      </c>
      <c r="D100" s="134">
        <v>54.44</v>
      </c>
      <c r="E100" s="134">
        <v>27.62</v>
      </c>
      <c r="F100" s="134">
        <v>6.67</v>
      </c>
      <c r="G100" s="134">
        <v>86.06</v>
      </c>
      <c r="H100" s="134">
        <v>23.67</v>
      </c>
      <c r="I100" s="134">
        <v>8.64</v>
      </c>
      <c r="J100" s="134">
        <v>0.22</v>
      </c>
      <c r="K100" s="134">
        <v>305.77</v>
      </c>
      <c r="L100" s="134">
        <v>34.15</v>
      </c>
      <c r="M100" s="134">
        <v>24.48</v>
      </c>
      <c r="N100" s="134">
        <v>0</v>
      </c>
      <c r="O100" s="134">
        <v>0</v>
      </c>
      <c r="P100" s="134">
        <v>0.77</v>
      </c>
      <c r="Q100" s="134">
        <v>5.95</v>
      </c>
    </row>
    <row r="101" spans="1:22" customFormat="1">
      <c r="A101" s="112" t="s">
        <v>426</v>
      </c>
      <c r="B101" s="134">
        <v>31.31</v>
      </c>
      <c r="C101" s="134">
        <v>59.48</v>
      </c>
      <c r="D101" s="134">
        <v>55.14</v>
      </c>
      <c r="E101" s="134">
        <v>27.78</v>
      </c>
      <c r="F101" s="134">
        <v>7.13</v>
      </c>
      <c r="G101" s="134">
        <v>86.06</v>
      </c>
      <c r="H101" s="134">
        <v>23.67</v>
      </c>
      <c r="I101" s="134">
        <v>9.1</v>
      </c>
      <c r="J101" s="134">
        <v>0.21</v>
      </c>
      <c r="K101" s="134">
        <v>320.10000000000002</v>
      </c>
      <c r="L101" s="134">
        <v>34.19</v>
      </c>
      <c r="M101" s="134">
        <v>24.12</v>
      </c>
      <c r="N101" s="134">
        <v>0</v>
      </c>
      <c r="O101" s="134">
        <v>0</v>
      </c>
      <c r="P101" s="134">
        <v>0.74</v>
      </c>
      <c r="Q101" s="134">
        <v>6</v>
      </c>
    </row>
    <row r="102" spans="1:22" customFormat="1">
      <c r="A102" s="112" t="s">
        <v>427</v>
      </c>
      <c r="B102" s="134">
        <v>30.45</v>
      </c>
      <c r="C102" s="134">
        <v>59.09</v>
      </c>
      <c r="D102" s="134">
        <v>54.25</v>
      </c>
      <c r="E102" s="134">
        <v>26.96</v>
      </c>
      <c r="F102" s="134">
        <v>7.12</v>
      </c>
      <c r="G102" s="134">
        <v>91.79</v>
      </c>
      <c r="H102" s="134">
        <v>25.86</v>
      </c>
      <c r="I102" s="134">
        <v>8.7100000000000009</v>
      </c>
      <c r="J102" s="134">
        <v>0.06</v>
      </c>
      <c r="K102" s="134">
        <v>164.68</v>
      </c>
      <c r="L102" s="134">
        <v>33.76</v>
      </c>
      <c r="M102" s="134">
        <v>25.69</v>
      </c>
      <c r="N102" s="134">
        <v>0</v>
      </c>
      <c r="O102" s="134">
        <v>0</v>
      </c>
      <c r="P102" s="134">
        <v>0.75</v>
      </c>
      <c r="Q102" s="134">
        <v>6.07</v>
      </c>
    </row>
    <row r="103" spans="1:22" customFormat="1">
      <c r="A103" s="112" t="s">
        <v>428</v>
      </c>
      <c r="B103" s="134">
        <v>32.69</v>
      </c>
      <c r="C103" s="134">
        <v>62.81</v>
      </c>
      <c r="D103" s="134">
        <v>57.99</v>
      </c>
      <c r="E103" s="134">
        <v>23.66</v>
      </c>
      <c r="F103" s="134">
        <v>5.53</v>
      </c>
      <c r="G103" s="134">
        <v>100</v>
      </c>
      <c r="H103" s="134">
        <v>27.74</v>
      </c>
      <c r="I103" s="134">
        <v>8.6300000000000008</v>
      </c>
      <c r="J103" s="134">
        <v>0.09</v>
      </c>
      <c r="K103" s="134">
        <v>131.99</v>
      </c>
      <c r="L103" s="134">
        <v>33.28</v>
      </c>
      <c r="M103" s="134">
        <v>26.85</v>
      </c>
      <c r="N103" s="134">
        <v>0</v>
      </c>
      <c r="O103" s="134">
        <v>0</v>
      </c>
      <c r="P103" s="134">
        <v>0.74</v>
      </c>
      <c r="Q103" s="134">
        <v>6.14</v>
      </c>
    </row>
    <row r="104" spans="1:22" customFormat="1">
      <c r="A104" s="112" t="s">
        <v>429</v>
      </c>
      <c r="B104" s="134">
        <v>25.5</v>
      </c>
      <c r="C104" s="134">
        <v>61.51</v>
      </c>
      <c r="D104" s="134">
        <v>51.54</v>
      </c>
      <c r="E104" s="134">
        <v>19.010000000000002</v>
      </c>
      <c r="F104" s="134">
        <v>5.62</v>
      </c>
      <c r="G104" s="134">
        <v>100</v>
      </c>
      <c r="H104" s="134">
        <v>27.74</v>
      </c>
      <c r="I104" s="134">
        <v>8.67</v>
      </c>
      <c r="J104" s="134">
        <v>0.24</v>
      </c>
      <c r="K104" s="134">
        <v>171.21</v>
      </c>
      <c r="L104" s="134">
        <v>32.380000000000003</v>
      </c>
      <c r="M104" s="134">
        <v>30.37</v>
      </c>
      <c r="N104" s="134">
        <v>0</v>
      </c>
      <c r="O104" s="134">
        <v>0</v>
      </c>
      <c r="P104" s="134">
        <v>0.74</v>
      </c>
      <c r="Q104" s="134">
        <v>6.18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3.93</v>
      </c>
      <c r="C106" s="183">
        <f>MIN(C9:C104)</f>
        <v>37.81</v>
      </c>
      <c r="D106" s="183">
        <f t="shared" ref="D106:Q106" si="0">MIN(D9:D104)</f>
        <v>22.06</v>
      </c>
      <c r="E106" s="183">
        <f t="shared" si="0"/>
        <v>6.43</v>
      </c>
      <c r="F106" s="183">
        <f t="shared" si="0"/>
        <v>3.73</v>
      </c>
      <c r="G106" s="183">
        <f t="shared" si="0"/>
        <v>44.04</v>
      </c>
      <c r="H106" s="183">
        <f t="shared" si="0"/>
        <v>14.37</v>
      </c>
      <c r="I106" s="183">
        <f t="shared" si="0"/>
        <v>4.0999999999999996</v>
      </c>
      <c r="J106" s="183">
        <f t="shared" si="0"/>
        <v>0.01</v>
      </c>
      <c r="K106" s="183">
        <f t="shared" si="0"/>
        <v>34.549999999999997</v>
      </c>
      <c r="L106" s="183">
        <f t="shared" si="0"/>
        <v>26.55</v>
      </c>
      <c r="M106" s="183">
        <f t="shared" si="0"/>
        <v>12.14</v>
      </c>
      <c r="N106" s="183">
        <f t="shared" si="0"/>
        <v>0</v>
      </c>
      <c r="O106" s="183">
        <f t="shared" si="0"/>
        <v>0</v>
      </c>
      <c r="P106" s="183">
        <f t="shared" si="0"/>
        <v>0.39</v>
      </c>
      <c r="Q106" s="183">
        <f t="shared" si="0"/>
        <v>4.71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70.25</v>
      </c>
      <c r="C107" s="184">
        <f t="shared" ref="C107:Q107" si="1">MAX(C9:C104)</f>
        <v>67.02</v>
      </c>
      <c r="D107" s="184">
        <f t="shared" si="1"/>
        <v>89.2</v>
      </c>
      <c r="E107" s="184">
        <f t="shared" si="1"/>
        <v>45.1</v>
      </c>
      <c r="F107" s="184">
        <f t="shared" si="1"/>
        <v>60.38</v>
      </c>
      <c r="G107" s="184">
        <f t="shared" si="1"/>
        <v>150.46</v>
      </c>
      <c r="H107" s="184">
        <f t="shared" si="1"/>
        <v>85.9</v>
      </c>
      <c r="I107" s="184">
        <f t="shared" si="1"/>
        <v>11.66</v>
      </c>
      <c r="J107" s="184">
        <f t="shared" si="1"/>
        <v>1.27</v>
      </c>
      <c r="K107" s="184">
        <f t="shared" si="1"/>
        <v>338.58</v>
      </c>
      <c r="L107" s="184">
        <f t="shared" si="1"/>
        <v>42.88</v>
      </c>
      <c r="M107" s="184">
        <f t="shared" si="1"/>
        <v>42.41</v>
      </c>
      <c r="N107" s="184">
        <f t="shared" si="1"/>
        <v>738.8</v>
      </c>
      <c r="O107" s="184">
        <f t="shared" si="1"/>
        <v>0</v>
      </c>
      <c r="P107" s="184">
        <f t="shared" si="1"/>
        <v>1.18</v>
      </c>
      <c r="Q107" s="184">
        <f t="shared" si="1"/>
        <v>7.55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26.498020833333339</v>
      </c>
      <c r="C108" s="183">
        <f t="shared" ref="C108:Q108" si="2">AVERAGE(C9:C104)</f>
        <v>56.971875000000011</v>
      </c>
      <c r="D108" s="183">
        <f t="shared" si="2"/>
        <v>49.976666666666688</v>
      </c>
      <c r="E108" s="183">
        <f t="shared" si="2"/>
        <v>18.537500000000005</v>
      </c>
      <c r="F108" s="183">
        <f t="shared" si="2"/>
        <v>21.104687500000001</v>
      </c>
      <c r="G108" s="183">
        <f t="shared" si="2"/>
        <v>97.784583333333288</v>
      </c>
      <c r="H108" s="183">
        <f t="shared" si="2"/>
        <v>41.881041666666675</v>
      </c>
      <c r="I108" s="183">
        <f t="shared" si="2"/>
        <v>8.0246875000000042</v>
      </c>
      <c r="J108" s="183">
        <f t="shared" si="2"/>
        <v>0.39802083333333332</v>
      </c>
      <c r="K108" s="183">
        <f t="shared" si="2"/>
        <v>217.7401041666667</v>
      </c>
      <c r="L108" s="183">
        <f t="shared" si="2"/>
        <v>35.684062499999996</v>
      </c>
      <c r="M108" s="183">
        <f t="shared" si="2"/>
        <v>22.916666666666661</v>
      </c>
      <c r="N108" s="183">
        <f t="shared" si="2"/>
        <v>135.52395833333333</v>
      </c>
      <c r="O108" s="183">
        <f t="shared" si="2"/>
        <v>0</v>
      </c>
      <c r="P108" s="183">
        <f t="shared" si="2"/>
        <v>0.79822916666666632</v>
      </c>
      <c r="Q108" s="183">
        <f t="shared" si="2"/>
        <v>6.012291666666667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20.535418933601253</v>
      </c>
      <c r="C109" s="183">
        <f t="shared" ref="C109:Q109" si="3">STDEV(C9:C104)</f>
        <v>7.8660463301723826</v>
      </c>
      <c r="D109" s="183">
        <f t="shared" si="3"/>
        <v>19.763284122287033</v>
      </c>
      <c r="E109" s="183">
        <f t="shared" si="3"/>
        <v>10.14021696020356</v>
      </c>
      <c r="F109" s="183">
        <f t="shared" si="3"/>
        <v>17.023059589746271</v>
      </c>
      <c r="G109" s="183">
        <f t="shared" si="3"/>
        <v>36.01075929618429</v>
      </c>
      <c r="H109" s="183">
        <f t="shared" si="3"/>
        <v>23.331589269719167</v>
      </c>
      <c r="I109" s="183">
        <f t="shared" si="3"/>
        <v>2.4715560634952114</v>
      </c>
      <c r="J109" s="183">
        <f t="shared" si="3"/>
        <v>0.27879673709359493</v>
      </c>
      <c r="K109" s="183">
        <f t="shared" si="3"/>
        <v>90.366545888279106</v>
      </c>
      <c r="L109" s="183">
        <f t="shared" si="3"/>
        <v>5.1781924458809465</v>
      </c>
      <c r="M109" s="183">
        <f t="shared" si="3"/>
        <v>9.0282285569868801</v>
      </c>
      <c r="N109" s="183">
        <f t="shared" si="3"/>
        <v>202.89101961646497</v>
      </c>
      <c r="O109" s="183">
        <f t="shared" si="3"/>
        <v>0</v>
      </c>
      <c r="P109" s="183">
        <f t="shared" si="3"/>
        <v>0.23808885909374708</v>
      </c>
      <c r="Q109" s="183">
        <f t="shared" si="3"/>
        <v>1.0484469508620573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03/06/2023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430</v>
      </c>
      <c r="B9" s="134">
        <v>30.27</v>
      </c>
      <c r="C9" s="134">
        <v>63.07</v>
      </c>
      <c r="D9" s="134">
        <v>56.18</v>
      </c>
      <c r="E9" s="134">
        <v>15.77</v>
      </c>
      <c r="F9" s="134">
        <v>5.08</v>
      </c>
      <c r="G9" s="134">
        <v>100</v>
      </c>
      <c r="H9" s="134">
        <v>27.74</v>
      </c>
      <c r="I9" s="134">
        <v>8.8000000000000007</v>
      </c>
      <c r="J9" s="134">
        <v>0.17</v>
      </c>
      <c r="K9" s="134">
        <v>174.57</v>
      </c>
      <c r="L9" s="134">
        <v>31.65</v>
      </c>
      <c r="M9" s="134">
        <v>32.07</v>
      </c>
      <c r="N9" s="134">
        <v>0</v>
      </c>
      <c r="O9" s="134">
        <v>0</v>
      </c>
      <c r="P9" s="134">
        <v>0.77</v>
      </c>
      <c r="Q9" s="134">
        <v>6.18</v>
      </c>
    </row>
    <row r="10" spans="1:21" customFormat="1">
      <c r="A10" s="112" t="s">
        <v>431</v>
      </c>
      <c r="B10" s="134">
        <v>31.29</v>
      </c>
      <c r="C10" s="134">
        <v>61.37</v>
      </c>
      <c r="D10" s="134">
        <v>56.11</v>
      </c>
      <c r="E10" s="134">
        <v>23.33</v>
      </c>
      <c r="F10" s="134">
        <v>4.3</v>
      </c>
      <c r="G10" s="134">
        <v>103.1</v>
      </c>
      <c r="H10" s="134">
        <v>29.79</v>
      </c>
      <c r="I10" s="134">
        <v>8.74</v>
      </c>
      <c r="J10" s="134">
        <v>0.19</v>
      </c>
      <c r="K10" s="134">
        <v>156.56</v>
      </c>
      <c r="L10" s="134">
        <v>31.55</v>
      </c>
      <c r="M10" s="134">
        <v>32.630000000000003</v>
      </c>
      <c r="N10" s="134">
        <v>0</v>
      </c>
      <c r="O10" s="134">
        <v>0</v>
      </c>
      <c r="P10" s="134">
        <v>0.79</v>
      </c>
      <c r="Q10" s="134">
        <v>6.22</v>
      </c>
    </row>
    <row r="11" spans="1:21" customFormat="1">
      <c r="A11" s="112" t="s">
        <v>432</v>
      </c>
      <c r="B11" s="134">
        <v>27.29</v>
      </c>
      <c r="C11" s="134">
        <v>59.62</v>
      </c>
      <c r="D11" s="134">
        <v>51.99</v>
      </c>
      <c r="E11" s="134">
        <v>22.84</v>
      </c>
      <c r="F11" s="134">
        <v>5.92</v>
      </c>
      <c r="G11" s="134">
        <v>107.55</v>
      </c>
      <c r="H11" s="134">
        <v>31.56</v>
      </c>
      <c r="I11" s="134">
        <v>8.7799999999999994</v>
      </c>
      <c r="J11" s="134">
        <v>0.28000000000000003</v>
      </c>
      <c r="K11" s="134">
        <v>234.18</v>
      </c>
      <c r="L11" s="134">
        <v>31.98</v>
      </c>
      <c r="M11" s="134">
        <v>28.81</v>
      </c>
      <c r="N11" s="134">
        <v>0</v>
      </c>
      <c r="O11" s="134">
        <v>0</v>
      </c>
      <c r="P11" s="134">
        <v>0.78</v>
      </c>
      <c r="Q11" s="134">
        <v>6.25</v>
      </c>
    </row>
    <row r="12" spans="1:21" customFormat="1">
      <c r="A12" s="112" t="s">
        <v>433</v>
      </c>
      <c r="B12" s="134">
        <v>27.6</v>
      </c>
      <c r="C12" s="134">
        <v>61.27</v>
      </c>
      <c r="D12" s="134">
        <v>53.1</v>
      </c>
      <c r="E12" s="134">
        <v>22.23</v>
      </c>
      <c r="F12" s="134">
        <v>6.29</v>
      </c>
      <c r="G12" s="134">
        <v>107.55</v>
      </c>
      <c r="H12" s="134">
        <v>31.56</v>
      </c>
      <c r="I12" s="134">
        <v>8.9499999999999993</v>
      </c>
      <c r="J12" s="134">
        <v>0.12</v>
      </c>
      <c r="K12" s="134">
        <v>233.81</v>
      </c>
      <c r="L12" s="134">
        <v>32.19</v>
      </c>
      <c r="M12" s="134">
        <v>28.17</v>
      </c>
      <c r="N12" s="134">
        <v>0</v>
      </c>
      <c r="O12" s="134">
        <v>0</v>
      </c>
      <c r="P12" s="134">
        <v>0.76</v>
      </c>
      <c r="Q12" s="134">
        <v>6.28</v>
      </c>
    </row>
    <row r="13" spans="1:21" customFormat="1">
      <c r="A13" s="112" t="s">
        <v>434</v>
      </c>
      <c r="B13" s="134">
        <v>26.27</v>
      </c>
      <c r="C13" s="134">
        <v>59.69</v>
      </c>
      <c r="D13" s="134">
        <v>51.21</v>
      </c>
      <c r="E13" s="134">
        <v>19.420000000000002</v>
      </c>
      <c r="F13" s="134">
        <v>8.0399999999999991</v>
      </c>
      <c r="G13" s="134">
        <v>107.55</v>
      </c>
      <c r="H13" s="134">
        <v>31.56</v>
      </c>
      <c r="I13" s="134">
        <v>9.1199999999999992</v>
      </c>
      <c r="J13" s="134">
        <v>0.13</v>
      </c>
      <c r="K13" s="134">
        <v>208.84</v>
      </c>
      <c r="L13" s="134">
        <v>32.159999999999997</v>
      </c>
      <c r="M13" s="134">
        <v>28.56</v>
      </c>
      <c r="N13" s="134">
        <v>0</v>
      </c>
      <c r="O13" s="134">
        <v>0</v>
      </c>
      <c r="P13" s="134">
        <v>0.74</v>
      </c>
      <c r="Q13" s="134">
        <v>6.32</v>
      </c>
    </row>
    <row r="14" spans="1:21" customFormat="1">
      <c r="A14" s="112" t="s">
        <v>435</v>
      </c>
      <c r="B14" s="134">
        <v>30.21</v>
      </c>
      <c r="C14" s="134">
        <v>61.14</v>
      </c>
      <c r="D14" s="134">
        <v>55.12</v>
      </c>
      <c r="E14" s="134">
        <v>18.25</v>
      </c>
      <c r="F14" s="134">
        <v>6.15</v>
      </c>
      <c r="G14" s="134">
        <v>105.42</v>
      </c>
      <c r="H14" s="134">
        <v>31.98</v>
      </c>
      <c r="I14" s="134">
        <v>9.1</v>
      </c>
      <c r="J14" s="134">
        <v>0.13</v>
      </c>
      <c r="K14" s="134">
        <v>122.7</v>
      </c>
      <c r="L14" s="134">
        <v>31.53</v>
      </c>
      <c r="M14" s="134">
        <v>31.99</v>
      </c>
      <c r="N14" s="134">
        <v>0</v>
      </c>
      <c r="O14" s="134">
        <v>0</v>
      </c>
      <c r="P14" s="134">
        <v>0.75</v>
      </c>
      <c r="Q14" s="134">
        <v>6.33</v>
      </c>
    </row>
    <row r="15" spans="1:21" customFormat="1">
      <c r="A15" s="112" t="s">
        <v>436</v>
      </c>
      <c r="B15" s="134">
        <v>29.61</v>
      </c>
      <c r="C15" s="134">
        <v>59.37</v>
      </c>
      <c r="D15" s="134">
        <v>53.72</v>
      </c>
      <c r="E15" s="134">
        <v>33.409999999999997</v>
      </c>
      <c r="F15" s="134">
        <v>6.06</v>
      </c>
      <c r="G15" s="134">
        <v>102.24</v>
      </c>
      <c r="H15" s="134">
        <v>33</v>
      </c>
      <c r="I15" s="134">
        <v>9.0399999999999991</v>
      </c>
      <c r="J15" s="134">
        <v>0.11</v>
      </c>
      <c r="K15" s="134">
        <v>221.78</v>
      </c>
      <c r="L15" s="134">
        <v>31.38</v>
      </c>
      <c r="M15" s="134">
        <v>30.6</v>
      </c>
      <c r="N15" s="134">
        <v>0</v>
      </c>
      <c r="O15" s="134">
        <v>0</v>
      </c>
      <c r="P15" s="134">
        <v>0.76</v>
      </c>
      <c r="Q15" s="134">
        <v>6.32</v>
      </c>
    </row>
    <row r="16" spans="1:21" customFormat="1">
      <c r="A16" s="112" t="s">
        <v>437</v>
      </c>
      <c r="B16" s="134">
        <v>32.96</v>
      </c>
      <c r="C16" s="134">
        <v>61.23</v>
      </c>
      <c r="D16" s="134">
        <v>57.38</v>
      </c>
      <c r="E16" s="134">
        <v>33.93</v>
      </c>
      <c r="F16" s="134">
        <v>4.87</v>
      </c>
      <c r="G16" s="134">
        <v>102.24</v>
      </c>
      <c r="H16" s="134">
        <v>33</v>
      </c>
      <c r="I16" s="134">
        <v>9.09</v>
      </c>
      <c r="J16" s="134">
        <v>0.09</v>
      </c>
      <c r="K16" s="134">
        <v>137.58000000000001</v>
      </c>
      <c r="L16" s="134">
        <v>30.9</v>
      </c>
      <c r="M16" s="134">
        <v>33.83</v>
      </c>
      <c r="N16" s="134">
        <v>0</v>
      </c>
      <c r="O16" s="134">
        <v>0</v>
      </c>
      <c r="P16" s="134">
        <v>0.78</v>
      </c>
      <c r="Q16" s="134">
        <v>6.34</v>
      </c>
    </row>
    <row r="17" spans="1:17" customFormat="1">
      <c r="A17" s="112" t="s">
        <v>438</v>
      </c>
      <c r="B17" s="134">
        <v>34.56</v>
      </c>
      <c r="C17" s="134">
        <v>60.29</v>
      </c>
      <c r="D17" s="134">
        <v>58.17</v>
      </c>
      <c r="E17" s="134">
        <v>36.22</v>
      </c>
      <c r="F17" s="134">
        <v>4.82</v>
      </c>
      <c r="G17" s="134">
        <v>102.24</v>
      </c>
      <c r="H17" s="134">
        <v>33</v>
      </c>
      <c r="I17" s="134">
        <v>8.98</v>
      </c>
      <c r="J17" s="134">
        <v>0.26</v>
      </c>
      <c r="K17" s="134">
        <v>72.010000000000005</v>
      </c>
      <c r="L17" s="134">
        <v>31.03</v>
      </c>
      <c r="M17" s="134">
        <v>31.05</v>
      </c>
      <c r="N17" s="134">
        <v>0</v>
      </c>
      <c r="O17" s="134">
        <v>0</v>
      </c>
      <c r="P17" s="134">
        <v>0.78</v>
      </c>
      <c r="Q17" s="134">
        <v>6.35</v>
      </c>
    </row>
    <row r="18" spans="1:17" customFormat="1">
      <c r="A18" s="112" t="s">
        <v>439</v>
      </c>
      <c r="B18" s="134">
        <v>31.31</v>
      </c>
      <c r="C18" s="134">
        <v>58.48</v>
      </c>
      <c r="D18" s="134">
        <v>54.61</v>
      </c>
      <c r="E18" s="134">
        <v>41.46</v>
      </c>
      <c r="F18" s="134">
        <v>6.09</v>
      </c>
      <c r="G18" s="134">
        <v>108.61</v>
      </c>
      <c r="H18" s="134">
        <v>33.68</v>
      </c>
      <c r="I18" s="134">
        <v>8.76</v>
      </c>
      <c r="J18" s="134">
        <v>0.39</v>
      </c>
      <c r="K18" s="134">
        <v>58.83</v>
      </c>
      <c r="L18" s="134">
        <v>31.32</v>
      </c>
      <c r="M18" s="134">
        <v>29.83</v>
      </c>
      <c r="N18" s="134">
        <v>0</v>
      </c>
      <c r="O18" s="134">
        <v>0</v>
      </c>
      <c r="P18" s="134">
        <v>0.74</v>
      </c>
      <c r="Q18" s="134">
        <v>6.39</v>
      </c>
    </row>
    <row r="19" spans="1:17" customFormat="1">
      <c r="A19" s="112" t="s">
        <v>440</v>
      </c>
      <c r="B19" s="134">
        <v>27.9</v>
      </c>
      <c r="C19" s="134">
        <v>56.86</v>
      </c>
      <c r="D19" s="134">
        <v>51.04</v>
      </c>
      <c r="E19" s="134">
        <v>20.07</v>
      </c>
      <c r="F19" s="134">
        <v>7.82</v>
      </c>
      <c r="G19" s="134">
        <v>118.17</v>
      </c>
      <c r="H19" s="134">
        <v>34.270000000000003</v>
      </c>
      <c r="I19" s="134">
        <v>8.6199999999999992</v>
      </c>
      <c r="J19" s="134">
        <v>0.37</v>
      </c>
      <c r="K19" s="134">
        <v>62.52</v>
      </c>
      <c r="L19" s="134">
        <v>31.2</v>
      </c>
      <c r="M19" s="134">
        <v>29.78</v>
      </c>
      <c r="N19" s="134">
        <v>0</v>
      </c>
      <c r="O19" s="134">
        <v>0</v>
      </c>
      <c r="P19" s="134">
        <v>0.73</v>
      </c>
      <c r="Q19" s="134">
        <v>6.39</v>
      </c>
    </row>
    <row r="20" spans="1:17" customFormat="1">
      <c r="A20" s="112" t="s">
        <v>441</v>
      </c>
      <c r="B20" s="134">
        <v>30.11</v>
      </c>
      <c r="C20" s="134">
        <v>58.87</v>
      </c>
      <c r="D20" s="134">
        <v>53.86</v>
      </c>
      <c r="E20" s="134">
        <v>16.399999999999999</v>
      </c>
      <c r="F20" s="134">
        <v>7.91</v>
      </c>
      <c r="G20" s="134">
        <v>118.17</v>
      </c>
      <c r="H20" s="134">
        <v>34.270000000000003</v>
      </c>
      <c r="I20" s="134">
        <v>8.51</v>
      </c>
      <c r="J20" s="134">
        <v>0.28000000000000003</v>
      </c>
      <c r="K20" s="134">
        <v>56.11</v>
      </c>
      <c r="L20" s="134">
        <v>30.97</v>
      </c>
      <c r="M20" s="134">
        <v>29.78</v>
      </c>
      <c r="N20" s="134">
        <v>0</v>
      </c>
      <c r="O20" s="134">
        <v>0</v>
      </c>
      <c r="P20" s="134">
        <v>0.7</v>
      </c>
      <c r="Q20" s="134">
        <v>6.39</v>
      </c>
    </row>
    <row r="21" spans="1:17" customFormat="1">
      <c r="A21" s="112" t="s">
        <v>442</v>
      </c>
      <c r="B21" s="134">
        <v>30.35</v>
      </c>
      <c r="C21" s="134">
        <v>58.58</v>
      </c>
      <c r="D21" s="134">
        <v>53.9</v>
      </c>
      <c r="E21" s="134">
        <v>14.14</v>
      </c>
      <c r="F21" s="134">
        <v>8.1300000000000008</v>
      </c>
      <c r="G21" s="134">
        <v>118.17</v>
      </c>
      <c r="H21" s="134">
        <v>34.270000000000003</v>
      </c>
      <c r="I21" s="134">
        <v>8.31</v>
      </c>
      <c r="J21" s="134">
        <v>0.42</v>
      </c>
      <c r="K21" s="134">
        <v>40.630000000000003</v>
      </c>
      <c r="L21" s="134">
        <v>30.79</v>
      </c>
      <c r="M21" s="134">
        <v>29.45</v>
      </c>
      <c r="N21" s="134">
        <v>0</v>
      </c>
      <c r="O21" s="134">
        <v>0</v>
      </c>
      <c r="P21" s="134">
        <v>0.71</v>
      </c>
      <c r="Q21" s="134">
        <v>6.39</v>
      </c>
    </row>
    <row r="22" spans="1:17" customFormat="1">
      <c r="A22" s="112" t="s">
        <v>443</v>
      </c>
      <c r="B22" s="134">
        <v>27.08</v>
      </c>
      <c r="C22" s="134">
        <v>55.86</v>
      </c>
      <c r="D22" s="134">
        <v>49.86</v>
      </c>
      <c r="E22" s="134">
        <v>22.1</v>
      </c>
      <c r="F22" s="134">
        <v>10.49</v>
      </c>
      <c r="G22" s="134">
        <v>113.88</v>
      </c>
      <c r="H22" s="134">
        <v>33.96</v>
      </c>
      <c r="I22" s="134">
        <v>8.0299999999999994</v>
      </c>
      <c r="J22" s="134">
        <v>0.44</v>
      </c>
      <c r="K22" s="134">
        <v>64.040000000000006</v>
      </c>
      <c r="L22" s="134">
        <v>30.79</v>
      </c>
      <c r="M22" s="134">
        <v>29.26</v>
      </c>
      <c r="N22" s="134">
        <v>0</v>
      </c>
      <c r="O22" s="134">
        <v>0</v>
      </c>
      <c r="P22" s="134">
        <v>0.72</v>
      </c>
      <c r="Q22" s="134">
        <v>6.38</v>
      </c>
    </row>
    <row r="23" spans="1:17" customFormat="1">
      <c r="A23" s="112" t="s">
        <v>444</v>
      </c>
      <c r="B23" s="134">
        <v>28.07</v>
      </c>
      <c r="C23" s="134">
        <v>58.85</v>
      </c>
      <c r="D23" s="134">
        <v>52.21</v>
      </c>
      <c r="E23" s="134">
        <v>31.02</v>
      </c>
      <c r="F23" s="134">
        <v>8.08</v>
      </c>
      <c r="G23" s="134">
        <v>107.45</v>
      </c>
      <c r="H23" s="134">
        <v>33.68</v>
      </c>
      <c r="I23" s="134">
        <v>7.7</v>
      </c>
      <c r="J23" s="134">
        <v>0.52</v>
      </c>
      <c r="K23" s="134">
        <v>45.7</v>
      </c>
      <c r="L23" s="134">
        <v>30.61</v>
      </c>
      <c r="M23" s="134">
        <v>29.83</v>
      </c>
      <c r="N23" s="134">
        <v>0</v>
      </c>
      <c r="O23" s="134">
        <v>0</v>
      </c>
      <c r="P23" s="134">
        <v>0.75</v>
      </c>
      <c r="Q23" s="134">
        <v>6.35</v>
      </c>
    </row>
    <row r="24" spans="1:17" customFormat="1">
      <c r="A24" s="112" t="s">
        <v>445</v>
      </c>
      <c r="B24" s="134">
        <v>28.04</v>
      </c>
      <c r="C24" s="134">
        <v>58.03</v>
      </c>
      <c r="D24" s="134">
        <v>51.76</v>
      </c>
      <c r="E24" s="134">
        <v>39.33</v>
      </c>
      <c r="F24" s="134">
        <v>8.58</v>
      </c>
      <c r="G24" s="134">
        <v>107.45</v>
      </c>
      <c r="H24" s="134">
        <v>33.68</v>
      </c>
      <c r="I24" s="134">
        <v>7.54</v>
      </c>
      <c r="J24" s="134">
        <v>0.59</v>
      </c>
      <c r="K24" s="134">
        <v>47.42</v>
      </c>
      <c r="L24" s="134">
        <v>30.53</v>
      </c>
      <c r="M24" s="134">
        <v>30.38</v>
      </c>
      <c r="N24" s="134">
        <v>0</v>
      </c>
      <c r="O24" s="134">
        <v>0</v>
      </c>
      <c r="P24" s="134">
        <v>0.78</v>
      </c>
      <c r="Q24" s="134">
        <v>6.34</v>
      </c>
    </row>
    <row r="25" spans="1:17" customFormat="1">
      <c r="A25" s="112" t="s">
        <v>446</v>
      </c>
      <c r="B25" s="134">
        <v>28.77</v>
      </c>
      <c r="C25" s="134">
        <v>58.46</v>
      </c>
      <c r="D25" s="134">
        <v>52.57</v>
      </c>
      <c r="E25" s="134">
        <v>37.33</v>
      </c>
      <c r="F25" s="134">
        <v>8.93</v>
      </c>
      <c r="G25" s="134">
        <v>107.45</v>
      </c>
      <c r="H25" s="134">
        <v>33.68</v>
      </c>
      <c r="I25" s="134">
        <v>7.61</v>
      </c>
      <c r="J25" s="134">
        <v>0.55000000000000004</v>
      </c>
      <c r="K25" s="134">
        <v>56.18</v>
      </c>
      <c r="L25" s="134">
        <v>30.67</v>
      </c>
      <c r="M25" s="134">
        <v>30.68</v>
      </c>
      <c r="N25" s="134">
        <v>0</v>
      </c>
      <c r="O25" s="134">
        <v>0</v>
      </c>
      <c r="P25" s="134">
        <v>0.79</v>
      </c>
      <c r="Q25" s="134">
        <v>6.32</v>
      </c>
    </row>
    <row r="26" spans="1:17" customFormat="1">
      <c r="A26" s="112" t="s">
        <v>447</v>
      </c>
      <c r="B26" s="134">
        <v>32.94</v>
      </c>
      <c r="C26" s="134">
        <v>57.31</v>
      </c>
      <c r="D26" s="134">
        <v>55.31</v>
      </c>
      <c r="E26" s="134">
        <v>34.6</v>
      </c>
      <c r="F26" s="134">
        <v>7.86</v>
      </c>
      <c r="G26" s="134">
        <v>107</v>
      </c>
      <c r="H26" s="134">
        <v>33.22</v>
      </c>
      <c r="I26" s="134">
        <v>7.58</v>
      </c>
      <c r="J26" s="134">
        <v>0.44</v>
      </c>
      <c r="K26" s="134">
        <v>43.25</v>
      </c>
      <c r="L26" s="134">
        <v>30.56</v>
      </c>
      <c r="M26" s="134">
        <v>31.03</v>
      </c>
      <c r="N26" s="134">
        <v>0</v>
      </c>
      <c r="O26" s="134">
        <v>0</v>
      </c>
      <c r="P26" s="134">
        <v>0.77</v>
      </c>
      <c r="Q26" s="134">
        <v>6.3</v>
      </c>
    </row>
    <row r="27" spans="1:17" customFormat="1">
      <c r="A27" s="112" t="s">
        <v>448</v>
      </c>
      <c r="B27" s="134">
        <v>29.98</v>
      </c>
      <c r="C27" s="134">
        <v>58.72</v>
      </c>
      <c r="D27" s="134">
        <v>53.68</v>
      </c>
      <c r="E27" s="134">
        <v>36.11</v>
      </c>
      <c r="F27" s="134">
        <v>8.9600000000000009</v>
      </c>
      <c r="G27" s="134">
        <v>106.36</v>
      </c>
      <c r="H27" s="134">
        <v>32.83</v>
      </c>
      <c r="I27" s="134">
        <v>7.5</v>
      </c>
      <c r="J27" s="134">
        <v>0.33</v>
      </c>
      <c r="K27" s="134">
        <v>38.99</v>
      </c>
      <c r="L27" s="134">
        <v>30.26</v>
      </c>
      <c r="M27" s="134">
        <v>32.229999999999997</v>
      </c>
      <c r="N27" s="134">
        <v>0</v>
      </c>
      <c r="O27" s="134">
        <v>0</v>
      </c>
      <c r="P27" s="134">
        <v>0.76</v>
      </c>
      <c r="Q27" s="134">
        <v>6.35</v>
      </c>
    </row>
    <row r="28" spans="1:17" customFormat="1">
      <c r="A28" s="112" t="s">
        <v>449</v>
      </c>
      <c r="B28" s="134">
        <v>36.520000000000003</v>
      </c>
      <c r="C28" s="134">
        <v>60.97</v>
      </c>
      <c r="D28" s="134">
        <v>60.1</v>
      </c>
      <c r="E28" s="134">
        <v>24.55</v>
      </c>
      <c r="F28" s="134">
        <v>6.55</v>
      </c>
      <c r="G28" s="134">
        <v>106.36</v>
      </c>
      <c r="H28" s="134">
        <v>32.83</v>
      </c>
      <c r="I28" s="134">
        <v>7.33</v>
      </c>
      <c r="J28" s="134">
        <v>0.36</v>
      </c>
      <c r="K28" s="134">
        <v>33.06</v>
      </c>
      <c r="L28" s="134">
        <v>29.97</v>
      </c>
      <c r="M28" s="134">
        <v>32.869999999999997</v>
      </c>
      <c r="N28" s="134">
        <v>0</v>
      </c>
      <c r="O28" s="134">
        <v>0</v>
      </c>
      <c r="P28" s="134">
        <v>0.76</v>
      </c>
      <c r="Q28" s="134">
        <v>6.36</v>
      </c>
    </row>
    <row r="29" spans="1:17" customFormat="1">
      <c r="A29" s="112" t="s">
        <v>450</v>
      </c>
      <c r="B29" s="134">
        <v>33.270000000000003</v>
      </c>
      <c r="C29" s="134">
        <v>59.93</v>
      </c>
      <c r="D29" s="134">
        <v>56.95</v>
      </c>
      <c r="E29" s="134">
        <v>15.19</v>
      </c>
      <c r="F29" s="134">
        <v>6.45</v>
      </c>
      <c r="G29" s="134">
        <v>106.36</v>
      </c>
      <c r="H29" s="134">
        <v>32.83</v>
      </c>
      <c r="I29" s="134">
        <v>7.25</v>
      </c>
      <c r="J29" s="134">
        <v>0.39</v>
      </c>
      <c r="K29" s="134">
        <v>43.62</v>
      </c>
      <c r="L29" s="134">
        <v>29.92</v>
      </c>
      <c r="M29" s="134">
        <v>32.950000000000003</v>
      </c>
      <c r="N29" s="134">
        <v>0</v>
      </c>
      <c r="O29" s="134">
        <v>0</v>
      </c>
      <c r="P29" s="134">
        <v>0.75</v>
      </c>
      <c r="Q29" s="134">
        <v>6.41</v>
      </c>
    </row>
    <row r="30" spans="1:17" customFormat="1">
      <c r="A30" s="112" t="s">
        <v>451</v>
      </c>
      <c r="B30" s="134">
        <v>34.409999999999997</v>
      </c>
      <c r="C30" s="134">
        <v>58.8</v>
      </c>
      <c r="D30" s="134">
        <v>57.27</v>
      </c>
      <c r="E30" s="134">
        <v>15.29</v>
      </c>
      <c r="F30" s="134">
        <v>6.87</v>
      </c>
      <c r="G30" s="134">
        <v>101.86</v>
      </c>
      <c r="H30" s="134">
        <v>30.77</v>
      </c>
      <c r="I30" s="134">
        <v>7.38</v>
      </c>
      <c r="J30" s="134">
        <v>0.35</v>
      </c>
      <c r="K30" s="134">
        <v>48.31</v>
      </c>
      <c r="L30" s="134">
        <v>29.97</v>
      </c>
      <c r="M30" s="134">
        <v>33.380000000000003</v>
      </c>
      <c r="N30" s="134">
        <v>0.7</v>
      </c>
      <c r="O30" s="134">
        <v>0</v>
      </c>
      <c r="P30" s="134">
        <v>0.73</v>
      </c>
      <c r="Q30" s="134">
        <v>6.44</v>
      </c>
    </row>
    <row r="31" spans="1:17" customFormat="1">
      <c r="A31" s="112" t="s">
        <v>452</v>
      </c>
      <c r="B31" s="134">
        <v>33.869999999999997</v>
      </c>
      <c r="C31" s="134">
        <v>59.53</v>
      </c>
      <c r="D31" s="134">
        <v>57.22</v>
      </c>
      <c r="E31" s="134">
        <v>13.51</v>
      </c>
      <c r="F31" s="134">
        <v>6.77</v>
      </c>
      <c r="G31" s="134">
        <v>95.42</v>
      </c>
      <c r="H31" s="134">
        <v>28.99</v>
      </c>
      <c r="I31" s="134">
        <v>7.32</v>
      </c>
      <c r="J31" s="134">
        <v>0.28999999999999998</v>
      </c>
      <c r="K31" s="134">
        <v>45.76</v>
      </c>
      <c r="L31" s="134">
        <v>30.05</v>
      </c>
      <c r="M31" s="134">
        <v>33.5</v>
      </c>
      <c r="N31" s="134">
        <v>8.1999999999999993</v>
      </c>
      <c r="O31" s="134">
        <v>0</v>
      </c>
      <c r="P31" s="134">
        <v>0.74</v>
      </c>
      <c r="Q31" s="134">
        <v>6.43</v>
      </c>
    </row>
    <row r="32" spans="1:17" customFormat="1">
      <c r="A32" s="112" t="s">
        <v>453</v>
      </c>
      <c r="B32" s="134">
        <v>33.67</v>
      </c>
      <c r="C32" s="134">
        <v>59.46</v>
      </c>
      <c r="D32" s="134">
        <v>57.02</v>
      </c>
      <c r="E32" s="134">
        <v>10.91</v>
      </c>
      <c r="F32" s="134">
        <v>5.98</v>
      </c>
      <c r="G32" s="134">
        <v>95.42</v>
      </c>
      <c r="H32" s="134">
        <v>28.99</v>
      </c>
      <c r="I32" s="134">
        <v>7.11</v>
      </c>
      <c r="J32" s="134">
        <v>0.17</v>
      </c>
      <c r="K32" s="134">
        <v>70.95</v>
      </c>
      <c r="L32" s="134">
        <v>30</v>
      </c>
      <c r="M32" s="134">
        <v>36.35</v>
      </c>
      <c r="N32" s="134">
        <v>16.899999999999999</v>
      </c>
      <c r="O32" s="134">
        <v>0</v>
      </c>
      <c r="P32" s="134">
        <v>0.74</v>
      </c>
      <c r="Q32" s="134">
        <v>6.45</v>
      </c>
    </row>
    <row r="33" spans="1:17" customFormat="1">
      <c r="A33" s="112" t="s">
        <v>454</v>
      </c>
      <c r="B33" s="134">
        <v>33.299999999999997</v>
      </c>
      <c r="C33" s="134">
        <v>59.6</v>
      </c>
      <c r="D33" s="134">
        <v>56.79</v>
      </c>
      <c r="E33" s="134">
        <v>10.11</v>
      </c>
      <c r="F33" s="134">
        <v>6.06</v>
      </c>
      <c r="G33" s="134">
        <v>95.42</v>
      </c>
      <c r="H33" s="134">
        <v>28.99</v>
      </c>
      <c r="I33" s="134">
        <v>7.05</v>
      </c>
      <c r="J33" s="134">
        <v>0.21</v>
      </c>
      <c r="K33" s="134">
        <v>36.54</v>
      </c>
      <c r="L33" s="134">
        <v>30.18</v>
      </c>
      <c r="M33" s="134">
        <v>35.57</v>
      </c>
      <c r="N33" s="134">
        <v>33</v>
      </c>
      <c r="O33" s="134">
        <v>0</v>
      </c>
      <c r="P33" s="134">
        <v>0.75</v>
      </c>
      <c r="Q33" s="134">
        <v>6.49</v>
      </c>
    </row>
    <row r="34" spans="1:17" customFormat="1">
      <c r="A34" s="112" t="s">
        <v>455</v>
      </c>
      <c r="B34" s="134">
        <v>31.05</v>
      </c>
      <c r="C34" s="134">
        <v>59.09</v>
      </c>
      <c r="D34" s="134">
        <v>54.73</v>
      </c>
      <c r="E34" s="134">
        <v>12.5</v>
      </c>
      <c r="F34" s="134">
        <v>7.57</v>
      </c>
      <c r="G34" s="134">
        <v>94.07</v>
      </c>
      <c r="H34" s="134">
        <v>28.36</v>
      </c>
      <c r="I34" s="134">
        <v>7.18</v>
      </c>
      <c r="J34" s="134">
        <v>0.19</v>
      </c>
      <c r="K34" s="134">
        <v>34.39</v>
      </c>
      <c r="L34" s="134">
        <v>30.27</v>
      </c>
      <c r="M34" s="134">
        <v>34.619999999999997</v>
      </c>
      <c r="N34" s="134">
        <v>39.4</v>
      </c>
      <c r="O34" s="134">
        <v>0</v>
      </c>
      <c r="P34" s="134">
        <v>0.79</v>
      </c>
      <c r="Q34" s="134">
        <v>6.5</v>
      </c>
    </row>
    <row r="35" spans="1:17" customFormat="1">
      <c r="A35" s="112" t="s">
        <v>456</v>
      </c>
      <c r="B35" s="134">
        <v>32.24</v>
      </c>
      <c r="C35" s="134">
        <v>59.83</v>
      </c>
      <c r="D35" s="134">
        <v>56.07</v>
      </c>
      <c r="E35" s="134">
        <v>11.27</v>
      </c>
      <c r="F35" s="134">
        <v>7.48</v>
      </c>
      <c r="G35" s="134">
        <v>92.12</v>
      </c>
      <c r="H35" s="134">
        <v>27.81</v>
      </c>
      <c r="I35" s="134">
        <v>7.37</v>
      </c>
      <c r="J35" s="134">
        <v>0.27</v>
      </c>
      <c r="K35" s="134">
        <v>36.67</v>
      </c>
      <c r="L35" s="134">
        <v>30.64</v>
      </c>
      <c r="M35" s="134">
        <v>34.82</v>
      </c>
      <c r="N35" s="134">
        <v>56.6</v>
      </c>
      <c r="O35" s="134">
        <v>0</v>
      </c>
      <c r="P35" s="134">
        <v>0.8</v>
      </c>
      <c r="Q35" s="134">
        <v>6.49</v>
      </c>
    </row>
    <row r="36" spans="1:17" customFormat="1">
      <c r="A36" s="112" t="s">
        <v>457</v>
      </c>
      <c r="B36" s="134">
        <v>35.17</v>
      </c>
      <c r="C36" s="134">
        <v>59.98</v>
      </c>
      <c r="D36" s="134">
        <v>58.5</v>
      </c>
      <c r="E36" s="134">
        <v>13.09</v>
      </c>
      <c r="F36" s="134">
        <v>8.36</v>
      </c>
      <c r="G36" s="134">
        <v>92.12</v>
      </c>
      <c r="H36" s="134">
        <v>27.81</v>
      </c>
      <c r="I36" s="134">
        <v>7.72</v>
      </c>
      <c r="J36" s="134">
        <v>0.27</v>
      </c>
      <c r="K36" s="134">
        <v>21.63</v>
      </c>
      <c r="L36" s="134">
        <v>31.12</v>
      </c>
      <c r="M36" s="134">
        <v>35.369999999999997</v>
      </c>
      <c r="N36" s="134">
        <v>59.8</v>
      </c>
      <c r="O36" s="134">
        <v>0</v>
      </c>
      <c r="P36" s="134">
        <v>0.83</v>
      </c>
      <c r="Q36" s="134">
        <v>6.49</v>
      </c>
    </row>
    <row r="37" spans="1:17" customFormat="1">
      <c r="A37" s="112" t="s">
        <v>458</v>
      </c>
      <c r="B37" s="134">
        <v>36.15</v>
      </c>
      <c r="C37" s="134">
        <v>61.84</v>
      </c>
      <c r="D37" s="134">
        <v>60.25</v>
      </c>
      <c r="E37" s="134">
        <v>13.3</v>
      </c>
      <c r="F37" s="134">
        <v>7.61</v>
      </c>
      <c r="G37" s="134">
        <v>92.12</v>
      </c>
      <c r="H37" s="134">
        <v>27.81</v>
      </c>
      <c r="I37" s="134">
        <v>8.09</v>
      </c>
      <c r="J37" s="134">
        <v>0.19</v>
      </c>
      <c r="K37" s="134">
        <v>12.03</v>
      </c>
      <c r="L37" s="134">
        <v>31.36</v>
      </c>
      <c r="M37" s="134">
        <v>36.44</v>
      </c>
      <c r="N37" s="134">
        <v>76.099999999999994</v>
      </c>
      <c r="O37" s="134">
        <v>0</v>
      </c>
      <c r="P37" s="134">
        <v>0.84</v>
      </c>
      <c r="Q37" s="134">
        <v>6.49</v>
      </c>
    </row>
    <row r="38" spans="1:17" customFormat="1">
      <c r="A38" s="112" t="s">
        <v>459</v>
      </c>
      <c r="B38" s="134">
        <v>32.78</v>
      </c>
      <c r="C38" s="134">
        <v>58.57</v>
      </c>
      <c r="D38" s="134">
        <v>55.84</v>
      </c>
      <c r="E38" s="134">
        <v>14.42</v>
      </c>
      <c r="F38" s="134">
        <v>11.09</v>
      </c>
      <c r="G38" s="134">
        <v>92.39</v>
      </c>
      <c r="H38" s="134">
        <v>27.97</v>
      </c>
      <c r="I38" s="134">
        <v>8.2200000000000006</v>
      </c>
      <c r="J38" s="134">
        <v>0.26</v>
      </c>
      <c r="K38" s="134">
        <v>29.48</v>
      </c>
      <c r="L38" s="134">
        <v>31.97</v>
      </c>
      <c r="M38" s="134">
        <v>35.39</v>
      </c>
      <c r="N38" s="134">
        <v>109.5</v>
      </c>
      <c r="O38" s="134">
        <v>0</v>
      </c>
      <c r="P38" s="134">
        <v>0.86</v>
      </c>
      <c r="Q38" s="134">
        <v>6.53</v>
      </c>
    </row>
    <row r="39" spans="1:17" customFormat="1">
      <c r="A39" s="112" t="s">
        <v>460</v>
      </c>
      <c r="B39" s="134">
        <v>31.02</v>
      </c>
      <c r="C39" s="134">
        <v>60.27</v>
      </c>
      <c r="D39" s="134">
        <v>55.32</v>
      </c>
      <c r="E39" s="134">
        <v>15.26</v>
      </c>
      <c r="F39" s="134">
        <v>13.66</v>
      </c>
      <c r="G39" s="134">
        <v>92.78</v>
      </c>
      <c r="H39" s="134">
        <v>28.37</v>
      </c>
      <c r="I39" s="134">
        <v>8.34</v>
      </c>
      <c r="J39" s="134">
        <v>0.55000000000000004</v>
      </c>
      <c r="K39" s="134">
        <v>49.71</v>
      </c>
      <c r="L39" s="134">
        <v>32.700000000000003</v>
      </c>
      <c r="M39" s="134">
        <v>33.44</v>
      </c>
      <c r="N39" s="134">
        <v>134.5</v>
      </c>
      <c r="O39" s="134">
        <v>0</v>
      </c>
      <c r="P39" s="134">
        <v>0.83</v>
      </c>
      <c r="Q39" s="134">
        <v>6.55</v>
      </c>
    </row>
    <row r="40" spans="1:17" customFormat="1">
      <c r="A40" s="112" t="s">
        <v>461</v>
      </c>
      <c r="B40" s="134">
        <v>31.28</v>
      </c>
      <c r="C40" s="134">
        <v>61.14</v>
      </c>
      <c r="D40" s="134">
        <v>55.98</v>
      </c>
      <c r="E40" s="134">
        <v>17.14</v>
      </c>
      <c r="F40" s="134">
        <v>14.06</v>
      </c>
      <c r="G40" s="134">
        <v>92.78</v>
      </c>
      <c r="H40" s="134">
        <v>28.37</v>
      </c>
      <c r="I40" s="134">
        <v>8.2899999999999991</v>
      </c>
      <c r="J40" s="134">
        <v>0.56999999999999995</v>
      </c>
      <c r="K40" s="134">
        <v>32.89</v>
      </c>
      <c r="L40" s="134">
        <v>33.32</v>
      </c>
      <c r="M40" s="134">
        <v>32.700000000000003</v>
      </c>
      <c r="N40" s="134">
        <v>148.5</v>
      </c>
      <c r="O40" s="134">
        <v>0</v>
      </c>
      <c r="P40" s="134">
        <v>0.83</v>
      </c>
      <c r="Q40" s="134">
        <v>6.54</v>
      </c>
    </row>
    <row r="41" spans="1:17" customFormat="1">
      <c r="A41" s="112" t="s">
        <v>462</v>
      </c>
      <c r="B41" s="134">
        <v>28.14</v>
      </c>
      <c r="C41" s="134">
        <v>58.79</v>
      </c>
      <c r="D41" s="134">
        <v>52.24</v>
      </c>
      <c r="E41" s="134">
        <v>18.739999999999998</v>
      </c>
      <c r="F41" s="134">
        <v>17.25</v>
      </c>
      <c r="G41" s="134">
        <v>92.78</v>
      </c>
      <c r="H41" s="134">
        <v>28.37</v>
      </c>
      <c r="I41" s="134">
        <v>8.1199999999999992</v>
      </c>
      <c r="J41" s="134">
        <v>0.6</v>
      </c>
      <c r="K41" s="134">
        <v>37.18</v>
      </c>
      <c r="L41" s="134">
        <v>33.67</v>
      </c>
      <c r="M41" s="134">
        <v>31.85</v>
      </c>
      <c r="N41" s="134">
        <v>165.5</v>
      </c>
      <c r="O41" s="134">
        <v>0</v>
      </c>
      <c r="P41" s="134">
        <v>0.8</v>
      </c>
      <c r="Q41" s="134">
        <v>6.49</v>
      </c>
    </row>
    <row r="42" spans="1:17" customFormat="1">
      <c r="A42" s="112" t="s">
        <v>463</v>
      </c>
      <c r="B42" s="134">
        <v>26.77</v>
      </c>
      <c r="C42" s="134">
        <v>58.33</v>
      </c>
      <c r="D42" s="134">
        <v>50.9</v>
      </c>
      <c r="E42" s="134">
        <v>24.28</v>
      </c>
      <c r="F42" s="134">
        <v>21.06</v>
      </c>
      <c r="G42" s="134">
        <v>93.13</v>
      </c>
      <c r="H42" s="134">
        <v>28.31</v>
      </c>
      <c r="I42" s="134">
        <v>7.85</v>
      </c>
      <c r="J42" s="134">
        <v>0.48</v>
      </c>
      <c r="K42" s="134">
        <v>43.84</v>
      </c>
      <c r="L42" s="134">
        <v>34.43</v>
      </c>
      <c r="M42" s="134">
        <v>30.87</v>
      </c>
      <c r="N42" s="134">
        <v>174.9</v>
      </c>
      <c r="O42" s="134">
        <v>0</v>
      </c>
      <c r="P42" s="134">
        <v>0.79</v>
      </c>
      <c r="Q42" s="134">
        <v>6.43</v>
      </c>
    </row>
    <row r="43" spans="1:17" customFormat="1">
      <c r="A43" s="112" t="s">
        <v>464</v>
      </c>
      <c r="B43" s="134">
        <v>24.61</v>
      </c>
      <c r="C43" s="134">
        <v>56.49</v>
      </c>
      <c r="D43" s="134">
        <v>48.2</v>
      </c>
      <c r="E43" s="134">
        <v>27.95</v>
      </c>
      <c r="F43" s="134">
        <v>26.14</v>
      </c>
      <c r="G43" s="134">
        <v>93.65</v>
      </c>
      <c r="H43" s="134">
        <v>28.26</v>
      </c>
      <c r="I43" s="134">
        <v>7.6</v>
      </c>
      <c r="J43" s="134">
        <v>0.24</v>
      </c>
      <c r="K43" s="134">
        <v>28.92</v>
      </c>
      <c r="L43" s="134">
        <v>35.47</v>
      </c>
      <c r="M43" s="134">
        <v>29.52</v>
      </c>
      <c r="N43" s="134">
        <v>167.1</v>
      </c>
      <c r="O43" s="134">
        <v>0</v>
      </c>
      <c r="P43" s="134">
        <v>0.78</v>
      </c>
      <c r="Q43" s="134">
        <v>6.4</v>
      </c>
    </row>
    <row r="44" spans="1:17" customFormat="1">
      <c r="A44" s="112" t="s">
        <v>465</v>
      </c>
      <c r="B44" s="134">
        <v>22.83</v>
      </c>
      <c r="C44" s="134">
        <v>57.99</v>
      </c>
      <c r="D44" s="134">
        <v>47.56</v>
      </c>
      <c r="E44" s="134">
        <v>32.86</v>
      </c>
      <c r="F44" s="134">
        <v>24.44</v>
      </c>
      <c r="G44" s="134">
        <v>93.65</v>
      </c>
      <c r="H44" s="134">
        <v>28.26</v>
      </c>
      <c r="I44" s="134">
        <v>7.38</v>
      </c>
      <c r="J44" s="134">
        <v>0.76</v>
      </c>
      <c r="K44" s="134">
        <v>61.97</v>
      </c>
      <c r="L44" s="134">
        <v>36.450000000000003</v>
      </c>
      <c r="M44" s="134">
        <v>28.34</v>
      </c>
      <c r="N44" s="134">
        <v>162.9</v>
      </c>
      <c r="O44" s="134">
        <v>0</v>
      </c>
      <c r="P44" s="134">
        <v>0.78</v>
      </c>
      <c r="Q44" s="134">
        <v>6.35</v>
      </c>
    </row>
    <row r="45" spans="1:17" customFormat="1">
      <c r="A45" s="112" t="s">
        <v>466</v>
      </c>
      <c r="B45" s="134">
        <v>22.57</v>
      </c>
      <c r="C45" s="134">
        <v>60.42</v>
      </c>
      <c r="D45" s="134">
        <v>48.62</v>
      </c>
      <c r="E45" s="134">
        <v>48.72</v>
      </c>
      <c r="F45" s="134">
        <v>18.7</v>
      </c>
      <c r="G45" s="134">
        <v>93.65</v>
      </c>
      <c r="H45" s="134">
        <v>28.26</v>
      </c>
      <c r="I45" s="134">
        <v>7.39</v>
      </c>
      <c r="J45" s="134">
        <v>0.99</v>
      </c>
      <c r="K45" s="134">
        <v>63.07</v>
      </c>
      <c r="L45" s="134">
        <v>36.92</v>
      </c>
      <c r="M45" s="134">
        <v>27.21</v>
      </c>
      <c r="N45" s="134">
        <v>177.5</v>
      </c>
      <c r="O45" s="134">
        <v>0</v>
      </c>
      <c r="P45" s="134">
        <v>0.75</v>
      </c>
      <c r="Q45" s="134">
        <v>6.25</v>
      </c>
    </row>
    <row r="46" spans="1:17" customFormat="1">
      <c r="A46" s="112" t="s">
        <v>467</v>
      </c>
      <c r="B46" s="134">
        <v>22.24</v>
      </c>
      <c r="C46" s="134">
        <v>63.33</v>
      </c>
      <c r="D46" s="134">
        <v>49.88</v>
      </c>
      <c r="E46" s="134">
        <v>50.99</v>
      </c>
      <c r="F46" s="134">
        <v>15.59</v>
      </c>
      <c r="G46" s="134">
        <v>93.6</v>
      </c>
      <c r="H46" s="134">
        <v>27.42</v>
      </c>
      <c r="I46" s="134">
        <v>7.32</v>
      </c>
      <c r="J46" s="134">
        <v>0.72</v>
      </c>
      <c r="K46" s="134">
        <v>76.47</v>
      </c>
      <c r="L46" s="134">
        <v>36.93</v>
      </c>
      <c r="M46" s="134">
        <v>27.36</v>
      </c>
      <c r="N46" s="134">
        <v>182.2</v>
      </c>
      <c r="O46" s="134">
        <v>0</v>
      </c>
      <c r="P46" s="134">
        <v>0.77</v>
      </c>
      <c r="Q46" s="134">
        <v>6.18</v>
      </c>
    </row>
    <row r="47" spans="1:17" customFormat="1">
      <c r="A47" s="112" t="s">
        <v>468</v>
      </c>
      <c r="B47" s="134">
        <v>21.75</v>
      </c>
      <c r="C47" s="134">
        <v>62.84</v>
      </c>
      <c r="D47" s="134">
        <v>49.23</v>
      </c>
      <c r="E47" s="134">
        <v>43.78</v>
      </c>
      <c r="F47" s="134">
        <v>13.91</v>
      </c>
      <c r="G47" s="134">
        <v>93.51</v>
      </c>
      <c r="H47" s="134">
        <v>26.71</v>
      </c>
      <c r="I47" s="134">
        <v>7.03</v>
      </c>
      <c r="J47" s="134">
        <v>0.83</v>
      </c>
      <c r="K47" s="134">
        <v>74.260000000000005</v>
      </c>
      <c r="L47" s="134">
        <v>36.4</v>
      </c>
      <c r="M47" s="134">
        <v>27.97</v>
      </c>
      <c r="N47" s="134">
        <v>187.5</v>
      </c>
      <c r="O47" s="134">
        <v>0</v>
      </c>
      <c r="P47" s="134">
        <v>0.78</v>
      </c>
      <c r="Q47" s="134">
        <v>6.13</v>
      </c>
    </row>
    <row r="48" spans="1:17" customFormat="1">
      <c r="A48" s="112" t="s">
        <v>469</v>
      </c>
      <c r="B48" s="134">
        <v>21.25</v>
      </c>
      <c r="C48" s="134">
        <v>65.17</v>
      </c>
      <c r="D48" s="134">
        <v>50.05</v>
      </c>
      <c r="E48" s="134">
        <v>27.61</v>
      </c>
      <c r="F48" s="134">
        <v>11.77</v>
      </c>
      <c r="G48" s="134">
        <v>93.51</v>
      </c>
      <c r="H48" s="134">
        <v>26.71</v>
      </c>
      <c r="I48" s="134">
        <v>7.17</v>
      </c>
      <c r="J48" s="134">
        <v>1.02</v>
      </c>
      <c r="K48" s="134">
        <v>74.47</v>
      </c>
      <c r="L48" s="134">
        <v>37.61</v>
      </c>
      <c r="M48" s="134">
        <v>26.16</v>
      </c>
      <c r="N48" s="134">
        <v>195.1</v>
      </c>
      <c r="O48" s="134">
        <v>0</v>
      </c>
      <c r="P48" s="134">
        <v>0.77</v>
      </c>
      <c r="Q48" s="134">
        <v>6.09</v>
      </c>
    </row>
    <row r="49" spans="1:17" customFormat="1">
      <c r="A49" s="112" t="s">
        <v>470</v>
      </c>
      <c r="B49" s="134">
        <v>18.95</v>
      </c>
      <c r="C49" s="134">
        <v>59.72</v>
      </c>
      <c r="D49" s="134">
        <v>45.36</v>
      </c>
      <c r="E49" s="134">
        <v>11.2</v>
      </c>
      <c r="F49" s="134">
        <v>18.61</v>
      </c>
      <c r="G49" s="134">
        <v>93.51</v>
      </c>
      <c r="H49" s="134">
        <v>26.71</v>
      </c>
      <c r="I49" s="134">
        <v>7.25</v>
      </c>
      <c r="J49" s="134">
        <v>0.97</v>
      </c>
      <c r="K49" s="134">
        <v>70.66</v>
      </c>
      <c r="L49" s="134">
        <v>38.11</v>
      </c>
      <c r="M49" s="134">
        <v>25.04</v>
      </c>
      <c r="N49" s="134">
        <v>185.1</v>
      </c>
      <c r="O49" s="134">
        <v>0</v>
      </c>
      <c r="P49" s="134">
        <v>0.75</v>
      </c>
      <c r="Q49" s="134">
        <v>5.99</v>
      </c>
    </row>
    <row r="50" spans="1:17" customFormat="1">
      <c r="A50" s="112" t="s">
        <v>471</v>
      </c>
      <c r="B50" s="134">
        <v>16.47</v>
      </c>
      <c r="C50" s="134">
        <v>62.82</v>
      </c>
      <c r="D50" s="134">
        <v>44.98</v>
      </c>
      <c r="E50" s="134">
        <v>15.56</v>
      </c>
      <c r="F50" s="134">
        <v>21.39</v>
      </c>
      <c r="G50" s="134">
        <v>92.08</v>
      </c>
      <c r="H50" s="134">
        <v>26.26</v>
      </c>
      <c r="I50" s="134">
        <v>7.16</v>
      </c>
      <c r="J50" s="134">
        <v>1.24</v>
      </c>
      <c r="K50" s="134">
        <v>67.06</v>
      </c>
      <c r="L50" s="134">
        <v>38.47</v>
      </c>
      <c r="M50" s="134">
        <v>24.29</v>
      </c>
      <c r="N50" s="134">
        <v>162.80000000000001</v>
      </c>
      <c r="O50" s="134">
        <v>0</v>
      </c>
      <c r="P50" s="134">
        <v>0.72</v>
      </c>
      <c r="Q50" s="134">
        <v>5.93</v>
      </c>
    </row>
    <row r="51" spans="1:17" customFormat="1">
      <c r="A51" s="112" t="s">
        <v>472</v>
      </c>
      <c r="B51" s="134">
        <v>15.13</v>
      </c>
      <c r="C51" s="134">
        <v>63.67</v>
      </c>
      <c r="D51" s="134">
        <v>44.35</v>
      </c>
      <c r="E51" s="134">
        <v>11.53</v>
      </c>
      <c r="F51" s="134">
        <v>20.14</v>
      </c>
      <c r="G51" s="134">
        <v>90.03</v>
      </c>
      <c r="H51" s="134">
        <v>25.88</v>
      </c>
      <c r="I51" s="134">
        <v>6.94</v>
      </c>
      <c r="J51" s="134">
        <v>0.69</v>
      </c>
      <c r="K51" s="134">
        <v>89.15</v>
      </c>
      <c r="L51" s="134">
        <v>38.97</v>
      </c>
      <c r="M51" s="134">
        <v>23.52</v>
      </c>
      <c r="N51" s="134">
        <v>163.5</v>
      </c>
      <c r="O51" s="134">
        <v>0</v>
      </c>
      <c r="P51" s="134">
        <v>0.71</v>
      </c>
      <c r="Q51" s="134">
        <v>5.82</v>
      </c>
    </row>
    <row r="52" spans="1:17" customFormat="1">
      <c r="A52" s="112" t="s">
        <v>473</v>
      </c>
      <c r="B52" s="134">
        <v>12.46</v>
      </c>
      <c r="C52" s="134">
        <v>62.47</v>
      </c>
      <c r="D52" s="134">
        <v>41.59</v>
      </c>
      <c r="E52" s="134">
        <v>10.32</v>
      </c>
      <c r="F52" s="134">
        <v>23.95</v>
      </c>
      <c r="G52" s="134">
        <v>90.03</v>
      </c>
      <c r="H52" s="134">
        <v>25.88</v>
      </c>
      <c r="I52" s="134">
        <v>6.8</v>
      </c>
      <c r="J52" s="134">
        <v>0.79</v>
      </c>
      <c r="K52" s="134">
        <v>91.35</v>
      </c>
      <c r="L52" s="134">
        <v>39.78</v>
      </c>
      <c r="M52" s="134">
        <v>21.65</v>
      </c>
      <c r="N52" s="134">
        <v>163.9</v>
      </c>
      <c r="O52" s="134">
        <v>0</v>
      </c>
      <c r="P52" s="134">
        <v>0.67</v>
      </c>
      <c r="Q52" s="134">
        <v>5.69</v>
      </c>
    </row>
    <row r="53" spans="1:17" customFormat="1">
      <c r="A53" s="112" t="s">
        <v>474</v>
      </c>
      <c r="B53" s="134">
        <v>10.63</v>
      </c>
      <c r="C53" s="134">
        <v>57.3</v>
      </c>
      <c r="D53" s="134">
        <v>37.42</v>
      </c>
      <c r="E53" s="134">
        <v>10.81</v>
      </c>
      <c r="F53" s="134">
        <v>29.46</v>
      </c>
      <c r="G53" s="134">
        <v>90.03</v>
      </c>
      <c r="H53" s="134">
        <v>25.88</v>
      </c>
      <c r="I53" s="134">
        <v>6.91</v>
      </c>
      <c r="J53" s="134">
        <v>0.99</v>
      </c>
      <c r="K53" s="134">
        <v>72.17</v>
      </c>
      <c r="L53" s="134">
        <v>40.01</v>
      </c>
      <c r="M53" s="134">
        <v>21.26</v>
      </c>
      <c r="N53" s="134">
        <v>166.1</v>
      </c>
      <c r="O53" s="134">
        <v>0</v>
      </c>
      <c r="P53" s="134">
        <v>0.65</v>
      </c>
      <c r="Q53" s="134">
        <v>5.57</v>
      </c>
    </row>
    <row r="54" spans="1:17" customFormat="1">
      <c r="A54" s="112" t="s">
        <v>475</v>
      </c>
      <c r="B54" s="134">
        <v>8.9</v>
      </c>
      <c r="C54" s="134">
        <v>53.52</v>
      </c>
      <c r="D54" s="134">
        <v>34.049999999999997</v>
      </c>
      <c r="E54" s="134">
        <v>10.06</v>
      </c>
      <c r="F54" s="134">
        <v>36.94</v>
      </c>
      <c r="G54" s="134">
        <v>85.18</v>
      </c>
      <c r="H54" s="134">
        <v>25.44</v>
      </c>
      <c r="I54" s="134">
        <v>6.67</v>
      </c>
      <c r="J54" s="134">
        <v>1.03</v>
      </c>
      <c r="K54" s="134">
        <v>58.44</v>
      </c>
      <c r="L54" s="134">
        <v>40.020000000000003</v>
      </c>
      <c r="M54" s="134">
        <v>20.59</v>
      </c>
      <c r="N54" s="134">
        <v>171.9</v>
      </c>
      <c r="O54" s="134">
        <v>0</v>
      </c>
      <c r="P54" s="134">
        <v>0.61</v>
      </c>
      <c r="Q54" s="134">
        <v>5.47</v>
      </c>
    </row>
    <row r="55" spans="1:17" customFormat="1">
      <c r="A55" s="112" t="s">
        <v>476</v>
      </c>
      <c r="B55" s="134">
        <v>8.11</v>
      </c>
      <c r="C55" s="134">
        <v>54.57</v>
      </c>
      <c r="D55" s="134">
        <v>33.97</v>
      </c>
      <c r="E55" s="134">
        <v>9.18</v>
      </c>
      <c r="F55" s="134">
        <v>31</v>
      </c>
      <c r="G55" s="134">
        <v>78.22</v>
      </c>
      <c r="H55" s="134">
        <v>25.06</v>
      </c>
      <c r="I55" s="134">
        <v>6.25</v>
      </c>
      <c r="J55" s="134">
        <v>0.99</v>
      </c>
      <c r="K55" s="134">
        <v>64.36</v>
      </c>
      <c r="L55" s="134">
        <v>40.51</v>
      </c>
      <c r="M55" s="134">
        <v>19.3</v>
      </c>
      <c r="N55" s="134">
        <v>271</v>
      </c>
      <c r="O55" s="134">
        <v>0</v>
      </c>
      <c r="P55" s="134">
        <v>0.59</v>
      </c>
      <c r="Q55" s="134">
        <v>5.42</v>
      </c>
    </row>
    <row r="56" spans="1:17" customFormat="1">
      <c r="A56" s="112" t="s">
        <v>477</v>
      </c>
      <c r="B56" s="134">
        <v>7.45</v>
      </c>
      <c r="C56" s="134">
        <v>56.36</v>
      </c>
      <c r="D56" s="134">
        <v>34.369999999999997</v>
      </c>
      <c r="E56" s="134">
        <v>8.56</v>
      </c>
      <c r="F56" s="134">
        <v>26.96</v>
      </c>
      <c r="G56" s="134">
        <v>78.22</v>
      </c>
      <c r="H56" s="134">
        <v>25.06</v>
      </c>
      <c r="I56" s="134">
        <v>5.87</v>
      </c>
      <c r="J56" s="134">
        <v>0.59</v>
      </c>
      <c r="K56" s="134">
        <v>81.28</v>
      </c>
      <c r="L56" s="134">
        <v>41.2</v>
      </c>
      <c r="M56" s="134">
        <v>18.010000000000002</v>
      </c>
      <c r="N56" s="134">
        <v>782.8</v>
      </c>
      <c r="O56" s="134">
        <v>0</v>
      </c>
      <c r="P56" s="134">
        <v>0.59</v>
      </c>
      <c r="Q56" s="134">
        <v>5.32</v>
      </c>
    </row>
    <row r="57" spans="1:17" customFormat="1">
      <c r="A57" s="112" t="s">
        <v>478</v>
      </c>
      <c r="B57" s="134">
        <v>6.17</v>
      </c>
      <c r="C57" s="134">
        <v>51.23</v>
      </c>
      <c r="D57" s="134">
        <v>30.67</v>
      </c>
      <c r="E57" s="134">
        <v>10.18</v>
      </c>
      <c r="F57" s="134">
        <v>38.270000000000003</v>
      </c>
      <c r="G57" s="134">
        <v>78.22</v>
      </c>
      <c r="H57" s="134">
        <v>25.06</v>
      </c>
      <c r="I57" s="134">
        <v>5.87</v>
      </c>
      <c r="J57" s="134">
        <v>0.55000000000000004</v>
      </c>
      <c r="K57" s="134">
        <v>308.19</v>
      </c>
      <c r="L57" s="134">
        <v>40.68</v>
      </c>
      <c r="M57" s="134">
        <v>18.350000000000001</v>
      </c>
      <c r="N57" s="134">
        <v>788.3</v>
      </c>
      <c r="O57" s="134">
        <v>0</v>
      </c>
      <c r="P57" s="134">
        <v>0.54</v>
      </c>
      <c r="Q57" s="134">
        <v>5.24</v>
      </c>
    </row>
    <row r="58" spans="1:17" customFormat="1">
      <c r="A58" s="112" t="s">
        <v>479</v>
      </c>
      <c r="B58" s="134">
        <v>5.41</v>
      </c>
      <c r="C58" s="134">
        <v>48.8</v>
      </c>
      <c r="D58" s="134">
        <v>28.79</v>
      </c>
      <c r="E58" s="134">
        <v>11.6</v>
      </c>
      <c r="F58" s="134">
        <v>48.09</v>
      </c>
      <c r="G58" s="134">
        <v>73.819999999999993</v>
      </c>
      <c r="H58" s="134">
        <v>24.02</v>
      </c>
      <c r="I58" s="134">
        <v>5.99</v>
      </c>
      <c r="J58" s="134">
        <v>0.49</v>
      </c>
      <c r="K58" s="134">
        <v>352.93</v>
      </c>
      <c r="L58" s="134">
        <v>40.96</v>
      </c>
      <c r="M58" s="134">
        <v>17.96</v>
      </c>
      <c r="N58" s="134">
        <v>785.8</v>
      </c>
      <c r="O58" s="134">
        <v>0</v>
      </c>
      <c r="P58" s="134">
        <v>0.55000000000000004</v>
      </c>
      <c r="Q58" s="134">
        <v>5.19</v>
      </c>
    </row>
    <row r="59" spans="1:17" customFormat="1">
      <c r="A59" s="112" t="s">
        <v>480</v>
      </c>
      <c r="B59" s="134">
        <v>4.4800000000000004</v>
      </c>
      <c r="C59" s="134">
        <v>45.05</v>
      </c>
      <c r="D59" s="134">
        <v>26.08</v>
      </c>
      <c r="E59" s="134">
        <v>13.55</v>
      </c>
      <c r="F59" s="134">
        <v>52.22</v>
      </c>
      <c r="G59" s="134">
        <v>67.510000000000005</v>
      </c>
      <c r="H59" s="134">
        <v>23.13</v>
      </c>
      <c r="I59" s="134">
        <v>5.64</v>
      </c>
      <c r="J59" s="134">
        <v>0.06</v>
      </c>
      <c r="K59" s="134">
        <v>6.25</v>
      </c>
      <c r="L59" s="134">
        <v>41.93</v>
      </c>
      <c r="M59" s="134">
        <v>17.82</v>
      </c>
      <c r="N59" s="134">
        <v>546.6</v>
      </c>
      <c r="O59" s="134">
        <v>0</v>
      </c>
      <c r="P59" s="134">
        <v>0.49</v>
      </c>
      <c r="Q59" s="134">
        <v>5.12</v>
      </c>
    </row>
    <row r="60" spans="1:17" customFormat="1">
      <c r="A60" s="112" t="s">
        <v>481</v>
      </c>
      <c r="B60" s="134">
        <v>4.93</v>
      </c>
      <c r="C60" s="134">
        <v>45.61</v>
      </c>
      <c r="D60" s="134">
        <v>26.74</v>
      </c>
      <c r="E60" s="134">
        <v>14.11</v>
      </c>
      <c r="F60" s="134">
        <v>55.65</v>
      </c>
      <c r="G60" s="134">
        <v>67.510000000000005</v>
      </c>
      <c r="H60" s="134">
        <v>23.13</v>
      </c>
      <c r="I60" s="134">
        <v>5.3</v>
      </c>
      <c r="J60" s="134">
        <v>0.53</v>
      </c>
      <c r="K60" s="134">
        <v>5.16</v>
      </c>
      <c r="L60" s="134">
        <v>41.16</v>
      </c>
      <c r="M60" s="134">
        <v>17.670000000000002</v>
      </c>
      <c r="N60" s="134">
        <v>419.2</v>
      </c>
      <c r="O60" s="134">
        <v>0</v>
      </c>
      <c r="P60" s="134">
        <v>0.51</v>
      </c>
      <c r="Q60" s="134">
        <v>5.0599999999999996</v>
      </c>
    </row>
    <row r="61" spans="1:17" customFormat="1">
      <c r="A61" s="112" t="s">
        <v>482</v>
      </c>
      <c r="B61" s="134">
        <v>4.7699999999999996</v>
      </c>
      <c r="C61" s="134">
        <v>48.56</v>
      </c>
      <c r="D61" s="134">
        <v>28.15</v>
      </c>
      <c r="E61" s="134">
        <v>18.41</v>
      </c>
      <c r="F61" s="134">
        <v>49.07</v>
      </c>
      <c r="G61" s="134">
        <v>67.510000000000005</v>
      </c>
      <c r="H61" s="134">
        <v>23.13</v>
      </c>
      <c r="I61" s="134">
        <v>4.9000000000000004</v>
      </c>
      <c r="J61" s="134">
        <v>0.68</v>
      </c>
      <c r="K61" s="134">
        <v>28.02</v>
      </c>
      <c r="L61" s="134">
        <v>40.29</v>
      </c>
      <c r="M61" s="134">
        <v>18.260000000000002</v>
      </c>
      <c r="N61" s="134">
        <v>188.2</v>
      </c>
      <c r="O61" s="134">
        <v>0</v>
      </c>
      <c r="P61" s="134">
        <v>0.52</v>
      </c>
      <c r="Q61" s="134">
        <v>5.04</v>
      </c>
    </row>
    <row r="62" spans="1:17" customFormat="1">
      <c r="A62" s="112" t="s">
        <v>483</v>
      </c>
      <c r="B62" s="134">
        <v>4.49</v>
      </c>
      <c r="C62" s="134">
        <v>49.21</v>
      </c>
      <c r="D62" s="134">
        <v>28.26</v>
      </c>
      <c r="E62" s="134">
        <v>20</v>
      </c>
      <c r="F62" s="134">
        <v>56.56</v>
      </c>
      <c r="G62" s="134">
        <v>65.63</v>
      </c>
      <c r="H62" s="134">
        <v>22.77</v>
      </c>
      <c r="I62" s="134">
        <v>4.5999999999999996</v>
      </c>
      <c r="J62" s="134">
        <v>0.75</v>
      </c>
      <c r="K62" s="134">
        <v>327.01</v>
      </c>
      <c r="L62" s="134">
        <v>39.25</v>
      </c>
      <c r="M62" s="134">
        <v>18.95</v>
      </c>
      <c r="N62" s="134">
        <v>81.2</v>
      </c>
      <c r="O62" s="134">
        <v>0</v>
      </c>
      <c r="P62" s="134">
        <v>0.54</v>
      </c>
      <c r="Q62" s="134">
        <v>5.01</v>
      </c>
    </row>
    <row r="63" spans="1:17" customFormat="1">
      <c r="A63" s="112" t="s">
        <v>484</v>
      </c>
      <c r="B63" s="134">
        <v>4.55</v>
      </c>
      <c r="C63" s="134">
        <v>53.93</v>
      </c>
      <c r="D63" s="134">
        <v>30.78</v>
      </c>
      <c r="E63" s="134">
        <v>18.86</v>
      </c>
      <c r="F63" s="134">
        <v>26.14</v>
      </c>
      <c r="G63" s="134">
        <v>62.94</v>
      </c>
      <c r="H63" s="134">
        <v>21.92</v>
      </c>
      <c r="I63" s="134">
        <v>4.8600000000000003</v>
      </c>
      <c r="J63" s="134">
        <v>0.93</v>
      </c>
      <c r="K63" s="134">
        <v>266.94</v>
      </c>
      <c r="L63" s="134">
        <v>37.32</v>
      </c>
      <c r="M63" s="134">
        <v>28.09</v>
      </c>
      <c r="N63" s="134">
        <v>126.4</v>
      </c>
      <c r="O63" s="134">
        <v>0</v>
      </c>
      <c r="P63" s="134">
        <v>0.56000000000000005</v>
      </c>
      <c r="Q63" s="134">
        <v>4.9800000000000004</v>
      </c>
    </row>
    <row r="64" spans="1:17" customFormat="1">
      <c r="A64" s="112" t="s">
        <v>485</v>
      </c>
      <c r="B64" s="134">
        <v>3.51</v>
      </c>
      <c r="C64" s="134">
        <v>43.86</v>
      </c>
      <c r="D64" s="134">
        <v>24.69</v>
      </c>
      <c r="E64" s="134">
        <v>19.96</v>
      </c>
      <c r="F64" s="134">
        <v>59.08</v>
      </c>
      <c r="G64" s="134">
        <v>62.94</v>
      </c>
      <c r="H64" s="134">
        <v>21.92</v>
      </c>
      <c r="I64" s="134">
        <v>5.14</v>
      </c>
      <c r="J64" s="134">
        <v>0.2</v>
      </c>
      <c r="K64" s="134">
        <v>146.21</v>
      </c>
      <c r="L64" s="134">
        <v>36.76</v>
      </c>
      <c r="M64" s="134">
        <v>30.51</v>
      </c>
      <c r="N64" s="134">
        <v>446.6</v>
      </c>
      <c r="O64" s="134">
        <v>0</v>
      </c>
      <c r="P64" s="134">
        <v>0.49</v>
      </c>
      <c r="Q64" s="134">
        <v>4.95</v>
      </c>
    </row>
    <row r="65" spans="1:17" customFormat="1">
      <c r="A65" s="112" t="s">
        <v>486</v>
      </c>
      <c r="B65" s="134">
        <v>3.53</v>
      </c>
      <c r="C65" s="134">
        <v>43.61</v>
      </c>
      <c r="D65" s="134">
        <v>24.57</v>
      </c>
      <c r="E65" s="134">
        <v>20.87</v>
      </c>
      <c r="F65" s="134">
        <v>59.5</v>
      </c>
      <c r="G65" s="134">
        <v>62.94</v>
      </c>
      <c r="H65" s="134">
        <v>21.92</v>
      </c>
      <c r="I65" s="134">
        <v>5.14</v>
      </c>
      <c r="J65" s="134">
        <v>0.24</v>
      </c>
      <c r="K65" s="134">
        <v>153.09</v>
      </c>
      <c r="L65" s="134">
        <v>40.24</v>
      </c>
      <c r="M65" s="134">
        <v>19.89</v>
      </c>
      <c r="N65" s="134">
        <v>690.5</v>
      </c>
      <c r="O65" s="134">
        <v>0</v>
      </c>
      <c r="P65" s="134">
        <v>0.45</v>
      </c>
      <c r="Q65" s="134">
        <v>4.93</v>
      </c>
    </row>
    <row r="66" spans="1:17" customFormat="1">
      <c r="A66" s="112" t="s">
        <v>487</v>
      </c>
      <c r="B66" s="134">
        <v>3.75</v>
      </c>
      <c r="C66" s="134">
        <v>44.82</v>
      </c>
      <c r="D66" s="134">
        <v>25.38</v>
      </c>
      <c r="E66" s="134">
        <v>22.6</v>
      </c>
      <c r="F66" s="134">
        <v>62.74</v>
      </c>
      <c r="G66" s="134">
        <v>61.97</v>
      </c>
      <c r="H66" s="134">
        <v>26.21</v>
      </c>
      <c r="I66" s="134">
        <v>4.83</v>
      </c>
      <c r="J66" s="134">
        <v>0.48</v>
      </c>
      <c r="K66" s="134">
        <v>356.69</v>
      </c>
      <c r="L66" s="134">
        <v>40.97</v>
      </c>
      <c r="M66" s="134">
        <v>18.07</v>
      </c>
      <c r="N66" s="134">
        <v>345.1</v>
      </c>
      <c r="O66" s="134">
        <v>0</v>
      </c>
      <c r="P66" s="134">
        <v>0.48</v>
      </c>
      <c r="Q66" s="134">
        <v>4.91</v>
      </c>
    </row>
    <row r="67" spans="1:17" customFormat="1">
      <c r="A67" s="112" t="s">
        <v>488</v>
      </c>
      <c r="B67" s="134">
        <v>3.76</v>
      </c>
      <c r="C67" s="134">
        <v>49.09</v>
      </c>
      <c r="D67" s="134">
        <v>27.62</v>
      </c>
      <c r="E67" s="134">
        <v>22.22</v>
      </c>
      <c r="F67" s="134">
        <v>37.04</v>
      </c>
      <c r="G67" s="134">
        <v>60.57</v>
      </c>
      <c r="H67" s="134">
        <v>29.9</v>
      </c>
      <c r="I67" s="134">
        <v>4.33</v>
      </c>
      <c r="J67" s="134">
        <v>0.55000000000000004</v>
      </c>
      <c r="K67" s="134">
        <v>2.09</v>
      </c>
      <c r="L67" s="134">
        <v>39.43</v>
      </c>
      <c r="M67" s="134">
        <v>18.95</v>
      </c>
      <c r="N67" s="134">
        <v>102.2</v>
      </c>
      <c r="O67" s="134">
        <v>0</v>
      </c>
      <c r="P67" s="134">
        <v>0.52</v>
      </c>
      <c r="Q67" s="134">
        <v>4.9000000000000004</v>
      </c>
    </row>
    <row r="68" spans="1:17" customFormat="1">
      <c r="A68" s="112" t="s">
        <v>489</v>
      </c>
      <c r="B68" s="134">
        <v>3.86</v>
      </c>
      <c r="C68" s="134">
        <v>50.73</v>
      </c>
      <c r="D68" s="134">
        <v>28.56</v>
      </c>
      <c r="E68" s="134">
        <v>23.14</v>
      </c>
      <c r="F68" s="134">
        <v>36.72</v>
      </c>
      <c r="G68" s="134">
        <v>60.57</v>
      </c>
      <c r="H68" s="134">
        <v>29.9</v>
      </c>
      <c r="I68" s="134">
        <v>4.2699999999999996</v>
      </c>
      <c r="J68" s="134">
        <v>1.07</v>
      </c>
      <c r="K68" s="134">
        <v>326.88</v>
      </c>
      <c r="L68" s="134">
        <v>38.76</v>
      </c>
      <c r="M68" s="134">
        <v>19.5</v>
      </c>
      <c r="N68" s="134">
        <v>64.2</v>
      </c>
      <c r="O68" s="134">
        <v>0</v>
      </c>
      <c r="P68" s="134">
        <v>0.56999999999999995</v>
      </c>
      <c r="Q68" s="134">
        <v>4.9000000000000004</v>
      </c>
    </row>
    <row r="69" spans="1:17" customFormat="1">
      <c r="A69" s="112" t="s">
        <v>490</v>
      </c>
      <c r="B69" s="134">
        <v>4.05</v>
      </c>
      <c r="C69" s="134">
        <v>53.01</v>
      </c>
      <c r="D69" s="134">
        <v>29.9</v>
      </c>
      <c r="E69" s="134">
        <v>13.15</v>
      </c>
      <c r="F69" s="134">
        <v>26.24</v>
      </c>
      <c r="G69" s="134">
        <v>60.57</v>
      </c>
      <c r="H69" s="134">
        <v>29.9</v>
      </c>
      <c r="I69" s="134">
        <v>4.7</v>
      </c>
      <c r="J69" s="134">
        <v>1.39</v>
      </c>
      <c r="K69" s="134">
        <v>300.77999999999997</v>
      </c>
      <c r="L69" s="134">
        <v>38.270000000000003</v>
      </c>
      <c r="M69" s="134">
        <v>19.809999999999999</v>
      </c>
      <c r="N69" s="134">
        <v>65.5</v>
      </c>
      <c r="O69" s="134">
        <v>0</v>
      </c>
      <c r="P69" s="134">
        <v>0.54</v>
      </c>
      <c r="Q69" s="134">
        <v>4.8899999999999997</v>
      </c>
    </row>
    <row r="70" spans="1:17" customFormat="1">
      <c r="A70" s="112" t="s">
        <v>491</v>
      </c>
      <c r="B70" s="134">
        <v>3.9</v>
      </c>
      <c r="C70" s="134">
        <v>50.64</v>
      </c>
      <c r="D70" s="134">
        <v>28.54</v>
      </c>
      <c r="E70" s="134">
        <v>12.02</v>
      </c>
      <c r="F70" s="134">
        <v>30.5</v>
      </c>
      <c r="G70" s="134">
        <v>62.04</v>
      </c>
      <c r="H70" s="134">
        <v>43.44</v>
      </c>
      <c r="I70" s="134">
        <v>5.29</v>
      </c>
      <c r="J70" s="134">
        <v>1.06</v>
      </c>
      <c r="K70" s="134">
        <v>271.02999999999997</v>
      </c>
      <c r="L70" s="134">
        <v>37.630000000000003</v>
      </c>
      <c r="M70" s="134">
        <v>23.19</v>
      </c>
      <c r="N70" s="134">
        <v>154.6</v>
      </c>
      <c r="O70" s="134">
        <v>0</v>
      </c>
      <c r="P70" s="134">
        <v>0.53</v>
      </c>
      <c r="Q70" s="134">
        <v>4.83</v>
      </c>
    </row>
    <row r="71" spans="1:17" customFormat="1">
      <c r="A71" s="112" t="s">
        <v>492</v>
      </c>
      <c r="B71" s="134">
        <v>3.68</v>
      </c>
      <c r="C71" s="134">
        <v>50.36</v>
      </c>
      <c r="D71" s="134">
        <v>28.21</v>
      </c>
      <c r="E71" s="134">
        <v>14.24</v>
      </c>
      <c r="F71" s="134">
        <v>34.409999999999997</v>
      </c>
      <c r="G71" s="134">
        <v>64.150000000000006</v>
      </c>
      <c r="H71" s="134">
        <v>55.1</v>
      </c>
      <c r="I71" s="134">
        <v>5.16</v>
      </c>
      <c r="J71" s="134">
        <v>0.92</v>
      </c>
      <c r="K71" s="134">
        <v>261.14</v>
      </c>
      <c r="L71" s="134">
        <v>36.86</v>
      </c>
      <c r="M71" s="134">
        <v>27.45</v>
      </c>
      <c r="N71" s="134">
        <v>172.6</v>
      </c>
      <c r="O71" s="134">
        <v>0</v>
      </c>
      <c r="P71" s="134">
        <v>0.56999999999999995</v>
      </c>
      <c r="Q71" s="134">
        <v>4.88</v>
      </c>
    </row>
    <row r="72" spans="1:17" customFormat="1">
      <c r="A72" s="112" t="s">
        <v>493</v>
      </c>
      <c r="B72" s="134">
        <v>3.26</v>
      </c>
      <c r="C72" s="134">
        <v>48.16</v>
      </c>
      <c r="D72" s="134">
        <v>26.73</v>
      </c>
      <c r="E72" s="134">
        <v>13.17</v>
      </c>
      <c r="F72" s="134">
        <v>34.770000000000003</v>
      </c>
      <c r="G72" s="134">
        <v>64.150000000000006</v>
      </c>
      <c r="H72" s="134">
        <v>55.1</v>
      </c>
      <c r="I72" s="134">
        <v>5.2</v>
      </c>
      <c r="J72" s="134">
        <v>0.69</v>
      </c>
      <c r="K72" s="134">
        <v>266.58</v>
      </c>
      <c r="L72" s="134">
        <v>36.24</v>
      </c>
      <c r="M72" s="134">
        <v>29.7</v>
      </c>
      <c r="N72" s="134">
        <v>148.69999999999999</v>
      </c>
      <c r="O72" s="134">
        <v>0</v>
      </c>
      <c r="P72" s="134">
        <v>0.53</v>
      </c>
      <c r="Q72" s="134">
        <v>4.87</v>
      </c>
    </row>
    <row r="73" spans="1:17" customFormat="1">
      <c r="A73" s="112" t="s">
        <v>494</v>
      </c>
      <c r="B73" s="134">
        <v>3.29</v>
      </c>
      <c r="C73" s="134">
        <v>48.94</v>
      </c>
      <c r="D73" s="134">
        <v>27.16</v>
      </c>
      <c r="E73" s="134">
        <v>12.07</v>
      </c>
      <c r="F73" s="134">
        <v>38.58</v>
      </c>
      <c r="G73" s="134">
        <v>64.150000000000006</v>
      </c>
      <c r="H73" s="134">
        <v>55.1</v>
      </c>
      <c r="I73" s="134">
        <v>5.2</v>
      </c>
      <c r="J73" s="134">
        <v>0.66</v>
      </c>
      <c r="K73" s="134">
        <v>262.27</v>
      </c>
      <c r="L73" s="134">
        <v>36.53</v>
      </c>
      <c r="M73" s="134">
        <v>28.1</v>
      </c>
      <c r="N73" s="134">
        <v>201.9</v>
      </c>
      <c r="O73" s="134">
        <v>0</v>
      </c>
      <c r="P73" s="134">
        <v>0.52</v>
      </c>
      <c r="Q73" s="134">
        <v>4.8499999999999996</v>
      </c>
    </row>
    <row r="74" spans="1:17" customFormat="1">
      <c r="A74" s="112" t="s">
        <v>495</v>
      </c>
      <c r="B74" s="134">
        <v>3.04</v>
      </c>
      <c r="C74" s="134">
        <v>42.25</v>
      </c>
      <c r="D74" s="134">
        <v>23.46</v>
      </c>
      <c r="E74" s="134">
        <v>14.87</v>
      </c>
      <c r="F74" s="134">
        <v>56.05</v>
      </c>
      <c r="G74" s="134">
        <v>64.69</v>
      </c>
      <c r="H74" s="134">
        <v>55.86</v>
      </c>
      <c r="I74" s="134">
        <v>4.95</v>
      </c>
      <c r="J74" s="134">
        <v>0.5</v>
      </c>
      <c r="K74" s="134">
        <v>269.27</v>
      </c>
      <c r="L74" s="134">
        <v>36.99</v>
      </c>
      <c r="M74" s="134">
        <v>27.03</v>
      </c>
      <c r="N74" s="134">
        <v>138.19999999999999</v>
      </c>
      <c r="O74" s="134">
        <v>0</v>
      </c>
      <c r="P74" s="134">
        <v>0.49</v>
      </c>
      <c r="Q74" s="134">
        <v>4.83</v>
      </c>
    </row>
    <row r="75" spans="1:17" customFormat="1">
      <c r="A75" s="112" t="s">
        <v>496</v>
      </c>
      <c r="B75" s="134">
        <v>3.08</v>
      </c>
      <c r="C75" s="134">
        <v>44.88</v>
      </c>
      <c r="D75" s="134">
        <v>24.87</v>
      </c>
      <c r="E75" s="134">
        <v>14.85</v>
      </c>
      <c r="F75" s="134">
        <v>47.52</v>
      </c>
      <c r="G75" s="134">
        <v>65.47</v>
      </c>
      <c r="H75" s="134">
        <v>56.52</v>
      </c>
      <c r="I75" s="134">
        <v>4.62</v>
      </c>
      <c r="J75" s="134">
        <v>0.66</v>
      </c>
      <c r="K75" s="134">
        <v>257.14999999999998</v>
      </c>
      <c r="L75" s="134">
        <v>37.24</v>
      </c>
      <c r="M75" s="134">
        <v>25.54</v>
      </c>
      <c r="N75" s="134">
        <v>114.7</v>
      </c>
      <c r="O75" s="134">
        <v>0</v>
      </c>
      <c r="P75" s="134">
        <v>0.53</v>
      </c>
      <c r="Q75" s="134">
        <v>4.8099999999999996</v>
      </c>
    </row>
    <row r="76" spans="1:17" customFormat="1">
      <c r="A76" s="112" t="s">
        <v>497</v>
      </c>
      <c r="B76" s="134">
        <v>2.93</v>
      </c>
      <c r="C76" s="134">
        <v>40.99</v>
      </c>
      <c r="D76" s="134">
        <v>22.72</v>
      </c>
      <c r="E76" s="134">
        <v>15.32</v>
      </c>
      <c r="F76" s="134">
        <v>56.75</v>
      </c>
      <c r="G76" s="134">
        <v>65.47</v>
      </c>
      <c r="H76" s="134">
        <v>56.52</v>
      </c>
      <c r="I76" s="134">
        <v>4.4000000000000004</v>
      </c>
      <c r="J76" s="134">
        <v>0.46</v>
      </c>
      <c r="K76" s="134">
        <v>265.33999999999997</v>
      </c>
      <c r="L76" s="134">
        <v>37.119999999999997</v>
      </c>
      <c r="M76" s="134">
        <v>25.96</v>
      </c>
      <c r="N76" s="134">
        <v>97.1</v>
      </c>
      <c r="O76" s="134">
        <v>0</v>
      </c>
      <c r="P76" s="134">
        <v>0.51</v>
      </c>
      <c r="Q76" s="134">
        <v>4.8</v>
      </c>
    </row>
    <row r="77" spans="1:17" customFormat="1">
      <c r="A77" s="112" t="s">
        <v>498</v>
      </c>
      <c r="B77" s="134">
        <v>4.7300000000000004</v>
      </c>
      <c r="C77" s="134">
        <v>50.03</v>
      </c>
      <c r="D77" s="134">
        <v>28.89</v>
      </c>
      <c r="E77" s="134">
        <v>15.43</v>
      </c>
      <c r="F77" s="134">
        <v>50.86</v>
      </c>
      <c r="G77" s="134">
        <v>65.47</v>
      </c>
      <c r="H77" s="134">
        <v>56.52</v>
      </c>
      <c r="I77" s="134">
        <v>4.47</v>
      </c>
      <c r="J77" s="134">
        <v>0.33</v>
      </c>
      <c r="K77" s="134">
        <v>290.25</v>
      </c>
      <c r="L77" s="134">
        <v>37.75</v>
      </c>
      <c r="M77" s="134">
        <v>24.19</v>
      </c>
      <c r="N77" s="134">
        <v>122.9</v>
      </c>
      <c r="O77" s="134">
        <v>0</v>
      </c>
      <c r="P77" s="134">
        <v>0.61</v>
      </c>
      <c r="Q77" s="134">
        <v>4.8099999999999996</v>
      </c>
    </row>
    <row r="78" spans="1:17" customFormat="1">
      <c r="A78" s="112" t="s">
        <v>499</v>
      </c>
      <c r="B78" s="134">
        <v>4.1399999999999997</v>
      </c>
      <c r="C78" s="134">
        <v>51.74</v>
      </c>
      <c r="D78" s="134">
        <v>29.31</v>
      </c>
      <c r="E78" s="134">
        <v>16.760000000000002</v>
      </c>
      <c r="F78" s="134">
        <v>51.26</v>
      </c>
      <c r="G78" s="134">
        <v>63.89</v>
      </c>
      <c r="H78" s="134">
        <v>56.94</v>
      </c>
      <c r="I78" s="134">
        <v>4.3600000000000003</v>
      </c>
      <c r="J78" s="134">
        <v>0.43</v>
      </c>
      <c r="K78" s="134">
        <v>283.57</v>
      </c>
      <c r="L78" s="134">
        <v>38.18</v>
      </c>
      <c r="M78" s="134">
        <v>23.29</v>
      </c>
      <c r="N78" s="134">
        <v>116.3</v>
      </c>
      <c r="O78" s="134">
        <v>0</v>
      </c>
      <c r="P78" s="134">
        <v>0.62</v>
      </c>
      <c r="Q78" s="134">
        <v>4.83</v>
      </c>
    </row>
    <row r="79" spans="1:17" customFormat="1">
      <c r="A79" s="112" t="s">
        <v>500</v>
      </c>
      <c r="B79" s="134">
        <v>4.75</v>
      </c>
      <c r="C79" s="134">
        <v>53.81</v>
      </c>
      <c r="D79" s="134">
        <v>30.87</v>
      </c>
      <c r="E79" s="134">
        <v>16.059999999999999</v>
      </c>
      <c r="F79" s="134">
        <v>45.58</v>
      </c>
      <c r="G79" s="134">
        <v>61.63</v>
      </c>
      <c r="H79" s="134">
        <v>57.3</v>
      </c>
      <c r="I79" s="134">
        <v>4.46</v>
      </c>
      <c r="J79" s="134">
        <v>0.28999999999999998</v>
      </c>
      <c r="K79" s="134">
        <v>309.58999999999997</v>
      </c>
      <c r="L79" s="134">
        <v>38.369999999999997</v>
      </c>
      <c r="M79" s="134">
        <v>22.74</v>
      </c>
      <c r="N79" s="134">
        <v>74.400000000000006</v>
      </c>
      <c r="O79" s="134">
        <v>0</v>
      </c>
      <c r="P79" s="134">
        <v>0.68</v>
      </c>
      <c r="Q79" s="134">
        <v>4.83</v>
      </c>
    </row>
    <row r="80" spans="1:17" customFormat="1">
      <c r="A80" s="112" t="s">
        <v>501</v>
      </c>
      <c r="B80" s="134">
        <v>3.87</v>
      </c>
      <c r="C80" s="134">
        <v>50.89</v>
      </c>
      <c r="D80" s="134">
        <v>28.65</v>
      </c>
      <c r="E80" s="134">
        <v>16.7</v>
      </c>
      <c r="F80" s="134">
        <v>48.77</v>
      </c>
      <c r="G80" s="134">
        <v>61.63</v>
      </c>
      <c r="H80" s="134">
        <v>57.3</v>
      </c>
      <c r="I80" s="134">
        <v>4.68</v>
      </c>
      <c r="J80" s="134">
        <v>0.1</v>
      </c>
      <c r="K80" s="134">
        <v>212.85</v>
      </c>
      <c r="L80" s="134">
        <v>37.979999999999997</v>
      </c>
      <c r="M80" s="134">
        <v>24.99</v>
      </c>
      <c r="N80" s="134">
        <v>51.1</v>
      </c>
      <c r="O80" s="134">
        <v>0</v>
      </c>
      <c r="P80" s="134">
        <v>0.66</v>
      </c>
      <c r="Q80" s="134">
        <v>4.88</v>
      </c>
    </row>
    <row r="81" spans="1:17" customFormat="1">
      <c r="A81" s="112" t="s">
        <v>502</v>
      </c>
      <c r="B81" s="134">
        <v>3.2</v>
      </c>
      <c r="C81" s="134">
        <v>48.76</v>
      </c>
      <c r="D81" s="134">
        <v>27</v>
      </c>
      <c r="E81" s="134">
        <v>9.91</v>
      </c>
      <c r="F81" s="134">
        <v>50.33</v>
      </c>
      <c r="G81" s="134">
        <v>61.63</v>
      </c>
      <c r="H81" s="134">
        <v>57.3</v>
      </c>
      <c r="I81" s="134">
        <v>4.82</v>
      </c>
      <c r="J81" s="134">
        <v>0.19</v>
      </c>
      <c r="K81" s="134">
        <v>173.5</v>
      </c>
      <c r="L81" s="134">
        <v>37.35</v>
      </c>
      <c r="M81" s="134">
        <v>26.94</v>
      </c>
      <c r="N81" s="134">
        <v>17.399999999999999</v>
      </c>
      <c r="O81" s="134">
        <v>0</v>
      </c>
      <c r="P81" s="134">
        <v>0.69</v>
      </c>
      <c r="Q81" s="134">
        <v>4.93</v>
      </c>
    </row>
    <row r="82" spans="1:17" customFormat="1">
      <c r="A82" s="112" t="s">
        <v>503</v>
      </c>
      <c r="B82" s="134">
        <v>3.57</v>
      </c>
      <c r="C82" s="134">
        <v>61.29</v>
      </c>
      <c r="D82" s="134">
        <v>33.840000000000003</v>
      </c>
      <c r="E82" s="134">
        <v>13.24</v>
      </c>
      <c r="F82" s="134">
        <v>31.45</v>
      </c>
      <c r="G82" s="134">
        <v>62.8</v>
      </c>
      <c r="H82" s="134">
        <v>51.21</v>
      </c>
      <c r="I82" s="134">
        <v>4.87</v>
      </c>
      <c r="J82" s="134">
        <v>0.19</v>
      </c>
      <c r="K82" s="134">
        <v>158.69999999999999</v>
      </c>
      <c r="L82" s="134">
        <v>36.450000000000003</v>
      </c>
      <c r="M82" s="134">
        <v>28.94</v>
      </c>
      <c r="N82" s="134">
        <v>0</v>
      </c>
      <c r="O82" s="134">
        <v>0</v>
      </c>
      <c r="P82" s="134">
        <v>0.82</v>
      </c>
      <c r="Q82" s="134">
        <v>4.95</v>
      </c>
    </row>
    <row r="83" spans="1:17" customFormat="1">
      <c r="A83" s="112" t="s">
        <v>504</v>
      </c>
      <c r="B83" s="134">
        <v>3.7</v>
      </c>
      <c r="C83" s="134">
        <v>63.62</v>
      </c>
      <c r="D83" s="134">
        <v>35.159999999999997</v>
      </c>
      <c r="E83" s="134">
        <v>11.92</v>
      </c>
      <c r="F83" s="134">
        <v>23.27</v>
      </c>
      <c r="G83" s="134">
        <v>64.48</v>
      </c>
      <c r="H83" s="134">
        <v>45.96</v>
      </c>
      <c r="I83" s="134">
        <v>5.13</v>
      </c>
      <c r="J83" s="134">
        <v>0.23</v>
      </c>
      <c r="K83" s="134">
        <v>164.79</v>
      </c>
      <c r="L83" s="134">
        <v>35.69</v>
      </c>
      <c r="M83" s="134">
        <v>30.68</v>
      </c>
      <c r="N83" s="134">
        <v>0</v>
      </c>
      <c r="O83" s="134">
        <v>0</v>
      </c>
      <c r="P83" s="134">
        <v>0.87</v>
      </c>
      <c r="Q83" s="134">
        <v>4.96</v>
      </c>
    </row>
    <row r="84" spans="1:17" customFormat="1">
      <c r="A84" s="112" t="s">
        <v>505</v>
      </c>
      <c r="B84" s="134">
        <v>10.130000000000001</v>
      </c>
      <c r="C84" s="134">
        <v>75.930000000000007</v>
      </c>
      <c r="D84" s="134">
        <v>48.21</v>
      </c>
      <c r="E84" s="134">
        <v>11.83</v>
      </c>
      <c r="F84" s="134">
        <v>8.25</v>
      </c>
      <c r="G84" s="134">
        <v>64.48</v>
      </c>
      <c r="H84" s="134">
        <v>45.96</v>
      </c>
      <c r="I84" s="134">
        <v>6.02</v>
      </c>
      <c r="J84" s="134">
        <v>0.18</v>
      </c>
      <c r="K84" s="134">
        <v>184.34</v>
      </c>
      <c r="L84" s="134">
        <v>34.94</v>
      </c>
      <c r="M84" s="134">
        <v>32.14</v>
      </c>
      <c r="N84" s="134">
        <v>0</v>
      </c>
      <c r="O84" s="134">
        <v>0</v>
      </c>
      <c r="P84" s="134">
        <v>1.1000000000000001</v>
      </c>
      <c r="Q84" s="134">
        <v>5.03</v>
      </c>
    </row>
    <row r="85" spans="1:17" customFormat="1">
      <c r="A85" s="112" t="s">
        <v>506</v>
      </c>
      <c r="B85" s="134">
        <v>7.3</v>
      </c>
      <c r="C85" s="134">
        <v>74.37</v>
      </c>
      <c r="D85" s="134">
        <v>43.67</v>
      </c>
      <c r="E85" s="134">
        <v>10.38</v>
      </c>
      <c r="F85" s="134">
        <v>8.02</v>
      </c>
      <c r="G85" s="134">
        <v>64.48</v>
      </c>
      <c r="H85" s="134">
        <v>45.96</v>
      </c>
      <c r="I85" s="134">
        <v>7.16</v>
      </c>
      <c r="J85" s="134">
        <v>0.18</v>
      </c>
      <c r="K85" s="134">
        <v>175.71</v>
      </c>
      <c r="L85" s="134">
        <v>34.43</v>
      </c>
      <c r="M85" s="134">
        <v>34.54</v>
      </c>
      <c r="N85" s="134">
        <v>0</v>
      </c>
      <c r="O85" s="134">
        <v>0</v>
      </c>
      <c r="P85" s="134">
        <v>1.02</v>
      </c>
      <c r="Q85" s="134">
        <v>5.1100000000000003</v>
      </c>
    </row>
    <row r="86" spans="1:17" customFormat="1">
      <c r="A86" s="112" t="s">
        <v>507</v>
      </c>
      <c r="B86" s="134">
        <v>5.9</v>
      </c>
      <c r="C86" s="134">
        <v>68.53</v>
      </c>
      <c r="D86" s="134">
        <v>39.49</v>
      </c>
      <c r="E86" s="134">
        <v>11.39</v>
      </c>
      <c r="F86" s="134">
        <v>9.83</v>
      </c>
      <c r="G86" s="134">
        <v>73.900000000000006</v>
      </c>
      <c r="H86" s="134">
        <v>44.86</v>
      </c>
      <c r="I86" s="134">
        <v>7.49</v>
      </c>
      <c r="J86" s="134">
        <v>0.22</v>
      </c>
      <c r="K86" s="134">
        <v>160.66</v>
      </c>
      <c r="L86" s="134">
        <v>33.909999999999997</v>
      </c>
      <c r="M86" s="134">
        <v>37.090000000000003</v>
      </c>
      <c r="N86" s="134">
        <v>0</v>
      </c>
      <c r="O86" s="134">
        <v>0</v>
      </c>
      <c r="P86" s="134">
        <v>0.98</v>
      </c>
      <c r="Q86" s="134">
        <v>5.19</v>
      </c>
    </row>
    <row r="87" spans="1:17" customFormat="1">
      <c r="A87" s="112" t="s">
        <v>508</v>
      </c>
      <c r="B87" s="134">
        <v>6.4</v>
      </c>
      <c r="C87" s="134">
        <v>67.819999999999993</v>
      </c>
      <c r="D87" s="134">
        <v>39.520000000000003</v>
      </c>
      <c r="E87" s="134">
        <v>10.42</v>
      </c>
      <c r="F87" s="134">
        <v>9.09</v>
      </c>
      <c r="G87" s="134">
        <v>87.39</v>
      </c>
      <c r="H87" s="134">
        <v>42.02</v>
      </c>
      <c r="I87" s="134">
        <v>7.31</v>
      </c>
      <c r="J87" s="134">
        <v>0.26</v>
      </c>
      <c r="K87" s="134">
        <v>166.65</v>
      </c>
      <c r="L87" s="134">
        <v>33.53</v>
      </c>
      <c r="M87" s="134">
        <v>37.479999999999997</v>
      </c>
      <c r="N87" s="134">
        <v>0</v>
      </c>
      <c r="O87" s="134">
        <v>0</v>
      </c>
      <c r="P87" s="134">
        <v>0.98</v>
      </c>
      <c r="Q87" s="134">
        <v>5.22</v>
      </c>
    </row>
    <row r="88" spans="1:17" customFormat="1">
      <c r="A88" s="112" t="s">
        <v>509</v>
      </c>
      <c r="B88" s="134">
        <v>6.82</v>
      </c>
      <c r="C88" s="134">
        <v>67.84</v>
      </c>
      <c r="D88" s="134">
        <v>39.869999999999997</v>
      </c>
      <c r="E88" s="134">
        <v>10.35</v>
      </c>
      <c r="F88" s="134">
        <v>8.23</v>
      </c>
      <c r="G88" s="134">
        <v>87.39</v>
      </c>
      <c r="H88" s="134">
        <v>42.02</v>
      </c>
      <c r="I88" s="134">
        <v>7.64</v>
      </c>
      <c r="J88" s="134">
        <v>0.22</v>
      </c>
      <c r="K88" s="134">
        <v>174.76</v>
      </c>
      <c r="L88" s="134">
        <v>32.97</v>
      </c>
      <c r="M88" s="134">
        <v>38.26</v>
      </c>
      <c r="N88" s="134">
        <v>0</v>
      </c>
      <c r="O88" s="134">
        <v>0</v>
      </c>
      <c r="P88" s="134">
        <v>1.04</v>
      </c>
      <c r="Q88" s="134">
        <v>5.27</v>
      </c>
    </row>
    <row r="89" spans="1:17" customFormat="1">
      <c r="A89" s="112" t="s">
        <v>510</v>
      </c>
      <c r="B89" s="134">
        <v>6.89</v>
      </c>
      <c r="C89" s="134">
        <v>66.22</v>
      </c>
      <c r="D89" s="134">
        <v>39.08</v>
      </c>
      <c r="E89" s="134">
        <v>9.2100000000000009</v>
      </c>
      <c r="F89" s="134">
        <v>10.66</v>
      </c>
      <c r="G89" s="134">
        <v>87.39</v>
      </c>
      <c r="H89" s="134">
        <v>42.02</v>
      </c>
      <c r="I89" s="134">
        <v>7.94</v>
      </c>
      <c r="J89" s="134">
        <v>0.24</v>
      </c>
      <c r="K89" s="134">
        <v>175.61</v>
      </c>
      <c r="L89" s="134">
        <v>32.6</v>
      </c>
      <c r="M89" s="134">
        <v>38.799999999999997</v>
      </c>
      <c r="N89" s="134">
        <v>0</v>
      </c>
      <c r="O89" s="134">
        <v>0</v>
      </c>
      <c r="P89" s="134">
        <v>1.02</v>
      </c>
      <c r="Q89" s="134">
        <v>5.28</v>
      </c>
    </row>
    <row r="90" spans="1:17" customFormat="1">
      <c r="A90" s="112" t="s">
        <v>511</v>
      </c>
      <c r="B90" s="134">
        <v>7.62</v>
      </c>
      <c r="C90" s="134">
        <v>62.23</v>
      </c>
      <c r="D90" s="134">
        <v>37.58</v>
      </c>
      <c r="E90" s="134">
        <v>9.11</v>
      </c>
      <c r="F90" s="134">
        <v>13.01</v>
      </c>
      <c r="G90" s="134">
        <v>89.17</v>
      </c>
      <c r="H90" s="134">
        <v>39.92</v>
      </c>
      <c r="I90" s="134">
        <v>8.19</v>
      </c>
      <c r="J90" s="134">
        <v>0.19</v>
      </c>
      <c r="K90" s="134">
        <v>147.57</v>
      </c>
      <c r="L90" s="134">
        <v>32.35</v>
      </c>
      <c r="M90" s="134">
        <v>40.520000000000003</v>
      </c>
      <c r="N90" s="134">
        <v>0</v>
      </c>
      <c r="O90" s="134">
        <v>0</v>
      </c>
      <c r="P90" s="134">
        <v>1.02</v>
      </c>
      <c r="Q90" s="134">
        <v>5.33</v>
      </c>
    </row>
    <row r="91" spans="1:17" customFormat="1">
      <c r="A91" s="112" t="s">
        <v>512</v>
      </c>
      <c r="B91" s="134">
        <v>7.98</v>
      </c>
      <c r="C91" s="134">
        <v>62.51</v>
      </c>
      <c r="D91" s="134">
        <v>38.020000000000003</v>
      </c>
      <c r="E91" s="134">
        <v>9.99</v>
      </c>
      <c r="F91" s="134">
        <v>9.33</v>
      </c>
      <c r="G91" s="134">
        <v>91.73</v>
      </c>
      <c r="H91" s="134">
        <v>38.119999999999997</v>
      </c>
      <c r="I91" s="134">
        <v>8.01</v>
      </c>
      <c r="J91" s="134">
        <v>0.24</v>
      </c>
      <c r="K91" s="134">
        <v>162.41999999999999</v>
      </c>
      <c r="L91" s="134">
        <v>32.11</v>
      </c>
      <c r="M91" s="134">
        <v>41.3</v>
      </c>
      <c r="N91" s="134">
        <v>0</v>
      </c>
      <c r="O91" s="134">
        <v>0</v>
      </c>
      <c r="P91" s="134">
        <v>1.02</v>
      </c>
      <c r="Q91" s="134">
        <v>5.35</v>
      </c>
    </row>
    <row r="92" spans="1:17" customFormat="1">
      <c r="A92" s="112" t="s">
        <v>513</v>
      </c>
      <c r="B92" s="134">
        <v>8.36</v>
      </c>
      <c r="C92" s="134">
        <v>63.28</v>
      </c>
      <c r="D92" s="134">
        <v>38.729999999999997</v>
      </c>
      <c r="E92" s="134">
        <v>10.93</v>
      </c>
      <c r="F92" s="134">
        <v>9.3699999999999992</v>
      </c>
      <c r="G92" s="134">
        <v>91.73</v>
      </c>
      <c r="H92" s="134">
        <v>38.119999999999997</v>
      </c>
      <c r="I92" s="134">
        <v>8</v>
      </c>
      <c r="J92" s="134">
        <v>0.19</v>
      </c>
      <c r="K92" s="134">
        <v>173.71</v>
      </c>
      <c r="L92" s="134">
        <v>31.66</v>
      </c>
      <c r="M92" s="134">
        <v>41.1</v>
      </c>
      <c r="N92" s="134">
        <v>0</v>
      </c>
      <c r="O92" s="134">
        <v>0</v>
      </c>
      <c r="P92" s="134">
        <v>1.01</v>
      </c>
      <c r="Q92" s="134">
        <v>5.37</v>
      </c>
    </row>
    <row r="93" spans="1:17" customFormat="1">
      <c r="A93" s="112" t="s">
        <v>514</v>
      </c>
      <c r="B93" s="134">
        <v>9.66</v>
      </c>
      <c r="C93" s="134">
        <v>58.08</v>
      </c>
      <c r="D93" s="134">
        <v>37.049999999999997</v>
      </c>
      <c r="E93" s="134">
        <v>8.59</v>
      </c>
      <c r="F93" s="134">
        <v>12.98</v>
      </c>
      <c r="G93" s="134">
        <v>91.73</v>
      </c>
      <c r="H93" s="134">
        <v>38.119999999999997</v>
      </c>
      <c r="I93" s="134">
        <v>8.16</v>
      </c>
      <c r="J93" s="134">
        <v>0.18</v>
      </c>
      <c r="K93" s="134">
        <v>150.12</v>
      </c>
      <c r="L93" s="134">
        <v>31.58</v>
      </c>
      <c r="M93" s="134">
        <v>41.98</v>
      </c>
      <c r="N93" s="134">
        <v>0</v>
      </c>
      <c r="O93" s="134">
        <v>0</v>
      </c>
      <c r="P93" s="134">
        <v>0.97</v>
      </c>
      <c r="Q93" s="134">
        <v>5.37</v>
      </c>
    </row>
    <row r="94" spans="1:17" customFormat="1">
      <c r="A94" s="112" t="s">
        <v>515</v>
      </c>
      <c r="B94" s="134">
        <v>22.91</v>
      </c>
      <c r="C94" s="134">
        <v>64.5</v>
      </c>
      <c r="D94" s="134">
        <v>51.12</v>
      </c>
      <c r="E94" s="134">
        <v>8.34</v>
      </c>
      <c r="F94" s="134">
        <v>6.46</v>
      </c>
      <c r="G94" s="134">
        <v>90.38</v>
      </c>
      <c r="H94" s="134">
        <v>38.08</v>
      </c>
      <c r="I94" s="134">
        <v>8.17</v>
      </c>
      <c r="J94" s="134">
        <v>0.21</v>
      </c>
      <c r="K94" s="134">
        <v>161.28</v>
      </c>
      <c r="L94" s="134">
        <v>31.56</v>
      </c>
      <c r="M94" s="134">
        <v>41.93</v>
      </c>
      <c r="N94" s="134">
        <v>0</v>
      </c>
      <c r="O94" s="134">
        <v>0</v>
      </c>
      <c r="P94" s="134">
        <v>1.18</v>
      </c>
      <c r="Q94" s="134">
        <v>5.43</v>
      </c>
    </row>
    <row r="95" spans="1:17" customFormat="1">
      <c r="A95" s="112" t="s">
        <v>516</v>
      </c>
      <c r="B95" s="134">
        <v>58.28</v>
      </c>
      <c r="C95" s="134">
        <v>72.599999999999994</v>
      </c>
      <c r="D95" s="134">
        <v>85.58</v>
      </c>
      <c r="E95" s="134">
        <v>9.44</v>
      </c>
      <c r="F95" s="134">
        <v>4.71</v>
      </c>
      <c r="G95" s="134">
        <v>88.45</v>
      </c>
      <c r="H95" s="134">
        <v>38.04</v>
      </c>
      <c r="I95" s="134">
        <v>8.3000000000000007</v>
      </c>
      <c r="J95" s="134">
        <v>0.05</v>
      </c>
      <c r="K95" s="134">
        <v>124.16</v>
      </c>
      <c r="L95" s="134">
        <v>31.48</v>
      </c>
      <c r="M95" s="134">
        <v>42.94</v>
      </c>
      <c r="N95" s="134">
        <v>0</v>
      </c>
      <c r="O95" s="134">
        <v>0</v>
      </c>
      <c r="P95" s="134">
        <v>1.52</v>
      </c>
      <c r="Q95" s="134">
        <v>5.5</v>
      </c>
    </row>
    <row r="96" spans="1:17" customFormat="1">
      <c r="A96" s="112" t="s">
        <v>517</v>
      </c>
      <c r="B96" s="134">
        <v>59.84</v>
      </c>
      <c r="C96" s="134">
        <v>75.31</v>
      </c>
      <c r="D96" s="134">
        <v>86.58</v>
      </c>
      <c r="E96" s="134">
        <v>9.35</v>
      </c>
      <c r="F96" s="134">
        <v>3.97</v>
      </c>
      <c r="G96" s="134">
        <v>88.45</v>
      </c>
      <c r="H96" s="134">
        <v>38.04</v>
      </c>
      <c r="I96" s="134">
        <v>8.89</v>
      </c>
      <c r="J96" s="134">
        <v>0.15</v>
      </c>
      <c r="K96" s="134">
        <v>247.75</v>
      </c>
      <c r="L96" s="134">
        <v>31.71</v>
      </c>
      <c r="M96" s="134">
        <v>43.23</v>
      </c>
      <c r="N96" s="134">
        <v>0</v>
      </c>
      <c r="O96" s="134">
        <v>0</v>
      </c>
      <c r="P96" s="134">
        <v>1.58</v>
      </c>
      <c r="Q96" s="134">
        <v>5.74</v>
      </c>
    </row>
    <row r="97" spans="1:22" customFormat="1">
      <c r="A97" s="112" t="s">
        <v>518</v>
      </c>
      <c r="B97" s="134">
        <v>61.85</v>
      </c>
      <c r="C97" s="134">
        <v>74.38</v>
      </c>
      <c r="D97" s="134">
        <v>87.74</v>
      </c>
      <c r="E97" s="134">
        <v>8.8800000000000008</v>
      </c>
      <c r="F97" s="134">
        <v>3.76</v>
      </c>
      <c r="G97" s="134">
        <v>88.45</v>
      </c>
      <c r="H97" s="134">
        <v>38.04</v>
      </c>
      <c r="I97" s="134">
        <v>10.25</v>
      </c>
      <c r="J97" s="134">
        <v>0.23</v>
      </c>
      <c r="K97" s="134">
        <v>148.04</v>
      </c>
      <c r="L97" s="134">
        <v>31.6</v>
      </c>
      <c r="M97" s="134">
        <v>45.08</v>
      </c>
      <c r="N97" s="134">
        <v>0</v>
      </c>
      <c r="O97" s="134">
        <v>0</v>
      </c>
      <c r="P97" s="134">
        <v>1.65</v>
      </c>
      <c r="Q97" s="134">
        <v>6.09</v>
      </c>
    </row>
    <row r="98" spans="1:22" customFormat="1">
      <c r="A98" s="112" t="s">
        <v>519</v>
      </c>
      <c r="B98" s="134">
        <v>61.78</v>
      </c>
      <c r="C98" s="134">
        <v>75.2</v>
      </c>
      <c r="D98" s="134">
        <v>88.68</v>
      </c>
      <c r="E98" s="134">
        <v>11.13</v>
      </c>
      <c r="F98" s="134">
        <v>3.88</v>
      </c>
      <c r="G98" s="134">
        <v>99.54</v>
      </c>
      <c r="H98" s="134">
        <v>46.87</v>
      </c>
      <c r="I98" s="134">
        <v>11.86</v>
      </c>
      <c r="J98" s="134">
        <v>0.08</v>
      </c>
      <c r="K98" s="134">
        <v>48.24</v>
      </c>
      <c r="L98" s="134">
        <v>31.3</v>
      </c>
      <c r="M98" s="134">
        <v>44.77</v>
      </c>
      <c r="N98" s="134">
        <v>0</v>
      </c>
      <c r="O98" s="134">
        <v>0</v>
      </c>
      <c r="P98" s="134">
        <v>1.77</v>
      </c>
      <c r="Q98" s="134">
        <v>6.32</v>
      </c>
    </row>
    <row r="99" spans="1:22" customFormat="1">
      <c r="A99" s="112" t="s">
        <v>520</v>
      </c>
      <c r="B99" s="134">
        <v>62.22</v>
      </c>
      <c r="C99" s="134">
        <v>75.14</v>
      </c>
      <c r="D99" s="134">
        <v>88.33</v>
      </c>
      <c r="E99" s="134">
        <v>16.170000000000002</v>
      </c>
      <c r="F99" s="134">
        <v>3.95</v>
      </c>
      <c r="G99" s="134">
        <v>115.41</v>
      </c>
      <c r="H99" s="134">
        <v>54.47</v>
      </c>
      <c r="I99" s="134">
        <v>12.12</v>
      </c>
      <c r="J99" s="134">
        <v>0.09</v>
      </c>
      <c r="K99" s="134">
        <v>56.32</v>
      </c>
      <c r="L99" s="134">
        <v>31.71</v>
      </c>
      <c r="M99" s="134">
        <v>42.85</v>
      </c>
      <c r="N99" s="134">
        <v>0</v>
      </c>
      <c r="O99" s="134">
        <v>0</v>
      </c>
      <c r="P99" s="134">
        <v>1.83</v>
      </c>
      <c r="Q99" s="134">
        <v>6.55</v>
      </c>
    </row>
    <row r="100" spans="1:22" customFormat="1">
      <c r="A100" s="112" t="s">
        <v>521</v>
      </c>
      <c r="B100" s="134">
        <v>57.45</v>
      </c>
      <c r="C100" s="134">
        <v>73.89</v>
      </c>
      <c r="D100" s="134">
        <v>84.7</v>
      </c>
      <c r="E100" s="134">
        <v>22.54</v>
      </c>
      <c r="F100" s="134">
        <v>4.0999999999999996</v>
      </c>
      <c r="G100" s="134">
        <v>115.41</v>
      </c>
      <c r="H100" s="134">
        <v>54.47</v>
      </c>
      <c r="I100" s="134">
        <v>14.15</v>
      </c>
      <c r="J100" s="134">
        <v>0.03</v>
      </c>
      <c r="K100" s="134">
        <v>349.21</v>
      </c>
      <c r="L100" s="134">
        <v>31.72</v>
      </c>
      <c r="M100" s="134">
        <v>41.45</v>
      </c>
      <c r="N100" s="134">
        <v>0</v>
      </c>
      <c r="O100" s="134">
        <v>0</v>
      </c>
      <c r="P100" s="134">
        <v>1.82</v>
      </c>
      <c r="Q100" s="134">
        <v>6.74</v>
      </c>
    </row>
    <row r="101" spans="1:22" customFormat="1">
      <c r="A101" s="112" t="s">
        <v>522</v>
      </c>
      <c r="B101" s="134">
        <v>47.46</v>
      </c>
      <c r="C101" s="134">
        <v>74.510000000000005</v>
      </c>
      <c r="D101" s="134">
        <v>76.45</v>
      </c>
      <c r="E101" s="134">
        <v>32.42</v>
      </c>
      <c r="F101" s="134">
        <v>4.63</v>
      </c>
      <c r="G101" s="134">
        <v>115.41</v>
      </c>
      <c r="H101" s="134">
        <v>54.47</v>
      </c>
      <c r="I101" s="134">
        <v>16.61</v>
      </c>
      <c r="J101" s="134">
        <v>0.24</v>
      </c>
      <c r="K101" s="134">
        <v>80.760000000000005</v>
      </c>
      <c r="L101" s="134">
        <v>32.17</v>
      </c>
      <c r="M101" s="134">
        <v>36.71</v>
      </c>
      <c r="N101" s="134">
        <v>0</v>
      </c>
      <c r="O101" s="134">
        <v>0</v>
      </c>
      <c r="P101" s="134">
        <v>1.67</v>
      </c>
      <c r="Q101" s="134">
        <v>6.96</v>
      </c>
    </row>
    <row r="102" spans="1:22" customFormat="1">
      <c r="A102" s="112" t="s">
        <v>523</v>
      </c>
      <c r="B102" s="134">
        <v>43.7</v>
      </c>
      <c r="C102" s="134">
        <v>73.510000000000005</v>
      </c>
      <c r="D102" s="134">
        <v>72.45</v>
      </c>
      <c r="E102" s="134">
        <v>33.35</v>
      </c>
      <c r="F102" s="134">
        <v>5.73</v>
      </c>
      <c r="G102" s="134">
        <v>163.97</v>
      </c>
      <c r="H102" s="134">
        <v>98.7</v>
      </c>
      <c r="I102" s="134">
        <v>16.89</v>
      </c>
      <c r="J102" s="134">
        <v>0.35</v>
      </c>
      <c r="K102" s="134">
        <v>49.29</v>
      </c>
      <c r="L102" s="134">
        <v>32.46</v>
      </c>
      <c r="M102" s="134">
        <v>34.17</v>
      </c>
      <c r="N102" s="134">
        <v>0</v>
      </c>
      <c r="O102" s="134">
        <v>0</v>
      </c>
      <c r="P102" s="134">
        <v>1.53</v>
      </c>
      <c r="Q102" s="134">
        <v>7.11</v>
      </c>
    </row>
    <row r="103" spans="1:22" customFormat="1">
      <c r="A103" s="112" t="s">
        <v>524</v>
      </c>
      <c r="B103" s="134">
        <v>50.04</v>
      </c>
      <c r="C103" s="134">
        <v>71.680000000000007</v>
      </c>
      <c r="D103" s="134">
        <v>76.77</v>
      </c>
      <c r="E103" s="134">
        <v>26.92</v>
      </c>
      <c r="F103" s="134">
        <v>5.76</v>
      </c>
      <c r="G103" s="134">
        <v>233.53</v>
      </c>
      <c r="H103" s="134">
        <v>136.79</v>
      </c>
      <c r="I103" s="134">
        <v>17.03</v>
      </c>
      <c r="J103" s="134">
        <v>0.18</v>
      </c>
      <c r="K103" s="134">
        <v>56.27</v>
      </c>
      <c r="L103" s="134">
        <v>32.39</v>
      </c>
      <c r="M103" s="134">
        <v>33.51</v>
      </c>
      <c r="N103" s="134">
        <v>0</v>
      </c>
      <c r="O103" s="134">
        <v>0</v>
      </c>
      <c r="P103" s="134">
        <v>1.37</v>
      </c>
      <c r="Q103" s="134">
        <v>7.16</v>
      </c>
    </row>
    <row r="104" spans="1:22" customFormat="1">
      <c r="A104" s="112" t="s">
        <v>525</v>
      </c>
      <c r="B104" s="134">
        <v>42.22</v>
      </c>
      <c r="C104" s="134">
        <v>67.489999999999995</v>
      </c>
      <c r="D104" s="134">
        <v>68.069999999999993</v>
      </c>
      <c r="E104" s="134">
        <v>28.33</v>
      </c>
      <c r="F104" s="134">
        <v>6.54</v>
      </c>
      <c r="G104" s="134">
        <v>233.53</v>
      </c>
      <c r="H104" s="134">
        <v>136.79</v>
      </c>
      <c r="I104" s="134">
        <v>15.99</v>
      </c>
      <c r="J104" s="134">
        <v>0.3</v>
      </c>
      <c r="K104" s="134">
        <v>295.95</v>
      </c>
      <c r="L104" s="134">
        <v>32.24</v>
      </c>
      <c r="M104" s="134">
        <v>33.15</v>
      </c>
      <c r="N104" s="134">
        <v>0</v>
      </c>
      <c r="O104" s="134">
        <v>0</v>
      </c>
      <c r="P104" s="134">
        <v>1.25</v>
      </c>
      <c r="Q104" s="134">
        <v>7.24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2.93</v>
      </c>
      <c r="C106" s="183">
        <f>MIN(C9:C104)</f>
        <v>40.99</v>
      </c>
      <c r="D106" s="183">
        <f t="shared" ref="D106:Q106" si="0">MIN(D9:D104)</f>
        <v>22.72</v>
      </c>
      <c r="E106" s="183">
        <f t="shared" si="0"/>
        <v>8.34</v>
      </c>
      <c r="F106" s="183">
        <f t="shared" si="0"/>
        <v>3.76</v>
      </c>
      <c r="G106" s="183">
        <f t="shared" si="0"/>
        <v>60.57</v>
      </c>
      <c r="H106" s="183">
        <f t="shared" si="0"/>
        <v>21.92</v>
      </c>
      <c r="I106" s="183">
        <f t="shared" si="0"/>
        <v>4.2699999999999996</v>
      </c>
      <c r="J106" s="183">
        <f t="shared" si="0"/>
        <v>0.03</v>
      </c>
      <c r="K106" s="183">
        <f t="shared" si="0"/>
        <v>2.09</v>
      </c>
      <c r="L106" s="183">
        <f t="shared" si="0"/>
        <v>29.92</v>
      </c>
      <c r="M106" s="183">
        <f t="shared" si="0"/>
        <v>17.670000000000002</v>
      </c>
      <c r="N106" s="183">
        <f t="shared" si="0"/>
        <v>0</v>
      </c>
      <c r="O106" s="183">
        <f t="shared" si="0"/>
        <v>0</v>
      </c>
      <c r="P106" s="183">
        <f t="shared" si="0"/>
        <v>0.45</v>
      </c>
      <c r="Q106" s="183">
        <f t="shared" si="0"/>
        <v>4.8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62.22</v>
      </c>
      <c r="C107" s="184">
        <f t="shared" ref="C107:Q107" si="1">MAX(C9:C104)</f>
        <v>75.930000000000007</v>
      </c>
      <c r="D107" s="184">
        <f t="shared" si="1"/>
        <v>88.68</v>
      </c>
      <c r="E107" s="184">
        <f t="shared" si="1"/>
        <v>50.99</v>
      </c>
      <c r="F107" s="184">
        <f t="shared" si="1"/>
        <v>62.74</v>
      </c>
      <c r="G107" s="184">
        <f t="shared" si="1"/>
        <v>233.53</v>
      </c>
      <c r="H107" s="184">
        <f t="shared" si="1"/>
        <v>136.79</v>
      </c>
      <c r="I107" s="184">
        <f t="shared" si="1"/>
        <v>17.03</v>
      </c>
      <c r="J107" s="184">
        <f t="shared" si="1"/>
        <v>1.39</v>
      </c>
      <c r="K107" s="184">
        <f t="shared" si="1"/>
        <v>356.69</v>
      </c>
      <c r="L107" s="184">
        <f t="shared" si="1"/>
        <v>41.93</v>
      </c>
      <c r="M107" s="184">
        <f t="shared" si="1"/>
        <v>45.08</v>
      </c>
      <c r="N107" s="184">
        <f t="shared" si="1"/>
        <v>788.3</v>
      </c>
      <c r="O107" s="184">
        <f t="shared" si="1"/>
        <v>0</v>
      </c>
      <c r="P107" s="184">
        <f t="shared" si="1"/>
        <v>1.83</v>
      </c>
      <c r="Q107" s="184">
        <f t="shared" si="1"/>
        <v>7.24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21.258437500000003</v>
      </c>
      <c r="C108" s="183">
        <f t="shared" ref="C108:Q108" si="2">AVERAGE(C9:C104)</f>
        <v>58.945416666666688</v>
      </c>
      <c r="D108" s="183">
        <f t="shared" si="2"/>
        <v>46.873749999999994</v>
      </c>
      <c r="E108" s="183">
        <f t="shared" si="2"/>
        <v>18.759687499999995</v>
      </c>
      <c r="F108" s="183">
        <f t="shared" si="2"/>
        <v>20.415416666666662</v>
      </c>
      <c r="G108" s="183">
        <f t="shared" si="2"/>
        <v>91.154895833333327</v>
      </c>
      <c r="H108" s="183">
        <f t="shared" si="2"/>
        <v>38.167291666666664</v>
      </c>
      <c r="I108" s="183">
        <f t="shared" si="2"/>
        <v>7.5258333333333338</v>
      </c>
      <c r="J108" s="183">
        <f t="shared" si="2"/>
        <v>0.43177083333333299</v>
      </c>
      <c r="K108" s="183">
        <f t="shared" si="2"/>
        <v>134.79666666666671</v>
      </c>
      <c r="L108" s="183">
        <f t="shared" si="2"/>
        <v>34.534479166666657</v>
      </c>
      <c r="M108" s="183">
        <f t="shared" si="2"/>
        <v>30.061145833333338</v>
      </c>
      <c r="N108" s="183">
        <f t="shared" si="2"/>
        <v>106.48645833333336</v>
      </c>
      <c r="O108" s="183">
        <f t="shared" si="2"/>
        <v>0</v>
      </c>
      <c r="P108" s="183">
        <f t="shared" si="2"/>
        <v>0.82125000000000004</v>
      </c>
      <c r="Q108" s="183">
        <f t="shared" si="2"/>
        <v>5.7961458333333331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16.472776925526482</v>
      </c>
      <c r="C109" s="183">
        <f t="shared" ref="C109:Q109" si="3">STDEV(C9:C104)</f>
        <v>8.2355823513984365</v>
      </c>
      <c r="D109" s="183">
        <f t="shared" si="3"/>
        <v>16.546855019991945</v>
      </c>
      <c r="E109" s="183">
        <f t="shared" si="3"/>
        <v>9.7923638835386431</v>
      </c>
      <c r="F109" s="183">
        <f t="shared" si="3"/>
        <v>17.576726892274728</v>
      </c>
      <c r="G109" s="183">
        <f t="shared" si="3"/>
        <v>28.258722137264904</v>
      </c>
      <c r="H109" s="183">
        <f t="shared" si="3"/>
        <v>19.008272519265535</v>
      </c>
      <c r="I109" s="183">
        <f t="shared" si="3"/>
        <v>2.6167563958243645</v>
      </c>
      <c r="J109" s="183">
        <f t="shared" si="3"/>
        <v>0.30477254604796961</v>
      </c>
      <c r="K109" s="183">
        <f t="shared" si="3"/>
        <v>100.20825247733539</v>
      </c>
      <c r="L109" s="183">
        <f t="shared" si="3"/>
        <v>3.632095775978085</v>
      </c>
      <c r="M109" s="183">
        <f t="shared" si="3"/>
        <v>7.0647541574228914</v>
      </c>
      <c r="N109" s="183">
        <f t="shared" si="3"/>
        <v>173.75451080538684</v>
      </c>
      <c r="O109" s="183">
        <f t="shared" si="3"/>
        <v>0</v>
      </c>
      <c r="P109" s="183">
        <f t="shared" si="3"/>
        <v>0.31179699873644184</v>
      </c>
      <c r="Q109" s="183">
        <f t="shared" si="3"/>
        <v>0.70142617091581838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04/06/2023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526</v>
      </c>
      <c r="B9" s="134">
        <v>39.909999999999997</v>
      </c>
      <c r="C9" s="134">
        <v>65.7</v>
      </c>
      <c r="D9" s="134">
        <v>65.28</v>
      </c>
      <c r="E9" s="134">
        <v>28.72</v>
      </c>
      <c r="F9" s="134">
        <v>7.89</v>
      </c>
      <c r="G9" s="134">
        <v>233.53</v>
      </c>
      <c r="H9" s="134">
        <v>136.79</v>
      </c>
      <c r="I9" s="134">
        <v>15.13</v>
      </c>
      <c r="J9" s="134">
        <v>0.36</v>
      </c>
      <c r="K9" s="134">
        <v>289.62</v>
      </c>
      <c r="L9" s="134">
        <v>32.31</v>
      </c>
      <c r="M9" s="134">
        <v>32.520000000000003</v>
      </c>
      <c r="N9" s="134">
        <v>0</v>
      </c>
      <c r="O9" s="134">
        <v>0</v>
      </c>
      <c r="P9" s="134">
        <v>1.23</v>
      </c>
      <c r="Q9" s="134">
        <v>7.26</v>
      </c>
    </row>
    <row r="10" spans="1:21" customFormat="1">
      <c r="A10" s="112" t="s">
        <v>527</v>
      </c>
      <c r="B10" s="134">
        <v>41.69</v>
      </c>
      <c r="C10" s="134">
        <v>67.599999999999994</v>
      </c>
      <c r="D10" s="134">
        <v>67.7</v>
      </c>
      <c r="E10" s="134">
        <v>30.19</v>
      </c>
      <c r="F10" s="134">
        <v>6.17</v>
      </c>
      <c r="G10" s="134">
        <v>192.17</v>
      </c>
      <c r="H10" s="134">
        <v>126.99</v>
      </c>
      <c r="I10" s="134">
        <v>13.49</v>
      </c>
      <c r="J10" s="134">
        <v>0.12</v>
      </c>
      <c r="K10" s="134">
        <v>326.17</v>
      </c>
      <c r="L10" s="134">
        <v>31.9</v>
      </c>
      <c r="M10" s="134">
        <v>33.99</v>
      </c>
      <c r="N10" s="134">
        <v>0</v>
      </c>
      <c r="O10" s="134">
        <v>0</v>
      </c>
      <c r="P10" s="134">
        <v>1.23</v>
      </c>
      <c r="Q10" s="134">
        <v>7.21</v>
      </c>
    </row>
    <row r="11" spans="1:21" customFormat="1">
      <c r="A11" s="112" t="s">
        <v>528</v>
      </c>
      <c r="B11" s="134">
        <v>42.55</v>
      </c>
      <c r="C11" s="134">
        <v>65.709999999999994</v>
      </c>
      <c r="D11" s="134">
        <v>67.41</v>
      </c>
      <c r="E11" s="134">
        <v>40.630000000000003</v>
      </c>
      <c r="F11" s="134">
        <v>6.35</v>
      </c>
      <c r="G11" s="134">
        <v>132.91999999999999</v>
      </c>
      <c r="H11" s="134">
        <v>118.55</v>
      </c>
      <c r="I11" s="134">
        <v>11.88</v>
      </c>
      <c r="J11" s="134">
        <v>0.19</v>
      </c>
      <c r="K11" s="134">
        <v>50.41</v>
      </c>
      <c r="L11" s="134">
        <v>31.65</v>
      </c>
      <c r="M11" s="134">
        <v>34.44</v>
      </c>
      <c r="N11" s="134">
        <v>0</v>
      </c>
      <c r="O11" s="134">
        <v>0</v>
      </c>
      <c r="P11" s="134">
        <v>1.1399999999999999</v>
      </c>
      <c r="Q11" s="134">
        <v>7.24</v>
      </c>
    </row>
    <row r="12" spans="1:21" customFormat="1">
      <c r="A12" s="112" t="s">
        <v>529</v>
      </c>
      <c r="B12" s="134">
        <v>46.87</v>
      </c>
      <c r="C12" s="134">
        <v>65.92</v>
      </c>
      <c r="D12" s="134">
        <v>70.989999999999995</v>
      </c>
      <c r="E12" s="134">
        <v>31.75</v>
      </c>
      <c r="F12" s="134">
        <v>5.46</v>
      </c>
      <c r="G12" s="134">
        <v>132.91999999999999</v>
      </c>
      <c r="H12" s="134">
        <v>118.55</v>
      </c>
      <c r="I12" s="134">
        <v>11.21</v>
      </c>
      <c r="J12" s="134">
        <v>0.16</v>
      </c>
      <c r="K12" s="134">
        <v>49.92</v>
      </c>
      <c r="L12" s="134">
        <v>31.29</v>
      </c>
      <c r="M12" s="134">
        <v>35.78</v>
      </c>
      <c r="N12" s="134">
        <v>0</v>
      </c>
      <c r="O12" s="134">
        <v>0</v>
      </c>
      <c r="P12" s="134">
        <v>1.1599999999999999</v>
      </c>
      <c r="Q12" s="134">
        <v>7.2</v>
      </c>
    </row>
    <row r="13" spans="1:21" customFormat="1">
      <c r="A13" s="112" t="s">
        <v>530</v>
      </c>
      <c r="B13" s="134">
        <v>48.52</v>
      </c>
      <c r="C13" s="134">
        <v>66.959999999999994</v>
      </c>
      <c r="D13" s="134">
        <v>72.849999999999994</v>
      </c>
      <c r="E13" s="134">
        <v>28.98</v>
      </c>
      <c r="F13" s="134">
        <v>4.62</v>
      </c>
      <c r="G13" s="134">
        <v>132.91999999999999</v>
      </c>
      <c r="H13" s="134">
        <v>118.55</v>
      </c>
      <c r="I13" s="134">
        <v>10.67</v>
      </c>
      <c r="J13" s="134">
        <v>0.1</v>
      </c>
      <c r="K13" s="134">
        <v>75.290000000000006</v>
      </c>
      <c r="L13" s="134">
        <v>30.81</v>
      </c>
      <c r="M13" s="134">
        <v>37.340000000000003</v>
      </c>
      <c r="N13" s="134">
        <v>0</v>
      </c>
      <c r="O13" s="134">
        <v>0</v>
      </c>
      <c r="P13" s="134">
        <v>1.1599999999999999</v>
      </c>
      <c r="Q13" s="134">
        <v>7.24</v>
      </c>
    </row>
    <row r="14" spans="1:21" customFormat="1">
      <c r="A14" s="112" t="s">
        <v>531</v>
      </c>
      <c r="B14" s="134">
        <v>44.02</v>
      </c>
      <c r="C14" s="134">
        <v>65.819999999999993</v>
      </c>
      <c r="D14" s="134">
        <v>68.650000000000006</v>
      </c>
      <c r="E14" s="134">
        <v>34.86</v>
      </c>
      <c r="F14" s="134">
        <v>4.57</v>
      </c>
      <c r="G14" s="134">
        <v>121.67</v>
      </c>
      <c r="H14" s="134">
        <v>108.99</v>
      </c>
      <c r="I14" s="134">
        <v>10.69</v>
      </c>
      <c r="J14" s="134">
        <v>0.12</v>
      </c>
      <c r="K14" s="134">
        <v>73.39</v>
      </c>
      <c r="L14" s="134">
        <v>30.77</v>
      </c>
      <c r="M14" s="134">
        <v>37.299999999999997</v>
      </c>
      <c r="N14" s="134">
        <v>0</v>
      </c>
      <c r="O14" s="134">
        <v>0</v>
      </c>
      <c r="P14" s="134">
        <v>1.1100000000000001</v>
      </c>
      <c r="Q14" s="134">
        <v>7.28</v>
      </c>
    </row>
    <row r="15" spans="1:21" customFormat="1">
      <c r="A15" s="112" t="s">
        <v>532</v>
      </c>
      <c r="B15" s="134">
        <v>41.45</v>
      </c>
      <c r="C15" s="134">
        <v>63.27</v>
      </c>
      <c r="D15" s="134">
        <v>65.25</v>
      </c>
      <c r="E15" s="134">
        <v>29.55</v>
      </c>
      <c r="F15" s="134">
        <v>5.27</v>
      </c>
      <c r="G15" s="134">
        <v>105.55</v>
      </c>
      <c r="H15" s="134">
        <v>86.2</v>
      </c>
      <c r="I15" s="134">
        <v>10.42</v>
      </c>
      <c r="J15" s="134">
        <v>0.32</v>
      </c>
      <c r="K15" s="134">
        <v>60.86</v>
      </c>
      <c r="L15" s="134">
        <v>30.91</v>
      </c>
      <c r="M15" s="134">
        <v>36.75</v>
      </c>
      <c r="N15" s="134">
        <v>0</v>
      </c>
      <c r="O15" s="134">
        <v>0</v>
      </c>
      <c r="P15" s="134">
        <v>1.1200000000000001</v>
      </c>
      <c r="Q15" s="134">
        <v>7.33</v>
      </c>
    </row>
    <row r="16" spans="1:21" customFormat="1">
      <c r="A16" s="112" t="s">
        <v>533</v>
      </c>
      <c r="B16" s="134">
        <v>42.1</v>
      </c>
      <c r="C16" s="134">
        <v>63.15</v>
      </c>
      <c r="D16" s="134">
        <v>65.709999999999994</v>
      </c>
      <c r="E16" s="134">
        <v>23.31</v>
      </c>
      <c r="F16" s="134">
        <v>6.78</v>
      </c>
      <c r="G16" s="134">
        <v>105.55</v>
      </c>
      <c r="H16" s="134">
        <v>86.2</v>
      </c>
      <c r="I16" s="134">
        <v>10.35</v>
      </c>
      <c r="J16" s="134">
        <v>0.31</v>
      </c>
      <c r="K16" s="134">
        <v>55.72</v>
      </c>
      <c r="L16" s="134">
        <v>30.99</v>
      </c>
      <c r="M16" s="134">
        <v>36.56</v>
      </c>
      <c r="N16" s="134">
        <v>0</v>
      </c>
      <c r="O16" s="134">
        <v>0</v>
      </c>
      <c r="P16" s="134">
        <v>1.1000000000000001</v>
      </c>
      <c r="Q16" s="134">
        <v>7.27</v>
      </c>
    </row>
    <row r="17" spans="1:17" customFormat="1">
      <c r="A17" s="112" t="s">
        <v>534</v>
      </c>
      <c r="B17" s="134">
        <v>41.27</v>
      </c>
      <c r="C17" s="134">
        <v>61.74</v>
      </c>
      <c r="D17" s="134">
        <v>64.3</v>
      </c>
      <c r="E17" s="134">
        <v>9.57</v>
      </c>
      <c r="F17" s="134">
        <v>8.19</v>
      </c>
      <c r="G17" s="134">
        <v>105.55</v>
      </c>
      <c r="H17" s="134">
        <v>86.2</v>
      </c>
      <c r="I17" s="134">
        <v>10.35</v>
      </c>
      <c r="J17" s="134">
        <v>0.63</v>
      </c>
      <c r="K17" s="134">
        <v>54.18</v>
      </c>
      <c r="L17" s="134">
        <v>31.09</v>
      </c>
      <c r="M17" s="134">
        <v>36.32</v>
      </c>
      <c r="N17" s="134">
        <v>0</v>
      </c>
      <c r="O17" s="134">
        <v>0</v>
      </c>
      <c r="P17" s="134">
        <v>1.1100000000000001</v>
      </c>
      <c r="Q17" s="134">
        <v>7.2</v>
      </c>
    </row>
    <row r="18" spans="1:17" customFormat="1">
      <c r="A18" s="112" t="s">
        <v>535</v>
      </c>
      <c r="B18" s="134">
        <v>38.97</v>
      </c>
      <c r="C18" s="134">
        <v>58.78</v>
      </c>
      <c r="D18" s="134">
        <v>60.92</v>
      </c>
      <c r="E18" s="134">
        <v>15.41</v>
      </c>
      <c r="F18" s="134">
        <v>9.99</v>
      </c>
      <c r="G18" s="134">
        <v>102.65</v>
      </c>
      <c r="H18" s="134">
        <v>74.319999999999993</v>
      </c>
      <c r="I18" s="134">
        <v>10.34</v>
      </c>
      <c r="J18" s="134">
        <v>0.43</v>
      </c>
      <c r="K18" s="134">
        <v>49.42</v>
      </c>
      <c r="L18" s="134">
        <v>31.13</v>
      </c>
      <c r="M18" s="134">
        <v>36.04</v>
      </c>
      <c r="N18" s="134">
        <v>0</v>
      </c>
      <c r="O18" s="134">
        <v>0</v>
      </c>
      <c r="P18" s="134">
        <v>1.02</v>
      </c>
      <c r="Q18" s="134">
        <v>7.19</v>
      </c>
    </row>
    <row r="19" spans="1:17" customFormat="1">
      <c r="A19" s="112" t="s">
        <v>536</v>
      </c>
      <c r="B19" s="134">
        <v>37.61</v>
      </c>
      <c r="C19" s="134">
        <v>59.2</v>
      </c>
      <c r="D19" s="134">
        <v>60.05</v>
      </c>
      <c r="E19" s="134">
        <v>13.53</v>
      </c>
      <c r="F19" s="134">
        <v>10.71</v>
      </c>
      <c r="G19" s="134">
        <v>98.49</v>
      </c>
      <c r="H19" s="134">
        <v>64.09</v>
      </c>
      <c r="I19" s="134">
        <v>10.49</v>
      </c>
      <c r="J19" s="134">
        <v>0.43</v>
      </c>
      <c r="K19" s="134">
        <v>47.77</v>
      </c>
      <c r="L19" s="134">
        <v>31</v>
      </c>
      <c r="M19" s="134">
        <v>36.229999999999997</v>
      </c>
      <c r="N19" s="134">
        <v>0</v>
      </c>
      <c r="O19" s="134">
        <v>0</v>
      </c>
      <c r="P19" s="134">
        <v>0.99</v>
      </c>
      <c r="Q19" s="134">
        <v>7.16</v>
      </c>
    </row>
    <row r="20" spans="1:17" customFormat="1">
      <c r="A20" s="112" t="s">
        <v>537</v>
      </c>
      <c r="B20" s="134">
        <v>38.049999999999997</v>
      </c>
      <c r="C20" s="134">
        <v>57.96</v>
      </c>
      <c r="D20" s="134">
        <v>59.75</v>
      </c>
      <c r="E20" s="134">
        <v>15.88</v>
      </c>
      <c r="F20" s="134">
        <v>8.9700000000000006</v>
      </c>
      <c r="G20" s="134">
        <v>98.49</v>
      </c>
      <c r="H20" s="134">
        <v>64.09</v>
      </c>
      <c r="I20" s="134">
        <v>10.1</v>
      </c>
      <c r="J20" s="134">
        <v>0.41</v>
      </c>
      <c r="K20" s="134">
        <v>49.09</v>
      </c>
      <c r="L20" s="134">
        <v>30.73</v>
      </c>
      <c r="M20" s="134">
        <v>36.89</v>
      </c>
      <c r="N20" s="134">
        <v>0</v>
      </c>
      <c r="O20" s="134">
        <v>0</v>
      </c>
      <c r="P20" s="134">
        <v>0.96</v>
      </c>
      <c r="Q20" s="134">
        <v>7.07</v>
      </c>
    </row>
    <row r="21" spans="1:17" customFormat="1">
      <c r="A21" s="112" t="s">
        <v>538</v>
      </c>
      <c r="B21" s="134">
        <v>40.130000000000003</v>
      </c>
      <c r="C21" s="134">
        <v>60.23</v>
      </c>
      <c r="D21" s="134">
        <v>62.61</v>
      </c>
      <c r="E21" s="134">
        <v>16.36</v>
      </c>
      <c r="F21" s="134">
        <v>7.6</v>
      </c>
      <c r="G21" s="134">
        <v>98.49</v>
      </c>
      <c r="H21" s="134">
        <v>64.09</v>
      </c>
      <c r="I21" s="134">
        <v>9.69</v>
      </c>
      <c r="J21" s="134">
        <v>0.28999999999999998</v>
      </c>
      <c r="K21" s="134">
        <v>66.95</v>
      </c>
      <c r="L21" s="134">
        <v>30.33</v>
      </c>
      <c r="M21" s="134">
        <v>38.49</v>
      </c>
      <c r="N21" s="134">
        <v>0</v>
      </c>
      <c r="O21" s="134">
        <v>0</v>
      </c>
      <c r="P21" s="134">
        <v>0.97</v>
      </c>
      <c r="Q21" s="134">
        <v>6.98</v>
      </c>
    </row>
    <row r="22" spans="1:17" customFormat="1">
      <c r="A22" s="112" t="s">
        <v>539</v>
      </c>
      <c r="B22" s="134">
        <v>38.9</v>
      </c>
      <c r="C22" s="134">
        <v>60.29</v>
      </c>
      <c r="D22" s="134">
        <v>61.65</v>
      </c>
      <c r="E22" s="134">
        <v>15.78</v>
      </c>
      <c r="F22" s="134">
        <v>5.95</v>
      </c>
      <c r="G22" s="134">
        <v>83.99</v>
      </c>
      <c r="H22" s="134">
        <v>53.78</v>
      </c>
      <c r="I22" s="134">
        <v>9.5</v>
      </c>
      <c r="J22" s="134">
        <v>0.25</v>
      </c>
      <c r="K22" s="134">
        <v>84.99</v>
      </c>
      <c r="L22" s="134">
        <v>29.96</v>
      </c>
      <c r="M22" s="134">
        <v>40.54</v>
      </c>
      <c r="N22" s="134">
        <v>0</v>
      </c>
      <c r="O22" s="134">
        <v>0</v>
      </c>
      <c r="P22" s="134">
        <v>0.98</v>
      </c>
      <c r="Q22" s="134">
        <v>6.97</v>
      </c>
    </row>
    <row r="23" spans="1:17" customFormat="1">
      <c r="A23" s="112" t="s">
        <v>540</v>
      </c>
      <c r="B23" s="134">
        <v>40.4</v>
      </c>
      <c r="C23" s="134">
        <v>61.84</v>
      </c>
      <c r="D23" s="134">
        <v>63.66</v>
      </c>
      <c r="E23" s="134">
        <v>16.13</v>
      </c>
      <c r="F23" s="134">
        <v>4.84</v>
      </c>
      <c r="G23" s="134">
        <v>63.21</v>
      </c>
      <c r="H23" s="134">
        <v>44.9</v>
      </c>
      <c r="I23" s="134">
        <v>9.14</v>
      </c>
      <c r="J23" s="134">
        <v>0.09</v>
      </c>
      <c r="K23" s="134">
        <v>124.92</v>
      </c>
      <c r="L23" s="134">
        <v>29.33</v>
      </c>
      <c r="M23" s="134">
        <v>43.77</v>
      </c>
      <c r="N23" s="134">
        <v>0</v>
      </c>
      <c r="O23" s="134">
        <v>0</v>
      </c>
      <c r="P23" s="134">
        <v>1</v>
      </c>
      <c r="Q23" s="134">
        <v>6.97</v>
      </c>
    </row>
    <row r="24" spans="1:17" customFormat="1">
      <c r="A24" s="112" t="s">
        <v>541</v>
      </c>
      <c r="B24" s="134">
        <v>42.36</v>
      </c>
      <c r="C24" s="134">
        <v>63.79</v>
      </c>
      <c r="D24" s="134">
        <v>66.25</v>
      </c>
      <c r="E24" s="134">
        <v>20.63</v>
      </c>
      <c r="F24" s="134">
        <v>4.3499999999999996</v>
      </c>
      <c r="G24" s="134">
        <v>63.21</v>
      </c>
      <c r="H24" s="134">
        <v>44.9</v>
      </c>
      <c r="I24" s="134">
        <v>9.1300000000000008</v>
      </c>
      <c r="J24" s="134">
        <v>0.08</v>
      </c>
      <c r="K24" s="134">
        <v>188.16</v>
      </c>
      <c r="L24" s="134">
        <v>28.94</v>
      </c>
      <c r="M24" s="134">
        <v>44.64</v>
      </c>
      <c r="N24" s="134">
        <v>0</v>
      </c>
      <c r="O24" s="134">
        <v>0</v>
      </c>
      <c r="P24" s="134">
        <v>1.01</v>
      </c>
      <c r="Q24" s="134">
        <v>6.99</v>
      </c>
    </row>
    <row r="25" spans="1:17" customFormat="1">
      <c r="A25" s="112" t="s">
        <v>542</v>
      </c>
      <c r="B25" s="134">
        <v>43.49</v>
      </c>
      <c r="C25" s="134">
        <v>64.11</v>
      </c>
      <c r="D25" s="134">
        <v>67.33</v>
      </c>
      <c r="E25" s="134">
        <v>13.06</v>
      </c>
      <c r="F25" s="134">
        <v>4.08</v>
      </c>
      <c r="G25" s="134">
        <v>63.21</v>
      </c>
      <c r="H25" s="134">
        <v>44.9</v>
      </c>
      <c r="I25" s="134">
        <v>9.43</v>
      </c>
      <c r="J25" s="134">
        <v>0.38</v>
      </c>
      <c r="K25" s="134">
        <v>157.65</v>
      </c>
      <c r="L25" s="134">
        <v>28.4</v>
      </c>
      <c r="M25" s="134">
        <v>47.63</v>
      </c>
      <c r="N25" s="134">
        <v>0</v>
      </c>
      <c r="O25" s="134">
        <v>0</v>
      </c>
      <c r="P25" s="134">
        <v>1.03</v>
      </c>
      <c r="Q25" s="134">
        <v>6.97</v>
      </c>
    </row>
    <row r="26" spans="1:17" customFormat="1">
      <c r="A26" s="112" t="s">
        <v>543</v>
      </c>
      <c r="B26" s="134">
        <v>41.85</v>
      </c>
      <c r="C26" s="134">
        <v>63.69</v>
      </c>
      <c r="D26" s="134">
        <v>65.790000000000006</v>
      </c>
      <c r="E26" s="134">
        <v>8.16</v>
      </c>
      <c r="F26" s="134">
        <v>4.28</v>
      </c>
      <c r="G26" s="134">
        <v>69.87</v>
      </c>
      <c r="H26" s="134">
        <v>49.08</v>
      </c>
      <c r="I26" s="134">
        <v>9.44</v>
      </c>
      <c r="J26" s="134">
        <v>0.42</v>
      </c>
      <c r="K26" s="134">
        <v>231.66</v>
      </c>
      <c r="L26" s="134">
        <v>27.67</v>
      </c>
      <c r="M26" s="134">
        <v>48.95</v>
      </c>
      <c r="N26" s="134">
        <v>0</v>
      </c>
      <c r="O26" s="134">
        <v>0</v>
      </c>
      <c r="P26" s="134">
        <v>1.03</v>
      </c>
      <c r="Q26" s="134">
        <v>6.93</v>
      </c>
    </row>
    <row r="27" spans="1:17" customFormat="1">
      <c r="A27" s="112" t="s">
        <v>544</v>
      </c>
      <c r="B27" s="134">
        <v>40.619999999999997</v>
      </c>
      <c r="C27" s="134">
        <v>63.53</v>
      </c>
      <c r="D27" s="134">
        <v>64.72</v>
      </c>
      <c r="E27" s="134">
        <v>7.73</v>
      </c>
      <c r="F27" s="134">
        <v>4.33</v>
      </c>
      <c r="G27" s="134">
        <v>79.400000000000006</v>
      </c>
      <c r="H27" s="134">
        <v>52.68</v>
      </c>
      <c r="I27" s="134">
        <v>9.66</v>
      </c>
      <c r="J27" s="134">
        <v>0.45</v>
      </c>
      <c r="K27" s="134">
        <v>253.35</v>
      </c>
      <c r="L27" s="134">
        <v>27.94</v>
      </c>
      <c r="M27" s="134">
        <v>47.58</v>
      </c>
      <c r="N27" s="134">
        <v>0</v>
      </c>
      <c r="O27" s="134">
        <v>0</v>
      </c>
      <c r="P27" s="134">
        <v>0.99</v>
      </c>
      <c r="Q27" s="134">
        <v>6.9</v>
      </c>
    </row>
    <row r="28" spans="1:17" customFormat="1">
      <c r="A28" s="112" t="s">
        <v>545</v>
      </c>
      <c r="B28" s="134">
        <v>40.049999999999997</v>
      </c>
      <c r="C28" s="134">
        <v>60.83</v>
      </c>
      <c r="D28" s="134">
        <v>62.85</v>
      </c>
      <c r="E28" s="134">
        <v>7.53</v>
      </c>
      <c r="F28" s="134">
        <v>5.32</v>
      </c>
      <c r="G28" s="134">
        <v>79.400000000000006</v>
      </c>
      <c r="H28" s="134">
        <v>52.68</v>
      </c>
      <c r="I28" s="134">
        <v>9.74</v>
      </c>
      <c r="J28" s="134">
        <v>0.16</v>
      </c>
      <c r="K28" s="134">
        <v>237.31</v>
      </c>
      <c r="L28" s="134">
        <v>28.28</v>
      </c>
      <c r="M28" s="134">
        <v>46.77</v>
      </c>
      <c r="N28" s="134">
        <v>0</v>
      </c>
      <c r="O28" s="134">
        <v>0</v>
      </c>
      <c r="P28" s="134">
        <v>0.97</v>
      </c>
      <c r="Q28" s="134">
        <v>6.89</v>
      </c>
    </row>
    <row r="29" spans="1:17" customFormat="1">
      <c r="A29" s="112" t="s">
        <v>546</v>
      </c>
      <c r="B29" s="134">
        <v>38.51</v>
      </c>
      <c r="C29" s="134">
        <v>59.69</v>
      </c>
      <c r="D29" s="134">
        <v>61.02</v>
      </c>
      <c r="E29" s="134">
        <v>7.18</v>
      </c>
      <c r="F29" s="134">
        <v>5.65</v>
      </c>
      <c r="G29" s="134">
        <v>79.400000000000006</v>
      </c>
      <c r="H29" s="134">
        <v>52.68</v>
      </c>
      <c r="I29" s="134">
        <v>9.6300000000000008</v>
      </c>
      <c r="J29" s="134">
        <v>0.16</v>
      </c>
      <c r="K29" s="134">
        <v>169.6</v>
      </c>
      <c r="L29" s="134">
        <v>28.03</v>
      </c>
      <c r="M29" s="134">
        <v>48.98</v>
      </c>
      <c r="N29" s="134">
        <v>0</v>
      </c>
      <c r="O29" s="134">
        <v>0</v>
      </c>
      <c r="P29" s="134">
        <v>0.96</v>
      </c>
      <c r="Q29" s="134">
        <v>6.76</v>
      </c>
    </row>
    <row r="30" spans="1:17" customFormat="1">
      <c r="A30" s="112" t="s">
        <v>547</v>
      </c>
      <c r="B30" s="134">
        <v>38.29</v>
      </c>
      <c r="C30" s="134">
        <v>60.11</v>
      </c>
      <c r="D30" s="134">
        <v>61.07</v>
      </c>
      <c r="E30" s="134">
        <v>6.84</v>
      </c>
      <c r="F30" s="134">
        <v>5.43</v>
      </c>
      <c r="G30" s="134">
        <v>71.239999999999995</v>
      </c>
      <c r="H30" s="134">
        <v>49.14</v>
      </c>
      <c r="I30" s="134">
        <v>9.5500000000000007</v>
      </c>
      <c r="J30" s="134">
        <v>0.12</v>
      </c>
      <c r="K30" s="134">
        <v>173.47</v>
      </c>
      <c r="L30" s="134">
        <v>27.6</v>
      </c>
      <c r="M30" s="134">
        <v>50.64</v>
      </c>
      <c r="N30" s="134">
        <v>0</v>
      </c>
      <c r="O30" s="134">
        <v>0</v>
      </c>
      <c r="P30" s="134">
        <v>0.95</v>
      </c>
      <c r="Q30" s="134">
        <v>6.75</v>
      </c>
    </row>
    <row r="31" spans="1:17" customFormat="1">
      <c r="A31" s="112" t="s">
        <v>548</v>
      </c>
      <c r="B31" s="134">
        <v>39.08</v>
      </c>
      <c r="C31" s="134">
        <v>60.56</v>
      </c>
      <c r="D31" s="134">
        <v>61.94</v>
      </c>
      <c r="E31" s="134">
        <v>6.15</v>
      </c>
      <c r="F31" s="134">
        <v>5.24</v>
      </c>
      <c r="G31" s="134">
        <v>59.55</v>
      </c>
      <c r="H31" s="134">
        <v>46.09</v>
      </c>
      <c r="I31" s="134">
        <v>9.51</v>
      </c>
      <c r="J31" s="134">
        <v>0.19</v>
      </c>
      <c r="K31" s="134">
        <v>244.84</v>
      </c>
      <c r="L31" s="134">
        <v>27.58</v>
      </c>
      <c r="M31" s="134">
        <v>51.57</v>
      </c>
      <c r="N31" s="134">
        <v>6.4</v>
      </c>
      <c r="O31" s="134">
        <v>0</v>
      </c>
      <c r="P31" s="134">
        <v>0.95</v>
      </c>
      <c r="Q31" s="134">
        <v>6.72</v>
      </c>
    </row>
    <row r="32" spans="1:17" customFormat="1">
      <c r="A32" s="112" t="s">
        <v>549</v>
      </c>
      <c r="B32" s="134">
        <v>40.090000000000003</v>
      </c>
      <c r="C32" s="134">
        <v>63.25</v>
      </c>
      <c r="D32" s="134">
        <v>64.150000000000006</v>
      </c>
      <c r="E32" s="134">
        <v>5.97</v>
      </c>
      <c r="F32" s="134">
        <v>4.28</v>
      </c>
      <c r="G32" s="134">
        <v>59.55</v>
      </c>
      <c r="H32" s="134">
        <v>46.09</v>
      </c>
      <c r="I32" s="134">
        <v>9.56</v>
      </c>
      <c r="J32" s="134">
        <v>0.32</v>
      </c>
      <c r="K32" s="134">
        <v>177.39</v>
      </c>
      <c r="L32" s="134">
        <v>27.7</v>
      </c>
      <c r="M32" s="134">
        <v>52.24</v>
      </c>
      <c r="N32" s="134">
        <v>20.5</v>
      </c>
      <c r="O32" s="134">
        <v>0</v>
      </c>
      <c r="P32" s="134">
        <v>0.97</v>
      </c>
      <c r="Q32" s="134">
        <v>6.72</v>
      </c>
    </row>
    <row r="33" spans="1:17" customFormat="1">
      <c r="A33" s="112" t="s">
        <v>550</v>
      </c>
      <c r="B33" s="134">
        <v>37.71</v>
      </c>
      <c r="C33" s="134">
        <v>60.38</v>
      </c>
      <c r="D33" s="134">
        <v>60.75</v>
      </c>
      <c r="E33" s="134">
        <v>6.26</v>
      </c>
      <c r="F33" s="134">
        <v>4.25</v>
      </c>
      <c r="G33" s="134">
        <v>59.55</v>
      </c>
      <c r="H33" s="134">
        <v>46.09</v>
      </c>
      <c r="I33" s="134">
        <v>9.61</v>
      </c>
      <c r="J33" s="134">
        <v>0.19</v>
      </c>
      <c r="K33" s="134">
        <v>142.9</v>
      </c>
      <c r="L33" s="134">
        <v>27.82</v>
      </c>
      <c r="M33" s="134">
        <v>53.82</v>
      </c>
      <c r="N33" s="134">
        <v>34.299999999999997</v>
      </c>
      <c r="O33" s="134">
        <v>0</v>
      </c>
      <c r="P33" s="134">
        <v>0.94</v>
      </c>
      <c r="Q33" s="134">
        <v>6.69</v>
      </c>
    </row>
    <row r="34" spans="1:17" customFormat="1">
      <c r="A34" s="112" t="s">
        <v>551</v>
      </c>
      <c r="B34" s="134">
        <v>36.72</v>
      </c>
      <c r="C34" s="134">
        <v>57.12</v>
      </c>
      <c r="D34" s="134">
        <v>58.25</v>
      </c>
      <c r="E34" s="134">
        <v>7.03</v>
      </c>
      <c r="F34" s="134">
        <v>4.82</v>
      </c>
      <c r="G34" s="134">
        <v>56.77</v>
      </c>
      <c r="H34" s="134">
        <v>36.479999999999997</v>
      </c>
      <c r="I34" s="134">
        <v>9.7200000000000006</v>
      </c>
      <c r="J34" s="134">
        <v>0.17</v>
      </c>
      <c r="K34" s="134">
        <v>146.63999999999999</v>
      </c>
      <c r="L34" s="134">
        <v>28.77</v>
      </c>
      <c r="M34" s="134">
        <v>52.62</v>
      </c>
      <c r="N34" s="134">
        <v>46</v>
      </c>
      <c r="O34" s="134">
        <v>0</v>
      </c>
      <c r="P34" s="134">
        <v>0.92</v>
      </c>
      <c r="Q34" s="134">
        <v>6.67</v>
      </c>
    </row>
    <row r="35" spans="1:17" customFormat="1">
      <c r="A35" s="112" t="s">
        <v>552</v>
      </c>
      <c r="B35" s="134">
        <v>37.26</v>
      </c>
      <c r="C35" s="134">
        <v>59.71</v>
      </c>
      <c r="D35" s="134">
        <v>60.03</v>
      </c>
      <c r="E35" s="134">
        <v>6.89</v>
      </c>
      <c r="F35" s="134">
        <v>4.4800000000000004</v>
      </c>
      <c r="G35" s="134">
        <v>52.79</v>
      </c>
      <c r="H35" s="134">
        <v>26.33</v>
      </c>
      <c r="I35" s="134">
        <v>9.7899999999999991</v>
      </c>
      <c r="J35" s="134">
        <v>0.19</v>
      </c>
      <c r="K35" s="134">
        <v>158.22999999999999</v>
      </c>
      <c r="L35" s="134">
        <v>29.32</v>
      </c>
      <c r="M35" s="134">
        <v>51.98</v>
      </c>
      <c r="N35" s="134">
        <v>49.2</v>
      </c>
      <c r="O35" s="134">
        <v>0</v>
      </c>
      <c r="P35" s="134">
        <v>0.93</v>
      </c>
      <c r="Q35" s="134">
        <v>6.68</v>
      </c>
    </row>
    <row r="36" spans="1:17" customFormat="1">
      <c r="A36" s="112" t="s">
        <v>553</v>
      </c>
      <c r="B36" s="134">
        <v>34.78</v>
      </c>
      <c r="C36" s="134">
        <v>58.18</v>
      </c>
      <c r="D36" s="134">
        <v>57.25</v>
      </c>
      <c r="E36" s="134">
        <v>8.83</v>
      </c>
      <c r="F36" s="134">
        <v>4.88</v>
      </c>
      <c r="G36" s="134">
        <v>52.79</v>
      </c>
      <c r="H36" s="134">
        <v>26.33</v>
      </c>
      <c r="I36" s="134">
        <v>9.9</v>
      </c>
      <c r="J36" s="134">
        <v>0.16</v>
      </c>
      <c r="K36" s="134">
        <v>289.83</v>
      </c>
      <c r="L36" s="134">
        <v>29.8</v>
      </c>
      <c r="M36" s="134">
        <v>49.81</v>
      </c>
      <c r="N36" s="134">
        <v>63.6</v>
      </c>
      <c r="O36" s="134">
        <v>0</v>
      </c>
      <c r="P36" s="134">
        <v>0.94</v>
      </c>
      <c r="Q36" s="134">
        <v>6.69</v>
      </c>
    </row>
    <row r="37" spans="1:17" customFormat="1">
      <c r="A37" s="112" t="s">
        <v>554</v>
      </c>
      <c r="B37" s="134">
        <v>38</v>
      </c>
      <c r="C37" s="134">
        <v>60.69</v>
      </c>
      <c r="D37" s="134">
        <v>61.14</v>
      </c>
      <c r="E37" s="134">
        <v>14.19</v>
      </c>
      <c r="F37" s="134">
        <v>5.96</v>
      </c>
      <c r="G37" s="134">
        <v>52.79</v>
      </c>
      <c r="H37" s="134">
        <v>26.33</v>
      </c>
      <c r="I37" s="134">
        <v>10.02</v>
      </c>
      <c r="J37" s="134">
        <v>0.54</v>
      </c>
      <c r="K37" s="134">
        <v>317.89999999999998</v>
      </c>
      <c r="L37" s="134">
        <v>30.76</v>
      </c>
      <c r="M37" s="134">
        <v>40.1</v>
      </c>
      <c r="N37" s="134">
        <v>64.7</v>
      </c>
      <c r="O37" s="134">
        <v>0</v>
      </c>
      <c r="P37" s="134">
        <v>0.96</v>
      </c>
      <c r="Q37" s="134">
        <v>6.66</v>
      </c>
    </row>
    <row r="38" spans="1:17" customFormat="1">
      <c r="A38" s="112" t="s">
        <v>555</v>
      </c>
      <c r="B38" s="134">
        <v>33.479999999999997</v>
      </c>
      <c r="C38" s="134">
        <v>57.91</v>
      </c>
      <c r="D38" s="134">
        <v>56.06</v>
      </c>
      <c r="E38" s="134">
        <v>12.63</v>
      </c>
      <c r="F38" s="134">
        <v>11.19</v>
      </c>
      <c r="G38" s="134">
        <v>66.69</v>
      </c>
      <c r="H38" s="134">
        <v>34.25</v>
      </c>
      <c r="I38" s="134">
        <v>10.6</v>
      </c>
      <c r="J38" s="134">
        <v>0.4</v>
      </c>
      <c r="K38" s="134">
        <v>308.93</v>
      </c>
      <c r="L38" s="134">
        <v>30.9</v>
      </c>
      <c r="M38" s="134">
        <v>37.39</v>
      </c>
      <c r="N38" s="134">
        <v>75.7</v>
      </c>
      <c r="O38" s="134">
        <v>0</v>
      </c>
      <c r="P38" s="134">
        <v>0.9</v>
      </c>
      <c r="Q38" s="134">
        <v>6.65</v>
      </c>
    </row>
    <row r="39" spans="1:17" customFormat="1">
      <c r="A39" s="112" t="s">
        <v>556</v>
      </c>
      <c r="B39" s="134">
        <v>35.89</v>
      </c>
      <c r="C39" s="134">
        <v>62.93</v>
      </c>
      <c r="D39" s="134">
        <v>60.62</v>
      </c>
      <c r="E39" s="134">
        <v>12.68</v>
      </c>
      <c r="F39" s="134">
        <v>8.6</v>
      </c>
      <c r="G39" s="134">
        <v>86.59</v>
      </c>
      <c r="H39" s="134">
        <v>53.14</v>
      </c>
      <c r="I39" s="134">
        <v>10.83</v>
      </c>
      <c r="J39" s="134">
        <v>0.67</v>
      </c>
      <c r="K39" s="134">
        <v>287.33</v>
      </c>
      <c r="L39" s="134">
        <v>31.01</v>
      </c>
      <c r="M39" s="134">
        <v>36.409999999999997</v>
      </c>
      <c r="N39" s="134">
        <v>122.2</v>
      </c>
      <c r="O39" s="134">
        <v>0</v>
      </c>
      <c r="P39" s="134">
        <v>0.92</v>
      </c>
      <c r="Q39" s="134">
        <v>6.65</v>
      </c>
    </row>
    <row r="40" spans="1:17" customFormat="1">
      <c r="A40" s="112" t="s">
        <v>557</v>
      </c>
      <c r="B40" s="134">
        <v>36.520000000000003</v>
      </c>
      <c r="C40" s="134">
        <v>58.85</v>
      </c>
      <c r="D40" s="134">
        <v>58.98</v>
      </c>
      <c r="E40" s="134">
        <v>22.35</v>
      </c>
      <c r="F40" s="134">
        <v>9.34</v>
      </c>
      <c r="G40" s="134">
        <v>86.59</v>
      </c>
      <c r="H40" s="134">
        <v>53.14</v>
      </c>
      <c r="I40" s="134">
        <v>10.02</v>
      </c>
      <c r="J40" s="134">
        <v>0.68</v>
      </c>
      <c r="K40" s="134">
        <v>319.44</v>
      </c>
      <c r="L40" s="134">
        <v>31.81</v>
      </c>
      <c r="M40" s="134">
        <v>34.65</v>
      </c>
      <c r="N40" s="134">
        <v>132</v>
      </c>
      <c r="O40" s="134">
        <v>0</v>
      </c>
      <c r="P40" s="134">
        <v>0.91</v>
      </c>
      <c r="Q40" s="134">
        <v>6.56</v>
      </c>
    </row>
    <row r="41" spans="1:17" customFormat="1">
      <c r="A41" s="112" t="s">
        <v>558</v>
      </c>
      <c r="B41" s="134">
        <v>33.82</v>
      </c>
      <c r="C41" s="134">
        <v>60.43</v>
      </c>
      <c r="D41" s="134">
        <v>57.65</v>
      </c>
      <c r="E41" s="134">
        <v>27.82</v>
      </c>
      <c r="F41" s="134">
        <v>10.09</v>
      </c>
      <c r="G41" s="134">
        <v>86.59</v>
      </c>
      <c r="H41" s="134">
        <v>53.14</v>
      </c>
      <c r="I41" s="134">
        <v>9.65</v>
      </c>
      <c r="J41" s="134">
        <v>0.9</v>
      </c>
      <c r="K41" s="134">
        <v>312.19</v>
      </c>
      <c r="L41" s="134">
        <v>33</v>
      </c>
      <c r="M41" s="134">
        <v>32.450000000000003</v>
      </c>
      <c r="N41" s="134">
        <v>154.4</v>
      </c>
      <c r="O41" s="134">
        <v>0</v>
      </c>
      <c r="P41" s="134">
        <v>0.93</v>
      </c>
      <c r="Q41" s="134">
        <v>6.54</v>
      </c>
    </row>
    <row r="42" spans="1:17" customFormat="1">
      <c r="A42" s="112" t="s">
        <v>559</v>
      </c>
      <c r="B42" s="134">
        <v>31.08</v>
      </c>
      <c r="C42" s="134">
        <v>61.02</v>
      </c>
      <c r="D42" s="134">
        <v>55.76</v>
      </c>
      <c r="E42" s="134">
        <v>20.079999999999998</v>
      </c>
      <c r="F42" s="134">
        <v>13.05</v>
      </c>
      <c r="G42" s="134">
        <v>88.04</v>
      </c>
      <c r="H42" s="134">
        <v>60.18</v>
      </c>
      <c r="I42" s="134">
        <v>9.67</v>
      </c>
      <c r="J42" s="134">
        <v>0.98</v>
      </c>
      <c r="K42" s="134">
        <v>295.57</v>
      </c>
      <c r="L42" s="134">
        <v>33.979999999999997</v>
      </c>
      <c r="M42" s="134">
        <v>31.15</v>
      </c>
      <c r="N42" s="134">
        <v>186.9</v>
      </c>
      <c r="O42" s="134">
        <v>0</v>
      </c>
      <c r="P42" s="134">
        <v>0.91</v>
      </c>
      <c r="Q42" s="134">
        <v>6.52</v>
      </c>
    </row>
    <row r="43" spans="1:17" customFormat="1">
      <c r="A43" s="112" t="s">
        <v>560</v>
      </c>
      <c r="B43" s="134">
        <v>29.72</v>
      </c>
      <c r="C43" s="134">
        <v>59.73</v>
      </c>
      <c r="D43" s="134">
        <v>54</v>
      </c>
      <c r="E43" s="134">
        <v>16.66</v>
      </c>
      <c r="F43" s="134">
        <v>12.34</v>
      </c>
      <c r="G43" s="134">
        <v>90.12</v>
      </c>
      <c r="H43" s="134">
        <v>66.239999999999995</v>
      </c>
      <c r="I43" s="134">
        <v>9.5299999999999994</v>
      </c>
      <c r="J43" s="134">
        <v>1.05</v>
      </c>
      <c r="K43" s="134">
        <v>303.48</v>
      </c>
      <c r="L43" s="134">
        <v>34.44</v>
      </c>
      <c r="M43" s="134">
        <v>30.3</v>
      </c>
      <c r="N43" s="134">
        <v>185.5</v>
      </c>
      <c r="O43" s="134">
        <v>0</v>
      </c>
      <c r="P43" s="134">
        <v>0.89</v>
      </c>
      <c r="Q43" s="134">
        <v>6.39</v>
      </c>
    </row>
    <row r="44" spans="1:17" customFormat="1">
      <c r="A44" s="112" t="s">
        <v>561</v>
      </c>
      <c r="B44" s="134">
        <v>27.36</v>
      </c>
      <c r="C44" s="134">
        <v>62.39</v>
      </c>
      <c r="D44" s="134">
        <v>53.5</v>
      </c>
      <c r="E44" s="134">
        <v>12.3</v>
      </c>
      <c r="F44" s="134">
        <v>14.71</v>
      </c>
      <c r="G44" s="134">
        <v>90.12</v>
      </c>
      <c r="H44" s="134">
        <v>66.239999999999995</v>
      </c>
      <c r="I44" s="134">
        <v>9.3800000000000008</v>
      </c>
      <c r="J44" s="134">
        <v>0.87</v>
      </c>
      <c r="K44" s="134">
        <v>307.17</v>
      </c>
      <c r="L44" s="134">
        <v>35.06</v>
      </c>
      <c r="M44" s="134">
        <v>29.89</v>
      </c>
      <c r="N44" s="134">
        <v>235.2</v>
      </c>
      <c r="O44" s="134">
        <v>0</v>
      </c>
      <c r="P44" s="134">
        <v>0.89</v>
      </c>
      <c r="Q44" s="134">
        <v>6.34</v>
      </c>
    </row>
    <row r="45" spans="1:17" customFormat="1">
      <c r="A45" s="112" t="s">
        <v>562</v>
      </c>
      <c r="B45" s="134">
        <v>23.45</v>
      </c>
      <c r="C45" s="134">
        <v>60.79</v>
      </c>
      <c r="D45" s="134">
        <v>49.52</v>
      </c>
      <c r="E45" s="134">
        <v>17.89</v>
      </c>
      <c r="F45" s="134">
        <v>22.2</v>
      </c>
      <c r="G45" s="134">
        <v>90.12</v>
      </c>
      <c r="H45" s="134">
        <v>66.239999999999995</v>
      </c>
      <c r="I45" s="134">
        <v>9.2799999999999994</v>
      </c>
      <c r="J45" s="134">
        <v>0.8</v>
      </c>
      <c r="K45" s="134">
        <v>347.3</v>
      </c>
      <c r="L45" s="134">
        <v>35.08</v>
      </c>
      <c r="M45" s="134">
        <v>30.64</v>
      </c>
      <c r="N45" s="134">
        <v>227.5</v>
      </c>
      <c r="O45" s="134">
        <v>0</v>
      </c>
      <c r="P45" s="134">
        <v>0.9</v>
      </c>
      <c r="Q45" s="134">
        <v>6.23</v>
      </c>
    </row>
    <row r="46" spans="1:17" customFormat="1">
      <c r="A46" s="112" t="s">
        <v>563</v>
      </c>
      <c r="B46" s="134">
        <v>20.8</v>
      </c>
      <c r="C46" s="134">
        <v>57.93</v>
      </c>
      <c r="D46" s="134">
        <v>45.9</v>
      </c>
      <c r="E46" s="134">
        <v>27.11</v>
      </c>
      <c r="F46" s="134">
        <v>29.84</v>
      </c>
      <c r="G46" s="134">
        <v>94.62</v>
      </c>
      <c r="H46" s="134">
        <v>52.8</v>
      </c>
      <c r="I46" s="134">
        <v>9.23</v>
      </c>
      <c r="J46" s="134">
        <v>1.07</v>
      </c>
      <c r="K46" s="134">
        <v>37.19</v>
      </c>
      <c r="L46" s="134">
        <v>36</v>
      </c>
      <c r="M46" s="134">
        <v>29.12</v>
      </c>
      <c r="N46" s="134">
        <v>256.10000000000002</v>
      </c>
      <c r="O46" s="134">
        <v>0</v>
      </c>
      <c r="P46" s="134">
        <v>0.88</v>
      </c>
      <c r="Q46" s="134">
        <v>6.11</v>
      </c>
    </row>
    <row r="47" spans="1:17" customFormat="1">
      <c r="A47" s="112" t="s">
        <v>564</v>
      </c>
      <c r="B47" s="134">
        <v>17.12</v>
      </c>
      <c r="C47" s="134">
        <v>59.39</v>
      </c>
      <c r="D47" s="134">
        <v>43.72</v>
      </c>
      <c r="E47" s="134">
        <v>33.880000000000003</v>
      </c>
      <c r="F47" s="134">
        <v>33.43</v>
      </c>
      <c r="G47" s="134">
        <v>101.05</v>
      </c>
      <c r="H47" s="134">
        <v>41.23</v>
      </c>
      <c r="I47" s="134">
        <v>9.02</v>
      </c>
      <c r="J47" s="134">
        <v>0.43</v>
      </c>
      <c r="K47" s="134">
        <v>14.28</v>
      </c>
      <c r="L47" s="134">
        <v>36.04</v>
      </c>
      <c r="M47" s="134">
        <v>28.86</v>
      </c>
      <c r="N47" s="134">
        <v>189.9</v>
      </c>
      <c r="O47" s="134">
        <v>0</v>
      </c>
      <c r="P47" s="134">
        <v>0.87</v>
      </c>
      <c r="Q47" s="134">
        <v>6.06</v>
      </c>
    </row>
    <row r="48" spans="1:17" customFormat="1">
      <c r="A48" s="112" t="s">
        <v>565</v>
      </c>
      <c r="B48" s="134">
        <v>15.38</v>
      </c>
      <c r="C48" s="134">
        <v>61.84</v>
      </c>
      <c r="D48" s="134">
        <v>43.6</v>
      </c>
      <c r="E48" s="134">
        <v>33.979999999999997</v>
      </c>
      <c r="F48" s="134">
        <v>27.07</v>
      </c>
      <c r="G48" s="134">
        <v>101.05</v>
      </c>
      <c r="H48" s="134">
        <v>41.23</v>
      </c>
      <c r="I48" s="134">
        <v>8.6300000000000008</v>
      </c>
      <c r="J48" s="134">
        <v>0.56999999999999995</v>
      </c>
      <c r="K48" s="134">
        <v>320.31</v>
      </c>
      <c r="L48" s="134">
        <v>35.630000000000003</v>
      </c>
      <c r="M48" s="134">
        <v>29.04</v>
      </c>
      <c r="N48" s="134">
        <v>180.5</v>
      </c>
      <c r="O48" s="134">
        <v>0</v>
      </c>
      <c r="P48" s="134">
        <v>0.88</v>
      </c>
      <c r="Q48" s="134">
        <v>5.96</v>
      </c>
    </row>
    <row r="49" spans="1:17" customFormat="1">
      <c r="A49" s="112" t="s">
        <v>566</v>
      </c>
      <c r="B49" s="134">
        <v>15.12</v>
      </c>
      <c r="C49" s="134">
        <v>64.680000000000007</v>
      </c>
      <c r="D49" s="134">
        <v>44.88</v>
      </c>
      <c r="E49" s="134">
        <v>34.979999999999997</v>
      </c>
      <c r="F49" s="134">
        <v>29.32</v>
      </c>
      <c r="G49" s="134">
        <v>101.05</v>
      </c>
      <c r="H49" s="134">
        <v>41.23</v>
      </c>
      <c r="I49" s="134">
        <v>8.43</v>
      </c>
      <c r="J49" s="134">
        <v>0.45</v>
      </c>
      <c r="K49" s="134">
        <v>28.54</v>
      </c>
      <c r="L49" s="134">
        <v>36.159999999999997</v>
      </c>
      <c r="M49" s="134">
        <v>29.35</v>
      </c>
      <c r="N49" s="134">
        <v>236.9</v>
      </c>
      <c r="O49" s="134">
        <v>0</v>
      </c>
      <c r="P49" s="134">
        <v>0.93</v>
      </c>
      <c r="Q49" s="134">
        <v>5.91</v>
      </c>
    </row>
    <row r="50" spans="1:17" customFormat="1">
      <c r="A50" s="112" t="s">
        <v>567</v>
      </c>
      <c r="B50" s="134">
        <v>12.93</v>
      </c>
      <c r="C50" s="134">
        <v>60.8</v>
      </c>
      <c r="D50" s="134">
        <v>41.09</v>
      </c>
      <c r="E50" s="134">
        <v>54.44</v>
      </c>
      <c r="F50" s="134">
        <v>43.72</v>
      </c>
      <c r="G50" s="134">
        <v>102.76</v>
      </c>
      <c r="H50" s="134">
        <v>36.96</v>
      </c>
      <c r="I50" s="134">
        <v>8.4700000000000006</v>
      </c>
      <c r="J50" s="134">
        <v>0.82</v>
      </c>
      <c r="K50" s="134">
        <v>61.71</v>
      </c>
      <c r="L50" s="134">
        <v>36.86</v>
      </c>
      <c r="M50" s="134">
        <v>27.95</v>
      </c>
      <c r="N50" s="134">
        <v>318.39999999999998</v>
      </c>
      <c r="O50" s="134">
        <v>0</v>
      </c>
      <c r="P50" s="134">
        <v>0.9</v>
      </c>
      <c r="Q50" s="134">
        <v>5.86</v>
      </c>
    </row>
    <row r="51" spans="1:17" customFormat="1">
      <c r="A51" s="112" t="s">
        <v>568</v>
      </c>
      <c r="B51" s="134">
        <v>11.05</v>
      </c>
      <c r="C51" s="134">
        <v>58.03</v>
      </c>
      <c r="D51" s="134">
        <v>38.14</v>
      </c>
      <c r="E51" s="134">
        <v>44.46</v>
      </c>
      <c r="F51" s="134">
        <v>46.74</v>
      </c>
      <c r="G51" s="134">
        <v>105.21</v>
      </c>
      <c r="H51" s="134">
        <v>33.29</v>
      </c>
      <c r="I51" s="134">
        <v>8.27</v>
      </c>
      <c r="J51" s="134">
        <v>0.21</v>
      </c>
      <c r="K51" s="134">
        <v>130.55000000000001</v>
      </c>
      <c r="L51" s="134">
        <v>37.380000000000003</v>
      </c>
      <c r="M51" s="134">
        <v>26.95</v>
      </c>
      <c r="N51" s="134">
        <v>293.89999999999998</v>
      </c>
      <c r="O51" s="134">
        <v>0</v>
      </c>
      <c r="P51" s="134">
        <v>0.86</v>
      </c>
      <c r="Q51" s="134">
        <v>5.73</v>
      </c>
    </row>
    <row r="52" spans="1:17" customFormat="1">
      <c r="A52" s="112" t="s">
        <v>569</v>
      </c>
      <c r="B52" s="134">
        <v>9.48</v>
      </c>
      <c r="C52" s="134">
        <v>58.17</v>
      </c>
      <c r="D52" s="134">
        <v>36.950000000000003</v>
      </c>
      <c r="E52" s="134">
        <v>40.950000000000003</v>
      </c>
      <c r="F52" s="134">
        <v>51.54</v>
      </c>
      <c r="G52" s="134">
        <v>105.21</v>
      </c>
      <c r="H52" s="134">
        <v>33.29</v>
      </c>
      <c r="I52" s="134">
        <v>7.98</v>
      </c>
      <c r="J52" s="134">
        <v>0.42</v>
      </c>
      <c r="K52" s="134">
        <v>54.26</v>
      </c>
      <c r="L52" s="134">
        <v>38.74</v>
      </c>
      <c r="M52" s="134">
        <v>25.02</v>
      </c>
      <c r="N52" s="134">
        <v>275.5</v>
      </c>
      <c r="O52" s="134">
        <v>0</v>
      </c>
      <c r="P52" s="134">
        <v>0.84</v>
      </c>
      <c r="Q52" s="134">
        <v>5.58</v>
      </c>
    </row>
    <row r="53" spans="1:17" customFormat="1">
      <c r="A53" s="112" t="s">
        <v>570</v>
      </c>
      <c r="B53" s="134">
        <v>7.84</v>
      </c>
      <c r="C53" s="134">
        <v>56.61</v>
      </c>
      <c r="D53" s="134">
        <v>34.82</v>
      </c>
      <c r="E53" s="134">
        <v>50.1</v>
      </c>
      <c r="F53" s="134">
        <v>62.87</v>
      </c>
      <c r="G53" s="134">
        <v>105.21</v>
      </c>
      <c r="H53" s="134">
        <v>33.29</v>
      </c>
      <c r="I53" s="134">
        <v>7.86</v>
      </c>
      <c r="J53" s="134">
        <v>0.36</v>
      </c>
      <c r="K53" s="134">
        <v>20.55</v>
      </c>
      <c r="L53" s="134">
        <v>39</v>
      </c>
      <c r="M53" s="134">
        <v>24.59</v>
      </c>
      <c r="N53" s="134">
        <v>254.3</v>
      </c>
      <c r="O53" s="134">
        <v>0</v>
      </c>
      <c r="P53" s="134">
        <v>0.83</v>
      </c>
      <c r="Q53" s="134">
        <v>5.48</v>
      </c>
    </row>
    <row r="54" spans="1:17" customFormat="1">
      <c r="A54" s="112" t="s">
        <v>571</v>
      </c>
      <c r="B54" s="134">
        <v>6.62</v>
      </c>
      <c r="C54" s="134">
        <v>58.04</v>
      </c>
      <c r="D54" s="134">
        <v>34.590000000000003</v>
      </c>
      <c r="E54" s="134">
        <v>55.99</v>
      </c>
      <c r="F54" s="134">
        <v>64.64</v>
      </c>
      <c r="G54" s="134">
        <v>101.44</v>
      </c>
      <c r="H54" s="134">
        <v>34.29</v>
      </c>
      <c r="I54" s="134">
        <v>7.63</v>
      </c>
      <c r="J54" s="134">
        <v>0.41</v>
      </c>
      <c r="K54" s="134">
        <v>11.9</v>
      </c>
      <c r="L54" s="134">
        <v>39.54</v>
      </c>
      <c r="M54" s="134">
        <v>24.01</v>
      </c>
      <c r="N54" s="134">
        <v>247.9</v>
      </c>
      <c r="O54" s="134">
        <v>0</v>
      </c>
      <c r="P54" s="134">
        <v>0.85</v>
      </c>
      <c r="Q54" s="134">
        <v>5.44</v>
      </c>
    </row>
    <row r="55" spans="1:17" customFormat="1">
      <c r="A55" s="112" t="s">
        <v>572</v>
      </c>
      <c r="B55" s="134">
        <v>5.26</v>
      </c>
      <c r="C55" s="134">
        <v>56.39</v>
      </c>
      <c r="D55" s="134">
        <v>32.630000000000003</v>
      </c>
      <c r="E55" s="134">
        <v>61.17</v>
      </c>
      <c r="F55" s="134">
        <v>78.12</v>
      </c>
      <c r="G55" s="134">
        <v>96.05</v>
      </c>
      <c r="H55" s="134">
        <v>35.17</v>
      </c>
      <c r="I55" s="134">
        <v>7.51</v>
      </c>
      <c r="J55" s="134">
        <v>0.33</v>
      </c>
      <c r="K55" s="134">
        <v>45.34</v>
      </c>
      <c r="L55" s="134">
        <v>40.520000000000003</v>
      </c>
      <c r="M55" s="134">
        <v>22.24</v>
      </c>
      <c r="N55" s="134">
        <v>307.2</v>
      </c>
      <c r="O55" s="134">
        <v>0</v>
      </c>
      <c r="P55" s="134">
        <v>0.83</v>
      </c>
      <c r="Q55" s="134">
        <v>5.44</v>
      </c>
    </row>
    <row r="56" spans="1:17" customFormat="1">
      <c r="A56" s="112" t="s">
        <v>573</v>
      </c>
      <c r="B56" s="134">
        <v>4.72</v>
      </c>
      <c r="C56" s="134">
        <v>58.84</v>
      </c>
      <c r="D56" s="134">
        <v>33.479999999999997</v>
      </c>
      <c r="E56" s="134">
        <v>58.89</v>
      </c>
      <c r="F56" s="134">
        <v>66.27</v>
      </c>
      <c r="G56" s="134">
        <v>96.05</v>
      </c>
      <c r="H56" s="134">
        <v>35.17</v>
      </c>
      <c r="I56" s="134">
        <v>7.42</v>
      </c>
      <c r="J56" s="134">
        <v>0.35</v>
      </c>
      <c r="K56" s="134">
        <v>106.83</v>
      </c>
      <c r="L56" s="134">
        <v>40.33</v>
      </c>
      <c r="M56" s="134">
        <v>21.8</v>
      </c>
      <c r="N56" s="134">
        <v>679.4</v>
      </c>
      <c r="O56" s="134">
        <v>0</v>
      </c>
      <c r="P56" s="134">
        <v>0.84</v>
      </c>
      <c r="Q56" s="134">
        <v>5.39</v>
      </c>
    </row>
    <row r="57" spans="1:17" customFormat="1">
      <c r="A57" s="112" t="s">
        <v>574</v>
      </c>
      <c r="B57" s="134">
        <v>3.86</v>
      </c>
      <c r="C57" s="134">
        <v>56.46</v>
      </c>
      <c r="D57" s="134">
        <v>31.54</v>
      </c>
      <c r="E57" s="134">
        <v>62.83</v>
      </c>
      <c r="F57" s="134">
        <v>64.400000000000006</v>
      </c>
      <c r="G57" s="134">
        <v>96.05</v>
      </c>
      <c r="H57" s="134">
        <v>35.17</v>
      </c>
      <c r="I57" s="134">
        <v>7.2</v>
      </c>
      <c r="J57" s="134">
        <v>0.57999999999999996</v>
      </c>
      <c r="K57" s="134">
        <v>62.06</v>
      </c>
      <c r="L57" s="134">
        <v>41.19</v>
      </c>
      <c r="M57" s="134">
        <v>20.47</v>
      </c>
      <c r="N57" s="134">
        <v>680.3</v>
      </c>
      <c r="O57" s="134">
        <v>0</v>
      </c>
      <c r="P57" s="134">
        <v>0.81</v>
      </c>
      <c r="Q57" s="134">
        <v>5.27</v>
      </c>
    </row>
    <row r="58" spans="1:17" customFormat="1">
      <c r="A58" s="112" t="s">
        <v>575</v>
      </c>
      <c r="B58" s="134">
        <v>4.24</v>
      </c>
      <c r="C58" s="134">
        <v>55.75</v>
      </c>
      <c r="D58" s="134">
        <v>31.48</v>
      </c>
      <c r="E58" s="134">
        <v>63.63</v>
      </c>
      <c r="F58" s="134">
        <v>83.97</v>
      </c>
      <c r="G58" s="134">
        <v>97.25</v>
      </c>
      <c r="H58" s="134">
        <v>34.799999999999997</v>
      </c>
      <c r="I58" s="134">
        <v>7.36</v>
      </c>
      <c r="J58" s="134">
        <v>0.51</v>
      </c>
      <c r="K58" s="134">
        <v>359.15</v>
      </c>
      <c r="L58" s="134">
        <v>40.83</v>
      </c>
      <c r="M58" s="134">
        <v>19.440000000000001</v>
      </c>
      <c r="N58" s="134">
        <v>708.4</v>
      </c>
      <c r="O58" s="134">
        <v>0</v>
      </c>
      <c r="P58" s="134">
        <v>0.81</v>
      </c>
      <c r="Q58" s="134">
        <v>5.18</v>
      </c>
    </row>
    <row r="59" spans="1:17" customFormat="1">
      <c r="A59" s="112" t="s">
        <v>576</v>
      </c>
      <c r="B59" s="134">
        <v>3.5</v>
      </c>
      <c r="C59" s="134">
        <v>54.65</v>
      </c>
      <c r="D59" s="134">
        <v>30.31</v>
      </c>
      <c r="E59" s="134">
        <v>68.099999999999994</v>
      </c>
      <c r="F59" s="134">
        <v>75.17</v>
      </c>
      <c r="G59" s="134">
        <v>98.97</v>
      </c>
      <c r="H59" s="134">
        <v>34.49</v>
      </c>
      <c r="I59" s="134">
        <v>7.51</v>
      </c>
      <c r="J59" s="134">
        <v>0.56000000000000005</v>
      </c>
      <c r="K59" s="134">
        <v>310.76</v>
      </c>
      <c r="L59" s="134">
        <v>41.22</v>
      </c>
      <c r="M59" s="134">
        <v>18.71</v>
      </c>
      <c r="N59" s="134">
        <v>669</v>
      </c>
      <c r="O59" s="134">
        <v>0</v>
      </c>
      <c r="P59" s="134">
        <v>0.79</v>
      </c>
      <c r="Q59" s="134">
        <v>5.14</v>
      </c>
    </row>
    <row r="60" spans="1:17" customFormat="1">
      <c r="A60" s="112" t="s">
        <v>577</v>
      </c>
      <c r="B60" s="134">
        <v>3.27</v>
      </c>
      <c r="C60" s="134">
        <v>54.25</v>
      </c>
      <c r="D60" s="134">
        <v>29.92</v>
      </c>
      <c r="E60" s="134">
        <v>54.25</v>
      </c>
      <c r="F60" s="134">
        <v>68.45</v>
      </c>
      <c r="G60" s="134">
        <v>98.97</v>
      </c>
      <c r="H60" s="134">
        <v>34.49</v>
      </c>
      <c r="I60" s="134">
        <v>7.17</v>
      </c>
      <c r="J60" s="134">
        <v>0.6</v>
      </c>
      <c r="K60" s="134">
        <v>257.89999999999998</v>
      </c>
      <c r="L60" s="134">
        <v>41.51</v>
      </c>
      <c r="M60" s="134">
        <v>18.38</v>
      </c>
      <c r="N60" s="134">
        <v>590</v>
      </c>
      <c r="O60" s="134">
        <v>0</v>
      </c>
      <c r="P60" s="134">
        <v>0.78</v>
      </c>
      <c r="Q60" s="134">
        <v>5.0999999999999996</v>
      </c>
    </row>
    <row r="61" spans="1:17" customFormat="1">
      <c r="A61" s="112" t="s">
        <v>578</v>
      </c>
      <c r="B61" s="134">
        <v>3.27</v>
      </c>
      <c r="C61" s="134">
        <v>52.13</v>
      </c>
      <c r="D61" s="134">
        <v>28.81</v>
      </c>
      <c r="E61" s="134">
        <v>49.65</v>
      </c>
      <c r="F61" s="134">
        <v>68.58</v>
      </c>
      <c r="G61" s="134">
        <v>98.97</v>
      </c>
      <c r="H61" s="134">
        <v>34.49</v>
      </c>
      <c r="I61" s="134">
        <v>7.02</v>
      </c>
      <c r="J61" s="134">
        <v>0.66</v>
      </c>
      <c r="K61" s="134">
        <v>359.46</v>
      </c>
      <c r="L61" s="134">
        <v>41.56</v>
      </c>
      <c r="M61" s="134">
        <v>18.47</v>
      </c>
      <c r="N61" s="134">
        <v>633</v>
      </c>
      <c r="O61" s="134">
        <v>0</v>
      </c>
      <c r="P61" s="134">
        <v>0.79</v>
      </c>
      <c r="Q61" s="134">
        <v>5.0599999999999996</v>
      </c>
    </row>
    <row r="62" spans="1:17" customFormat="1">
      <c r="A62" s="112" t="s">
        <v>579</v>
      </c>
      <c r="B62" s="134">
        <v>3.47</v>
      </c>
      <c r="C62" s="134">
        <v>51.49</v>
      </c>
      <c r="D62" s="134">
        <v>28.64</v>
      </c>
      <c r="E62" s="134">
        <v>39.6</v>
      </c>
      <c r="F62" s="134">
        <v>70.099999999999994</v>
      </c>
      <c r="G62" s="134">
        <v>99.32</v>
      </c>
      <c r="H62" s="134">
        <v>40.79</v>
      </c>
      <c r="I62" s="134">
        <v>7.14</v>
      </c>
      <c r="J62" s="134">
        <v>0.77</v>
      </c>
      <c r="K62" s="134">
        <v>16.18</v>
      </c>
      <c r="L62" s="134">
        <v>41.34</v>
      </c>
      <c r="M62" s="134">
        <v>18.04</v>
      </c>
      <c r="N62" s="134">
        <v>653</v>
      </c>
      <c r="O62" s="134">
        <v>0</v>
      </c>
      <c r="P62" s="134">
        <v>0.74</v>
      </c>
      <c r="Q62" s="134">
        <v>5.07</v>
      </c>
    </row>
    <row r="63" spans="1:17" customFormat="1">
      <c r="A63" s="112" t="s">
        <v>580</v>
      </c>
      <c r="B63" s="134">
        <v>3.3</v>
      </c>
      <c r="C63" s="134">
        <v>52.71</v>
      </c>
      <c r="D63" s="134">
        <v>29.13</v>
      </c>
      <c r="E63" s="134">
        <v>26.73</v>
      </c>
      <c r="F63" s="134">
        <v>59.73</v>
      </c>
      <c r="G63" s="134">
        <v>99.83</v>
      </c>
      <c r="H63" s="134">
        <v>55.8</v>
      </c>
      <c r="I63" s="134">
        <v>6.98</v>
      </c>
      <c r="J63" s="134">
        <v>0.7</v>
      </c>
      <c r="K63" s="134">
        <v>303.95</v>
      </c>
      <c r="L63" s="134">
        <v>41.3</v>
      </c>
      <c r="M63" s="134">
        <v>17.350000000000001</v>
      </c>
      <c r="N63" s="134">
        <v>572.29999999999995</v>
      </c>
      <c r="O63" s="134">
        <v>0</v>
      </c>
      <c r="P63" s="134">
        <v>0.73</v>
      </c>
      <c r="Q63" s="134">
        <v>5.08</v>
      </c>
    </row>
    <row r="64" spans="1:17" customFormat="1">
      <c r="A64" s="112" t="s">
        <v>581</v>
      </c>
      <c r="B64" s="134">
        <v>3.67</v>
      </c>
      <c r="C64" s="134">
        <v>54.52</v>
      </c>
      <c r="D64" s="134">
        <v>30.38</v>
      </c>
      <c r="E64" s="134">
        <v>21.26</v>
      </c>
      <c r="F64" s="134">
        <v>34.25</v>
      </c>
      <c r="G64" s="134">
        <v>99.83</v>
      </c>
      <c r="H64" s="134">
        <v>55.8</v>
      </c>
      <c r="I64" s="134">
        <v>6.78</v>
      </c>
      <c r="J64" s="134">
        <v>1.42</v>
      </c>
      <c r="K64" s="134">
        <v>307.98</v>
      </c>
      <c r="L64" s="134">
        <v>41.37</v>
      </c>
      <c r="M64" s="134">
        <v>16.7</v>
      </c>
      <c r="N64" s="134">
        <v>688.5</v>
      </c>
      <c r="O64" s="134">
        <v>0</v>
      </c>
      <c r="P64" s="134">
        <v>0.74</v>
      </c>
      <c r="Q64" s="134">
        <v>5.04</v>
      </c>
    </row>
    <row r="65" spans="1:17" customFormat="1">
      <c r="A65" s="112" t="s">
        <v>582</v>
      </c>
      <c r="B65" s="134">
        <v>3.9</v>
      </c>
      <c r="C65" s="134">
        <v>51.61</v>
      </c>
      <c r="D65" s="134">
        <v>29.05</v>
      </c>
      <c r="E65" s="134">
        <v>21.55</v>
      </c>
      <c r="F65" s="134">
        <v>46.16</v>
      </c>
      <c r="G65" s="134">
        <v>99.83</v>
      </c>
      <c r="H65" s="134">
        <v>55.8</v>
      </c>
      <c r="I65" s="134">
        <v>6.86</v>
      </c>
      <c r="J65" s="134">
        <v>0.76</v>
      </c>
      <c r="K65" s="134">
        <v>290.76</v>
      </c>
      <c r="L65" s="134">
        <v>41.88</v>
      </c>
      <c r="M65" s="134">
        <v>16.03</v>
      </c>
      <c r="N65" s="134">
        <v>661.9</v>
      </c>
      <c r="O65" s="134">
        <v>0</v>
      </c>
      <c r="P65" s="134">
        <v>0.66</v>
      </c>
      <c r="Q65" s="134">
        <v>4.9800000000000004</v>
      </c>
    </row>
    <row r="66" spans="1:17" customFormat="1">
      <c r="A66" s="112" t="s">
        <v>583</v>
      </c>
      <c r="B66" s="134">
        <v>3.64</v>
      </c>
      <c r="C66" s="134">
        <v>48.54</v>
      </c>
      <c r="D66" s="134">
        <v>27.23</v>
      </c>
      <c r="E66" s="134">
        <v>22.69</v>
      </c>
      <c r="F66" s="134">
        <v>49.44</v>
      </c>
      <c r="G66" s="134">
        <v>85.7</v>
      </c>
      <c r="H66" s="134">
        <v>63.4</v>
      </c>
      <c r="I66" s="134">
        <v>6.88</v>
      </c>
      <c r="J66" s="134">
        <v>0.41</v>
      </c>
      <c r="K66" s="134">
        <v>321.02999999999997</v>
      </c>
      <c r="L66" s="134">
        <v>41.99</v>
      </c>
      <c r="M66" s="134">
        <v>15.85</v>
      </c>
      <c r="N66" s="134">
        <v>623.29999999999995</v>
      </c>
      <c r="O66" s="134">
        <v>0</v>
      </c>
      <c r="P66" s="134">
        <v>0.66</v>
      </c>
      <c r="Q66" s="134">
        <v>4.99</v>
      </c>
    </row>
    <row r="67" spans="1:17" customFormat="1">
      <c r="A67" s="112" t="s">
        <v>584</v>
      </c>
      <c r="B67" s="134">
        <v>3.79</v>
      </c>
      <c r="C67" s="134">
        <v>48.09</v>
      </c>
      <c r="D67" s="134">
        <v>27.12</v>
      </c>
      <c r="E67" s="134">
        <v>17.510000000000002</v>
      </c>
      <c r="F67" s="134">
        <v>37.369999999999997</v>
      </c>
      <c r="G67" s="134">
        <v>65.47</v>
      </c>
      <c r="H67" s="134">
        <v>69.95</v>
      </c>
      <c r="I67" s="134">
        <v>6.63</v>
      </c>
      <c r="J67" s="134">
        <v>0.92</v>
      </c>
      <c r="K67" s="134">
        <v>287.60000000000002</v>
      </c>
      <c r="L67" s="134">
        <v>42.39</v>
      </c>
      <c r="M67" s="134">
        <v>15.3</v>
      </c>
      <c r="N67" s="134">
        <v>599.70000000000005</v>
      </c>
      <c r="O67" s="134">
        <v>0</v>
      </c>
      <c r="P67" s="134">
        <v>0.65</v>
      </c>
      <c r="Q67" s="134">
        <v>4.96</v>
      </c>
    </row>
    <row r="68" spans="1:17" customFormat="1">
      <c r="A68" s="112" t="s">
        <v>585</v>
      </c>
      <c r="B68" s="134">
        <v>3.77</v>
      </c>
      <c r="C68" s="134">
        <v>52.77</v>
      </c>
      <c r="D68" s="134">
        <v>29.54</v>
      </c>
      <c r="E68" s="134">
        <v>11.7</v>
      </c>
      <c r="F68" s="134">
        <v>22.96</v>
      </c>
      <c r="G68" s="134">
        <v>65.47</v>
      </c>
      <c r="H68" s="134">
        <v>69.95</v>
      </c>
      <c r="I68" s="134">
        <v>6.19</v>
      </c>
      <c r="J68" s="134">
        <v>1.26</v>
      </c>
      <c r="K68" s="134">
        <v>286.58999999999997</v>
      </c>
      <c r="L68" s="134">
        <v>41.82</v>
      </c>
      <c r="M68" s="134">
        <v>15.36</v>
      </c>
      <c r="N68" s="134">
        <v>588.9</v>
      </c>
      <c r="O68" s="134">
        <v>0</v>
      </c>
      <c r="P68" s="134">
        <v>0.68</v>
      </c>
      <c r="Q68" s="134">
        <v>4.9400000000000004</v>
      </c>
    </row>
    <row r="69" spans="1:17" customFormat="1">
      <c r="A69" s="112" t="s">
        <v>586</v>
      </c>
      <c r="B69" s="134">
        <v>3.66</v>
      </c>
      <c r="C69" s="134">
        <v>49.37</v>
      </c>
      <c r="D69" s="134">
        <v>27.68</v>
      </c>
      <c r="E69" s="134">
        <v>12.53</v>
      </c>
      <c r="F69" s="134">
        <v>33.86</v>
      </c>
      <c r="G69" s="134">
        <v>65.47</v>
      </c>
      <c r="H69" s="134">
        <v>69.95</v>
      </c>
      <c r="I69" s="134">
        <v>6.37</v>
      </c>
      <c r="J69" s="134">
        <v>0.88</v>
      </c>
      <c r="K69" s="134">
        <v>296.14999999999998</v>
      </c>
      <c r="L69" s="134">
        <v>42.02</v>
      </c>
      <c r="M69" s="134">
        <v>15.42</v>
      </c>
      <c r="N69" s="134">
        <v>544.70000000000005</v>
      </c>
      <c r="O69" s="134">
        <v>0</v>
      </c>
      <c r="P69" s="134">
        <v>0.64</v>
      </c>
      <c r="Q69" s="134">
        <v>4.93</v>
      </c>
    </row>
    <row r="70" spans="1:17" customFormat="1">
      <c r="A70" s="112" t="s">
        <v>587</v>
      </c>
      <c r="B70" s="134">
        <v>3.47</v>
      </c>
      <c r="C70" s="134">
        <v>43.48</v>
      </c>
      <c r="D70" s="134">
        <v>24.46</v>
      </c>
      <c r="E70" s="134">
        <v>13.55</v>
      </c>
      <c r="F70" s="134">
        <v>53.04</v>
      </c>
      <c r="G70" s="134">
        <v>59.73</v>
      </c>
      <c r="H70" s="134">
        <v>67.930000000000007</v>
      </c>
      <c r="I70" s="134">
        <v>6.59</v>
      </c>
      <c r="J70" s="134">
        <v>0.14000000000000001</v>
      </c>
      <c r="K70" s="134">
        <v>282.27</v>
      </c>
      <c r="L70" s="134">
        <v>42.79</v>
      </c>
      <c r="M70" s="134">
        <v>14.74</v>
      </c>
      <c r="N70" s="134">
        <v>528.6</v>
      </c>
      <c r="O70" s="134">
        <v>0</v>
      </c>
      <c r="P70" s="134">
        <v>0.56999999999999995</v>
      </c>
      <c r="Q70" s="134">
        <v>4.9400000000000004</v>
      </c>
    </row>
    <row r="71" spans="1:17" customFormat="1">
      <c r="A71" s="112" t="s">
        <v>588</v>
      </c>
      <c r="B71" s="134">
        <v>3.65</v>
      </c>
      <c r="C71" s="134">
        <v>48.06</v>
      </c>
      <c r="D71" s="134">
        <v>26.99</v>
      </c>
      <c r="E71" s="134">
        <v>12.21</v>
      </c>
      <c r="F71" s="134">
        <v>33.65</v>
      </c>
      <c r="G71" s="134">
        <v>51.51</v>
      </c>
      <c r="H71" s="134">
        <v>66.19</v>
      </c>
      <c r="I71" s="134">
        <v>5.78</v>
      </c>
      <c r="J71" s="134">
        <v>0.97</v>
      </c>
      <c r="K71" s="134">
        <v>298.69</v>
      </c>
      <c r="L71" s="134">
        <v>42.31</v>
      </c>
      <c r="M71" s="134">
        <v>15.01</v>
      </c>
      <c r="N71" s="134">
        <v>467.5</v>
      </c>
      <c r="O71" s="134">
        <v>0</v>
      </c>
      <c r="P71" s="134">
        <v>0.61</v>
      </c>
      <c r="Q71" s="134">
        <v>4.9400000000000004</v>
      </c>
    </row>
    <row r="72" spans="1:17" customFormat="1">
      <c r="A72" s="112" t="s">
        <v>589</v>
      </c>
      <c r="B72" s="134">
        <v>4.24</v>
      </c>
      <c r="C72" s="134">
        <v>47.14</v>
      </c>
      <c r="D72" s="134">
        <v>26.99</v>
      </c>
      <c r="E72" s="134">
        <v>12.6</v>
      </c>
      <c r="F72" s="134">
        <v>40.29</v>
      </c>
      <c r="G72" s="134">
        <v>51.51</v>
      </c>
      <c r="H72" s="134">
        <v>66.19</v>
      </c>
      <c r="I72" s="134">
        <v>5.4</v>
      </c>
      <c r="J72" s="134">
        <v>0.65</v>
      </c>
      <c r="K72" s="134">
        <v>281.85000000000002</v>
      </c>
      <c r="L72" s="134">
        <v>42.25</v>
      </c>
      <c r="M72" s="134">
        <v>14.93</v>
      </c>
      <c r="N72" s="134">
        <v>355.8</v>
      </c>
      <c r="O72" s="134">
        <v>0</v>
      </c>
      <c r="P72" s="134">
        <v>0.56000000000000005</v>
      </c>
      <c r="Q72" s="134">
        <v>4.92</v>
      </c>
    </row>
    <row r="73" spans="1:17" customFormat="1">
      <c r="A73" s="112" t="s">
        <v>590</v>
      </c>
      <c r="B73" s="134">
        <v>4.38</v>
      </c>
      <c r="C73" s="134">
        <v>50.86</v>
      </c>
      <c r="D73" s="134">
        <v>29.04</v>
      </c>
      <c r="E73" s="134">
        <v>12.33</v>
      </c>
      <c r="F73" s="134">
        <v>33.67</v>
      </c>
      <c r="G73" s="134">
        <v>51.51</v>
      </c>
      <c r="H73" s="134">
        <v>66.19</v>
      </c>
      <c r="I73" s="134">
        <v>5.23</v>
      </c>
      <c r="J73" s="134">
        <v>0.97</v>
      </c>
      <c r="K73" s="134">
        <v>309.45</v>
      </c>
      <c r="L73" s="134">
        <v>41.68</v>
      </c>
      <c r="M73" s="134">
        <v>15.25</v>
      </c>
      <c r="N73" s="134">
        <v>357.6</v>
      </c>
      <c r="O73" s="134">
        <v>0</v>
      </c>
      <c r="P73" s="134">
        <v>0.57999999999999996</v>
      </c>
      <c r="Q73" s="134">
        <v>4.9400000000000004</v>
      </c>
    </row>
    <row r="74" spans="1:17" customFormat="1">
      <c r="A74" s="112" t="s">
        <v>591</v>
      </c>
      <c r="B74" s="134">
        <v>4.0999999999999996</v>
      </c>
      <c r="C74" s="134">
        <v>46.88</v>
      </c>
      <c r="D74" s="134">
        <v>26.73</v>
      </c>
      <c r="E74" s="134">
        <v>13.79</v>
      </c>
      <c r="F74" s="134">
        <v>39.47</v>
      </c>
      <c r="G74" s="134">
        <v>48.6</v>
      </c>
      <c r="H74" s="134">
        <v>55.67</v>
      </c>
      <c r="I74" s="134">
        <v>5.38</v>
      </c>
      <c r="J74" s="134">
        <v>0.84</v>
      </c>
      <c r="K74" s="134">
        <v>307.47000000000003</v>
      </c>
      <c r="L74" s="134">
        <v>41.36</v>
      </c>
      <c r="M74" s="134">
        <v>15.26</v>
      </c>
      <c r="N74" s="134">
        <v>159.6</v>
      </c>
      <c r="O74" s="134">
        <v>0</v>
      </c>
      <c r="P74" s="134">
        <v>0.55000000000000004</v>
      </c>
      <c r="Q74" s="134">
        <v>4.9400000000000004</v>
      </c>
    </row>
    <row r="75" spans="1:17" customFormat="1">
      <c r="A75" s="112" t="s">
        <v>592</v>
      </c>
      <c r="B75" s="134">
        <v>4.1399999999999997</v>
      </c>
      <c r="C75" s="134">
        <v>49.81</v>
      </c>
      <c r="D75" s="134">
        <v>28.3</v>
      </c>
      <c r="E75" s="134">
        <v>13.01</v>
      </c>
      <c r="F75" s="134">
        <v>37.06</v>
      </c>
      <c r="G75" s="134">
        <v>44.43</v>
      </c>
      <c r="H75" s="134">
        <v>46.61</v>
      </c>
      <c r="I75" s="134">
        <v>5.32</v>
      </c>
      <c r="J75" s="134">
        <v>0.85</v>
      </c>
      <c r="K75" s="134">
        <v>297.02</v>
      </c>
      <c r="L75" s="134">
        <v>40.35</v>
      </c>
      <c r="M75" s="134">
        <v>16.21</v>
      </c>
      <c r="N75" s="134">
        <v>88.5</v>
      </c>
      <c r="O75" s="134">
        <v>0</v>
      </c>
      <c r="P75" s="134">
        <v>0.55000000000000004</v>
      </c>
      <c r="Q75" s="134">
        <v>4.9400000000000004</v>
      </c>
    </row>
    <row r="76" spans="1:17" customFormat="1">
      <c r="A76" s="112" t="s">
        <v>593</v>
      </c>
      <c r="B76" s="134">
        <v>5.13</v>
      </c>
      <c r="C76" s="134">
        <v>52.54</v>
      </c>
      <c r="D76" s="134">
        <v>30.85</v>
      </c>
      <c r="E76" s="134">
        <v>12.09</v>
      </c>
      <c r="F76" s="134">
        <v>26.53</v>
      </c>
      <c r="G76" s="134">
        <v>44.43</v>
      </c>
      <c r="H76" s="134">
        <v>46.61</v>
      </c>
      <c r="I76" s="134">
        <v>4.87</v>
      </c>
      <c r="J76" s="134">
        <v>1.17</v>
      </c>
      <c r="K76" s="134">
        <v>291.94</v>
      </c>
      <c r="L76" s="134">
        <v>39.770000000000003</v>
      </c>
      <c r="M76" s="134">
        <v>17.260000000000002</v>
      </c>
      <c r="N76" s="134">
        <v>63.6</v>
      </c>
      <c r="O76" s="134">
        <v>0</v>
      </c>
      <c r="P76" s="134">
        <v>0.56999999999999995</v>
      </c>
      <c r="Q76" s="134">
        <v>4.9400000000000004</v>
      </c>
    </row>
    <row r="77" spans="1:17" customFormat="1">
      <c r="A77" s="112" t="s">
        <v>594</v>
      </c>
      <c r="B77" s="134">
        <v>4.95</v>
      </c>
      <c r="C77" s="134">
        <v>52.97</v>
      </c>
      <c r="D77" s="134">
        <v>30.6</v>
      </c>
      <c r="E77" s="134">
        <v>10.65</v>
      </c>
      <c r="F77" s="134">
        <v>21.13</v>
      </c>
      <c r="G77" s="134">
        <v>44.43</v>
      </c>
      <c r="H77" s="134">
        <v>46.61</v>
      </c>
      <c r="I77" s="134">
        <v>5.01</v>
      </c>
      <c r="J77" s="134">
        <v>1.71</v>
      </c>
      <c r="K77" s="134">
        <v>302.75</v>
      </c>
      <c r="L77" s="134">
        <v>38.9</v>
      </c>
      <c r="M77" s="134">
        <v>17.55</v>
      </c>
      <c r="N77" s="134">
        <v>47.9</v>
      </c>
      <c r="O77" s="134">
        <v>0</v>
      </c>
      <c r="P77" s="134">
        <v>0.56999999999999995</v>
      </c>
      <c r="Q77" s="134">
        <v>4.8899999999999997</v>
      </c>
    </row>
    <row r="78" spans="1:17" customFormat="1">
      <c r="A78" s="112" t="s">
        <v>595</v>
      </c>
      <c r="B78" s="134">
        <v>5.0599999999999996</v>
      </c>
      <c r="C78" s="134">
        <v>48.82</v>
      </c>
      <c r="D78" s="134">
        <v>28.52</v>
      </c>
      <c r="E78" s="134">
        <v>11.22</v>
      </c>
      <c r="F78" s="134">
        <v>30.93</v>
      </c>
      <c r="G78" s="134">
        <v>45.19</v>
      </c>
      <c r="H78" s="134">
        <v>48.75</v>
      </c>
      <c r="I78" s="134">
        <v>5.28</v>
      </c>
      <c r="J78" s="134">
        <v>1.04</v>
      </c>
      <c r="K78" s="134">
        <v>298.42</v>
      </c>
      <c r="L78" s="134">
        <v>38.799999999999997</v>
      </c>
      <c r="M78" s="134">
        <v>16.559999999999999</v>
      </c>
      <c r="N78" s="134">
        <v>37.1</v>
      </c>
      <c r="O78" s="134">
        <v>0</v>
      </c>
      <c r="P78" s="134">
        <v>0.55000000000000004</v>
      </c>
      <c r="Q78" s="134">
        <v>4.8</v>
      </c>
    </row>
    <row r="79" spans="1:17" customFormat="1">
      <c r="A79" s="112" t="s">
        <v>596</v>
      </c>
      <c r="B79" s="134">
        <v>8.51</v>
      </c>
      <c r="C79" s="134">
        <v>53.82</v>
      </c>
      <c r="D79" s="134">
        <v>33.9</v>
      </c>
      <c r="E79" s="134">
        <v>9.84</v>
      </c>
      <c r="F79" s="134">
        <v>28.33</v>
      </c>
      <c r="G79" s="134">
        <v>46.29</v>
      </c>
      <c r="H79" s="134">
        <v>50.59</v>
      </c>
      <c r="I79" s="134">
        <v>5.19</v>
      </c>
      <c r="J79" s="134">
        <v>0.75</v>
      </c>
      <c r="K79" s="134">
        <v>308.31</v>
      </c>
      <c r="L79" s="134">
        <v>38.880000000000003</v>
      </c>
      <c r="M79" s="134">
        <v>16.02</v>
      </c>
      <c r="N79" s="134">
        <v>36.9</v>
      </c>
      <c r="O79" s="134">
        <v>0</v>
      </c>
      <c r="P79" s="134">
        <v>0.57999999999999996</v>
      </c>
      <c r="Q79" s="134">
        <v>4.87</v>
      </c>
    </row>
    <row r="80" spans="1:17" customFormat="1">
      <c r="A80" s="112" t="s">
        <v>597</v>
      </c>
      <c r="B80" s="134">
        <v>12.23</v>
      </c>
      <c r="C80" s="134">
        <v>59.31</v>
      </c>
      <c r="D80" s="134">
        <v>39.75</v>
      </c>
      <c r="E80" s="134">
        <v>9.93</v>
      </c>
      <c r="F80" s="134">
        <v>26.39</v>
      </c>
      <c r="G80" s="134">
        <v>46.29</v>
      </c>
      <c r="H80" s="134">
        <v>50.59</v>
      </c>
      <c r="I80" s="134">
        <v>4.7</v>
      </c>
      <c r="J80" s="134">
        <v>0.64</v>
      </c>
      <c r="K80" s="134">
        <v>14.96</v>
      </c>
      <c r="L80" s="134">
        <v>38.9</v>
      </c>
      <c r="M80" s="134">
        <v>16.420000000000002</v>
      </c>
      <c r="N80" s="134">
        <v>46.2</v>
      </c>
      <c r="O80" s="134">
        <v>0</v>
      </c>
      <c r="P80" s="134">
        <v>0.65</v>
      </c>
      <c r="Q80" s="134">
        <v>4.97</v>
      </c>
    </row>
    <row r="81" spans="1:17" customFormat="1">
      <c r="A81" s="112" t="s">
        <v>598</v>
      </c>
      <c r="B81" s="134">
        <v>7.25</v>
      </c>
      <c r="C81" s="134">
        <v>51.74</v>
      </c>
      <c r="D81" s="134">
        <v>31.8</v>
      </c>
      <c r="E81" s="134">
        <v>17.27</v>
      </c>
      <c r="F81" s="134">
        <v>39.119999999999997</v>
      </c>
      <c r="G81" s="134">
        <v>46.29</v>
      </c>
      <c r="H81" s="134">
        <v>50.59</v>
      </c>
      <c r="I81" s="134">
        <v>4.4000000000000004</v>
      </c>
      <c r="J81" s="134">
        <v>0.92</v>
      </c>
      <c r="K81" s="134">
        <v>67.08</v>
      </c>
      <c r="L81" s="134">
        <v>38.299999999999997</v>
      </c>
      <c r="M81" s="134">
        <v>21.89</v>
      </c>
      <c r="N81" s="134">
        <v>30.5</v>
      </c>
      <c r="O81" s="134">
        <v>0</v>
      </c>
      <c r="P81" s="134">
        <v>0.63</v>
      </c>
      <c r="Q81" s="134">
        <v>5.0199999999999996</v>
      </c>
    </row>
    <row r="82" spans="1:17" customFormat="1">
      <c r="A82" s="112" t="s">
        <v>599</v>
      </c>
      <c r="B82" s="134">
        <v>5.25</v>
      </c>
      <c r="C82" s="134">
        <v>47.29</v>
      </c>
      <c r="D82" s="134">
        <v>27.87</v>
      </c>
      <c r="E82" s="134">
        <v>25.61</v>
      </c>
      <c r="F82" s="134">
        <v>52.94</v>
      </c>
      <c r="G82" s="134">
        <v>62.59</v>
      </c>
      <c r="H82" s="134">
        <v>55.17</v>
      </c>
      <c r="I82" s="134">
        <v>4.62</v>
      </c>
      <c r="J82" s="134">
        <v>0.69</v>
      </c>
      <c r="K82" s="134">
        <v>73.3</v>
      </c>
      <c r="L82" s="134">
        <v>37.619999999999997</v>
      </c>
      <c r="M82" s="134">
        <v>24.54</v>
      </c>
      <c r="N82" s="134">
        <v>6.8</v>
      </c>
      <c r="O82" s="134">
        <v>0</v>
      </c>
      <c r="P82" s="134">
        <v>0.67</v>
      </c>
      <c r="Q82" s="134">
        <v>5.04</v>
      </c>
    </row>
    <row r="83" spans="1:17" customFormat="1">
      <c r="A83" s="112" t="s">
        <v>600</v>
      </c>
      <c r="B83" s="134">
        <v>5.64</v>
      </c>
      <c r="C83" s="134">
        <v>52.75</v>
      </c>
      <c r="D83" s="134">
        <v>31.04</v>
      </c>
      <c r="E83" s="134">
        <v>21.46</v>
      </c>
      <c r="F83" s="134">
        <v>37.340000000000003</v>
      </c>
      <c r="G83" s="134">
        <v>85.93</v>
      </c>
      <c r="H83" s="134">
        <v>59.11</v>
      </c>
      <c r="I83" s="134">
        <v>4.9400000000000004</v>
      </c>
      <c r="J83" s="134">
        <v>0.84</v>
      </c>
      <c r="K83" s="134">
        <v>70.53</v>
      </c>
      <c r="L83" s="134">
        <v>37.06</v>
      </c>
      <c r="M83" s="134">
        <v>25.03</v>
      </c>
      <c r="N83" s="134">
        <v>0</v>
      </c>
      <c r="O83" s="134">
        <v>0</v>
      </c>
      <c r="P83" s="134">
        <v>0.63</v>
      </c>
      <c r="Q83" s="134">
        <v>5.03</v>
      </c>
    </row>
    <row r="84" spans="1:17" customFormat="1">
      <c r="A84" s="112" t="s">
        <v>601</v>
      </c>
      <c r="B84" s="134">
        <v>5.39</v>
      </c>
      <c r="C84" s="134">
        <v>51.13</v>
      </c>
      <c r="D84" s="134">
        <v>29.99</v>
      </c>
      <c r="E84" s="134">
        <v>23.32</v>
      </c>
      <c r="F84" s="134">
        <v>43.75</v>
      </c>
      <c r="G84" s="134">
        <v>85.93</v>
      </c>
      <c r="H84" s="134">
        <v>59.11</v>
      </c>
      <c r="I84" s="134">
        <v>4.9800000000000004</v>
      </c>
      <c r="J84" s="134">
        <v>0.82</v>
      </c>
      <c r="K84" s="134">
        <v>68.8</v>
      </c>
      <c r="L84" s="134">
        <v>36.61</v>
      </c>
      <c r="M84" s="134">
        <v>25.83</v>
      </c>
      <c r="N84" s="134">
        <v>0</v>
      </c>
      <c r="O84" s="134">
        <v>0</v>
      </c>
      <c r="P84" s="134">
        <v>0.65</v>
      </c>
      <c r="Q84" s="134">
        <v>5.0199999999999996</v>
      </c>
    </row>
    <row r="85" spans="1:17" customFormat="1">
      <c r="A85" s="112" t="s">
        <v>602</v>
      </c>
      <c r="B85" s="134">
        <v>4.9800000000000004</v>
      </c>
      <c r="C85" s="134">
        <v>49.68</v>
      </c>
      <c r="D85" s="134">
        <v>28.91</v>
      </c>
      <c r="E85" s="134">
        <v>22.61</v>
      </c>
      <c r="F85" s="134">
        <v>41.47</v>
      </c>
      <c r="G85" s="134">
        <v>85.93</v>
      </c>
      <c r="H85" s="134">
        <v>59.11</v>
      </c>
      <c r="I85" s="134">
        <v>4.95</v>
      </c>
      <c r="J85" s="134">
        <v>0.6</v>
      </c>
      <c r="K85" s="134">
        <v>74.349999999999994</v>
      </c>
      <c r="L85" s="134">
        <v>36.340000000000003</v>
      </c>
      <c r="M85" s="134">
        <v>26.58</v>
      </c>
      <c r="N85" s="134">
        <v>0</v>
      </c>
      <c r="O85" s="134">
        <v>0</v>
      </c>
      <c r="P85" s="134">
        <v>0.67</v>
      </c>
      <c r="Q85" s="134">
        <v>5.01</v>
      </c>
    </row>
    <row r="86" spans="1:17" customFormat="1">
      <c r="A86" s="112" t="s">
        <v>603</v>
      </c>
      <c r="B86" s="134">
        <v>5.62</v>
      </c>
      <c r="C86" s="134">
        <v>56.41</v>
      </c>
      <c r="D86" s="134">
        <v>32.93</v>
      </c>
      <c r="E86" s="134">
        <v>14.86</v>
      </c>
      <c r="F86" s="134">
        <v>24.37</v>
      </c>
      <c r="G86" s="134">
        <v>101.08</v>
      </c>
      <c r="H86" s="134">
        <v>61.93</v>
      </c>
      <c r="I86" s="134">
        <v>4.97</v>
      </c>
      <c r="J86" s="134">
        <v>1.23</v>
      </c>
      <c r="K86" s="134">
        <v>72.41</v>
      </c>
      <c r="L86" s="134">
        <v>35.69</v>
      </c>
      <c r="M86" s="134">
        <v>27.87</v>
      </c>
      <c r="N86" s="134">
        <v>0</v>
      </c>
      <c r="O86" s="134">
        <v>0</v>
      </c>
      <c r="P86" s="134">
        <v>0.64</v>
      </c>
      <c r="Q86" s="134">
        <v>5.04</v>
      </c>
    </row>
    <row r="87" spans="1:17" customFormat="1">
      <c r="A87" s="112" t="s">
        <v>604</v>
      </c>
      <c r="B87" s="134">
        <v>5.69</v>
      </c>
      <c r="C87" s="134">
        <v>56.13</v>
      </c>
      <c r="D87" s="134">
        <v>32.840000000000003</v>
      </c>
      <c r="E87" s="134">
        <v>12.19</v>
      </c>
      <c r="F87" s="134">
        <v>15.4</v>
      </c>
      <c r="G87" s="134">
        <v>122.78</v>
      </c>
      <c r="H87" s="134">
        <v>69.209999999999994</v>
      </c>
      <c r="I87" s="134">
        <v>5.12</v>
      </c>
      <c r="J87" s="134">
        <v>0.7</v>
      </c>
      <c r="K87" s="134">
        <v>96.28</v>
      </c>
      <c r="L87" s="134">
        <v>34.97</v>
      </c>
      <c r="M87" s="134">
        <v>29.74</v>
      </c>
      <c r="N87" s="134">
        <v>0</v>
      </c>
      <c r="O87" s="134">
        <v>0</v>
      </c>
      <c r="P87" s="134">
        <v>0.62</v>
      </c>
      <c r="Q87" s="134">
        <v>5.01</v>
      </c>
    </row>
    <row r="88" spans="1:17" customFormat="1">
      <c r="A88" s="112" t="s">
        <v>605</v>
      </c>
      <c r="B88" s="134">
        <v>5.0999999999999996</v>
      </c>
      <c r="C88" s="134">
        <v>56.6</v>
      </c>
      <c r="D88" s="134">
        <v>32.619999999999997</v>
      </c>
      <c r="E88" s="134">
        <v>12.09</v>
      </c>
      <c r="F88" s="134">
        <v>20.07</v>
      </c>
      <c r="G88" s="134">
        <v>122.78</v>
      </c>
      <c r="H88" s="134">
        <v>69.209999999999994</v>
      </c>
      <c r="I88" s="134">
        <v>5.34</v>
      </c>
      <c r="J88" s="134">
        <v>0.54</v>
      </c>
      <c r="K88" s="134">
        <v>88.22</v>
      </c>
      <c r="L88" s="134">
        <v>34.71</v>
      </c>
      <c r="M88" s="134">
        <v>31.19</v>
      </c>
      <c r="N88" s="134">
        <v>0</v>
      </c>
      <c r="O88" s="134">
        <v>0</v>
      </c>
      <c r="P88" s="134">
        <v>0.64</v>
      </c>
      <c r="Q88" s="134">
        <v>4.95</v>
      </c>
    </row>
    <row r="89" spans="1:17" customFormat="1">
      <c r="A89" s="112" t="s">
        <v>606</v>
      </c>
      <c r="B89" s="134">
        <v>4.6399999999999997</v>
      </c>
      <c r="C89" s="134">
        <v>55.35</v>
      </c>
      <c r="D89" s="134">
        <v>31.6</v>
      </c>
      <c r="E89" s="134">
        <v>15.15</v>
      </c>
      <c r="F89" s="134">
        <v>20.27</v>
      </c>
      <c r="G89" s="134">
        <v>122.78</v>
      </c>
      <c r="H89" s="134">
        <v>69.209999999999994</v>
      </c>
      <c r="I89" s="134">
        <v>5.33</v>
      </c>
      <c r="J89" s="134">
        <v>0.47</v>
      </c>
      <c r="K89" s="134">
        <v>116.96</v>
      </c>
      <c r="L89" s="134">
        <v>34.479999999999997</v>
      </c>
      <c r="M89" s="134">
        <v>32.79</v>
      </c>
      <c r="N89" s="134">
        <v>0</v>
      </c>
      <c r="O89" s="134">
        <v>0</v>
      </c>
      <c r="P89" s="134">
        <v>0.62</v>
      </c>
      <c r="Q89" s="134">
        <v>4.92</v>
      </c>
    </row>
    <row r="90" spans="1:17" customFormat="1">
      <c r="A90" s="112" t="s">
        <v>607</v>
      </c>
      <c r="B90" s="134">
        <v>4.2699999999999996</v>
      </c>
      <c r="C90" s="134">
        <v>49.37</v>
      </c>
      <c r="D90" s="134">
        <v>28.17</v>
      </c>
      <c r="E90" s="134">
        <v>15.81</v>
      </c>
      <c r="F90" s="134">
        <v>21.7</v>
      </c>
      <c r="G90" s="134">
        <v>107.84</v>
      </c>
      <c r="H90" s="134">
        <v>59.02</v>
      </c>
      <c r="I90" s="134">
        <v>5.27</v>
      </c>
      <c r="J90" s="134">
        <v>0.48</v>
      </c>
      <c r="K90" s="134">
        <v>98.64</v>
      </c>
      <c r="L90" s="134">
        <v>33.97</v>
      </c>
      <c r="M90" s="134">
        <v>34.9</v>
      </c>
      <c r="N90" s="134">
        <v>0</v>
      </c>
      <c r="O90" s="134">
        <v>0</v>
      </c>
      <c r="P90" s="134">
        <v>0.6</v>
      </c>
      <c r="Q90" s="134">
        <v>4.8600000000000003</v>
      </c>
    </row>
    <row r="91" spans="1:17" customFormat="1">
      <c r="A91" s="112" t="s">
        <v>608</v>
      </c>
      <c r="B91" s="134">
        <v>3.91</v>
      </c>
      <c r="C91" s="134">
        <v>49.72</v>
      </c>
      <c r="D91" s="134">
        <v>28.07</v>
      </c>
      <c r="E91" s="134">
        <v>14.93</v>
      </c>
      <c r="F91" s="134">
        <v>21.27</v>
      </c>
      <c r="G91" s="134">
        <v>86.44</v>
      </c>
      <c r="H91" s="134">
        <v>50.24</v>
      </c>
      <c r="I91" s="134">
        <v>5.14</v>
      </c>
      <c r="J91" s="134">
        <v>0.56999999999999995</v>
      </c>
      <c r="K91" s="134">
        <v>113.33</v>
      </c>
      <c r="L91" s="134">
        <v>33.479999999999997</v>
      </c>
      <c r="M91" s="134">
        <v>36.53</v>
      </c>
      <c r="N91" s="134">
        <v>0</v>
      </c>
      <c r="O91" s="134">
        <v>0</v>
      </c>
      <c r="P91" s="134">
        <v>0.59</v>
      </c>
      <c r="Q91" s="134">
        <v>4.79</v>
      </c>
    </row>
    <row r="92" spans="1:17" customFormat="1">
      <c r="A92" s="112" t="s">
        <v>609</v>
      </c>
      <c r="B92" s="134">
        <v>3.55</v>
      </c>
      <c r="C92" s="134">
        <v>50.35</v>
      </c>
      <c r="D92" s="134">
        <v>28.11</v>
      </c>
      <c r="E92" s="134">
        <v>13.62</v>
      </c>
      <c r="F92" s="134">
        <v>18.2</v>
      </c>
      <c r="G92" s="134">
        <v>86.44</v>
      </c>
      <c r="H92" s="134">
        <v>50.24</v>
      </c>
      <c r="I92" s="134">
        <v>5.01</v>
      </c>
      <c r="J92" s="134">
        <v>0.53</v>
      </c>
      <c r="K92" s="134">
        <v>96.94</v>
      </c>
      <c r="L92" s="134">
        <v>33.26</v>
      </c>
      <c r="M92" s="134">
        <v>36.79</v>
      </c>
      <c r="N92" s="134">
        <v>0</v>
      </c>
      <c r="O92" s="134">
        <v>0</v>
      </c>
      <c r="P92" s="134">
        <v>0.59</v>
      </c>
      <c r="Q92" s="134">
        <v>4.72</v>
      </c>
    </row>
    <row r="93" spans="1:17" customFormat="1">
      <c r="A93" s="112" t="s">
        <v>610</v>
      </c>
      <c r="B93" s="134">
        <v>3.38</v>
      </c>
      <c r="C93" s="134">
        <v>48.58</v>
      </c>
      <c r="D93" s="134">
        <v>27.05</v>
      </c>
      <c r="E93" s="134">
        <v>11.36</v>
      </c>
      <c r="F93" s="134">
        <v>18.190000000000001</v>
      </c>
      <c r="G93" s="134">
        <v>86.44</v>
      </c>
      <c r="H93" s="134">
        <v>50.24</v>
      </c>
      <c r="I93" s="134">
        <v>4.9400000000000004</v>
      </c>
      <c r="J93" s="134">
        <v>0.59</v>
      </c>
      <c r="K93" s="134">
        <v>103.19</v>
      </c>
      <c r="L93" s="134">
        <v>32.97</v>
      </c>
      <c r="M93" s="134">
        <v>37.79</v>
      </c>
      <c r="N93" s="134">
        <v>0</v>
      </c>
      <c r="O93" s="134">
        <v>0</v>
      </c>
      <c r="P93" s="134">
        <v>0.57999999999999996</v>
      </c>
      <c r="Q93" s="134">
        <v>4.6900000000000004</v>
      </c>
    </row>
    <row r="94" spans="1:17" customFormat="1">
      <c r="A94" s="112" t="s">
        <v>611</v>
      </c>
      <c r="B94" s="134">
        <v>3.3</v>
      </c>
      <c r="C94" s="134">
        <v>48.74</v>
      </c>
      <c r="D94" s="134">
        <v>27.07</v>
      </c>
      <c r="E94" s="134">
        <v>8.93</v>
      </c>
      <c r="F94" s="134">
        <v>19.48</v>
      </c>
      <c r="G94" s="134">
        <v>86.39</v>
      </c>
      <c r="H94" s="134">
        <v>48.76</v>
      </c>
      <c r="I94" s="134">
        <v>4.9000000000000004</v>
      </c>
      <c r="J94" s="134">
        <v>0.57999999999999996</v>
      </c>
      <c r="K94" s="134">
        <v>114.89</v>
      </c>
      <c r="L94" s="134">
        <v>32.67</v>
      </c>
      <c r="M94" s="134">
        <v>39.4</v>
      </c>
      <c r="N94" s="134">
        <v>0</v>
      </c>
      <c r="O94" s="134">
        <v>0</v>
      </c>
      <c r="P94" s="134">
        <v>0.56999999999999995</v>
      </c>
      <c r="Q94" s="134">
        <v>4.6900000000000004</v>
      </c>
    </row>
    <row r="95" spans="1:17" customFormat="1">
      <c r="A95" s="112" t="s">
        <v>612</v>
      </c>
      <c r="B95" s="134">
        <v>3.12</v>
      </c>
      <c r="C95" s="134">
        <v>45.58</v>
      </c>
      <c r="D95" s="134">
        <v>25.27</v>
      </c>
      <c r="E95" s="134">
        <v>9.26</v>
      </c>
      <c r="F95" s="134">
        <v>22.84</v>
      </c>
      <c r="G95" s="134">
        <v>86.32</v>
      </c>
      <c r="H95" s="134">
        <v>47.49</v>
      </c>
      <c r="I95" s="134">
        <v>4.8600000000000003</v>
      </c>
      <c r="J95" s="134">
        <v>0.33</v>
      </c>
      <c r="K95" s="134">
        <v>105.32</v>
      </c>
      <c r="L95" s="134">
        <v>32.36</v>
      </c>
      <c r="M95" s="134">
        <v>40.74</v>
      </c>
      <c r="N95" s="134">
        <v>0</v>
      </c>
      <c r="O95" s="134">
        <v>0</v>
      </c>
      <c r="P95" s="134">
        <v>0.56000000000000005</v>
      </c>
      <c r="Q95" s="134">
        <v>4.68</v>
      </c>
    </row>
    <row r="96" spans="1:17" customFormat="1">
      <c r="A96" s="112" t="s">
        <v>613</v>
      </c>
      <c r="B96" s="134">
        <v>3.28</v>
      </c>
      <c r="C96" s="134">
        <v>44.24</v>
      </c>
      <c r="D96" s="134">
        <v>24.7</v>
      </c>
      <c r="E96" s="134">
        <v>10.46</v>
      </c>
      <c r="F96" s="134">
        <v>29.61</v>
      </c>
      <c r="G96" s="134">
        <v>86.32</v>
      </c>
      <c r="H96" s="134">
        <v>47.49</v>
      </c>
      <c r="I96" s="134">
        <v>4.71</v>
      </c>
      <c r="J96" s="134">
        <v>0.36</v>
      </c>
      <c r="K96" s="134">
        <v>99.89</v>
      </c>
      <c r="L96" s="134">
        <v>32.119999999999997</v>
      </c>
      <c r="M96" s="134">
        <v>41.25</v>
      </c>
      <c r="N96" s="134">
        <v>0</v>
      </c>
      <c r="O96" s="134">
        <v>0</v>
      </c>
      <c r="P96" s="134">
        <v>0.54</v>
      </c>
      <c r="Q96" s="134">
        <v>4.6500000000000004</v>
      </c>
    </row>
    <row r="97" spans="1:22" customFormat="1">
      <c r="A97" s="112" t="s">
        <v>614</v>
      </c>
      <c r="B97" s="134">
        <v>3.67</v>
      </c>
      <c r="C97" s="134">
        <v>47.04</v>
      </c>
      <c r="D97" s="134">
        <v>26.47</v>
      </c>
      <c r="E97" s="134">
        <v>9.2200000000000006</v>
      </c>
      <c r="F97" s="134">
        <v>17.739999999999998</v>
      </c>
      <c r="G97" s="134">
        <v>86.32</v>
      </c>
      <c r="H97" s="134">
        <v>47.49</v>
      </c>
      <c r="I97" s="134">
        <v>4.41</v>
      </c>
      <c r="J97" s="134">
        <v>0.52</v>
      </c>
      <c r="K97" s="134">
        <v>105.22</v>
      </c>
      <c r="L97" s="134">
        <v>31.95</v>
      </c>
      <c r="M97" s="134">
        <v>41.41</v>
      </c>
      <c r="N97" s="134">
        <v>0</v>
      </c>
      <c r="O97" s="134">
        <v>0</v>
      </c>
      <c r="P97" s="134">
        <v>0.55000000000000004</v>
      </c>
      <c r="Q97" s="134">
        <v>4.6399999999999997</v>
      </c>
    </row>
    <row r="98" spans="1:22" customFormat="1">
      <c r="A98" s="112" t="s">
        <v>615</v>
      </c>
      <c r="B98" s="134">
        <v>3.87</v>
      </c>
      <c r="C98" s="134">
        <v>45.16</v>
      </c>
      <c r="D98" s="134">
        <v>25.65</v>
      </c>
      <c r="E98" s="134">
        <v>10.119999999999999</v>
      </c>
      <c r="F98" s="134">
        <v>23.57</v>
      </c>
      <c r="G98" s="134">
        <v>78.81</v>
      </c>
      <c r="H98" s="134">
        <v>43.03</v>
      </c>
      <c r="I98" s="134">
        <v>4.25</v>
      </c>
      <c r="J98" s="134">
        <v>0.39</v>
      </c>
      <c r="K98" s="134">
        <v>103.75</v>
      </c>
      <c r="L98" s="134">
        <v>31.84</v>
      </c>
      <c r="M98" s="134">
        <v>41.86</v>
      </c>
      <c r="N98" s="134">
        <v>0</v>
      </c>
      <c r="O98" s="134">
        <v>0</v>
      </c>
      <c r="P98" s="134">
        <v>0.53</v>
      </c>
      <c r="Q98" s="134">
        <v>4.6500000000000004</v>
      </c>
    </row>
    <row r="99" spans="1:22" customFormat="1">
      <c r="A99" s="112" t="s">
        <v>616</v>
      </c>
      <c r="B99" s="134">
        <v>3.77</v>
      </c>
      <c r="C99" s="134">
        <v>43.89</v>
      </c>
      <c r="D99" s="134">
        <v>24.91</v>
      </c>
      <c r="E99" s="134">
        <v>10.36</v>
      </c>
      <c r="F99" s="134">
        <v>26.44</v>
      </c>
      <c r="G99" s="134">
        <v>68.06</v>
      </c>
      <c r="H99" s="134">
        <v>39.200000000000003</v>
      </c>
      <c r="I99" s="134">
        <v>4.22</v>
      </c>
      <c r="J99" s="134">
        <v>0.24</v>
      </c>
      <c r="K99" s="134">
        <v>90.97</v>
      </c>
      <c r="L99" s="134">
        <v>31.56</v>
      </c>
      <c r="M99" s="134">
        <v>42.72</v>
      </c>
      <c r="N99" s="134">
        <v>0</v>
      </c>
      <c r="O99" s="134">
        <v>0</v>
      </c>
      <c r="P99" s="134">
        <v>0.53</v>
      </c>
      <c r="Q99" s="134">
        <v>4.6900000000000004</v>
      </c>
    </row>
    <row r="100" spans="1:22" customFormat="1">
      <c r="A100" s="112" t="s">
        <v>617</v>
      </c>
      <c r="B100" s="134">
        <v>4.43</v>
      </c>
      <c r="C100" s="134">
        <v>45.11</v>
      </c>
      <c r="D100" s="134">
        <v>26.07</v>
      </c>
      <c r="E100" s="134">
        <v>9.8000000000000007</v>
      </c>
      <c r="F100" s="134">
        <v>25.96</v>
      </c>
      <c r="G100" s="134">
        <v>68.06</v>
      </c>
      <c r="H100" s="134">
        <v>39.200000000000003</v>
      </c>
      <c r="I100" s="134">
        <v>4.13</v>
      </c>
      <c r="J100" s="134">
        <v>0.28999999999999998</v>
      </c>
      <c r="K100" s="134">
        <v>99.43</v>
      </c>
      <c r="L100" s="134">
        <v>31.64</v>
      </c>
      <c r="M100" s="134">
        <v>42.42</v>
      </c>
      <c r="N100" s="134">
        <v>0</v>
      </c>
      <c r="O100" s="134">
        <v>0</v>
      </c>
      <c r="P100" s="134">
        <v>0.53</v>
      </c>
      <c r="Q100" s="134">
        <v>4.7</v>
      </c>
    </row>
    <row r="101" spans="1:22" customFormat="1">
      <c r="A101" s="112" t="s">
        <v>618</v>
      </c>
      <c r="B101" s="134">
        <v>4.7</v>
      </c>
      <c r="C101" s="134">
        <v>48.83</v>
      </c>
      <c r="D101" s="134">
        <v>28.23</v>
      </c>
      <c r="E101" s="134">
        <v>8.4600000000000009</v>
      </c>
      <c r="F101" s="134">
        <v>20.65</v>
      </c>
      <c r="G101" s="134">
        <v>68.06</v>
      </c>
      <c r="H101" s="134">
        <v>39.200000000000003</v>
      </c>
      <c r="I101" s="134">
        <v>4.09</v>
      </c>
      <c r="J101" s="134">
        <v>0.3</v>
      </c>
      <c r="K101" s="134">
        <v>123.88</v>
      </c>
      <c r="L101" s="134">
        <v>31.52</v>
      </c>
      <c r="M101" s="134">
        <v>43.1</v>
      </c>
      <c r="N101" s="134">
        <v>0</v>
      </c>
      <c r="O101" s="134">
        <v>0</v>
      </c>
      <c r="P101" s="134">
        <v>0.53</v>
      </c>
      <c r="Q101" s="134">
        <v>4.7</v>
      </c>
    </row>
    <row r="102" spans="1:22" customFormat="1">
      <c r="A102" s="112" t="s">
        <v>619</v>
      </c>
      <c r="B102" s="134">
        <v>4.72</v>
      </c>
      <c r="C102" s="134">
        <v>49.04</v>
      </c>
      <c r="D102" s="134">
        <v>28.36</v>
      </c>
      <c r="E102" s="134">
        <v>8.08</v>
      </c>
      <c r="F102" s="134">
        <v>17.010000000000002</v>
      </c>
      <c r="G102" s="134">
        <v>60.34</v>
      </c>
      <c r="H102" s="134">
        <v>36.71</v>
      </c>
      <c r="I102" s="134">
        <v>4.08</v>
      </c>
      <c r="J102" s="134">
        <v>0.51</v>
      </c>
      <c r="K102" s="134">
        <v>77.349999999999994</v>
      </c>
      <c r="L102" s="134">
        <v>31.34</v>
      </c>
      <c r="M102" s="134">
        <v>43.41</v>
      </c>
      <c r="N102" s="134">
        <v>0</v>
      </c>
      <c r="O102" s="134">
        <v>0</v>
      </c>
      <c r="P102" s="134">
        <v>0.53</v>
      </c>
      <c r="Q102" s="134">
        <v>4.71</v>
      </c>
    </row>
    <row r="103" spans="1:22" customFormat="1">
      <c r="A103" s="112" t="s">
        <v>620</v>
      </c>
      <c r="B103" s="134">
        <v>5.0199999999999996</v>
      </c>
      <c r="C103" s="134">
        <v>50.36</v>
      </c>
      <c r="D103" s="134">
        <v>29.29</v>
      </c>
      <c r="E103" s="134">
        <v>9.9</v>
      </c>
      <c r="F103" s="134">
        <v>16.3</v>
      </c>
      <c r="G103" s="134">
        <v>49.28</v>
      </c>
      <c r="H103" s="134">
        <v>34.58</v>
      </c>
      <c r="I103" s="134">
        <v>4.1900000000000004</v>
      </c>
      <c r="J103" s="134">
        <v>0.33</v>
      </c>
      <c r="K103" s="134">
        <v>113.51</v>
      </c>
      <c r="L103" s="134">
        <v>31.19</v>
      </c>
      <c r="M103" s="134">
        <v>44.15</v>
      </c>
      <c r="N103" s="134">
        <v>0</v>
      </c>
      <c r="O103" s="134">
        <v>0</v>
      </c>
      <c r="P103" s="134">
        <v>0.52</v>
      </c>
      <c r="Q103" s="134">
        <v>4.76</v>
      </c>
    </row>
    <row r="104" spans="1:22" customFormat="1">
      <c r="A104" s="112" t="s">
        <v>621</v>
      </c>
      <c r="B104" s="134">
        <v>5.23</v>
      </c>
      <c r="C104" s="134">
        <v>49.74</v>
      </c>
      <c r="D104" s="134">
        <v>29.14</v>
      </c>
      <c r="E104" s="134">
        <v>9.19</v>
      </c>
      <c r="F104" s="134">
        <v>19.899999999999999</v>
      </c>
      <c r="G104" s="134">
        <v>49.28</v>
      </c>
      <c r="H104" s="134">
        <v>34.58</v>
      </c>
      <c r="I104" s="134">
        <v>4.09</v>
      </c>
      <c r="J104" s="134">
        <v>0.22</v>
      </c>
      <c r="K104" s="134">
        <v>130.31</v>
      </c>
      <c r="L104" s="134">
        <v>31.12</v>
      </c>
      <c r="M104" s="134">
        <v>44.31</v>
      </c>
      <c r="N104" s="134">
        <v>0</v>
      </c>
      <c r="O104" s="134">
        <v>0</v>
      </c>
      <c r="P104" s="134">
        <v>0.52</v>
      </c>
      <c r="Q104" s="134">
        <v>4.79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3.12</v>
      </c>
      <c r="C106" s="183">
        <f>MIN(C9:C104)</f>
        <v>43.48</v>
      </c>
      <c r="D106" s="183">
        <f t="shared" ref="D106:Q106" si="0">MIN(D9:D104)</f>
        <v>24.46</v>
      </c>
      <c r="E106" s="183">
        <f t="shared" si="0"/>
        <v>5.97</v>
      </c>
      <c r="F106" s="183">
        <f t="shared" si="0"/>
        <v>4.08</v>
      </c>
      <c r="G106" s="183">
        <f t="shared" si="0"/>
        <v>44.43</v>
      </c>
      <c r="H106" s="183">
        <f t="shared" si="0"/>
        <v>26.33</v>
      </c>
      <c r="I106" s="183">
        <f t="shared" si="0"/>
        <v>4.08</v>
      </c>
      <c r="J106" s="183">
        <f t="shared" si="0"/>
        <v>0.08</v>
      </c>
      <c r="K106" s="183">
        <f t="shared" si="0"/>
        <v>11.9</v>
      </c>
      <c r="L106" s="183">
        <f t="shared" si="0"/>
        <v>27.58</v>
      </c>
      <c r="M106" s="183">
        <f t="shared" si="0"/>
        <v>14.74</v>
      </c>
      <c r="N106" s="183">
        <f t="shared" si="0"/>
        <v>0</v>
      </c>
      <c r="O106" s="183">
        <f t="shared" si="0"/>
        <v>0</v>
      </c>
      <c r="P106" s="183">
        <f t="shared" si="0"/>
        <v>0.52</v>
      </c>
      <c r="Q106" s="183">
        <f t="shared" si="0"/>
        <v>4.6399999999999997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48.52</v>
      </c>
      <c r="C107" s="184">
        <f t="shared" ref="C107:Q107" si="1">MAX(C9:C104)</f>
        <v>67.599999999999994</v>
      </c>
      <c r="D107" s="184">
        <f t="shared" si="1"/>
        <v>72.849999999999994</v>
      </c>
      <c r="E107" s="184">
        <f t="shared" si="1"/>
        <v>68.099999999999994</v>
      </c>
      <c r="F107" s="184">
        <f t="shared" si="1"/>
        <v>83.97</v>
      </c>
      <c r="G107" s="184">
        <f t="shared" si="1"/>
        <v>233.53</v>
      </c>
      <c r="H107" s="184">
        <f t="shared" si="1"/>
        <v>136.79</v>
      </c>
      <c r="I107" s="184">
        <f t="shared" si="1"/>
        <v>15.13</v>
      </c>
      <c r="J107" s="184">
        <f t="shared" si="1"/>
        <v>1.71</v>
      </c>
      <c r="K107" s="184">
        <f t="shared" si="1"/>
        <v>359.46</v>
      </c>
      <c r="L107" s="184">
        <f t="shared" si="1"/>
        <v>42.79</v>
      </c>
      <c r="M107" s="184">
        <f t="shared" si="1"/>
        <v>53.82</v>
      </c>
      <c r="N107" s="184">
        <f t="shared" si="1"/>
        <v>708.4</v>
      </c>
      <c r="O107" s="184">
        <f t="shared" si="1"/>
        <v>0</v>
      </c>
      <c r="P107" s="184">
        <f t="shared" si="1"/>
        <v>1.23</v>
      </c>
      <c r="Q107" s="184">
        <f t="shared" si="1"/>
        <v>7.33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18.39447916666667</v>
      </c>
      <c r="C108" s="183">
        <f t="shared" ref="C108:Q108" si="2">AVERAGE(C9:C104)</f>
        <v>55.869166666666672</v>
      </c>
      <c r="D108" s="183">
        <f t="shared" si="2"/>
        <v>42.899270833333333</v>
      </c>
      <c r="E108" s="183">
        <f t="shared" si="2"/>
        <v>21.278854166666658</v>
      </c>
      <c r="F108" s="183">
        <f t="shared" si="2"/>
        <v>26.086562500000003</v>
      </c>
      <c r="G108" s="183">
        <f t="shared" si="2"/>
        <v>85.392916666666693</v>
      </c>
      <c r="H108" s="183">
        <f t="shared" si="2"/>
        <v>55.307708333333302</v>
      </c>
      <c r="I108" s="183">
        <f t="shared" si="2"/>
        <v>7.5971875000000049</v>
      </c>
      <c r="J108" s="183">
        <f t="shared" si="2"/>
        <v>0.54500000000000004</v>
      </c>
      <c r="K108" s="183">
        <f t="shared" si="2"/>
        <v>171.01822916666663</v>
      </c>
      <c r="L108" s="183">
        <f t="shared" si="2"/>
        <v>34.786145833333336</v>
      </c>
      <c r="M108" s="183">
        <f t="shared" si="2"/>
        <v>31.761145833333334</v>
      </c>
      <c r="N108" s="183">
        <f t="shared" si="2"/>
        <v>159.20520833333333</v>
      </c>
      <c r="O108" s="183">
        <f t="shared" si="2"/>
        <v>0</v>
      </c>
      <c r="P108" s="183">
        <f t="shared" si="2"/>
        <v>0.7963541666666667</v>
      </c>
      <c r="Q108" s="183">
        <f t="shared" si="2"/>
        <v>5.7606250000000019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16.517495660171125</v>
      </c>
      <c r="C109" s="183">
        <f t="shared" ref="C109:Q109" si="3">STDEV(C9:C104)</f>
        <v>6.2411587430652711</v>
      </c>
      <c r="D109" s="183">
        <f t="shared" si="3"/>
        <v>16.035496365041091</v>
      </c>
      <c r="E109" s="183">
        <f t="shared" si="3"/>
        <v>15.46234651422213</v>
      </c>
      <c r="F109" s="183">
        <f t="shared" si="3"/>
        <v>20.756867212569983</v>
      </c>
      <c r="G109" s="183">
        <f t="shared" si="3"/>
        <v>29.715216336581079</v>
      </c>
      <c r="H109" s="183">
        <f t="shared" si="3"/>
        <v>21.804900486342493</v>
      </c>
      <c r="I109" s="183">
        <f t="shared" si="3"/>
        <v>2.4665427341139674</v>
      </c>
      <c r="J109" s="183">
        <f t="shared" si="3"/>
        <v>0.32510079408667941</v>
      </c>
      <c r="K109" s="183">
        <f t="shared" si="3"/>
        <v>110.70640966557292</v>
      </c>
      <c r="L109" s="183">
        <f t="shared" si="3"/>
        <v>4.7139567400358899</v>
      </c>
      <c r="M109" s="183">
        <f t="shared" si="3"/>
        <v>11.452171191046498</v>
      </c>
      <c r="N109" s="183">
        <f t="shared" si="3"/>
        <v>228.77804015420327</v>
      </c>
      <c r="O109" s="183">
        <f t="shared" si="3"/>
        <v>0</v>
      </c>
      <c r="P109" s="183">
        <f t="shared" si="3"/>
        <v>0.19840479510157569</v>
      </c>
      <c r="Q109" s="183">
        <f t="shared" si="3"/>
        <v>0.95206900733972266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05/06/2023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622</v>
      </c>
      <c r="B9" s="134">
        <v>4.6399999999999997</v>
      </c>
      <c r="C9" s="134">
        <v>51.07</v>
      </c>
      <c r="D9" s="134">
        <v>29.36</v>
      </c>
      <c r="E9" s="134">
        <v>8.14</v>
      </c>
      <c r="F9" s="134">
        <v>17.11</v>
      </c>
      <c r="G9" s="134">
        <v>49.28</v>
      </c>
      <c r="H9" s="134">
        <v>34.58</v>
      </c>
      <c r="I9" s="134">
        <v>4.08</v>
      </c>
      <c r="J9" s="134">
        <v>0.18</v>
      </c>
      <c r="K9" s="134">
        <v>153.5</v>
      </c>
      <c r="L9" s="134">
        <v>30.91</v>
      </c>
      <c r="M9" s="134">
        <v>44.94</v>
      </c>
      <c r="N9" s="134">
        <v>0</v>
      </c>
      <c r="O9" s="134">
        <v>0</v>
      </c>
      <c r="P9" s="134">
        <v>0.52</v>
      </c>
      <c r="Q9" s="134">
        <v>4.79</v>
      </c>
    </row>
    <row r="10" spans="1:21" customFormat="1">
      <c r="A10" s="112" t="s">
        <v>623</v>
      </c>
      <c r="B10" s="134">
        <v>4.58</v>
      </c>
      <c r="C10" s="134">
        <v>47.54</v>
      </c>
      <c r="D10" s="134">
        <v>27.46</v>
      </c>
      <c r="E10" s="134">
        <v>8.34</v>
      </c>
      <c r="F10" s="134">
        <v>22.46</v>
      </c>
      <c r="G10" s="134">
        <v>48.22</v>
      </c>
      <c r="H10" s="134">
        <v>32.65</v>
      </c>
      <c r="I10" s="134">
        <v>4.21</v>
      </c>
      <c r="J10" s="134">
        <v>0.17</v>
      </c>
      <c r="K10" s="134">
        <v>153.24</v>
      </c>
      <c r="L10" s="134">
        <v>30.61</v>
      </c>
      <c r="M10" s="134">
        <v>45.92</v>
      </c>
      <c r="N10" s="134">
        <v>0</v>
      </c>
      <c r="O10" s="134">
        <v>0</v>
      </c>
      <c r="P10" s="134">
        <v>0.51</v>
      </c>
      <c r="Q10" s="134">
        <v>4.82</v>
      </c>
    </row>
    <row r="11" spans="1:21" customFormat="1">
      <c r="A11" s="112" t="s">
        <v>624</v>
      </c>
      <c r="B11" s="134">
        <v>4.75</v>
      </c>
      <c r="C11" s="134">
        <v>49.73</v>
      </c>
      <c r="D11" s="134">
        <v>28.74</v>
      </c>
      <c r="E11" s="134">
        <v>8.27</v>
      </c>
      <c r="F11" s="134">
        <v>18.86</v>
      </c>
      <c r="G11" s="134">
        <v>46.7</v>
      </c>
      <c r="H11" s="134">
        <v>30.98</v>
      </c>
      <c r="I11" s="134">
        <v>4.0599999999999996</v>
      </c>
      <c r="J11" s="134">
        <v>0.21</v>
      </c>
      <c r="K11" s="134">
        <v>80.64</v>
      </c>
      <c r="L11" s="134">
        <v>30.13</v>
      </c>
      <c r="M11" s="134">
        <v>47.9</v>
      </c>
      <c r="N11" s="134">
        <v>0</v>
      </c>
      <c r="O11" s="134">
        <v>0</v>
      </c>
      <c r="P11" s="134">
        <v>0.53</v>
      </c>
      <c r="Q11" s="134">
        <v>4.87</v>
      </c>
    </row>
    <row r="12" spans="1:21" customFormat="1">
      <c r="A12" s="112" t="s">
        <v>625</v>
      </c>
      <c r="B12" s="134">
        <v>4.8499999999999996</v>
      </c>
      <c r="C12" s="134">
        <v>45.45</v>
      </c>
      <c r="D12" s="134">
        <v>26.59</v>
      </c>
      <c r="E12" s="134">
        <v>7.99</v>
      </c>
      <c r="F12" s="134">
        <v>19.579999999999998</v>
      </c>
      <c r="G12" s="134">
        <v>46.7</v>
      </c>
      <c r="H12" s="134">
        <v>30.98</v>
      </c>
      <c r="I12" s="134">
        <v>4.0199999999999996</v>
      </c>
      <c r="J12" s="134">
        <v>0.2</v>
      </c>
      <c r="K12" s="134">
        <v>108.53</v>
      </c>
      <c r="L12" s="134">
        <v>29.99</v>
      </c>
      <c r="M12" s="134">
        <v>48.34</v>
      </c>
      <c r="N12" s="134">
        <v>0</v>
      </c>
      <c r="O12" s="134">
        <v>0</v>
      </c>
      <c r="P12" s="134">
        <v>0.51</v>
      </c>
      <c r="Q12" s="134">
        <v>4.8600000000000003</v>
      </c>
    </row>
    <row r="13" spans="1:21" customFormat="1">
      <c r="A13" s="112" t="s">
        <v>626</v>
      </c>
      <c r="B13" s="134">
        <v>5.37</v>
      </c>
      <c r="C13" s="134">
        <v>49.64</v>
      </c>
      <c r="D13" s="134">
        <v>29.2</v>
      </c>
      <c r="E13" s="134">
        <v>7.69</v>
      </c>
      <c r="F13" s="134">
        <v>18.489999999999998</v>
      </c>
      <c r="G13" s="134">
        <v>46.7</v>
      </c>
      <c r="H13" s="134">
        <v>30.98</v>
      </c>
      <c r="I13" s="134">
        <v>4.03</v>
      </c>
      <c r="J13" s="134">
        <v>0.16</v>
      </c>
      <c r="K13" s="134">
        <v>112.54</v>
      </c>
      <c r="L13" s="134">
        <v>29.87</v>
      </c>
      <c r="M13" s="134">
        <v>48.74</v>
      </c>
      <c r="N13" s="134">
        <v>0</v>
      </c>
      <c r="O13" s="134">
        <v>0</v>
      </c>
      <c r="P13" s="134">
        <v>0.51</v>
      </c>
      <c r="Q13" s="134">
        <v>4.8600000000000003</v>
      </c>
    </row>
    <row r="14" spans="1:21" customFormat="1">
      <c r="A14" s="112" t="s">
        <v>627</v>
      </c>
      <c r="B14" s="134">
        <v>5.65</v>
      </c>
      <c r="C14" s="134">
        <v>49.38</v>
      </c>
      <c r="D14" s="134">
        <v>29.28</v>
      </c>
      <c r="E14" s="134">
        <v>7.89</v>
      </c>
      <c r="F14" s="134">
        <v>16.64</v>
      </c>
      <c r="G14" s="134">
        <v>41.13</v>
      </c>
      <c r="H14" s="134">
        <v>27.65</v>
      </c>
      <c r="I14" s="134">
        <v>3.94</v>
      </c>
      <c r="J14" s="134">
        <v>0.25</v>
      </c>
      <c r="K14" s="134">
        <v>151.76</v>
      </c>
      <c r="L14" s="134">
        <v>29.79</v>
      </c>
      <c r="M14" s="134">
        <v>48.86</v>
      </c>
      <c r="N14" s="134">
        <v>0</v>
      </c>
      <c r="O14" s="134">
        <v>0</v>
      </c>
      <c r="P14" s="134">
        <v>0.52</v>
      </c>
      <c r="Q14" s="134">
        <v>4.88</v>
      </c>
    </row>
    <row r="15" spans="1:21" customFormat="1">
      <c r="A15" s="112" t="s">
        <v>628</v>
      </c>
      <c r="B15" s="134">
        <v>6.25</v>
      </c>
      <c r="C15" s="134">
        <v>53.44</v>
      </c>
      <c r="D15" s="134">
        <v>31.89</v>
      </c>
      <c r="E15" s="134">
        <v>8</v>
      </c>
      <c r="F15" s="134">
        <v>10.84</v>
      </c>
      <c r="G15" s="134">
        <v>32.770000000000003</v>
      </c>
      <c r="H15" s="134">
        <v>19.72</v>
      </c>
      <c r="I15" s="134">
        <v>4.04</v>
      </c>
      <c r="J15" s="134">
        <v>0.26</v>
      </c>
      <c r="K15" s="134">
        <v>164.33</v>
      </c>
      <c r="L15" s="134">
        <v>29.58</v>
      </c>
      <c r="M15" s="134">
        <v>49.41</v>
      </c>
      <c r="N15" s="134">
        <v>0</v>
      </c>
      <c r="O15" s="134">
        <v>0</v>
      </c>
      <c r="P15" s="134">
        <v>0.53</v>
      </c>
      <c r="Q15" s="134">
        <v>4.96</v>
      </c>
    </row>
    <row r="16" spans="1:21" customFormat="1">
      <c r="A16" s="112" t="s">
        <v>629</v>
      </c>
      <c r="B16" s="134">
        <v>6.76</v>
      </c>
      <c r="C16" s="134">
        <v>54.11</v>
      </c>
      <c r="D16" s="134">
        <v>32.65</v>
      </c>
      <c r="E16" s="134">
        <v>7.7</v>
      </c>
      <c r="F16" s="134">
        <v>12.1</v>
      </c>
      <c r="G16" s="134">
        <v>32.770000000000003</v>
      </c>
      <c r="H16" s="134">
        <v>19.72</v>
      </c>
      <c r="I16" s="134">
        <v>4.0599999999999996</v>
      </c>
      <c r="J16" s="134">
        <v>0.27</v>
      </c>
      <c r="K16" s="134">
        <v>147.19999999999999</v>
      </c>
      <c r="L16" s="134">
        <v>29.46</v>
      </c>
      <c r="M16" s="134">
        <v>49.52</v>
      </c>
      <c r="N16" s="134">
        <v>0</v>
      </c>
      <c r="O16" s="134">
        <v>0</v>
      </c>
      <c r="P16" s="134">
        <v>0.52</v>
      </c>
      <c r="Q16" s="134">
        <v>4.95</v>
      </c>
    </row>
    <row r="17" spans="1:17" customFormat="1">
      <c r="A17" s="112" t="s">
        <v>630</v>
      </c>
      <c r="B17" s="134">
        <v>6.91</v>
      </c>
      <c r="C17" s="134">
        <v>52.34</v>
      </c>
      <c r="D17" s="134">
        <v>31.84</v>
      </c>
      <c r="E17" s="134">
        <v>3.87</v>
      </c>
      <c r="F17" s="134">
        <v>14.27</v>
      </c>
      <c r="G17" s="134">
        <v>32.770000000000003</v>
      </c>
      <c r="H17" s="134">
        <v>19.72</v>
      </c>
      <c r="I17" s="134">
        <v>4.22</v>
      </c>
      <c r="J17" s="134">
        <v>0.25</v>
      </c>
      <c r="K17" s="134">
        <v>145.24</v>
      </c>
      <c r="L17" s="134">
        <v>29.48</v>
      </c>
      <c r="M17" s="134">
        <v>49.08</v>
      </c>
      <c r="N17" s="134">
        <v>0</v>
      </c>
      <c r="O17" s="134">
        <v>0</v>
      </c>
      <c r="P17" s="134">
        <v>0.52</v>
      </c>
      <c r="Q17" s="134">
        <v>4.93</v>
      </c>
    </row>
    <row r="18" spans="1:17" customFormat="1">
      <c r="A18" s="112" t="s">
        <v>631</v>
      </c>
      <c r="B18" s="134">
        <v>6.71</v>
      </c>
      <c r="C18" s="134">
        <v>50.02</v>
      </c>
      <c r="D18" s="134">
        <v>30.47</v>
      </c>
      <c r="E18" s="134">
        <v>5.17</v>
      </c>
      <c r="F18" s="134">
        <v>18.32</v>
      </c>
      <c r="G18" s="134">
        <v>31.7</v>
      </c>
      <c r="H18" s="134">
        <v>18.309999999999999</v>
      </c>
      <c r="I18" s="134">
        <v>4.22</v>
      </c>
      <c r="J18" s="134">
        <v>0.22</v>
      </c>
      <c r="K18" s="134">
        <v>139.68</v>
      </c>
      <c r="L18" s="134">
        <v>29.58</v>
      </c>
      <c r="M18" s="134">
        <v>48.76</v>
      </c>
      <c r="N18" s="134">
        <v>0</v>
      </c>
      <c r="O18" s="134">
        <v>0</v>
      </c>
      <c r="P18" s="134">
        <v>0.52</v>
      </c>
      <c r="Q18" s="134">
        <v>4.95</v>
      </c>
    </row>
    <row r="19" spans="1:17" customFormat="1">
      <c r="A19" s="112" t="s">
        <v>632</v>
      </c>
      <c r="B19" s="134">
        <v>6.78</v>
      </c>
      <c r="C19" s="134">
        <v>49.57</v>
      </c>
      <c r="D19" s="134">
        <v>30.29</v>
      </c>
      <c r="E19" s="134">
        <v>5.68</v>
      </c>
      <c r="F19" s="134">
        <v>20.9</v>
      </c>
      <c r="G19" s="134">
        <v>30.09</v>
      </c>
      <c r="H19" s="134">
        <v>17.09</v>
      </c>
      <c r="I19" s="134">
        <v>4.0599999999999996</v>
      </c>
      <c r="J19" s="134">
        <v>0.09</v>
      </c>
      <c r="K19" s="134">
        <v>155</v>
      </c>
      <c r="L19" s="134">
        <v>29.66</v>
      </c>
      <c r="M19" s="134">
        <v>48.69</v>
      </c>
      <c r="N19" s="134">
        <v>0</v>
      </c>
      <c r="O19" s="134">
        <v>0</v>
      </c>
      <c r="P19" s="134">
        <v>0.51</v>
      </c>
      <c r="Q19" s="134">
        <v>4.96</v>
      </c>
    </row>
    <row r="20" spans="1:17" customFormat="1">
      <c r="A20" s="112" t="s">
        <v>633</v>
      </c>
      <c r="B20" s="134">
        <v>6.67</v>
      </c>
      <c r="C20" s="134">
        <v>49.18</v>
      </c>
      <c r="D20" s="134">
        <v>30</v>
      </c>
      <c r="E20" s="134">
        <v>5.42</v>
      </c>
      <c r="F20" s="134">
        <v>18.82</v>
      </c>
      <c r="G20" s="134">
        <v>30.09</v>
      </c>
      <c r="H20" s="134">
        <v>17.09</v>
      </c>
      <c r="I20" s="134">
        <v>4.04</v>
      </c>
      <c r="J20" s="134">
        <v>0.05</v>
      </c>
      <c r="K20" s="134">
        <v>167.07</v>
      </c>
      <c r="L20" s="134">
        <v>29.53</v>
      </c>
      <c r="M20" s="134">
        <v>49.06</v>
      </c>
      <c r="N20" s="134">
        <v>0</v>
      </c>
      <c r="O20" s="134">
        <v>0</v>
      </c>
      <c r="P20" s="134">
        <v>0.51</v>
      </c>
      <c r="Q20" s="134">
        <v>4.9400000000000004</v>
      </c>
    </row>
    <row r="21" spans="1:17" customFormat="1">
      <c r="A21" s="112" t="s">
        <v>634</v>
      </c>
      <c r="B21" s="134">
        <v>6.58</v>
      </c>
      <c r="C21" s="134">
        <v>48.16</v>
      </c>
      <c r="D21" s="134">
        <v>29.39</v>
      </c>
      <c r="E21" s="134">
        <v>5.43</v>
      </c>
      <c r="F21" s="134">
        <v>19.41</v>
      </c>
      <c r="G21" s="134">
        <v>30.09</v>
      </c>
      <c r="H21" s="134">
        <v>17.09</v>
      </c>
      <c r="I21" s="134">
        <v>4.08</v>
      </c>
      <c r="J21" s="134">
        <v>0.06</v>
      </c>
      <c r="K21" s="134">
        <v>223.27</v>
      </c>
      <c r="L21" s="134">
        <v>29.25</v>
      </c>
      <c r="M21" s="134">
        <v>50.12</v>
      </c>
      <c r="N21" s="134">
        <v>0</v>
      </c>
      <c r="O21" s="134">
        <v>0</v>
      </c>
      <c r="P21" s="134">
        <v>0.51</v>
      </c>
      <c r="Q21" s="134">
        <v>4.9400000000000004</v>
      </c>
    </row>
    <row r="22" spans="1:17" customFormat="1">
      <c r="A22" s="112" t="s">
        <v>635</v>
      </c>
      <c r="B22" s="134">
        <v>6.61</v>
      </c>
      <c r="C22" s="134">
        <v>49.17</v>
      </c>
      <c r="D22" s="134">
        <v>29.95</v>
      </c>
      <c r="E22" s="134">
        <v>5.47</v>
      </c>
      <c r="F22" s="134">
        <v>18.64</v>
      </c>
      <c r="G22" s="134">
        <v>29.35</v>
      </c>
      <c r="H22" s="134">
        <v>19.09</v>
      </c>
      <c r="I22" s="134">
        <v>3.89</v>
      </c>
      <c r="J22" s="134">
        <v>0.09</v>
      </c>
      <c r="K22" s="134">
        <v>231.77</v>
      </c>
      <c r="L22" s="134">
        <v>28.92</v>
      </c>
      <c r="M22" s="134">
        <v>51.46</v>
      </c>
      <c r="N22" s="134">
        <v>0</v>
      </c>
      <c r="O22" s="134">
        <v>0</v>
      </c>
      <c r="P22" s="134">
        <v>0.51</v>
      </c>
      <c r="Q22" s="134">
        <v>4.96</v>
      </c>
    </row>
    <row r="23" spans="1:17" customFormat="1">
      <c r="A23" s="112" t="s">
        <v>636</v>
      </c>
      <c r="B23" s="134">
        <v>6.99</v>
      </c>
      <c r="C23" s="134">
        <v>51.44</v>
      </c>
      <c r="D23" s="134">
        <v>31.43</v>
      </c>
      <c r="E23" s="134">
        <v>5.37</v>
      </c>
      <c r="F23" s="134">
        <v>17.059999999999999</v>
      </c>
      <c r="G23" s="134">
        <v>28.24</v>
      </c>
      <c r="H23" s="134">
        <v>20.81</v>
      </c>
      <c r="I23" s="134">
        <v>3.79</v>
      </c>
      <c r="J23" s="134">
        <v>0.09</v>
      </c>
      <c r="K23" s="134">
        <v>186.91</v>
      </c>
      <c r="L23" s="134">
        <v>28.7</v>
      </c>
      <c r="M23" s="134">
        <v>52.31</v>
      </c>
      <c r="N23" s="134">
        <v>0</v>
      </c>
      <c r="O23" s="134">
        <v>0</v>
      </c>
      <c r="P23" s="134">
        <v>0.51</v>
      </c>
      <c r="Q23" s="134">
        <v>4.9400000000000004</v>
      </c>
    </row>
    <row r="24" spans="1:17" customFormat="1">
      <c r="A24" s="112" t="s">
        <v>637</v>
      </c>
      <c r="B24" s="134">
        <v>9.31</v>
      </c>
      <c r="C24" s="134">
        <v>53.08</v>
      </c>
      <c r="D24" s="134">
        <v>34.15</v>
      </c>
      <c r="E24" s="134">
        <v>5.16</v>
      </c>
      <c r="F24" s="134">
        <v>15.33</v>
      </c>
      <c r="G24" s="134">
        <v>28.24</v>
      </c>
      <c r="H24" s="134">
        <v>20.81</v>
      </c>
      <c r="I24" s="134">
        <v>3.93</v>
      </c>
      <c r="J24" s="134">
        <v>0.2</v>
      </c>
      <c r="K24" s="134">
        <v>44.61</v>
      </c>
      <c r="L24" s="134">
        <v>28.54</v>
      </c>
      <c r="M24" s="134">
        <v>52.72</v>
      </c>
      <c r="N24" s="134">
        <v>0</v>
      </c>
      <c r="O24" s="134">
        <v>0</v>
      </c>
      <c r="P24" s="134">
        <v>0.51</v>
      </c>
      <c r="Q24" s="134">
        <v>4.9800000000000004</v>
      </c>
    </row>
    <row r="25" spans="1:17" customFormat="1">
      <c r="A25" s="112" t="s">
        <v>638</v>
      </c>
      <c r="B25" s="134">
        <v>10.83</v>
      </c>
      <c r="C25" s="134">
        <v>55.79</v>
      </c>
      <c r="D25" s="134">
        <v>36.79</v>
      </c>
      <c r="E25" s="134">
        <v>5.04</v>
      </c>
      <c r="F25" s="134">
        <v>8.85</v>
      </c>
      <c r="G25" s="134">
        <v>28.24</v>
      </c>
      <c r="H25" s="134">
        <v>20.81</v>
      </c>
      <c r="I25" s="134">
        <v>4.03</v>
      </c>
      <c r="J25" s="134">
        <v>0.28999999999999998</v>
      </c>
      <c r="K25" s="134">
        <v>44.56</v>
      </c>
      <c r="L25" s="134">
        <v>28.64</v>
      </c>
      <c r="M25" s="134">
        <v>52.48</v>
      </c>
      <c r="N25" s="134">
        <v>0</v>
      </c>
      <c r="O25" s="134">
        <v>0</v>
      </c>
      <c r="P25" s="134">
        <v>0.52</v>
      </c>
      <c r="Q25" s="134">
        <v>5.01</v>
      </c>
    </row>
    <row r="26" spans="1:17" customFormat="1">
      <c r="A26" s="112" t="s">
        <v>639</v>
      </c>
      <c r="B26" s="134">
        <v>8.9700000000000006</v>
      </c>
      <c r="C26" s="134">
        <v>54.13</v>
      </c>
      <c r="D26" s="134">
        <v>34.43</v>
      </c>
      <c r="E26" s="134">
        <v>5.03</v>
      </c>
      <c r="F26" s="134">
        <v>9.68</v>
      </c>
      <c r="G26" s="134">
        <v>29.28</v>
      </c>
      <c r="H26" s="134">
        <v>20.32</v>
      </c>
      <c r="I26" s="134">
        <v>4.05</v>
      </c>
      <c r="J26" s="134">
        <v>0.11</v>
      </c>
      <c r="K26" s="134">
        <v>154.25</v>
      </c>
      <c r="L26" s="134">
        <v>28.6</v>
      </c>
      <c r="M26" s="134">
        <v>53.35</v>
      </c>
      <c r="N26" s="134">
        <v>0</v>
      </c>
      <c r="O26" s="134">
        <v>0</v>
      </c>
      <c r="P26" s="134">
        <v>0.52</v>
      </c>
      <c r="Q26" s="134">
        <v>5.0599999999999996</v>
      </c>
    </row>
    <row r="27" spans="1:17" customFormat="1">
      <c r="A27" s="112" t="s">
        <v>640</v>
      </c>
      <c r="B27" s="134">
        <v>9.49</v>
      </c>
      <c r="C27" s="134">
        <v>56.72</v>
      </c>
      <c r="D27" s="134">
        <v>36.200000000000003</v>
      </c>
      <c r="E27" s="134">
        <v>4.96</v>
      </c>
      <c r="F27" s="134">
        <v>8.4</v>
      </c>
      <c r="G27" s="134">
        <v>30.78</v>
      </c>
      <c r="H27" s="134">
        <v>19.899999999999999</v>
      </c>
      <c r="I27" s="134">
        <v>3.95</v>
      </c>
      <c r="J27" s="134">
        <v>0.16</v>
      </c>
      <c r="K27" s="134">
        <v>90.85</v>
      </c>
      <c r="L27" s="134">
        <v>28.3</v>
      </c>
      <c r="M27" s="134">
        <v>54.51</v>
      </c>
      <c r="N27" s="134">
        <v>0</v>
      </c>
      <c r="O27" s="134">
        <v>0</v>
      </c>
      <c r="P27" s="134">
        <v>0.53</v>
      </c>
      <c r="Q27" s="134">
        <v>5.13</v>
      </c>
    </row>
    <row r="28" spans="1:17" customFormat="1">
      <c r="A28" s="112" t="s">
        <v>641</v>
      </c>
      <c r="B28" s="134">
        <v>10.8</v>
      </c>
      <c r="C28" s="134">
        <v>58.92</v>
      </c>
      <c r="D28" s="134">
        <v>38.4</v>
      </c>
      <c r="E28" s="134">
        <v>4.8</v>
      </c>
      <c r="F28" s="134">
        <v>6.2</v>
      </c>
      <c r="G28" s="134">
        <v>30.78</v>
      </c>
      <c r="H28" s="134">
        <v>19.899999999999999</v>
      </c>
      <c r="I28" s="134">
        <v>3.97</v>
      </c>
      <c r="J28" s="134">
        <v>0.2</v>
      </c>
      <c r="K28" s="134">
        <v>172.99</v>
      </c>
      <c r="L28" s="134">
        <v>28.04</v>
      </c>
      <c r="M28" s="134">
        <v>55.83</v>
      </c>
      <c r="N28" s="134">
        <v>0</v>
      </c>
      <c r="O28" s="134">
        <v>0</v>
      </c>
      <c r="P28" s="134">
        <v>0.54</v>
      </c>
      <c r="Q28" s="134">
        <v>5.14</v>
      </c>
    </row>
    <row r="29" spans="1:17" customFormat="1">
      <c r="A29" s="112" t="s">
        <v>642</v>
      </c>
      <c r="B29" s="134">
        <v>11.26</v>
      </c>
      <c r="C29" s="134">
        <v>58.78</v>
      </c>
      <c r="D29" s="134">
        <v>38.69</v>
      </c>
      <c r="E29" s="134">
        <v>4.74</v>
      </c>
      <c r="F29" s="134">
        <v>7.83</v>
      </c>
      <c r="G29" s="134">
        <v>30.78</v>
      </c>
      <c r="H29" s="134">
        <v>19.899999999999999</v>
      </c>
      <c r="I29" s="134">
        <v>4.1900000000000004</v>
      </c>
      <c r="J29" s="134">
        <v>0.21</v>
      </c>
      <c r="K29" s="134">
        <v>192.34</v>
      </c>
      <c r="L29" s="134">
        <v>27.72</v>
      </c>
      <c r="M29" s="134">
        <v>57.06</v>
      </c>
      <c r="N29" s="134">
        <v>0</v>
      </c>
      <c r="O29" s="134">
        <v>0</v>
      </c>
      <c r="P29" s="134">
        <v>0.53</v>
      </c>
      <c r="Q29" s="134">
        <v>5.19</v>
      </c>
    </row>
    <row r="30" spans="1:17" customFormat="1">
      <c r="A30" s="112" t="s">
        <v>643</v>
      </c>
      <c r="B30" s="134">
        <v>12.28</v>
      </c>
      <c r="C30" s="134">
        <v>61.57</v>
      </c>
      <c r="D30" s="134">
        <v>40.97</v>
      </c>
      <c r="E30" s="134">
        <v>5</v>
      </c>
      <c r="F30" s="134">
        <v>5.22</v>
      </c>
      <c r="G30" s="134">
        <v>32.909999999999997</v>
      </c>
      <c r="H30" s="134">
        <v>18.93</v>
      </c>
      <c r="I30" s="134">
        <v>4.32</v>
      </c>
      <c r="J30" s="134">
        <v>0.06</v>
      </c>
      <c r="K30" s="134">
        <v>148.28</v>
      </c>
      <c r="L30" s="134">
        <v>27.6</v>
      </c>
      <c r="M30" s="134">
        <v>57.78</v>
      </c>
      <c r="N30" s="134">
        <v>2.6</v>
      </c>
      <c r="O30" s="134">
        <v>0</v>
      </c>
      <c r="P30" s="134">
        <v>0.55000000000000004</v>
      </c>
      <c r="Q30" s="134">
        <v>5.21</v>
      </c>
    </row>
    <row r="31" spans="1:17" customFormat="1">
      <c r="A31" s="112" t="s">
        <v>644</v>
      </c>
      <c r="B31" s="134">
        <v>12.16</v>
      </c>
      <c r="C31" s="134">
        <v>58.61</v>
      </c>
      <c r="D31" s="134">
        <v>39.33</v>
      </c>
      <c r="E31" s="134">
        <v>5.07</v>
      </c>
      <c r="F31" s="134">
        <v>7.2</v>
      </c>
      <c r="G31" s="134">
        <v>36.11</v>
      </c>
      <c r="H31" s="134">
        <v>18.079999999999998</v>
      </c>
      <c r="I31" s="134">
        <v>4.37</v>
      </c>
      <c r="J31" s="134">
        <v>0.2</v>
      </c>
      <c r="K31" s="134">
        <v>196.02</v>
      </c>
      <c r="L31" s="134">
        <v>28</v>
      </c>
      <c r="M31" s="134">
        <v>55.64</v>
      </c>
      <c r="N31" s="134">
        <v>15.5</v>
      </c>
      <c r="O31" s="134">
        <v>0</v>
      </c>
      <c r="P31" s="134">
        <v>0.55000000000000004</v>
      </c>
      <c r="Q31" s="134">
        <v>5.31</v>
      </c>
    </row>
    <row r="32" spans="1:17" customFormat="1">
      <c r="A32" s="112" t="s">
        <v>645</v>
      </c>
      <c r="B32" s="134">
        <v>12.35</v>
      </c>
      <c r="C32" s="134">
        <v>56.2</v>
      </c>
      <c r="D32" s="134">
        <v>38.22</v>
      </c>
      <c r="E32" s="134">
        <v>4.62</v>
      </c>
      <c r="F32" s="134">
        <v>8.0500000000000007</v>
      </c>
      <c r="G32" s="134">
        <v>36.11</v>
      </c>
      <c r="H32" s="134">
        <v>18.079999999999998</v>
      </c>
      <c r="I32" s="134">
        <v>4.3899999999999997</v>
      </c>
      <c r="J32" s="134">
        <v>0.16</v>
      </c>
      <c r="K32" s="134">
        <v>219.47</v>
      </c>
      <c r="L32" s="134">
        <v>28.48</v>
      </c>
      <c r="M32" s="134">
        <v>53.21</v>
      </c>
      <c r="N32" s="134">
        <v>38.5</v>
      </c>
      <c r="O32" s="134">
        <v>0</v>
      </c>
      <c r="P32" s="134">
        <v>0.54</v>
      </c>
      <c r="Q32" s="134">
        <v>5.27</v>
      </c>
    </row>
    <row r="33" spans="1:17" customFormat="1">
      <c r="A33" s="112" t="s">
        <v>646</v>
      </c>
      <c r="B33" s="134">
        <v>12.61</v>
      </c>
      <c r="C33" s="134">
        <v>55.11</v>
      </c>
      <c r="D33" s="134">
        <v>37.86</v>
      </c>
      <c r="E33" s="134">
        <v>4.4800000000000004</v>
      </c>
      <c r="F33" s="134">
        <v>8.36</v>
      </c>
      <c r="G33" s="134">
        <v>36.11</v>
      </c>
      <c r="H33" s="134">
        <v>18.079999999999998</v>
      </c>
      <c r="I33" s="134">
        <v>4.34</v>
      </c>
      <c r="J33" s="134">
        <v>0.17</v>
      </c>
      <c r="K33" s="134">
        <v>230.04</v>
      </c>
      <c r="L33" s="134">
        <v>29.03</v>
      </c>
      <c r="M33" s="134">
        <v>51.39</v>
      </c>
      <c r="N33" s="134">
        <v>57.7</v>
      </c>
      <c r="O33" s="134">
        <v>0</v>
      </c>
      <c r="P33" s="134">
        <v>0.54</v>
      </c>
      <c r="Q33" s="134">
        <v>5.29</v>
      </c>
    </row>
    <row r="34" spans="1:17" customFormat="1">
      <c r="A34" s="112" t="s">
        <v>647</v>
      </c>
      <c r="B34" s="134">
        <v>12.62</v>
      </c>
      <c r="C34" s="134">
        <v>55.7</v>
      </c>
      <c r="D34" s="134">
        <v>38.18</v>
      </c>
      <c r="E34" s="134">
        <v>4.83</v>
      </c>
      <c r="F34" s="134">
        <v>8.57</v>
      </c>
      <c r="G34" s="134">
        <v>34.9</v>
      </c>
      <c r="H34" s="134">
        <v>19.64</v>
      </c>
      <c r="I34" s="134">
        <v>4.33</v>
      </c>
      <c r="J34" s="134">
        <v>0.4</v>
      </c>
      <c r="K34" s="134">
        <v>271.32</v>
      </c>
      <c r="L34" s="134">
        <v>29.39</v>
      </c>
      <c r="M34" s="134">
        <v>50</v>
      </c>
      <c r="N34" s="134">
        <v>57.4</v>
      </c>
      <c r="O34" s="134">
        <v>0</v>
      </c>
      <c r="P34" s="134">
        <v>0.55000000000000004</v>
      </c>
      <c r="Q34" s="134">
        <v>5.33</v>
      </c>
    </row>
    <row r="35" spans="1:17" customFormat="1">
      <c r="A35" s="112" t="s">
        <v>648</v>
      </c>
      <c r="B35" s="134">
        <v>12.44</v>
      </c>
      <c r="C35" s="134">
        <v>55.69</v>
      </c>
      <c r="D35" s="134">
        <v>38.03</v>
      </c>
      <c r="E35" s="134">
        <v>4.9000000000000004</v>
      </c>
      <c r="F35" s="134">
        <v>8.94</v>
      </c>
      <c r="G35" s="134">
        <v>33.090000000000003</v>
      </c>
      <c r="H35" s="134">
        <v>20.99</v>
      </c>
      <c r="I35" s="134">
        <v>4.37</v>
      </c>
      <c r="J35" s="134">
        <v>0.4</v>
      </c>
      <c r="K35" s="134">
        <v>253.55</v>
      </c>
      <c r="L35" s="134">
        <v>29.54</v>
      </c>
      <c r="M35" s="134">
        <v>49.84</v>
      </c>
      <c r="N35" s="134">
        <v>63.9</v>
      </c>
      <c r="O35" s="134">
        <v>0</v>
      </c>
      <c r="P35" s="134">
        <v>0.56000000000000005</v>
      </c>
      <c r="Q35" s="134">
        <v>5.31</v>
      </c>
    </row>
    <row r="36" spans="1:17" customFormat="1">
      <c r="A36" s="112" t="s">
        <v>649</v>
      </c>
      <c r="B36" s="134">
        <v>12.66</v>
      </c>
      <c r="C36" s="134">
        <v>55.69</v>
      </c>
      <c r="D36" s="134">
        <v>38.21</v>
      </c>
      <c r="E36" s="134">
        <v>5.14</v>
      </c>
      <c r="F36" s="134">
        <v>8.7899999999999991</v>
      </c>
      <c r="G36" s="134">
        <v>33.090000000000003</v>
      </c>
      <c r="H36" s="134">
        <v>20.99</v>
      </c>
      <c r="I36" s="134">
        <v>4.49</v>
      </c>
      <c r="J36" s="134">
        <v>0.28000000000000003</v>
      </c>
      <c r="K36" s="134">
        <v>282.10000000000002</v>
      </c>
      <c r="L36" s="134">
        <v>29.95</v>
      </c>
      <c r="M36" s="134">
        <v>49.41</v>
      </c>
      <c r="N36" s="134">
        <v>91.6</v>
      </c>
      <c r="O36" s="134">
        <v>0</v>
      </c>
      <c r="P36" s="134">
        <v>0.56000000000000005</v>
      </c>
      <c r="Q36" s="134">
        <v>5.28</v>
      </c>
    </row>
    <row r="37" spans="1:17" customFormat="1">
      <c r="A37" s="112" t="s">
        <v>650</v>
      </c>
      <c r="B37" s="134">
        <v>12.07</v>
      </c>
      <c r="C37" s="134">
        <v>52.09</v>
      </c>
      <c r="D37" s="134">
        <v>35.840000000000003</v>
      </c>
      <c r="E37" s="134">
        <v>6.31</v>
      </c>
      <c r="F37" s="134">
        <v>12.15</v>
      </c>
      <c r="G37" s="134">
        <v>33.090000000000003</v>
      </c>
      <c r="H37" s="134">
        <v>20.99</v>
      </c>
      <c r="I37" s="134">
        <v>4.58</v>
      </c>
      <c r="J37" s="134">
        <v>0.3</v>
      </c>
      <c r="K37" s="134">
        <v>290.7</v>
      </c>
      <c r="L37" s="134">
        <v>30.82</v>
      </c>
      <c r="M37" s="134">
        <v>47.15</v>
      </c>
      <c r="N37" s="134">
        <v>108.3</v>
      </c>
      <c r="O37" s="134">
        <v>0</v>
      </c>
      <c r="P37" s="134">
        <v>0.59</v>
      </c>
      <c r="Q37" s="134">
        <v>5.3</v>
      </c>
    </row>
    <row r="38" spans="1:17" customFormat="1">
      <c r="A38" s="112" t="s">
        <v>651</v>
      </c>
      <c r="B38" s="134">
        <v>11.89</v>
      </c>
      <c r="C38" s="134">
        <v>54.35</v>
      </c>
      <c r="D38" s="134">
        <v>36.880000000000003</v>
      </c>
      <c r="E38" s="134">
        <v>5.7</v>
      </c>
      <c r="F38" s="134">
        <v>12.38</v>
      </c>
      <c r="G38" s="134">
        <v>35.43</v>
      </c>
      <c r="H38" s="134">
        <v>21.58</v>
      </c>
      <c r="I38" s="134">
        <v>4.59</v>
      </c>
      <c r="J38" s="134">
        <v>0.48</v>
      </c>
      <c r="K38" s="134">
        <v>263.33</v>
      </c>
      <c r="L38" s="134">
        <v>31.01</v>
      </c>
      <c r="M38" s="134">
        <v>46.86</v>
      </c>
      <c r="N38" s="134">
        <v>123.9</v>
      </c>
      <c r="O38" s="134">
        <v>0</v>
      </c>
      <c r="P38" s="134">
        <v>0.59</v>
      </c>
      <c r="Q38" s="134">
        <v>5.3</v>
      </c>
    </row>
    <row r="39" spans="1:17" customFormat="1">
      <c r="A39" s="112" t="s">
        <v>652</v>
      </c>
      <c r="B39" s="134">
        <v>12.28</v>
      </c>
      <c r="C39" s="134">
        <v>57.17</v>
      </c>
      <c r="D39" s="134">
        <v>38.68</v>
      </c>
      <c r="E39" s="134">
        <v>5.91</v>
      </c>
      <c r="F39" s="134">
        <v>8.65</v>
      </c>
      <c r="G39" s="134">
        <v>38.78</v>
      </c>
      <c r="H39" s="134">
        <v>23</v>
      </c>
      <c r="I39" s="134">
        <v>4.66</v>
      </c>
      <c r="J39" s="134">
        <v>0.78</v>
      </c>
      <c r="K39" s="134">
        <v>273.08999999999997</v>
      </c>
      <c r="L39" s="134">
        <v>31.33</v>
      </c>
      <c r="M39" s="134">
        <v>46.42</v>
      </c>
      <c r="N39" s="134">
        <v>120.9</v>
      </c>
      <c r="O39" s="134">
        <v>0</v>
      </c>
      <c r="P39" s="134">
        <v>0.59</v>
      </c>
      <c r="Q39" s="134">
        <v>5.32</v>
      </c>
    </row>
    <row r="40" spans="1:17" customFormat="1">
      <c r="A40" s="112" t="s">
        <v>653</v>
      </c>
      <c r="B40" s="134">
        <v>12.31</v>
      </c>
      <c r="C40" s="134">
        <v>56.38</v>
      </c>
      <c r="D40" s="134">
        <v>38.28</v>
      </c>
      <c r="E40" s="134">
        <v>5.39</v>
      </c>
      <c r="F40" s="134">
        <v>9.19</v>
      </c>
      <c r="G40" s="134">
        <v>38.78</v>
      </c>
      <c r="H40" s="134">
        <v>23</v>
      </c>
      <c r="I40" s="134">
        <v>4.76</v>
      </c>
      <c r="J40" s="134">
        <v>0.75</v>
      </c>
      <c r="K40" s="134">
        <v>259.76</v>
      </c>
      <c r="L40" s="134">
        <v>31.43</v>
      </c>
      <c r="M40" s="134">
        <v>46.74</v>
      </c>
      <c r="N40" s="134">
        <v>133.6</v>
      </c>
      <c r="O40" s="134">
        <v>0</v>
      </c>
      <c r="P40" s="134">
        <v>0.6</v>
      </c>
      <c r="Q40" s="134">
        <v>5.31</v>
      </c>
    </row>
    <row r="41" spans="1:17" customFormat="1">
      <c r="A41" s="112" t="s">
        <v>654</v>
      </c>
      <c r="B41" s="134">
        <v>11.65</v>
      </c>
      <c r="C41" s="134">
        <v>56.71</v>
      </c>
      <c r="D41" s="134">
        <v>37.93</v>
      </c>
      <c r="E41" s="134">
        <v>5.35</v>
      </c>
      <c r="F41" s="134">
        <v>9.59</v>
      </c>
      <c r="G41" s="134">
        <v>38.78</v>
      </c>
      <c r="H41" s="134">
        <v>23</v>
      </c>
      <c r="I41" s="134">
        <v>4.8600000000000003</v>
      </c>
      <c r="J41" s="134">
        <v>0.57999999999999996</v>
      </c>
      <c r="K41" s="134">
        <v>280.06</v>
      </c>
      <c r="L41" s="134">
        <v>32.270000000000003</v>
      </c>
      <c r="M41" s="134">
        <v>44.78</v>
      </c>
      <c r="N41" s="134">
        <v>150.30000000000001</v>
      </c>
      <c r="O41" s="134">
        <v>0</v>
      </c>
      <c r="P41" s="134">
        <v>0.61</v>
      </c>
      <c r="Q41" s="134">
        <v>5.22</v>
      </c>
    </row>
    <row r="42" spans="1:17" customFormat="1">
      <c r="A42" s="112" t="s">
        <v>655</v>
      </c>
      <c r="B42" s="134">
        <v>10.91</v>
      </c>
      <c r="C42" s="134">
        <v>56.98</v>
      </c>
      <c r="D42" s="134">
        <v>37.47</v>
      </c>
      <c r="E42" s="134">
        <v>7.03</v>
      </c>
      <c r="F42" s="134">
        <v>13.54</v>
      </c>
      <c r="G42" s="134">
        <v>41.8</v>
      </c>
      <c r="H42" s="134">
        <v>24.19</v>
      </c>
      <c r="I42" s="134">
        <v>4.97</v>
      </c>
      <c r="J42" s="134">
        <v>0.61</v>
      </c>
      <c r="K42" s="134">
        <v>286.39</v>
      </c>
      <c r="L42" s="134">
        <v>32.47</v>
      </c>
      <c r="M42" s="134">
        <v>43.37</v>
      </c>
      <c r="N42" s="134">
        <v>152.9</v>
      </c>
      <c r="O42" s="134">
        <v>0</v>
      </c>
      <c r="P42" s="134">
        <v>0.65</v>
      </c>
      <c r="Q42" s="134">
        <v>5.25</v>
      </c>
    </row>
    <row r="43" spans="1:17" customFormat="1">
      <c r="A43" s="112" t="s">
        <v>656</v>
      </c>
      <c r="B43" s="134">
        <v>10.36</v>
      </c>
      <c r="C43" s="134">
        <v>54.3</v>
      </c>
      <c r="D43" s="134">
        <v>35.630000000000003</v>
      </c>
      <c r="E43" s="134">
        <v>7.34</v>
      </c>
      <c r="F43" s="134">
        <v>13.88</v>
      </c>
      <c r="G43" s="134">
        <v>46.12</v>
      </c>
      <c r="H43" s="134">
        <v>25.21</v>
      </c>
      <c r="I43" s="134">
        <v>5.07</v>
      </c>
      <c r="J43" s="134">
        <v>0.61</v>
      </c>
      <c r="K43" s="134">
        <v>307.23</v>
      </c>
      <c r="L43" s="134">
        <v>33.130000000000003</v>
      </c>
      <c r="M43" s="134">
        <v>41.45</v>
      </c>
      <c r="N43" s="134">
        <v>166.8</v>
      </c>
      <c r="O43" s="134">
        <v>0</v>
      </c>
      <c r="P43" s="134">
        <v>0.66</v>
      </c>
      <c r="Q43" s="134">
        <v>5.14</v>
      </c>
    </row>
    <row r="44" spans="1:17" customFormat="1">
      <c r="A44" s="112" t="s">
        <v>657</v>
      </c>
      <c r="B44" s="134">
        <v>10.02</v>
      </c>
      <c r="C44" s="134">
        <v>59.22</v>
      </c>
      <c r="D44" s="134">
        <v>37.93</v>
      </c>
      <c r="E44" s="134">
        <v>7.13</v>
      </c>
      <c r="F44" s="134">
        <v>14.94</v>
      </c>
      <c r="G44" s="134">
        <v>46.12</v>
      </c>
      <c r="H44" s="134">
        <v>25.21</v>
      </c>
      <c r="I44" s="134">
        <v>5.18</v>
      </c>
      <c r="J44" s="134">
        <v>0.42</v>
      </c>
      <c r="K44" s="134">
        <v>286.13</v>
      </c>
      <c r="L44" s="134">
        <v>33.61</v>
      </c>
      <c r="M44" s="134">
        <v>40.26</v>
      </c>
      <c r="N44" s="134">
        <v>178.7</v>
      </c>
      <c r="O44" s="134">
        <v>0</v>
      </c>
      <c r="P44" s="134">
        <v>0.68</v>
      </c>
      <c r="Q44" s="134">
        <v>5.21</v>
      </c>
    </row>
    <row r="45" spans="1:17" customFormat="1">
      <c r="A45" s="112" t="s">
        <v>658</v>
      </c>
      <c r="B45" s="134">
        <v>8.9</v>
      </c>
      <c r="C45" s="134">
        <v>56.41</v>
      </c>
      <c r="D45" s="134">
        <v>35.57</v>
      </c>
      <c r="E45" s="134">
        <v>8.52</v>
      </c>
      <c r="F45" s="134">
        <v>17</v>
      </c>
      <c r="G45" s="134">
        <v>46.12</v>
      </c>
      <c r="H45" s="134">
        <v>25.21</v>
      </c>
      <c r="I45" s="134">
        <v>5.33</v>
      </c>
      <c r="J45" s="134">
        <v>0.64</v>
      </c>
      <c r="K45" s="134">
        <v>298.79000000000002</v>
      </c>
      <c r="L45" s="134">
        <v>34.119999999999997</v>
      </c>
      <c r="M45" s="134">
        <v>38.86</v>
      </c>
      <c r="N45" s="134">
        <v>188.8</v>
      </c>
      <c r="O45" s="134">
        <v>0</v>
      </c>
      <c r="P45" s="134">
        <v>0.71</v>
      </c>
      <c r="Q45" s="134">
        <v>5.19</v>
      </c>
    </row>
    <row r="46" spans="1:17" customFormat="1">
      <c r="A46" s="112" t="s">
        <v>659</v>
      </c>
      <c r="B46" s="134">
        <v>7.44</v>
      </c>
      <c r="C46" s="134">
        <v>50.43</v>
      </c>
      <c r="D46" s="134">
        <v>31.27</v>
      </c>
      <c r="E46" s="134">
        <v>15.09</v>
      </c>
      <c r="F46" s="134">
        <v>27.84</v>
      </c>
      <c r="G46" s="134">
        <v>51.07</v>
      </c>
      <c r="H46" s="134">
        <v>27.59</v>
      </c>
      <c r="I46" s="134">
        <v>5.49</v>
      </c>
      <c r="J46" s="134">
        <v>0.3</v>
      </c>
      <c r="K46" s="134">
        <v>330.82</v>
      </c>
      <c r="L46" s="134">
        <v>34.68</v>
      </c>
      <c r="M46" s="134">
        <v>37.9</v>
      </c>
      <c r="N46" s="134">
        <v>212.7</v>
      </c>
      <c r="O46" s="134">
        <v>0</v>
      </c>
      <c r="P46" s="134">
        <v>0.77</v>
      </c>
      <c r="Q46" s="134">
        <v>5.0999999999999996</v>
      </c>
    </row>
    <row r="47" spans="1:17" customFormat="1">
      <c r="A47" s="112" t="s">
        <v>660</v>
      </c>
      <c r="B47" s="134">
        <v>7.63</v>
      </c>
      <c r="C47" s="134">
        <v>52.57</v>
      </c>
      <c r="D47" s="134">
        <v>32.54</v>
      </c>
      <c r="E47" s="134">
        <v>23.38</v>
      </c>
      <c r="F47" s="134">
        <v>28.48</v>
      </c>
      <c r="G47" s="134">
        <v>58.16</v>
      </c>
      <c r="H47" s="134">
        <v>29.64</v>
      </c>
      <c r="I47" s="134">
        <v>5.72</v>
      </c>
      <c r="J47" s="134">
        <v>0.79</v>
      </c>
      <c r="K47" s="134">
        <v>34.799999999999997</v>
      </c>
      <c r="L47" s="134">
        <v>35.450000000000003</v>
      </c>
      <c r="M47" s="134">
        <v>36.61</v>
      </c>
      <c r="N47" s="134">
        <v>217.4</v>
      </c>
      <c r="O47" s="134">
        <v>0</v>
      </c>
      <c r="P47" s="134">
        <v>0.82</v>
      </c>
      <c r="Q47" s="134">
        <v>5.03</v>
      </c>
    </row>
    <row r="48" spans="1:17" customFormat="1">
      <c r="A48" s="112" t="s">
        <v>661</v>
      </c>
      <c r="B48" s="134">
        <v>7.49</v>
      </c>
      <c r="C48" s="134">
        <v>52.31</v>
      </c>
      <c r="D48" s="134">
        <v>32.29</v>
      </c>
      <c r="E48" s="134">
        <v>29.63</v>
      </c>
      <c r="F48" s="134">
        <v>29.24</v>
      </c>
      <c r="G48" s="134">
        <v>58.16</v>
      </c>
      <c r="H48" s="134">
        <v>29.64</v>
      </c>
      <c r="I48" s="134">
        <v>6.07</v>
      </c>
      <c r="J48" s="134">
        <v>0.12</v>
      </c>
      <c r="K48" s="134">
        <v>48.44</v>
      </c>
      <c r="L48" s="134">
        <v>35.380000000000003</v>
      </c>
      <c r="M48" s="134">
        <v>36.590000000000003</v>
      </c>
      <c r="N48" s="134">
        <v>211</v>
      </c>
      <c r="O48" s="134">
        <v>0</v>
      </c>
      <c r="P48" s="134">
        <v>0.85</v>
      </c>
      <c r="Q48" s="134">
        <v>5.01</v>
      </c>
    </row>
    <row r="49" spans="1:17" customFormat="1">
      <c r="A49" s="112" t="s">
        <v>662</v>
      </c>
      <c r="B49" s="134">
        <v>6.66</v>
      </c>
      <c r="C49" s="134">
        <v>53</v>
      </c>
      <c r="D49" s="134">
        <v>31.99</v>
      </c>
      <c r="E49" s="134">
        <v>9.19</v>
      </c>
      <c r="F49" s="134">
        <v>16.7</v>
      </c>
      <c r="G49" s="134">
        <v>58.16</v>
      </c>
      <c r="H49" s="134">
        <v>29.64</v>
      </c>
      <c r="I49" s="134">
        <v>6.46</v>
      </c>
      <c r="J49" s="134">
        <v>0.74</v>
      </c>
      <c r="K49" s="134">
        <v>286.60000000000002</v>
      </c>
      <c r="L49" s="134">
        <v>35.26</v>
      </c>
      <c r="M49" s="134">
        <v>37</v>
      </c>
      <c r="N49" s="134">
        <v>220.1</v>
      </c>
      <c r="O49" s="134">
        <v>0</v>
      </c>
      <c r="P49" s="134">
        <v>0.82</v>
      </c>
      <c r="Q49" s="134">
        <v>4.95</v>
      </c>
    </row>
    <row r="50" spans="1:17" customFormat="1">
      <c r="A50" s="112" t="s">
        <v>663</v>
      </c>
      <c r="B50" s="134">
        <v>5.88</v>
      </c>
      <c r="C50" s="134">
        <v>56.16</v>
      </c>
      <c r="D50" s="134">
        <v>33.01</v>
      </c>
      <c r="E50" s="134">
        <v>26.38</v>
      </c>
      <c r="F50" s="134">
        <v>32.68</v>
      </c>
      <c r="G50" s="134">
        <v>68.510000000000005</v>
      </c>
      <c r="H50" s="134">
        <v>38.67</v>
      </c>
      <c r="I50" s="134">
        <v>6.71</v>
      </c>
      <c r="J50" s="134">
        <v>0.38</v>
      </c>
      <c r="K50" s="134">
        <v>317.35000000000002</v>
      </c>
      <c r="L50" s="134">
        <v>35.44</v>
      </c>
      <c r="M50" s="134">
        <v>36.18</v>
      </c>
      <c r="N50" s="134">
        <v>244.8</v>
      </c>
      <c r="O50" s="134">
        <v>0</v>
      </c>
      <c r="P50" s="134">
        <v>0.9</v>
      </c>
      <c r="Q50" s="134">
        <v>5.0199999999999996</v>
      </c>
    </row>
    <row r="51" spans="1:17" customFormat="1">
      <c r="A51" s="112" t="s">
        <v>664</v>
      </c>
      <c r="B51" s="134">
        <v>5.09</v>
      </c>
      <c r="C51" s="134">
        <v>55.93</v>
      </c>
      <c r="D51" s="134">
        <v>32.26</v>
      </c>
      <c r="E51" s="134">
        <v>34.01</v>
      </c>
      <c r="F51" s="134">
        <v>41.17</v>
      </c>
      <c r="G51" s="134">
        <v>83.33</v>
      </c>
      <c r="H51" s="134">
        <v>46.44</v>
      </c>
      <c r="I51" s="134">
        <v>6.82</v>
      </c>
      <c r="J51" s="134">
        <v>0.42</v>
      </c>
      <c r="K51" s="134">
        <v>23.11</v>
      </c>
      <c r="L51" s="134">
        <v>35.99</v>
      </c>
      <c r="M51" s="134">
        <v>34.36</v>
      </c>
      <c r="N51" s="134">
        <v>276.5</v>
      </c>
      <c r="O51" s="134">
        <v>0</v>
      </c>
      <c r="P51" s="134">
        <v>0.89</v>
      </c>
      <c r="Q51" s="134">
        <v>5.08</v>
      </c>
    </row>
    <row r="52" spans="1:17" customFormat="1">
      <c r="A52" s="112" t="s">
        <v>665</v>
      </c>
      <c r="B52" s="134">
        <v>4.07</v>
      </c>
      <c r="C52" s="134">
        <v>51.7</v>
      </c>
      <c r="D52" s="134">
        <v>29.23</v>
      </c>
      <c r="E52" s="134">
        <v>29.86</v>
      </c>
      <c r="F52" s="134">
        <v>47.57</v>
      </c>
      <c r="G52" s="134">
        <v>83.33</v>
      </c>
      <c r="H52" s="134">
        <v>46.44</v>
      </c>
      <c r="I52" s="134">
        <v>6.91</v>
      </c>
      <c r="J52" s="134">
        <v>0.36</v>
      </c>
      <c r="K52" s="134">
        <v>323.36</v>
      </c>
      <c r="L52" s="134">
        <v>36.770000000000003</v>
      </c>
      <c r="M52" s="134">
        <v>32.94</v>
      </c>
      <c r="N52" s="134">
        <v>257.7</v>
      </c>
      <c r="O52" s="134">
        <v>0</v>
      </c>
      <c r="P52" s="134">
        <v>0.85</v>
      </c>
      <c r="Q52" s="134">
        <v>5.05</v>
      </c>
    </row>
    <row r="53" spans="1:17" customFormat="1">
      <c r="A53" s="112" t="s">
        <v>666</v>
      </c>
      <c r="B53" s="134">
        <v>3.87</v>
      </c>
      <c r="C53" s="134">
        <v>53.2</v>
      </c>
      <c r="D53" s="134">
        <v>29.86</v>
      </c>
      <c r="E53" s="134">
        <v>33.64</v>
      </c>
      <c r="F53" s="134">
        <v>44.7</v>
      </c>
      <c r="G53" s="134">
        <v>83.33</v>
      </c>
      <c r="H53" s="134">
        <v>46.44</v>
      </c>
      <c r="I53" s="134">
        <v>6.73</v>
      </c>
      <c r="J53" s="134">
        <v>0.51</v>
      </c>
      <c r="K53" s="134">
        <v>334.05</v>
      </c>
      <c r="L53" s="134">
        <v>37.25</v>
      </c>
      <c r="M53" s="134">
        <v>32.42</v>
      </c>
      <c r="N53" s="134">
        <v>259.2</v>
      </c>
      <c r="O53" s="134">
        <v>0</v>
      </c>
      <c r="P53" s="134">
        <v>0.88</v>
      </c>
      <c r="Q53" s="134">
        <v>4.9800000000000004</v>
      </c>
    </row>
    <row r="54" spans="1:17" customFormat="1">
      <c r="A54" s="112" t="s">
        <v>667</v>
      </c>
      <c r="B54" s="134">
        <v>3.3</v>
      </c>
      <c r="C54" s="134">
        <v>48.2</v>
      </c>
      <c r="D54" s="134">
        <v>26.79</v>
      </c>
      <c r="E54" s="134">
        <v>37.130000000000003</v>
      </c>
      <c r="F54" s="134">
        <v>55.83</v>
      </c>
      <c r="G54" s="134">
        <v>88.98</v>
      </c>
      <c r="H54" s="134">
        <v>50.64</v>
      </c>
      <c r="I54" s="134">
        <v>6.63</v>
      </c>
      <c r="J54" s="134">
        <v>0.68</v>
      </c>
      <c r="K54" s="134">
        <v>303.64999999999998</v>
      </c>
      <c r="L54" s="134">
        <v>37.75</v>
      </c>
      <c r="M54" s="134">
        <v>31.44</v>
      </c>
      <c r="N54" s="134">
        <v>266.39999999999998</v>
      </c>
      <c r="O54" s="134">
        <v>0</v>
      </c>
      <c r="P54" s="134">
        <v>0.87</v>
      </c>
      <c r="Q54" s="134">
        <v>4.92</v>
      </c>
    </row>
    <row r="55" spans="1:17" customFormat="1">
      <c r="A55" s="112" t="s">
        <v>668</v>
      </c>
      <c r="B55" s="134">
        <v>3.13</v>
      </c>
      <c r="C55" s="134">
        <v>48.56</v>
      </c>
      <c r="D55" s="134">
        <v>26.84</v>
      </c>
      <c r="E55" s="134">
        <v>35.56</v>
      </c>
      <c r="F55" s="134">
        <v>42.52</v>
      </c>
      <c r="G55" s="134">
        <v>97.07</v>
      </c>
      <c r="H55" s="134">
        <v>54.26</v>
      </c>
      <c r="I55" s="134">
        <v>6.69</v>
      </c>
      <c r="J55" s="134">
        <v>0.83</v>
      </c>
      <c r="K55" s="134">
        <v>325.36</v>
      </c>
      <c r="L55" s="134">
        <v>38.1</v>
      </c>
      <c r="M55" s="134">
        <v>30.26</v>
      </c>
      <c r="N55" s="134">
        <v>319.60000000000002</v>
      </c>
      <c r="O55" s="134">
        <v>0</v>
      </c>
      <c r="P55" s="134">
        <v>0.89</v>
      </c>
      <c r="Q55" s="134">
        <v>4.8899999999999997</v>
      </c>
    </row>
    <row r="56" spans="1:17" customFormat="1">
      <c r="A56" s="112" t="s">
        <v>669</v>
      </c>
      <c r="B56" s="134">
        <v>2.94</v>
      </c>
      <c r="C56" s="134">
        <v>45.35</v>
      </c>
      <c r="D56" s="134">
        <v>25.01</v>
      </c>
      <c r="E56" s="134">
        <v>28.33</v>
      </c>
      <c r="F56" s="134">
        <v>61.06</v>
      </c>
      <c r="G56" s="134">
        <v>97.07</v>
      </c>
      <c r="H56" s="134">
        <v>54.26</v>
      </c>
      <c r="I56" s="134">
        <v>6.73</v>
      </c>
      <c r="J56" s="134">
        <v>0.47</v>
      </c>
      <c r="K56" s="134">
        <v>317.04000000000002</v>
      </c>
      <c r="L56" s="134">
        <v>38.64</v>
      </c>
      <c r="M56" s="134">
        <v>29.08</v>
      </c>
      <c r="N56" s="134">
        <v>672.8</v>
      </c>
      <c r="O56" s="134">
        <v>0</v>
      </c>
      <c r="P56" s="134">
        <v>0.84</v>
      </c>
      <c r="Q56" s="134">
        <v>4.8499999999999996</v>
      </c>
    </row>
    <row r="57" spans="1:17" customFormat="1">
      <c r="A57" s="112" t="s">
        <v>670</v>
      </c>
      <c r="B57" s="134">
        <v>2.7</v>
      </c>
      <c r="C57" s="134">
        <v>46.57</v>
      </c>
      <c r="D57" s="134">
        <v>25.45</v>
      </c>
      <c r="E57" s="134">
        <v>30.41</v>
      </c>
      <c r="F57" s="134">
        <v>50.68</v>
      </c>
      <c r="G57" s="134">
        <v>97.07</v>
      </c>
      <c r="H57" s="134">
        <v>54.26</v>
      </c>
      <c r="I57" s="134">
        <v>6.77</v>
      </c>
      <c r="J57" s="134">
        <v>0.78</v>
      </c>
      <c r="K57" s="134">
        <v>327.08</v>
      </c>
      <c r="L57" s="134">
        <v>39.020000000000003</v>
      </c>
      <c r="M57" s="134">
        <v>27.97</v>
      </c>
      <c r="N57" s="134">
        <v>706.9</v>
      </c>
      <c r="O57" s="134">
        <v>0</v>
      </c>
      <c r="P57" s="134">
        <v>0.86</v>
      </c>
      <c r="Q57" s="134">
        <v>4.83</v>
      </c>
    </row>
    <row r="58" spans="1:17" customFormat="1">
      <c r="A58" s="112" t="s">
        <v>671</v>
      </c>
      <c r="B58" s="134">
        <v>2.4700000000000002</v>
      </c>
      <c r="C58" s="134">
        <v>44.8</v>
      </c>
      <c r="D58" s="134">
        <v>24.34</v>
      </c>
      <c r="E58" s="134">
        <v>27.89</v>
      </c>
      <c r="F58" s="134">
        <v>56.82</v>
      </c>
      <c r="G58" s="134">
        <v>98.6</v>
      </c>
      <c r="H58" s="134">
        <v>54.55</v>
      </c>
      <c r="I58" s="134">
        <v>6.65</v>
      </c>
      <c r="J58" s="134">
        <v>0.57999999999999996</v>
      </c>
      <c r="K58" s="134">
        <v>284.14999999999998</v>
      </c>
      <c r="L58" s="134">
        <v>39.270000000000003</v>
      </c>
      <c r="M58" s="134">
        <v>26.94</v>
      </c>
      <c r="N58" s="134">
        <v>713.1</v>
      </c>
      <c r="O58" s="134">
        <v>0</v>
      </c>
      <c r="P58" s="134">
        <v>0.85</v>
      </c>
      <c r="Q58" s="134">
        <v>4.8499999999999996</v>
      </c>
    </row>
    <row r="59" spans="1:17" customFormat="1">
      <c r="A59" s="112" t="s">
        <v>672</v>
      </c>
      <c r="B59" s="134">
        <v>2.42</v>
      </c>
      <c r="C59" s="134">
        <v>47.19</v>
      </c>
      <c r="D59" s="134">
        <v>25.55</v>
      </c>
      <c r="E59" s="134">
        <v>20.54</v>
      </c>
      <c r="F59" s="134">
        <v>40.630000000000003</v>
      </c>
      <c r="G59" s="134">
        <v>100.78</v>
      </c>
      <c r="H59" s="134">
        <v>54.8</v>
      </c>
      <c r="I59" s="134">
        <v>6.61</v>
      </c>
      <c r="J59" s="134">
        <v>0.94</v>
      </c>
      <c r="K59" s="134">
        <v>300.24</v>
      </c>
      <c r="L59" s="134">
        <v>39.619999999999997</v>
      </c>
      <c r="M59" s="134">
        <v>25.1</v>
      </c>
      <c r="N59" s="134">
        <v>727.3</v>
      </c>
      <c r="O59" s="134">
        <v>0</v>
      </c>
      <c r="P59" s="134">
        <v>0.83</v>
      </c>
      <c r="Q59" s="134">
        <v>4.8099999999999996</v>
      </c>
    </row>
    <row r="60" spans="1:17" customFormat="1">
      <c r="A60" s="112" t="s">
        <v>673</v>
      </c>
      <c r="B60" s="134">
        <v>2.29</v>
      </c>
      <c r="C60" s="134">
        <v>46.26</v>
      </c>
      <c r="D60" s="134">
        <v>24.96</v>
      </c>
      <c r="E60" s="134">
        <v>18.309999999999999</v>
      </c>
      <c r="F60" s="134">
        <v>47.59</v>
      </c>
      <c r="G60" s="134">
        <v>100.78</v>
      </c>
      <c r="H60" s="134">
        <v>54.8</v>
      </c>
      <c r="I60" s="134">
        <v>6.57</v>
      </c>
      <c r="J60" s="134">
        <v>0.85</v>
      </c>
      <c r="K60" s="134">
        <v>310.92</v>
      </c>
      <c r="L60" s="134">
        <v>40.17</v>
      </c>
      <c r="M60" s="134">
        <v>24.28</v>
      </c>
      <c r="N60" s="134">
        <v>664.3</v>
      </c>
      <c r="O60" s="134">
        <v>0</v>
      </c>
      <c r="P60" s="134">
        <v>0.81</v>
      </c>
      <c r="Q60" s="134">
        <v>4.78</v>
      </c>
    </row>
    <row r="61" spans="1:17" customFormat="1">
      <c r="A61" s="112" t="s">
        <v>674</v>
      </c>
      <c r="B61" s="134">
        <v>2.2599999999999998</v>
      </c>
      <c r="C61" s="134">
        <v>45.07</v>
      </c>
      <c r="D61" s="134">
        <v>24.32</v>
      </c>
      <c r="E61" s="134">
        <v>22.82</v>
      </c>
      <c r="F61" s="134">
        <v>48.84</v>
      </c>
      <c r="G61" s="134">
        <v>100.78</v>
      </c>
      <c r="H61" s="134">
        <v>54.8</v>
      </c>
      <c r="I61" s="134">
        <v>6.51</v>
      </c>
      <c r="J61" s="134">
        <v>0.49</v>
      </c>
      <c r="K61" s="134">
        <v>285.07</v>
      </c>
      <c r="L61" s="134">
        <v>40.35</v>
      </c>
      <c r="M61" s="134">
        <v>23.43</v>
      </c>
      <c r="N61" s="134">
        <v>628.1</v>
      </c>
      <c r="O61" s="134">
        <v>0</v>
      </c>
      <c r="P61" s="134">
        <v>0.82</v>
      </c>
      <c r="Q61" s="134">
        <v>4.8</v>
      </c>
    </row>
    <row r="62" spans="1:17" customFormat="1">
      <c r="A62" s="112" t="s">
        <v>675</v>
      </c>
      <c r="B62" s="134">
        <v>2.02</v>
      </c>
      <c r="C62" s="134">
        <v>43.36</v>
      </c>
      <c r="D62" s="134">
        <v>23.23</v>
      </c>
      <c r="E62" s="134">
        <v>27.02</v>
      </c>
      <c r="F62" s="134">
        <v>68.400000000000006</v>
      </c>
      <c r="G62" s="134">
        <v>97.8</v>
      </c>
      <c r="H62" s="134">
        <v>53.85</v>
      </c>
      <c r="I62" s="134">
        <v>6.41</v>
      </c>
      <c r="J62" s="134">
        <v>0.7</v>
      </c>
      <c r="K62" s="134">
        <v>267.62</v>
      </c>
      <c r="L62" s="134">
        <v>40.090000000000003</v>
      </c>
      <c r="M62" s="134">
        <v>23.94</v>
      </c>
      <c r="N62" s="134">
        <v>619.9</v>
      </c>
      <c r="O62" s="134">
        <v>0</v>
      </c>
      <c r="P62" s="134">
        <v>0.78</v>
      </c>
      <c r="Q62" s="134">
        <v>4.79</v>
      </c>
    </row>
    <row r="63" spans="1:17" customFormat="1">
      <c r="A63" s="112" t="s">
        <v>676</v>
      </c>
      <c r="B63" s="134">
        <v>1.85</v>
      </c>
      <c r="C63" s="134">
        <v>42.26</v>
      </c>
      <c r="D63" s="134">
        <v>22.52</v>
      </c>
      <c r="E63" s="134">
        <v>30.1</v>
      </c>
      <c r="F63" s="134">
        <v>61.06</v>
      </c>
      <c r="G63" s="134">
        <v>93.55</v>
      </c>
      <c r="H63" s="134">
        <v>51.6</v>
      </c>
      <c r="I63" s="134">
        <v>6.3</v>
      </c>
      <c r="J63" s="134">
        <v>0.45</v>
      </c>
      <c r="K63" s="134">
        <v>272.58999999999997</v>
      </c>
      <c r="L63" s="134">
        <v>40.71</v>
      </c>
      <c r="M63" s="134">
        <v>22.86</v>
      </c>
      <c r="N63" s="134">
        <v>619.5</v>
      </c>
      <c r="O63" s="134">
        <v>0</v>
      </c>
      <c r="P63" s="134">
        <v>0.76</v>
      </c>
      <c r="Q63" s="134">
        <v>4.76</v>
      </c>
    </row>
    <row r="64" spans="1:17" customFormat="1">
      <c r="A64" s="112" t="s">
        <v>677</v>
      </c>
      <c r="B64" s="134">
        <v>1.91</v>
      </c>
      <c r="C64" s="134">
        <v>44.65</v>
      </c>
      <c r="D64" s="134">
        <v>23.82</v>
      </c>
      <c r="E64" s="134">
        <v>25.48</v>
      </c>
      <c r="F64" s="134">
        <v>47.23</v>
      </c>
      <c r="G64" s="134">
        <v>93.55</v>
      </c>
      <c r="H64" s="134">
        <v>51.6</v>
      </c>
      <c r="I64" s="134">
        <v>6.1</v>
      </c>
      <c r="J64" s="134">
        <v>0.52</v>
      </c>
      <c r="K64" s="134">
        <v>271.83999999999997</v>
      </c>
      <c r="L64" s="134">
        <v>40.69</v>
      </c>
      <c r="M64" s="134">
        <v>22.18</v>
      </c>
      <c r="N64" s="134">
        <v>619.5</v>
      </c>
      <c r="O64" s="134">
        <v>0</v>
      </c>
      <c r="P64" s="134">
        <v>0.78</v>
      </c>
      <c r="Q64" s="134">
        <v>4.75</v>
      </c>
    </row>
    <row r="65" spans="1:17" customFormat="1">
      <c r="A65" s="112" t="s">
        <v>678</v>
      </c>
      <c r="B65" s="134">
        <v>1.75</v>
      </c>
      <c r="C65" s="134">
        <v>42.01</v>
      </c>
      <c r="D65" s="134">
        <v>22.31</v>
      </c>
      <c r="E65" s="134">
        <v>28.26</v>
      </c>
      <c r="F65" s="134">
        <v>62.37</v>
      </c>
      <c r="G65" s="134">
        <v>93.55</v>
      </c>
      <c r="H65" s="134">
        <v>51.6</v>
      </c>
      <c r="I65" s="134">
        <v>6.13</v>
      </c>
      <c r="J65" s="134">
        <v>0.36</v>
      </c>
      <c r="K65" s="134">
        <v>246.37</v>
      </c>
      <c r="L65" s="134">
        <v>41.43</v>
      </c>
      <c r="M65" s="134">
        <v>21.46</v>
      </c>
      <c r="N65" s="134">
        <v>594.29999999999995</v>
      </c>
      <c r="O65" s="134">
        <v>0</v>
      </c>
      <c r="P65" s="134">
        <v>0.68</v>
      </c>
      <c r="Q65" s="134">
        <v>4.74</v>
      </c>
    </row>
    <row r="66" spans="1:17" customFormat="1">
      <c r="A66" s="112" t="s">
        <v>679</v>
      </c>
      <c r="B66" s="134">
        <v>1.6</v>
      </c>
      <c r="C66" s="134">
        <v>39.08</v>
      </c>
      <c r="D66" s="134">
        <v>20.65</v>
      </c>
      <c r="E66" s="134">
        <v>37.06</v>
      </c>
      <c r="F66" s="134">
        <v>83.25</v>
      </c>
      <c r="G66" s="134">
        <v>89.26</v>
      </c>
      <c r="H66" s="134">
        <v>50.67</v>
      </c>
      <c r="I66" s="134">
        <v>6.24</v>
      </c>
      <c r="J66" s="134">
        <v>0.12</v>
      </c>
      <c r="K66" s="134">
        <v>97.75</v>
      </c>
      <c r="L66" s="134">
        <v>41.12</v>
      </c>
      <c r="M66" s="134">
        <v>21.13</v>
      </c>
      <c r="N66" s="134">
        <v>555.4</v>
      </c>
      <c r="O66" s="134">
        <v>0</v>
      </c>
      <c r="P66" s="134">
        <v>0.68</v>
      </c>
      <c r="Q66" s="134">
        <v>4.71</v>
      </c>
    </row>
    <row r="67" spans="1:17" customFormat="1">
      <c r="A67" s="112" t="s">
        <v>680</v>
      </c>
      <c r="B67" s="134">
        <v>2.15</v>
      </c>
      <c r="C67" s="134">
        <v>41.3</v>
      </c>
      <c r="D67" s="134">
        <v>22.25</v>
      </c>
      <c r="E67" s="134">
        <v>31.01</v>
      </c>
      <c r="F67" s="134">
        <v>66.44</v>
      </c>
      <c r="G67" s="134">
        <v>83.13</v>
      </c>
      <c r="H67" s="134">
        <v>49.87</v>
      </c>
      <c r="I67" s="134">
        <v>5.91</v>
      </c>
      <c r="J67" s="134">
        <v>0.68</v>
      </c>
      <c r="K67" s="134">
        <v>17.739999999999998</v>
      </c>
      <c r="L67" s="134">
        <v>41.33</v>
      </c>
      <c r="M67" s="134">
        <v>19.93</v>
      </c>
      <c r="N67" s="134">
        <v>564.4</v>
      </c>
      <c r="O67" s="134">
        <v>0</v>
      </c>
      <c r="P67" s="134">
        <v>0.69</v>
      </c>
      <c r="Q67" s="134">
        <v>4.71</v>
      </c>
    </row>
    <row r="68" spans="1:17" customFormat="1">
      <c r="A68" s="112" t="s">
        <v>681</v>
      </c>
      <c r="B68" s="134">
        <v>2.2999999999999998</v>
      </c>
      <c r="C68" s="134">
        <v>39.32</v>
      </c>
      <c r="D68" s="134">
        <v>21.34</v>
      </c>
      <c r="E68" s="134">
        <v>29.99</v>
      </c>
      <c r="F68" s="134">
        <v>73.23</v>
      </c>
      <c r="G68" s="134">
        <v>83.13</v>
      </c>
      <c r="H68" s="134">
        <v>49.87</v>
      </c>
      <c r="I68" s="134">
        <v>5.55</v>
      </c>
      <c r="J68" s="134">
        <v>0.22</v>
      </c>
      <c r="K68" s="134">
        <v>18.920000000000002</v>
      </c>
      <c r="L68" s="134">
        <v>41.76</v>
      </c>
      <c r="M68" s="134">
        <v>19.46</v>
      </c>
      <c r="N68" s="134">
        <v>576.9</v>
      </c>
      <c r="O68" s="134">
        <v>0</v>
      </c>
      <c r="P68" s="134">
        <v>0.65</v>
      </c>
      <c r="Q68" s="134">
        <v>4.72</v>
      </c>
    </row>
    <row r="69" spans="1:17" customFormat="1">
      <c r="A69" s="112" t="s">
        <v>682</v>
      </c>
      <c r="B69" s="134">
        <v>2.11</v>
      </c>
      <c r="C69" s="134">
        <v>47.91</v>
      </c>
      <c r="D69" s="134">
        <v>25.68</v>
      </c>
      <c r="E69" s="134">
        <v>18.600000000000001</v>
      </c>
      <c r="F69" s="134">
        <v>40.98</v>
      </c>
      <c r="G69" s="134">
        <v>83.13</v>
      </c>
      <c r="H69" s="134">
        <v>49.87</v>
      </c>
      <c r="I69" s="134">
        <v>5.39</v>
      </c>
      <c r="J69" s="134">
        <v>0.64</v>
      </c>
      <c r="K69" s="134">
        <v>287.62</v>
      </c>
      <c r="L69" s="134">
        <v>41.81</v>
      </c>
      <c r="M69" s="134">
        <v>19.2</v>
      </c>
      <c r="N69" s="134">
        <v>546.70000000000005</v>
      </c>
      <c r="O69" s="134">
        <v>0</v>
      </c>
      <c r="P69" s="134">
        <v>0.71</v>
      </c>
      <c r="Q69" s="134">
        <v>4.76</v>
      </c>
    </row>
    <row r="70" spans="1:17" customFormat="1">
      <c r="A70" s="112" t="s">
        <v>683</v>
      </c>
      <c r="B70" s="134">
        <v>1.73</v>
      </c>
      <c r="C70" s="134">
        <v>47.57</v>
      </c>
      <c r="D70" s="134">
        <v>25.2</v>
      </c>
      <c r="E70" s="134">
        <v>20.010000000000002</v>
      </c>
      <c r="F70" s="134">
        <v>65.92</v>
      </c>
      <c r="G70" s="134">
        <v>81.400000000000006</v>
      </c>
      <c r="H70" s="134">
        <v>51.88</v>
      </c>
      <c r="I70" s="134">
        <v>5.65</v>
      </c>
      <c r="J70" s="134">
        <v>0.37</v>
      </c>
      <c r="K70" s="134">
        <v>266.37</v>
      </c>
      <c r="L70" s="134">
        <v>41.87</v>
      </c>
      <c r="M70" s="134">
        <v>19.22</v>
      </c>
      <c r="N70" s="134">
        <v>452.1</v>
      </c>
      <c r="O70" s="134">
        <v>0</v>
      </c>
      <c r="P70" s="134">
        <v>0.66</v>
      </c>
      <c r="Q70" s="134">
        <v>4.9400000000000004</v>
      </c>
    </row>
    <row r="71" spans="1:17" customFormat="1">
      <c r="A71" s="112" t="s">
        <v>684</v>
      </c>
      <c r="B71" s="134">
        <v>1.75</v>
      </c>
      <c r="C71" s="134">
        <v>48.12</v>
      </c>
      <c r="D71" s="134">
        <v>25.5</v>
      </c>
      <c r="E71" s="134">
        <v>16.940000000000001</v>
      </c>
      <c r="F71" s="134">
        <v>52.54</v>
      </c>
      <c r="G71" s="134">
        <v>78.92</v>
      </c>
      <c r="H71" s="134">
        <v>53.62</v>
      </c>
      <c r="I71" s="134">
        <v>5.92</v>
      </c>
      <c r="J71" s="134">
        <v>0.67</v>
      </c>
      <c r="K71" s="134">
        <v>274.94</v>
      </c>
      <c r="L71" s="134">
        <v>40.93</v>
      </c>
      <c r="M71" s="134">
        <v>19.850000000000001</v>
      </c>
      <c r="N71" s="134">
        <v>195.8</v>
      </c>
      <c r="O71" s="134">
        <v>0</v>
      </c>
      <c r="P71" s="134">
        <v>0.66</v>
      </c>
      <c r="Q71" s="134">
        <v>4.92</v>
      </c>
    </row>
    <row r="72" spans="1:17" customFormat="1">
      <c r="A72" s="112" t="s">
        <v>685</v>
      </c>
      <c r="B72" s="134">
        <v>1.75</v>
      </c>
      <c r="C72" s="134">
        <v>43.69</v>
      </c>
      <c r="D72" s="134">
        <v>23.18</v>
      </c>
      <c r="E72" s="134">
        <v>16.23</v>
      </c>
      <c r="F72" s="134">
        <v>57.91</v>
      </c>
      <c r="G72" s="134">
        <v>78.92</v>
      </c>
      <c r="H72" s="134">
        <v>53.62</v>
      </c>
      <c r="I72" s="134">
        <v>5.64</v>
      </c>
      <c r="J72" s="134">
        <v>0.65</v>
      </c>
      <c r="K72" s="134">
        <v>295.72000000000003</v>
      </c>
      <c r="L72" s="134">
        <v>39.72</v>
      </c>
      <c r="M72" s="134">
        <v>20.27</v>
      </c>
      <c r="N72" s="134">
        <v>48</v>
      </c>
      <c r="O72" s="134">
        <v>0</v>
      </c>
      <c r="P72" s="134">
        <v>0.62</v>
      </c>
      <c r="Q72" s="134">
        <v>4.84</v>
      </c>
    </row>
    <row r="73" spans="1:17" customFormat="1">
      <c r="A73" s="112" t="s">
        <v>686</v>
      </c>
      <c r="B73" s="134">
        <v>2.19</v>
      </c>
      <c r="C73" s="134">
        <v>47.16</v>
      </c>
      <c r="D73" s="134">
        <v>25.35</v>
      </c>
      <c r="E73" s="134">
        <v>21.41</v>
      </c>
      <c r="F73" s="134">
        <v>30.77</v>
      </c>
      <c r="G73" s="134">
        <v>78.92</v>
      </c>
      <c r="H73" s="134">
        <v>53.62</v>
      </c>
      <c r="I73" s="134">
        <v>5.45</v>
      </c>
      <c r="J73" s="134">
        <v>2.4</v>
      </c>
      <c r="K73" s="134">
        <v>29.03</v>
      </c>
      <c r="L73" s="134">
        <v>34.86</v>
      </c>
      <c r="M73" s="134">
        <v>36.1</v>
      </c>
      <c r="N73" s="134">
        <v>35.6</v>
      </c>
      <c r="O73" s="134">
        <v>0</v>
      </c>
      <c r="P73" s="134">
        <v>0.66</v>
      </c>
      <c r="Q73" s="134">
        <v>4.7699999999999996</v>
      </c>
    </row>
    <row r="74" spans="1:17" customFormat="1">
      <c r="A74" s="112" t="s">
        <v>687</v>
      </c>
      <c r="B74" s="134">
        <v>2.21</v>
      </c>
      <c r="C74" s="134">
        <v>44.96</v>
      </c>
      <c r="D74" s="134">
        <v>24.22</v>
      </c>
      <c r="E74" s="134">
        <v>11.18</v>
      </c>
      <c r="F74" s="134">
        <v>23.74</v>
      </c>
      <c r="G74" s="134">
        <v>122.77</v>
      </c>
      <c r="H74" s="134">
        <v>53.14</v>
      </c>
      <c r="I74" s="134">
        <v>5.55</v>
      </c>
      <c r="J74" s="134">
        <v>1.25</v>
      </c>
      <c r="K74" s="134">
        <v>18.07</v>
      </c>
      <c r="L74" s="134">
        <v>32.61</v>
      </c>
      <c r="M74" s="134">
        <v>41.08</v>
      </c>
      <c r="N74" s="134">
        <v>24.2</v>
      </c>
      <c r="O74" s="134">
        <v>0</v>
      </c>
      <c r="P74" s="134">
        <v>0.62</v>
      </c>
      <c r="Q74" s="134">
        <v>4.5999999999999996</v>
      </c>
    </row>
    <row r="75" spans="1:17" customFormat="1">
      <c r="A75" s="112" t="s">
        <v>688</v>
      </c>
      <c r="B75" s="134">
        <v>3.55</v>
      </c>
      <c r="C75" s="134">
        <v>51.2</v>
      </c>
      <c r="D75" s="134">
        <v>28.55</v>
      </c>
      <c r="E75" s="134">
        <v>10.1</v>
      </c>
      <c r="F75" s="134">
        <v>20.420000000000002</v>
      </c>
      <c r="G75" s="134">
        <v>185.57</v>
      </c>
      <c r="H75" s="134">
        <v>52.74</v>
      </c>
      <c r="I75" s="134">
        <v>5.72</v>
      </c>
      <c r="J75" s="134">
        <v>2.19</v>
      </c>
      <c r="K75" s="134">
        <v>44.01</v>
      </c>
      <c r="L75" s="134">
        <v>31.52</v>
      </c>
      <c r="M75" s="134">
        <v>45.77</v>
      </c>
      <c r="N75" s="134">
        <v>16.100000000000001</v>
      </c>
      <c r="O75" s="134">
        <v>0</v>
      </c>
      <c r="P75" s="134">
        <v>0.64</v>
      </c>
      <c r="Q75" s="134">
        <v>4.63</v>
      </c>
    </row>
    <row r="76" spans="1:17" customFormat="1">
      <c r="A76" s="112" t="s">
        <v>689</v>
      </c>
      <c r="B76" s="134">
        <v>2.79</v>
      </c>
      <c r="C76" s="134">
        <v>51.09</v>
      </c>
      <c r="D76" s="134">
        <v>27.88</v>
      </c>
      <c r="E76" s="134">
        <v>8.59</v>
      </c>
      <c r="F76" s="134">
        <v>12.66</v>
      </c>
      <c r="G76" s="134">
        <v>185.57</v>
      </c>
      <c r="H76" s="134">
        <v>52.74</v>
      </c>
      <c r="I76" s="134">
        <v>5.76</v>
      </c>
      <c r="J76" s="134">
        <v>2.04</v>
      </c>
      <c r="K76" s="134">
        <v>45.34</v>
      </c>
      <c r="L76" s="134">
        <v>31.63</v>
      </c>
      <c r="M76" s="134">
        <v>43.51</v>
      </c>
      <c r="N76" s="134">
        <v>9.5</v>
      </c>
      <c r="O76" s="134">
        <v>0</v>
      </c>
      <c r="P76" s="134">
        <v>0.64</v>
      </c>
      <c r="Q76" s="134">
        <v>4.66</v>
      </c>
    </row>
    <row r="77" spans="1:17" customFormat="1">
      <c r="A77" s="112" t="s">
        <v>690</v>
      </c>
      <c r="B77" s="134">
        <v>2.9</v>
      </c>
      <c r="C77" s="134">
        <v>51.09</v>
      </c>
      <c r="D77" s="134">
        <v>27.97</v>
      </c>
      <c r="E77" s="134">
        <v>8.33</v>
      </c>
      <c r="F77" s="134">
        <v>21.39</v>
      </c>
      <c r="G77" s="134">
        <v>185.57</v>
      </c>
      <c r="H77" s="134">
        <v>52.74</v>
      </c>
      <c r="I77" s="134">
        <v>5.96</v>
      </c>
      <c r="J77" s="134">
        <v>0.71</v>
      </c>
      <c r="K77" s="134">
        <v>23.39</v>
      </c>
      <c r="L77" s="134">
        <v>30.01</v>
      </c>
      <c r="M77" s="134">
        <v>55.55</v>
      </c>
      <c r="N77" s="134">
        <v>11.3</v>
      </c>
      <c r="O77" s="134">
        <v>0</v>
      </c>
      <c r="P77" s="134">
        <v>0.63</v>
      </c>
      <c r="Q77" s="134">
        <v>4.6100000000000003</v>
      </c>
    </row>
    <row r="78" spans="1:17" customFormat="1">
      <c r="A78" s="112" t="s">
        <v>691</v>
      </c>
      <c r="B78" s="134">
        <v>2.97</v>
      </c>
      <c r="C78" s="134">
        <v>46.84</v>
      </c>
      <c r="D78" s="134">
        <v>25.81</v>
      </c>
      <c r="E78" s="134">
        <v>8.8800000000000008</v>
      </c>
      <c r="F78" s="134">
        <v>16.95</v>
      </c>
      <c r="G78" s="134">
        <v>137.16999999999999</v>
      </c>
      <c r="H78" s="134">
        <v>48.18</v>
      </c>
      <c r="I78" s="134">
        <v>5.83</v>
      </c>
      <c r="J78" s="134">
        <v>1.36</v>
      </c>
      <c r="K78" s="134">
        <v>317.14999999999998</v>
      </c>
      <c r="L78" s="134">
        <v>31.12</v>
      </c>
      <c r="M78" s="134">
        <v>47.22</v>
      </c>
      <c r="N78" s="134">
        <v>14</v>
      </c>
      <c r="O78" s="134">
        <v>0</v>
      </c>
      <c r="P78" s="134">
        <v>0.63</v>
      </c>
      <c r="Q78" s="134">
        <v>4.5999999999999996</v>
      </c>
    </row>
    <row r="79" spans="1:17" customFormat="1">
      <c r="A79" s="112" t="s">
        <v>692</v>
      </c>
      <c r="B79" s="134">
        <v>3.44</v>
      </c>
      <c r="C79" s="134">
        <v>53.49</v>
      </c>
      <c r="D79" s="134">
        <v>29.66</v>
      </c>
      <c r="E79" s="134">
        <v>15.99</v>
      </c>
      <c r="F79" s="134">
        <v>19.52</v>
      </c>
      <c r="G79" s="134">
        <v>67.84</v>
      </c>
      <c r="H79" s="134">
        <v>44.26</v>
      </c>
      <c r="I79" s="134">
        <v>5.55</v>
      </c>
      <c r="J79" s="134">
        <v>0.77</v>
      </c>
      <c r="K79" s="134">
        <v>353.12</v>
      </c>
      <c r="L79" s="134">
        <v>31.48</v>
      </c>
      <c r="M79" s="134">
        <v>46.17</v>
      </c>
      <c r="N79" s="134">
        <v>17.2</v>
      </c>
      <c r="O79" s="134">
        <v>0</v>
      </c>
      <c r="P79" s="134">
        <v>0.67</v>
      </c>
      <c r="Q79" s="134">
        <v>4.7300000000000004</v>
      </c>
    </row>
    <row r="80" spans="1:17" customFormat="1">
      <c r="A80" s="112" t="s">
        <v>693</v>
      </c>
      <c r="B80" s="134">
        <v>4.97</v>
      </c>
      <c r="C80" s="134">
        <v>54.83</v>
      </c>
      <c r="D80" s="134">
        <v>31.59</v>
      </c>
      <c r="E80" s="134">
        <v>21.88</v>
      </c>
      <c r="F80" s="134">
        <v>17.66</v>
      </c>
      <c r="G80" s="134">
        <v>67.84</v>
      </c>
      <c r="H80" s="134">
        <v>44.26</v>
      </c>
      <c r="I80" s="134">
        <v>5.56</v>
      </c>
      <c r="J80" s="134">
        <v>1.18</v>
      </c>
      <c r="K80" s="134">
        <v>57.86</v>
      </c>
      <c r="L80" s="134">
        <v>31.84</v>
      </c>
      <c r="M80" s="134">
        <v>44.53</v>
      </c>
      <c r="N80" s="134">
        <v>8.9</v>
      </c>
      <c r="O80" s="134">
        <v>0</v>
      </c>
      <c r="P80" s="134">
        <v>0.68</v>
      </c>
      <c r="Q80" s="134">
        <v>4.7300000000000004</v>
      </c>
    </row>
    <row r="81" spans="1:17" customFormat="1">
      <c r="A81" s="112" t="s">
        <v>694</v>
      </c>
      <c r="B81" s="134">
        <v>5.81</v>
      </c>
      <c r="C81" s="134">
        <v>57.73</v>
      </c>
      <c r="D81" s="134">
        <v>33.78</v>
      </c>
      <c r="E81" s="134">
        <v>9.34</v>
      </c>
      <c r="F81" s="134">
        <v>17.55</v>
      </c>
      <c r="G81" s="134">
        <v>67.84</v>
      </c>
      <c r="H81" s="134">
        <v>44.26</v>
      </c>
      <c r="I81" s="134">
        <v>5.66</v>
      </c>
      <c r="J81" s="134">
        <v>0.42</v>
      </c>
      <c r="K81" s="134">
        <v>88.47</v>
      </c>
      <c r="L81" s="134">
        <v>31.92</v>
      </c>
      <c r="M81" s="134">
        <v>46.03</v>
      </c>
      <c r="N81" s="134">
        <v>4.2</v>
      </c>
      <c r="O81" s="134">
        <v>0</v>
      </c>
      <c r="P81" s="134">
        <v>0.71</v>
      </c>
      <c r="Q81" s="134">
        <v>4.7699999999999996</v>
      </c>
    </row>
    <row r="82" spans="1:17" customFormat="1">
      <c r="A82" s="112" t="s">
        <v>695</v>
      </c>
      <c r="B82" s="134">
        <v>4.47</v>
      </c>
      <c r="C82" s="134">
        <v>51.52</v>
      </c>
      <c r="D82" s="134">
        <v>29.46</v>
      </c>
      <c r="E82" s="134">
        <v>15.85</v>
      </c>
      <c r="F82" s="134">
        <v>28.02</v>
      </c>
      <c r="G82" s="134">
        <v>87.09</v>
      </c>
      <c r="H82" s="134">
        <v>42.22</v>
      </c>
      <c r="I82" s="134">
        <v>5.6</v>
      </c>
      <c r="J82" s="134">
        <v>0.25</v>
      </c>
      <c r="K82" s="134">
        <v>212.35</v>
      </c>
      <c r="L82" s="134">
        <v>31.54</v>
      </c>
      <c r="M82" s="134">
        <v>50.74</v>
      </c>
      <c r="N82" s="134">
        <v>0.1</v>
      </c>
      <c r="O82" s="134">
        <v>0</v>
      </c>
      <c r="P82" s="134">
        <v>0.67</v>
      </c>
      <c r="Q82" s="134">
        <v>4.9400000000000004</v>
      </c>
    </row>
    <row r="83" spans="1:17" customFormat="1">
      <c r="A83" s="112" t="s">
        <v>696</v>
      </c>
      <c r="B83" s="134">
        <v>4.2</v>
      </c>
      <c r="C83" s="134">
        <v>46</v>
      </c>
      <c r="D83" s="134">
        <v>26.36</v>
      </c>
      <c r="E83" s="134">
        <v>16.21</v>
      </c>
      <c r="F83" s="134">
        <v>31.02</v>
      </c>
      <c r="G83" s="134">
        <v>114.67</v>
      </c>
      <c r="H83" s="134">
        <v>40.46</v>
      </c>
      <c r="I83" s="134">
        <v>5.68</v>
      </c>
      <c r="J83" s="134">
        <v>0.27</v>
      </c>
      <c r="K83" s="134">
        <v>81.23</v>
      </c>
      <c r="L83" s="134">
        <v>31.51</v>
      </c>
      <c r="M83" s="134">
        <v>46.82</v>
      </c>
      <c r="N83" s="134">
        <v>0</v>
      </c>
      <c r="O83" s="134">
        <v>0</v>
      </c>
      <c r="P83" s="134">
        <v>0.63</v>
      </c>
      <c r="Q83" s="134">
        <v>4.88</v>
      </c>
    </row>
    <row r="84" spans="1:17" customFormat="1">
      <c r="A84" s="112" t="s">
        <v>697</v>
      </c>
      <c r="B84" s="134">
        <v>4.6399999999999997</v>
      </c>
      <c r="C84" s="134">
        <v>51.75</v>
      </c>
      <c r="D84" s="134">
        <v>29.72</v>
      </c>
      <c r="E84" s="134">
        <v>13.4</v>
      </c>
      <c r="F84" s="134">
        <v>23.3</v>
      </c>
      <c r="G84" s="134">
        <v>114.67</v>
      </c>
      <c r="H84" s="134">
        <v>40.46</v>
      </c>
      <c r="I84" s="134">
        <v>5.38</v>
      </c>
      <c r="J84" s="134">
        <v>0.18</v>
      </c>
      <c r="K84" s="134">
        <v>92.51</v>
      </c>
      <c r="L84" s="134">
        <v>31.57</v>
      </c>
      <c r="M84" s="134">
        <v>45.95</v>
      </c>
      <c r="N84" s="134">
        <v>0</v>
      </c>
      <c r="O84" s="134">
        <v>0</v>
      </c>
      <c r="P84" s="134">
        <v>0.65</v>
      </c>
      <c r="Q84" s="134">
        <v>4.95</v>
      </c>
    </row>
    <row r="85" spans="1:17" customFormat="1">
      <c r="A85" s="112" t="s">
        <v>698</v>
      </c>
      <c r="B85" s="134">
        <v>4.83</v>
      </c>
      <c r="C85" s="134">
        <v>50.77</v>
      </c>
      <c r="D85" s="134">
        <v>29.35</v>
      </c>
      <c r="E85" s="134">
        <v>16.89</v>
      </c>
      <c r="F85" s="134">
        <v>24.42</v>
      </c>
      <c r="G85" s="134">
        <v>114.67</v>
      </c>
      <c r="H85" s="134">
        <v>40.46</v>
      </c>
      <c r="I85" s="134">
        <v>5.26</v>
      </c>
      <c r="J85" s="134">
        <v>0.51</v>
      </c>
      <c r="K85" s="134">
        <v>85.78</v>
      </c>
      <c r="L85" s="134">
        <v>31.76</v>
      </c>
      <c r="M85" s="134">
        <v>43.82</v>
      </c>
      <c r="N85" s="134">
        <v>0</v>
      </c>
      <c r="O85" s="134">
        <v>0</v>
      </c>
      <c r="P85" s="134">
        <v>0.64</v>
      </c>
      <c r="Q85" s="134">
        <v>4.9800000000000004</v>
      </c>
    </row>
    <row r="86" spans="1:17" customFormat="1">
      <c r="A86" s="112" t="s">
        <v>699</v>
      </c>
      <c r="B86" s="134">
        <v>4.8099999999999996</v>
      </c>
      <c r="C86" s="134">
        <v>47.66</v>
      </c>
      <c r="D86" s="134">
        <v>27.72</v>
      </c>
      <c r="E86" s="134">
        <v>18.91</v>
      </c>
      <c r="F86" s="134">
        <v>24.11</v>
      </c>
      <c r="G86" s="134">
        <v>88.89</v>
      </c>
      <c r="H86" s="134">
        <v>39.130000000000003</v>
      </c>
      <c r="I86" s="134">
        <v>5.3</v>
      </c>
      <c r="J86" s="134">
        <v>0.51</v>
      </c>
      <c r="K86" s="134">
        <v>93.53</v>
      </c>
      <c r="L86" s="134">
        <v>31.98</v>
      </c>
      <c r="M86" s="134">
        <v>41.83</v>
      </c>
      <c r="N86" s="134">
        <v>0</v>
      </c>
      <c r="O86" s="134">
        <v>0</v>
      </c>
      <c r="P86" s="134">
        <v>0.63</v>
      </c>
      <c r="Q86" s="134">
        <v>4.8899999999999997</v>
      </c>
    </row>
    <row r="87" spans="1:17" customFormat="1">
      <c r="A87" s="112" t="s">
        <v>700</v>
      </c>
      <c r="B87" s="134">
        <v>5.03</v>
      </c>
      <c r="C87" s="134">
        <v>52.65</v>
      </c>
      <c r="D87" s="134">
        <v>30.5</v>
      </c>
      <c r="E87" s="134">
        <v>11.4</v>
      </c>
      <c r="F87" s="134">
        <v>25.74</v>
      </c>
      <c r="G87" s="134">
        <v>51.96</v>
      </c>
      <c r="H87" s="134">
        <v>35.96</v>
      </c>
      <c r="I87" s="134">
        <v>5.16</v>
      </c>
      <c r="J87" s="134">
        <v>0.3</v>
      </c>
      <c r="K87" s="134">
        <v>117.22</v>
      </c>
      <c r="L87" s="134">
        <v>32.049999999999997</v>
      </c>
      <c r="M87" s="134">
        <v>41.75</v>
      </c>
      <c r="N87" s="134">
        <v>0</v>
      </c>
      <c r="O87" s="134">
        <v>0</v>
      </c>
      <c r="P87" s="134">
        <v>0.63</v>
      </c>
      <c r="Q87" s="134">
        <v>5.01</v>
      </c>
    </row>
    <row r="88" spans="1:17" customFormat="1">
      <c r="A88" s="112" t="s">
        <v>701</v>
      </c>
      <c r="B88" s="134">
        <v>4.8899999999999997</v>
      </c>
      <c r="C88" s="134">
        <v>49.1</v>
      </c>
      <c r="D88" s="134">
        <v>28.53</v>
      </c>
      <c r="E88" s="134">
        <v>9.57</v>
      </c>
      <c r="F88" s="134">
        <v>28.92</v>
      </c>
      <c r="G88" s="134">
        <v>51.96</v>
      </c>
      <c r="H88" s="134">
        <v>35.96</v>
      </c>
      <c r="I88" s="134">
        <v>5.22</v>
      </c>
      <c r="J88" s="134">
        <v>0.18</v>
      </c>
      <c r="K88" s="134">
        <v>145.22</v>
      </c>
      <c r="L88" s="134">
        <v>31.98</v>
      </c>
      <c r="M88" s="134">
        <v>41.77</v>
      </c>
      <c r="N88" s="134">
        <v>0</v>
      </c>
      <c r="O88" s="134">
        <v>0</v>
      </c>
      <c r="P88" s="134">
        <v>0.61</v>
      </c>
      <c r="Q88" s="134">
        <v>4.97</v>
      </c>
    </row>
    <row r="89" spans="1:17" customFormat="1">
      <c r="A89" s="112" t="s">
        <v>702</v>
      </c>
      <c r="B89" s="134">
        <v>4.1100000000000003</v>
      </c>
      <c r="C89" s="134">
        <v>46.11</v>
      </c>
      <c r="D89" s="134">
        <v>26.34</v>
      </c>
      <c r="E89" s="134">
        <v>9.5399999999999991</v>
      </c>
      <c r="F89" s="134">
        <v>45.6</v>
      </c>
      <c r="G89" s="134">
        <v>51.96</v>
      </c>
      <c r="H89" s="134">
        <v>35.96</v>
      </c>
      <c r="I89" s="134">
        <v>5.26</v>
      </c>
      <c r="J89" s="134">
        <v>0.08</v>
      </c>
      <c r="K89" s="134">
        <v>242.48</v>
      </c>
      <c r="L89" s="134">
        <v>31.8</v>
      </c>
      <c r="M89" s="134">
        <v>42.89</v>
      </c>
      <c r="N89" s="134">
        <v>0</v>
      </c>
      <c r="O89" s="134">
        <v>0</v>
      </c>
      <c r="P89" s="134">
        <v>0.57999999999999996</v>
      </c>
      <c r="Q89" s="134">
        <v>4.96</v>
      </c>
    </row>
    <row r="90" spans="1:17" customFormat="1">
      <c r="A90" s="112" t="s">
        <v>703</v>
      </c>
      <c r="B90" s="134">
        <v>5.41</v>
      </c>
      <c r="C90" s="134">
        <v>47.98</v>
      </c>
      <c r="D90" s="134">
        <v>28.36</v>
      </c>
      <c r="E90" s="134">
        <v>9.25</v>
      </c>
      <c r="F90" s="134">
        <v>36.869999999999997</v>
      </c>
      <c r="G90" s="134">
        <v>44.24</v>
      </c>
      <c r="H90" s="134">
        <v>33.61</v>
      </c>
      <c r="I90" s="134">
        <v>4.8899999999999997</v>
      </c>
      <c r="J90" s="134">
        <v>0.72</v>
      </c>
      <c r="K90" s="134">
        <v>51.07</v>
      </c>
      <c r="L90" s="134">
        <v>31.56</v>
      </c>
      <c r="M90" s="134">
        <v>42.49</v>
      </c>
      <c r="N90" s="134">
        <v>0</v>
      </c>
      <c r="O90" s="134">
        <v>0</v>
      </c>
      <c r="P90" s="134">
        <v>0.62</v>
      </c>
      <c r="Q90" s="134">
        <v>4.88</v>
      </c>
    </row>
    <row r="91" spans="1:17" customFormat="1">
      <c r="A91" s="112" t="s">
        <v>704</v>
      </c>
      <c r="B91" s="134">
        <v>7.54</v>
      </c>
      <c r="C91" s="134">
        <v>58.24</v>
      </c>
      <c r="D91" s="134">
        <v>35.43</v>
      </c>
      <c r="E91" s="134">
        <v>7.26</v>
      </c>
      <c r="F91" s="134">
        <v>14</v>
      </c>
      <c r="G91" s="134">
        <v>33.18</v>
      </c>
      <c r="H91" s="134">
        <v>31.58</v>
      </c>
      <c r="I91" s="134">
        <v>4.5</v>
      </c>
      <c r="J91" s="134">
        <v>0.55000000000000004</v>
      </c>
      <c r="K91" s="134">
        <v>70.78</v>
      </c>
      <c r="L91" s="134">
        <v>31.45</v>
      </c>
      <c r="M91" s="134">
        <v>43.04</v>
      </c>
      <c r="N91" s="134">
        <v>0</v>
      </c>
      <c r="O91" s="134">
        <v>0</v>
      </c>
      <c r="P91" s="134">
        <v>0.65</v>
      </c>
      <c r="Q91" s="134">
        <v>4.9000000000000004</v>
      </c>
    </row>
    <row r="92" spans="1:17" customFormat="1">
      <c r="A92" s="112" t="s">
        <v>705</v>
      </c>
      <c r="B92" s="134">
        <v>6.99</v>
      </c>
      <c r="C92" s="134">
        <v>57.25</v>
      </c>
      <c r="D92" s="134">
        <v>34.47</v>
      </c>
      <c r="E92" s="134">
        <v>9.16</v>
      </c>
      <c r="F92" s="134">
        <v>22.24</v>
      </c>
      <c r="G92" s="134">
        <v>33.18</v>
      </c>
      <c r="H92" s="134">
        <v>31.58</v>
      </c>
      <c r="I92" s="134">
        <v>4.9400000000000004</v>
      </c>
      <c r="J92" s="134">
        <v>0.63</v>
      </c>
      <c r="K92" s="134">
        <v>63.92</v>
      </c>
      <c r="L92" s="134">
        <v>31.05</v>
      </c>
      <c r="M92" s="134">
        <v>45.87</v>
      </c>
      <c r="N92" s="134">
        <v>0</v>
      </c>
      <c r="O92" s="134">
        <v>0</v>
      </c>
      <c r="P92" s="134">
        <v>0.68</v>
      </c>
      <c r="Q92" s="134">
        <v>5</v>
      </c>
    </row>
    <row r="93" spans="1:17" customFormat="1">
      <c r="A93" s="112" t="s">
        <v>706</v>
      </c>
      <c r="B93" s="134">
        <v>6.59</v>
      </c>
      <c r="C93" s="134">
        <v>56.33</v>
      </c>
      <c r="D93" s="134">
        <v>33.67</v>
      </c>
      <c r="E93" s="134">
        <v>7.45</v>
      </c>
      <c r="F93" s="134">
        <v>13.93</v>
      </c>
      <c r="G93" s="134">
        <v>33.18</v>
      </c>
      <c r="H93" s="134">
        <v>31.58</v>
      </c>
      <c r="I93" s="134">
        <v>5.54</v>
      </c>
      <c r="J93" s="134">
        <v>0.79</v>
      </c>
      <c r="K93" s="134">
        <v>56.74</v>
      </c>
      <c r="L93" s="134">
        <v>30.45</v>
      </c>
      <c r="M93" s="134">
        <v>49.12</v>
      </c>
      <c r="N93" s="134">
        <v>0</v>
      </c>
      <c r="O93" s="134">
        <v>0</v>
      </c>
      <c r="P93" s="134">
        <v>0.67</v>
      </c>
      <c r="Q93" s="134">
        <v>4.95</v>
      </c>
    </row>
    <row r="94" spans="1:17" customFormat="1">
      <c r="A94" s="112" t="s">
        <v>707</v>
      </c>
      <c r="B94" s="134">
        <v>7.02</v>
      </c>
      <c r="C94" s="134">
        <v>58.97</v>
      </c>
      <c r="D94" s="134">
        <v>35.4</v>
      </c>
      <c r="E94" s="134">
        <v>7.95</v>
      </c>
      <c r="F94" s="134">
        <v>21.33</v>
      </c>
      <c r="G94" s="134">
        <v>48.11</v>
      </c>
      <c r="H94" s="134">
        <v>30.98</v>
      </c>
      <c r="I94" s="134">
        <v>5.33</v>
      </c>
      <c r="J94" s="134">
        <v>0.18</v>
      </c>
      <c r="K94" s="134">
        <v>63.56</v>
      </c>
      <c r="L94" s="134">
        <v>30.03</v>
      </c>
      <c r="M94" s="134">
        <v>51.73</v>
      </c>
      <c r="N94" s="134">
        <v>0</v>
      </c>
      <c r="O94" s="134">
        <v>0</v>
      </c>
      <c r="P94" s="134">
        <v>0.66</v>
      </c>
      <c r="Q94" s="134">
        <v>5.09</v>
      </c>
    </row>
    <row r="95" spans="1:17" customFormat="1">
      <c r="A95" s="112" t="s">
        <v>708</v>
      </c>
      <c r="B95" s="134">
        <v>7.59</v>
      </c>
      <c r="C95" s="134">
        <v>59.39</v>
      </c>
      <c r="D95" s="134">
        <v>36.07</v>
      </c>
      <c r="E95" s="134">
        <v>6.26</v>
      </c>
      <c r="F95" s="134">
        <v>13.62</v>
      </c>
      <c r="G95" s="134">
        <v>69.48</v>
      </c>
      <c r="H95" s="134">
        <v>30.46</v>
      </c>
      <c r="I95" s="134">
        <v>5.29</v>
      </c>
      <c r="J95" s="134">
        <v>0.51</v>
      </c>
      <c r="K95" s="134">
        <v>59.87</v>
      </c>
      <c r="L95" s="134">
        <v>29.6</v>
      </c>
      <c r="M95" s="134">
        <v>53.68</v>
      </c>
      <c r="N95" s="134">
        <v>0</v>
      </c>
      <c r="O95" s="134">
        <v>0</v>
      </c>
      <c r="P95" s="134">
        <v>0.66</v>
      </c>
      <c r="Q95" s="134">
        <v>5.0599999999999996</v>
      </c>
    </row>
    <row r="96" spans="1:17" customFormat="1">
      <c r="A96" s="112" t="s">
        <v>709</v>
      </c>
      <c r="B96" s="134">
        <v>7.82</v>
      </c>
      <c r="C96" s="134">
        <v>60.01</v>
      </c>
      <c r="D96" s="134">
        <v>36.58</v>
      </c>
      <c r="E96" s="134">
        <v>6.87</v>
      </c>
      <c r="F96" s="134">
        <v>14.63</v>
      </c>
      <c r="G96" s="134">
        <v>69.48</v>
      </c>
      <c r="H96" s="134">
        <v>30.46</v>
      </c>
      <c r="I96" s="134">
        <v>5.27</v>
      </c>
      <c r="J96" s="134">
        <v>0.22</v>
      </c>
      <c r="K96" s="134">
        <v>126.69</v>
      </c>
      <c r="L96" s="134">
        <v>29.41</v>
      </c>
      <c r="M96" s="134">
        <v>54.54</v>
      </c>
      <c r="N96" s="134">
        <v>0</v>
      </c>
      <c r="O96" s="134">
        <v>0</v>
      </c>
      <c r="P96" s="134">
        <v>0.67</v>
      </c>
      <c r="Q96" s="134">
        <v>5.16</v>
      </c>
    </row>
    <row r="97" spans="1:22" customFormat="1">
      <c r="A97" s="112" t="s">
        <v>710</v>
      </c>
      <c r="B97" s="134">
        <v>7.82</v>
      </c>
      <c r="C97" s="134">
        <v>57.11</v>
      </c>
      <c r="D97" s="134">
        <v>35.06</v>
      </c>
      <c r="E97" s="134">
        <v>7.25</v>
      </c>
      <c r="F97" s="134">
        <v>12.16</v>
      </c>
      <c r="G97" s="134">
        <v>69.48</v>
      </c>
      <c r="H97" s="134">
        <v>30.46</v>
      </c>
      <c r="I97" s="134">
        <v>5.29</v>
      </c>
      <c r="J97" s="134">
        <v>0.16</v>
      </c>
      <c r="K97" s="134">
        <v>190.31</v>
      </c>
      <c r="L97" s="134">
        <v>29.03</v>
      </c>
      <c r="M97" s="134">
        <v>55.66</v>
      </c>
      <c r="N97" s="134">
        <v>0</v>
      </c>
      <c r="O97" s="134">
        <v>0</v>
      </c>
      <c r="P97" s="134">
        <v>0.66</v>
      </c>
      <c r="Q97" s="134">
        <v>5.1100000000000003</v>
      </c>
    </row>
    <row r="98" spans="1:22" customFormat="1">
      <c r="A98" s="112" t="s">
        <v>711</v>
      </c>
      <c r="B98" s="134">
        <v>7.28</v>
      </c>
      <c r="C98" s="134">
        <v>55.51</v>
      </c>
      <c r="D98" s="134">
        <v>33.79</v>
      </c>
      <c r="E98" s="134">
        <v>8.19</v>
      </c>
      <c r="F98" s="134">
        <v>23.04</v>
      </c>
      <c r="G98" s="134">
        <v>64.930000000000007</v>
      </c>
      <c r="H98" s="134">
        <v>28.3</v>
      </c>
      <c r="I98" s="134">
        <v>5.36</v>
      </c>
      <c r="J98" s="134">
        <v>0.13</v>
      </c>
      <c r="K98" s="134">
        <v>192.65</v>
      </c>
      <c r="L98" s="134">
        <v>29</v>
      </c>
      <c r="M98" s="134">
        <v>55.2</v>
      </c>
      <c r="N98" s="134">
        <v>0</v>
      </c>
      <c r="O98" s="134">
        <v>0</v>
      </c>
      <c r="P98" s="134">
        <v>0.63</v>
      </c>
      <c r="Q98" s="134">
        <v>5.2</v>
      </c>
    </row>
    <row r="99" spans="1:22" customFormat="1">
      <c r="A99" s="112" t="s">
        <v>712</v>
      </c>
      <c r="B99" s="134">
        <v>8.08</v>
      </c>
      <c r="C99" s="134">
        <v>57.62</v>
      </c>
      <c r="D99" s="134">
        <v>35.54</v>
      </c>
      <c r="E99" s="134">
        <v>6.46</v>
      </c>
      <c r="F99" s="134">
        <v>10.91</v>
      </c>
      <c r="G99" s="134">
        <v>58.41</v>
      </c>
      <c r="H99" s="134">
        <v>26.43</v>
      </c>
      <c r="I99" s="134">
        <v>5.25</v>
      </c>
      <c r="J99" s="134">
        <v>0.13</v>
      </c>
      <c r="K99" s="134">
        <v>121.27</v>
      </c>
      <c r="L99" s="134">
        <v>28.63</v>
      </c>
      <c r="M99" s="134">
        <v>57.06</v>
      </c>
      <c r="N99" s="134">
        <v>0</v>
      </c>
      <c r="O99" s="134">
        <v>0</v>
      </c>
      <c r="P99" s="134">
        <v>0.65</v>
      </c>
      <c r="Q99" s="134">
        <v>5.16</v>
      </c>
    </row>
    <row r="100" spans="1:22" customFormat="1">
      <c r="A100" s="112" t="s">
        <v>713</v>
      </c>
      <c r="B100" s="134">
        <v>7.99</v>
      </c>
      <c r="C100" s="134">
        <v>56.46</v>
      </c>
      <c r="D100" s="134">
        <v>34.86</v>
      </c>
      <c r="E100" s="134">
        <v>6.44</v>
      </c>
      <c r="F100" s="134">
        <v>18.86</v>
      </c>
      <c r="G100" s="134">
        <v>58.41</v>
      </c>
      <c r="H100" s="134">
        <v>26.43</v>
      </c>
      <c r="I100" s="134">
        <v>5.18</v>
      </c>
      <c r="J100" s="134">
        <v>0.17</v>
      </c>
      <c r="K100" s="134">
        <v>234.97</v>
      </c>
      <c r="L100" s="134">
        <v>28.52</v>
      </c>
      <c r="M100" s="134">
        <v>56.48</v>
      </c>
      <c r="N100" s="134">
        <v>0</v>
      </c>
      <c r="O100" s="134">
        <v>0</v>
      </c>
      <c r="P100" s="134">
        <v>0.63</v>
      </c>
      <c r="Q100" s="134">
        <v>5.25</v>
      </c>
    </row>
    <row r="101" spans="1:22" customFormat="1">
      <c r="A101" s="112" t="s">
        <v>714</v>
      </c>
      <c r="B101" s="134">
        <v>8.7100000000000009</v>
      </c>
      <c r="C101" s="134">
        <v>57.29</v>
      </c>
      <c r="D101" s="134">
        <v>35.869999999999997</v>
      </c>
      <c r="E101" s="134">
        <v>6.23</v>
      </c>
      <c r="F101" s="134">
        <v>9.36</v>
      </c>
      <c r="G101" s="134">
        <v>58.41</v>
      </c>
      <c r="H101" s="134">
        <v>26.43</v>
      </c>
      <c r="I101" s="134">
        <v>5.19</v>
      </c>
      <c r="J101" s="134">
        <v>0.16</v>
      </c>
      <c r="K101" s="134">
        <v>251.12</v>
      </c>
      <c r="L101" s="134">
        <v>28.27</v>
      </c>
      <c r="M101" s="134">
        <v>57.96</v>
      </c>
      <c r="N101" s="134">
        <v>0</v>
      </c>
      <c r="O101" s="134">
        <v>0</v>
      </c>
      <c r="P101" s="134">
        <v>0.65</v>
      </c>
      <c r="Q101" s="134">
        <v>5.15</v>
      </c>
    </row>
    <row r="102" spans="1:22" customFormat="1">
      <c r="A102" s="112" t="s">
        <v>715</v>
      </c>
      <c r="B102" s="134">
        <v>8.59</v>
      </c>
      <c r="C102" s="134">
        <v>56.11</v>
      </c>
      <c r="D102" s="134">
        <v>35.159999999999997</v>
      </c>
      <c r="E102" s="134">
        <v>6.21</v>
      </c>
      <c r="F102" s="134">
        <v>15.62</v>
      </c>
      <c r="G102" s="134">
        <v>54.25</v>
      </c>
      <c r="H102" s="134">
        <v>26.07</v>
      </c>
      <c r="I102" s="134">
        <v>5.15</v>
      </c>
      <c r="J102" s="134">
        <v>0.09</v>
      </c>
      <c r="K102" s="134">
        <v>193.87</v>
      </c>
      <c r="L102" s="134">
        <v>28.04</v>
      </c>
      <c r="M102" s="134">
        <v>59.3</v>
      </c>
      <c r="N102" s="134">
        <v>0</v>
      </c>
      <c r="O102" s="134">
        <v>0</v>
      </c>
      <c r="P102" s="134">
        <v>0.63</v>
      </c>
      <c r="Q102" s="134">
        <v>5.22</v>
      </c>
    </row>
    <row r="103" spans="1:22" customFormat="1">
      <c r="A103" s="112" t="s">
        <v>716</v>
      </c>
      <c r="B103" s="134">
        <v>9.51</v>
      </c>
      <c r="C103" s="134">
        <v>58.86</v>
      </c>
      <c r="D103" s="134">
        <v>37.33</v>
      </c>
      <c r="E103" s="134">
        <v>5.73</v>
      </c>
      <c r="F103" s="134">
        <v>10.01</v>
      </c>
      <c r="G103" s="134">
        <v>48.28</v>
      </c>
      <c r="H103" s="134">
        <v>25.75</v>
      </c>
      <c r="I103" s="134">
        <v>5.18</v>
      </c>
      <c r="J103" s="134">
        <v>0.11</v>
      </c>
      <c r="K103" s="134">
        <v>187.86</v>
      </c>
      <c r="L103" s="134">
        <v>28.08</v>
      </c>
      <c r="M103" s="134">
        <v>58.55</v>
      </c>
      <c r="N103" s="134">
        <v>0</v>
      </c>
      <c r="O103" s="134">
        <v>0</v>
      </c>
      <c r="P103" s="134">
        <v>0.65</v>
      </c>
      <c r="Q103" s="134">
        <v>5.23</v>
      </c>
    </row>
    <row r="104" spans="1:22" customFormat="1">
      <c r="A104" s="112" t="s">
        <v>717</v>
      </c>
      <c r="B104" s="134">
        <v>9.41</v>
      </c>
      <c r="C104" s="134">
        <v>56.24</v>
      </c>
      <c r="D104" s="134">
        <v>35.880000000000003</v>
      </c>
      <c r="E104" s="134">
        <v>6.06</v>
      </c>
      <c r="F104" s="134">
        <v>11.97</v>
      </c>
      <c r="G104" s="134">
        <v>48.28</v>
      </c>
      <c r="H104" s="134">
        <v>25.75</v>
      </c>
      <c r="I104" s="134">
        <v>5.3</v>
      </c>
      <c r="J104" s="134">
        <v>0.09</v>
      </c>
      <c r="K104" s="134">
        <v>159.5</v>
      </c>
      <c r="L104" s="134">
        <v>28.06</v>
      </c>
      <c r="M104" s="134">
        <v>59.06</v>
      </c>
      <c r="N104" s="134">
        <v>0</v>
      </c>
      <c r="O104" s="134">
        <v>0</v>
      </c>
      <c r="P104" s="134">
        <v>0.63</v>
      </c>
      <c r="Q104" s="134">
        <v>5.26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1.6</v>
      </c>
      <c r="C106" s="183">
        <f>MIN(C9:C104)</f>
        <v>39.08</v>
      </c>
      <c r="D106" s="183">
        <f t="shared" ref="D106:Q106" si="0">MIN(D9:D104)</f>
        <v>20.65</v>
      </c>
      <c r="E106" s="183">
        <f t="shared" si="0"/>
        <v>3.87</v>
      </c>
      <c r="F106" s="183">
        <f t="shared" si="0"/>
        <v>5.22</v>
      </c>
      <c r="G106" s="183">
        <f t="shared" si="0"/>
        <v>28.24</v>
      </c>
      <c r="H106" s="183">
        <f t="shared" si="0"/>
        <v>17.09</v>
      </c>
      <c r="I106" s="183">
        <f t="shared" si="0"/>
        <v>3.79</v>
      </c>
      <c r="J106" s="183">
        <f t="shared" si="0"/>
        <v>0.05</v>
      </c>
      <c r="K106" s="183">
        <f t="shared" si="0"/>
        <v>17.739999999999998</v>
      </c>
      <c r="L106" s="183">
        <f t="shared" si="0"/>
        <v>27.6</v>
      </c>
      <c r="M106" s="183">
        <f t="shared" si="0"/>
        <v>19.2</v>
      </c>
      <c r="N106" s="183">
        <f t="shared" si="0"/>
        <v>0</v>
      </c>
      <c r="O106" s="183">
        <f t="shared" si="0"/>
        <v>0</v>
      </c>
      <c r="P106" s="183">
        <f t="shared" si="0"/>
        <v>0.51</v>
      </c>
      <c r="Q106" s="183">
        <f t="shared" si="0"/>
        <v>4.5999999999999996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12.66</v>
      </c>
      <c r="C107" s="184">
        <f t="shared" ref="C107:Q107" si="1">MAX(C9:C104)</f>
        <v>61.57</v>
      </c>
      <c r="D107" s="184">
        <f t="shared" si="1"/>
        <v>40.97</v>
      </c>
      <c r="E107" s="184">
        <f t="shared" si="1"/>
        <v>37.130000000000003</v>
      </c>
      <c r="F107" s="184">
        <f t="shared" si="1"/>
        <v>83.25</v>
      </c>
      <c r="G107" s="184">
        <f t="shared" si="1"/>
        <v>185.57</v>
      </c>
      <c r="H107" s="184">
        <f t="shared" si="1"/>
        <v>54.8</v>
      </c>
      <c r="I107" s="184">
        <f t="shared" si="1"/>
        <v>6.91</v>
      </c>
      <c r="J107" s="184">
        <f t="shared" si="1"/>
        <v>2.4</v>
      </c>
      <c r="K107" s="184">
        <f t="shared" si="1"/>
        <v>353.12</v>
      </c>
      <c r="L107" s="184">
        <f t="shared" si="1"/>
        <v>41.87</v>
      </c>
      <c r="M107" s="184">
        <f t="shared" si="1"/>
        <v>59.3</v>
      </c>
      <c r="N107" s="184">
        <f t="shared" si="1"/>
        <v>727.3</v>
      </c>
      <c r="O107" s="184">
        <f t="shared" si="1"/>
        <v>0</v>
      </c>
      <c r="P107" s="184">
        <f t="shared" si="1"/>
        <v>0.9</v>
      </c>
      <c r="Q107" s="184">
        <f t="shared" si="1"/>
        <v>5.33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6.3853125000000022</v>
      </c>
      <c r="C108" s="183">
        <f t="shared" ref="C108:Q108" si="2">AVERAGE(C9:C104)</f>
        <v>51.809687499999995</v>
      </c>
      <c r="D108" s="183">
        <f t="shared" si="2"/>
        <v>31.144374999999997</v>
      </c>
      <c r="E108" s="183">
        <f t="shared" si="2"/>
        <v>13.124895833333335</v>
      </c>
      <c r="F108" s="183">
        <f t="shared" si="2"/>
        <v>26.023541666666663</v>
      </c>
      <c r="G108" s="183">
        <f t="shared" si="2"/>
        <v>64.477291666666687</v>
      </c>
      <c r="H108" s="183">
        <f t="shared" si="2"/>
        <v>34.496041666666656</v>
      </c>
      <c r="I108" s="183">
        <f t="shared" si="2"/>
        <v>5.2118750000000018</v>
      </c>
      <c r="J108" s="183">
        <f t="shared" si="2"/>
        <v>0.46270833333333328</v>
      </c>
      <c r="K108" s="183">
        <f t="shared" si="2"/>
        <v>184.44791666666674</v>
      </c>
      <c r="L108" s="183">
        <f t="shared" si="2"/>
        <v>32.712916666666679</v>
      </c>
      <c r="M108" s="183">
        <f t="shared" si="2"/>
        <v>42.869687499999998</v>
      </c>
      <c r="N108" s="183">
        <f t="shared" si="2"/>
        <v>143.57187500000001</v>
      </c>
      <c r="O108" s="183">
        <f t="shared" si="2"/>
        <v>0</v>
      </c>
      <c r="P108" s="183">
        <f t="shared" si="2"/>
        <v>0.6489583333333333</v>
      </c>
      <c r="Q108" s="183">
        <f t="shared" si="2"/>
        <v>4.981770833333333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3.3802136192616672</v>
      </c>
      <c r="C109" s="183">
        <f t="shared" ref="C109:Q109" si="3">STDEV(C9:C104)</f>
        <v>5.1647406727837017</v>
      </c>
      <c r="D109" s="183">
        <f t="shared" si="3"/>
        <v>5.1054457638259798</v>
      </c>
      <c r="E109" s="183">
        <f t="shared" si="3"/>
        <v>9.5592830599691929</v>
      </c>
      <c r="F109" s="183">
        <f t="shared" si="3"/>
        <v>18.292542396412859</v>
      </c>
      <c r="G109" s="183">
        <f t="shared" si="3"/>
        <v>34.612479267003827</v>
      </c>
      <c r="H109" s="183">
        <f t="shared" si="3"/>
        <v>13.024571554053777</v>
      </c>
      <c r="I109" s="183">
        <f t="shared" si="3"/>
        <v>0.88746274940356495</v>
      </c>
      <c r="J109" s="183">
        <f t="shared" si="3"/>
        <v>0.42283374651626687</v>
      </c>
      <c r="K109" s="183">
        <f t="shared" si="3"/>
        <v>99.909705581080686</v>
      </c>
      <c r="L109" s="183">
        <f t="shared" si="3"/>
        <v>4.3217350114012421</v>
      </c>
      <c r="M109" s="183">
        <f t="shared" si="3"/>
        <v>11.442791935089003</v>
      </c>
      <c r="N109" s="183">
        <f t="shared" si="3"/>
        <v>222.6350517175799</v>
      </c>
      <c r="O109" s="183">
        <f t="shared" si="3"/>
        <v>0</v>
      </c>
      <c r="P109" s="183">
        <f t="shared" si="3"/>
        <v>0.11079121347135974</v>
      </c>
      <c r="Q109" s="183">
        <f t="shared" si="3"/>
        <v>0.19483863656432002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06/06/2023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718</v>
      </c>
      <c r="B9" s="134">
        <v>10.57</v>
      </c>
      <c r="C9" s="134">
        <v>63.47</v>
      </c>
      <c r="D9" s="134">
        <v>40.590000000000003</v>
      </c>
      <c r="E9" s="134">
        <v>6.14</v>
      </c>
      <c r="F9" s="134">
        <v>8.77</v>
      </c>
      <c r="G9" s="134">
        <v>48.28</v>
      </c>
      <c r="H9" s="134">
        <v>25.75</v>
      </c>
      <c r="I9" s="134">
        <v>5.23</v>
      </c>
      <c r="J9" s="134">
        <v>0.12</v>
      </c>
      <c r="K9" s="134">
        <v>221.53</v>
      </c>
      <c r="L9" s="134">
        <v>27.87</v>
      </c>
      <c r="M9" s="134">
        <v>60.02</v>
      </c>
      <c r="N9" s="134">
        <v>0</v>
      </c>
      <c r="O9" s="134">
        <v>0</v>
      </c>
      <c r="P9" s="134">
        <v>0.65</v>
      </c>
      <c r="Q9" s="134">
        <v>5.31</v>
      </c>
    </row>
    <row r="10" spans="1:21" customFormat="1">
      <c r="A10" s="112" t="s">
        <v>719</v>
      </c>
      <c r="B10" s="134">
        <v>10.38</v>
      </c>
      <c r="C10" s="134">
        <v>56.67</v>
      </c>
      <c r="D10" s="134">
        <v>36.89</v>
      </c>
      <c r="E10" s="134">
        <v>5.55</v>
      </c>
      <c r="F10" s="134">
        <v>12.84</v>
      </c>
      <c r="G10" s="134">
        <v>49.62</v>
      </c>
      <c r="H10" s="134">
        <v>24.12</v>
      </c>
      <c r="I10" s="134">
        <v>5.25</v>
      </c>
      <c r="J10" s="134">
        <v>0.1</v>
      </c>
      <c r="K10" s="134">
        <v>197.28</v>
      </c>
      <c r="L10" s="134">
        <v>27.85</v>
      </c>
      <c r="M10" s="134">
        <v>59.23</v>
      </c>
      <c r="N10" s="134">
        <v>0</v>
      </c>
      <c r="O10" s="134">
        <v>0</v>
      </c>
      <c r="P10" s="134">
        <v>0.64</v>
      </c>
      <c r="Q10" s="134">
        <v>5.26</v>
      </c>
    </row>
    <row r="11" spans="1:21" customFormat="1">
      <c r="A11" s="112" t="s">
        <v>720</v>
      </c>
      <c r="B11" s="134">
        <v>10.95</v>
      </c>
      <c r="C11" s="134">
        <v>59.53</v>
      </c>
      <c r="D11" s="134">
        <v>38.840000000000003</v>
      </c>
      <c r="E11" s="134">
        <v>5.57</v>
      </c>
      <c r="F11" s="134">
        <v>10.84</v>
      </c>
      <c r="G11" s="134">
        <v>51.53</v>
      </c>
      <c r="H11" s="134">
        <v>22.71</v>
      </c>
      <c r="I11" s="134">
        <v>5.32</v>
      </c>
      <c r="J11" s="134">
        <v>0.13</v>
      </c>
      <c r="K11" s="134">
        <v>208.14</v>
      </c>
      <c r="L11" s="134">
        <v>27.9</v>
      </c>
      <c r="M11" s="134">
        <v>59.64</v>
      </c>
      <c r="N11" s="134">
        <v>0</v>
      </c>
      <c r="O11" s="134">
        <v>0</v>
      </c>
      <c r="P11" s="134">
        <v>0.65</v>
      </c>
      <c r="Q11" s="134">
        <v>5.33</v>
      </c>
    </row>
    <row r="12" spans="1:21" customFormat="1">
      <c r="A12" s="112" t="s">
        <v>721</v>
      </c>
      <c r="B12" s="134">
        <v>11.66</v>
      </c>
      <c r="C12" s="134">
        <v>60.1</v>
      </c>
      <c r="D12" s="134">
        <v>39.71</v>
      </c>
      <c r="E12" s="134">
        <v>5.59</v>
      </c>
      <c r="F12" s="134">
        <v>8.32</v>
      </c>
      <c r="G12" s="134">
        <v>51.53</v>
      </c>
      <c r="H12" s="134">
        <v>22.71</v>
      </c>
      <c r="I12" s="134">
        <v>5.22</v>
      </c>
      <c r="J12" s="134">
        <v>7.0000000000000007E-2</v>
      </c>
      <c r="K12" s="134">
        <v>156.78</v>
      </c>
      <c r="L12" s="134">
        <v>27.81</v>
      </c>
      <c r="M12" s="134">
        <v>60.57</v>
      </c>
      <c r="N12" s="134">
        <v>0</v>
      </c>
      <c r="O12" s="134">
        <v>0</v>
      </c>
      <c r="P12" s="134">
        <v>0.65</v>
      </c>
      <c r="Q12" s="134">
        <v>5.32</v>
      </c>
    </row>
    <row r="13" spans="1:21" customFormat="1">
      <c r="A13" s="112" t="s">
        <v>722</v>
      </c>
      <c r="B13" s="134">
        <v>11.82</v>
      </c>
      <c r="C13" s="134">
        <v>57.76</v>
      </c>
      <c r="D13" s="134">
        <v>38.61</v>
      </c>
      <c r="E13" s="134">
        <v>5.26</v>
      </c>
      <c r="F13" s="134">
        <v>8.5</v>
      </c>
      <c r="G13" s="134">
        <v>51.53</v>
      </c>
      <c r="H13" s="134">
        <v>22.71</v>
      </c>
      <c r="I13" s="134">
        <v>5.43</v>
      </c>
      <c r="J13" s="134">
        <v>0.06</v>
      </c>
      <c r="K13" s="134">
        <v>143.86000000000001</v>
      </c>
      <c r="L13" s="134">
        <v>27.61</v>
      </c>
      <c r="M13" s="134">
        <v>62.11</v>
      </c>
      <c r="N13" s="134">
        <v>0</v>
      </c>
      <c r="O13" s="134">
        <v>0</v>
      </c>
      <c r="P13" s="134">
        <v>0.64</v>
      </c>
      <c r="Q13" s="134">
        <v>5.25</v>
      </c>
    </row>
    <row r="14" spans="1:21" customFormat="1">
      <c r="A14" s="112" t="s">
        <v>723</v>
      </c>
      <c r="B14" s="134">
        <v>11.72</v>
      </c>
      <c r="C14" s="134">
        <v>58.16</v>
      </c>
      <c r="D14" s="134">
        <v>38.74</v>
      </c>
      <c r="E14" s="134">
        <v>5.71</v>
      </c>
      <c r="F14" s="134">
        <v>11.42</v>
      </c>
      <c r="G14" s="134">
        <v>48.58</v>
      </c>
      <c r="H14" s="134">
        <v>22.77</v>
      </c>
      <c r="I14" s="134">
        <v>5.41</v>
      </c>
      <c r="J14" s="134">
        <v>0.14000000000000001</v>
      </c>
      <c r="K14" s="134">
        <v>243</v>
      </c>
      <c r="L14" s="134">
        <v>27.49</v>
      </c>
      <c r="M14" s="134">
        <v>62.26</v>
      </c>
      <c r="N14" s="134">
        <v>0</v>
      </c>
      <c r="O14" s="134">
        <v>0</v>
      </c>
      <c r="P14" s="134">
        <v>0.64</v>
      </c>
      <c r="Q14" s="134">
        <v>5.33</v>
      </c>
    </row>
    <row r="15" spans="1:21" customFormat="1">
      <c r="A15" s="112" t="s">
        <v>724</v>
      </c>
      <c r="B15" s="134">
        <v>12.46</v>
      </c>
      <c r="C15" s="134">
        <v>60.21</v>
      </c>
      <c r="D15" s="134">
        <v>40.4</v>
      </c>
      <c r="E15" s="134">
        <v>6.07</v>
      </c>
      <c r="F15" s="134">
        <v>7.11</v>
      </c>
      <c r="G15" s="134">
        <v>44.15</v>
      </c>
      <c r="H15" s="134">
        <v>22.91</v>
      </c>
      <c r="I15" s="134">
        <v>5.4</v>
      </c>
      <c r="J15" s="134">
        <v>0.13</v>
      </c>
      <c r="K15" s="134">
        <v>230.92</v>
      </c>
      <c r="L15" s="134">
        <v>27.33</v>
      </c>
      <c r="M15" s="134">
        <v>62.78</v>
      </c>
      <c r="N15" s="134">
        <v>0</v>
      </c>
      <c r="O15" s="134">
        <v>0</v>
      </c>
      <c r="P15" s="134">
        <v>0.65</v>
      </c>
      <c r="Q15" s="134">
        <v>5.35</v>
      </c>
    </row>
    <row r="16" spans="1:21" customFormat="1">
      <c r="A16" s="112" t="s">
        <v>725</v>
      </c>
      <c r="B16" s="134">
        <v>12.52</v>
      </c>
      <c r="C16" s="134">
        <v>57.4</v>
      </c>
      <c r="D16" s="134">
        <v>38.99</v>
      </c>
      <c r="E16" s="134">
        <v>5.9</v>
      </c>
      <c r="F16" s="134">
        <v>10.29</v>
      </c>
      <c r="G16" s="134">
        <v>44.15</v>
      </c>
      <c r="H16" s="134">
        <v>22.91</v>
      </c>
      <c r="I16" s="134">
        <v>5.47</v>
      </c>
      <c r="J16" s="134">
        <v>0.13</v>
      </c>
      <c r="K16" s="134">
        <v>177.88</v>
      </c>
      <c r="L16" s="134">
        <v>27.17</v>
      </c>
      <c r="M16" s="134">
        <v>63.29</v>
      </c>
      <c r="N16" s="134">
        <v>0</v>
      </c>
      <c r="O16" s="134">
        <v>0</v>
      </c>
      <c r="P16" s="134">
        <v>0.62</v>
      </c>
      <c r="Q16" s="134">
        <v>5.33</v>
      </c>
    </row>
    <row r="17" spans="1:17" customFormat="1">
      <c r="A17" s="112" t="s">
        <v>726</v>
      </c>
      <c r="B17" s="134">
        <v>13.53</v>
      </c>
      <c r="C17" s="134">
        <v>62.27</v>
      </c>
      <c r="D17" s="134">
        <v>42.33</v>
      </c>
      <c r="E17" s="134">
        <v>5.26</v>
      </c>
      <c r="F17" s="134">
        <v>5.18</v>
      </c>
      <c r="G17" s="134">
        <v>44.15</v>
      </c>
      <c r="H17" s="134">
        <v>22.91</v>
      </c>
      <c r="I17" s="134">
        <v>5.36</v>
      </c>
      <c r="J17" s="134">
        <v>0.13</v>
      </c>
      <c r="K17" s="134">
        <v>209.6</v>
      </c>
      <c r="L17" s="134">
        <v>27.01</v>
      </c>
      <c r="M17" s="134">
        <v>64.78</v>
      </c>
      <c r="N17" s="134">
        <v>0</v>
      </c>
      <c r="O17" s="134">
        <v>0</v>
      </c>
      <c r="P17" s="134">
        <v>0.64</v>
      </c>
      <c r="Q17" s="134">
        <v>5.37</v>
      </c>
    </row>
    <row r="18" spans="1:17" customFormat="1">
      <c r="A18" s="112" t="s">
        <v>727</v>
      </c>
      <c r="B18" s="134">
        <v>13.83</v>
      </c>
      <c r="C18" s="134">
        <v>61.08</v>
      </c>
      <c r="D18" s="134">
        <v>41.96</v>
      </c>
      <c r="E18" s="134">
        <v>5.71</v>
      </c>
      <c r="F18" s="134">
        <v>6.38</v>
      </c>
      <c r="G18" s="134">
        <v>40.450000000000003</v>
      </c>
      <c r="H18" s="134">
        <v>21.99</v>
      </c>
      <c r="I18" s="134">
        <v>5.4</v>
      </c>
      <c r="J18" s="134">
        <v>0.11</v>
      </c>
      <c r="K18" s="134">
        <v>230.81</v>
      </c>
      <c r="L18" s="134">
        <v>26.78</v>
      </c>
      <c r="M18" s="134">
        <v>65.34</v>
      </c>
      <c r="N18" s="134">
        <v>0</v>
      </c>
      <c r="O18" s="134">
        <v>0</v>
      </c>
      <c r="P18" s="134">
        <v>0.64</v>
      </c>
      <c r="Q18" s="134">
        <v>5.35</v>
      </c>
    </row>
    <row r="19" spans="1:17" customFormat="1">
      <c r="A19" s="112" t="s">
        <v>728</v>
      </c>
      <c r="B19" s="134">
        <v>13.62</v>
      </c>
      <c r="C19" s="134">
        <v>59.15</v>
      </c>
      <c r="D19" s="134">
        <v>40.78</v>
      </c>
      <c r="E19" s="134">
        <v>6.2</v>
      </c>
      <c r="F19" s="134">
        <v>9.64</v>
      </c>
      <c r="G19" s="134">
        <v>34.89</v>
      </c>
      <c r="H19" s="134">
        <v>21.21</v>
      </c>
      <c r="I19" s="134">
        <v>5.52</v>
      </c>
      <c r="J19" s="134">
        <v>0.15</v>
      </c>
      <c r="K19" s="134">
        <v>238.73</v>
      </c>
      <c r="L19" s="134">
        <v>26.83</v>
      </c>
      <c r="M19" s="134">
        <v>64.92</v>
      </c>
      <c r="N19" s="134">
        <v>0</v>
      </c>
      <c r="O19" s="134">
        <v>0</v>
      </c>
      <c r="P19" s="134">
        <v>0.63</v>
      </c>
      <c r="Q19" s="134">
        <v>5.41</v>
      </c>
    </row>
    <row r="20" spans="1:17" customFormat="1">
      <c r="A20" s="112" t="s">
        <v>729</v>
      </c>
      <c r="B20" s="134">
        <v>14.52</v>
      </c>
      <c r="C20" s="134">
        <v>62.81</v>
      </c>
      <c r="D20" s="134">
        <v>43.42</v>
      </c>
      <c r="E20" s="134">
        <v>6.4</v>
      </c>
      <c r="F20" s="134">
        <v>5.14</v>
      </c>
      <c r="G20" s="134">
        <v>34.89</v>
      </c>
      <c r="H20" s="134">
        <v>21.21</v>
      </c>
      <c r="I20" s="134">
        <v>5.41</v>
      </c>
      <c r="J20" s="134">
        <v>0.15</v>
      </c>
      <c r="K20" s="134">
        <v>204.37</v>
      </c>
      <c r="L20" s="134">
        <v>26.91</v>
      </c>
      <c r="M20" s="134">
        <v>64.91</v>
      </c>
      <c r="N20" s="134">
        <v>0</v>
      </c>
      <c r="O20" s="134">
        <v>0</v>
      </c>
      <c r="P20" s="134">
        <v>0.65</v>
      </c>
      <c r="Q20" s="134">
        <v>5.39</v>
      </c>
    </row>
    <row r="21" spans="1:17" customFormat="1">
      <c r="A21" s="112" t="s">
        <v>730</v>
      </c>
      <c r="B21" s="134">
        <v>14.91</v>
      </c>
      <c r="C21" s="134">
        <v>60.45</v>
      </c>
      <c r="D21" s="134">
        <v>42.49</v>
      </c>
      <c r="E21" s="134">
        <v>6.01</v>
      </c>
      <c r="F21" s="134">
        <v>5.77</v>
      </c>
      <c r="G21" s="134">
        <v>34.89</v>
      </c>
      <c r="H21" s="134">
        <v>21.21</v>
      </c>
      <c r="I21" s="134">
        <v>5.45</v>
      </c>
      <c r="J21" s="134">
        <v>0.11</v>
      </c>
      <c r="K21" s="134">
        <v>224.27</v>
      </c>
      <c r="L21" s="134">
        <v>26.55</v>
      </c>
      <c r="M21" s="134">
        <v>66.989999999999995</v>
      </c>
      <c r="N21" s="134">
        <v>0</v>
      </c>
      <c r="O21" s="134">
        <v>0</v>
      </c>
      <c r="P21" s="134">
        <v>0.63</v>
      </c>
      <c r="Q21" s="134">
        <v>5.41</v>
      </c>
    </row>
    <row r="22" spans="1:17" customFormat="1">
      <c r="A22" s="112" t="s">
        <v>731</v>
      </c>
      <c r="B22" s="134">
        <v>15.87</v>
      </c>
      <c r="C22" s="134">
        <v>63.91</v>
      </c>
      <c r="D22" s="134">
        <v>45.08</v>
      </c>
      <c r="E22" s="134">
        <v>6.09</v>
      </c>
      <c r="F22" s="134">
        <v>4.41</v>
      </c>
      <c r="G22" s="134">
        <v>35.69</v>
      </c>
      <c r="H22" s="134">
        <v>21.69</v>
      </c>
      <c r="I22" s="134">
        <v>5.48</v>
      </c>
      <c r="J22" s="134">
        <v>0.14000000000000001</v>
      </c>
      <c r="K22" s="134">
        <v>188.9</v>
      </c>
      <c r="L22" s="134">
        <v>26.49</v>
      </c>
      <c r="M22" s="134">
        <v>68.040000000000006</v>
      </c>
      <c r="N22" s="134">
        <v>0</v>
      </c>
      <c r="O22" s="134">
        <v>0</v>
      </c>
      <c r="P22" s="134">
        <v>0.64</v>
      </c>
      <c r="Q22" s="134">
        <v>5.48</v>
      </c>
    </row>
    <row r="23" spans="1:17" customFormat="1">
      <c r="A23" s="112" t="s">
        <v>732</v>
      </c>
      <c r="B23" s="134">
        <v>16.54</v>
      </c>
      <c r="C23" s="134">
        <v>63.76</v>
      </c>
      <c r="D23" s="134">
        <v>45.53</v>
      </c>
      <c r="E23" s="134">
        <v>6.15</v>
      </c>
      <c r="F23" s="134">
        <v>4.41</v>
      </c>
      <c r="G23" s="134">
        <v>36.83</v>
      </c>
      <c r="H23" s="134">
        <v>22.1</v>
      </c>
      <c r="I23" s="134">
        <v>5.52</v>
      </c>
      <c r="J23" s="134">
        <v>0.09</v>
      </c>
      <c r="K23" s="134">
        <v>216.54</v>
      </c>
      <c r="L23" s="134">
        <v>26.34</v>
      </c>
      <c r="M23" s="134">
        <v>67.91</v>
      </c>
      <c r="N23" s="134">
        <v>0</v>
      </c>
      <c r="O23" s="134">
        <v>0</v>
      </c>
      <c r="P23" s="134">
        <v>0.65</v>
      </c>
      <c r="Q23" s="134">
        <v>5.49</v>
      </c>
    </row>
    <row r="24" spans="1:17" customFormat="1">
      <c r="A24" s="112" t="s">
        <v>733</v>
      </c>
      <c r="B24" s="134">
        <v>16.68</v>
      </c>
      <c r="C24" s="134">
        <v>62.35</v>
      </c>
      <c r="D24" s="134">
        <v>44.91</v>
      </c>
      <c r="E24" s="134">
        <v>6.79</v>
      </c>
      <c r="F24" s="134">
        <v>5.59</v>
      </c>
      <c r="G24" s="134">
        <v>36.83</v>
      </c>
      <c r="H24" s="134">
        <v>22.1</v>
      </c>
      <c r="I24" s="134">
        <v>5.62</v>
      </c>
      <c r="J24" s="134">
        <v>0.21</v>
      </c>
      <c r="K24" s="134">
        <v>97.56</v>
      </c>
      <c r="L24" s="134">
        <v>26.57</v>
      </c>
      <c r="M24" s="134">
        <v>66.62</v>
      </c>
      <c r="N24" s="134">
        <v>0</v>
      </c>
      <c r="O24" s="134">
        <v>0</v>
      </c>
      <c r="P24" s="134">
        <v>0.64</v>
      </c>
      <c r="Q24" s="134">
        <v>5.51</v>
      </c>
    </row>
    <row r="25" spans="1:17" customFormat="1">
      <c r="A25" s="112" t="s">
        <v>734</v>
      </c>
      <c r="B25" s="134">
        <v>17.27</v>
      </c>
      <c r="C25" s="134">
        <v>63.38</v>
      </c>
      <c r="D25" s="134">
        <v>45.92</v>
      </c>
      <c r="E25" s="134">
        <v>6.02</v>
      </c>
      <c r="F25" s="134">
        <v>4.59</v>
      </c>
      <c r="G25" s="134">
        <v>36.83</v>
      </c>
      <c r="H25" s="134">
        <v>22.1</v>
      </c>
      <c r="I25" s="134">
        <v>5.56</v>
      </c>
      <c r="J25" s="134">
        <v>0.09</v>
      </c>
      <c r="K25" s="134">
        <v>155.46</v>
      </c>
      <c r="L25" s="134">
        <v>26.66</v>
      </c>
      <c r="M25" s="134">
        <v>66.510000000000005</v>
      </c>
      <c r="N25" s="134">
        <v>0</v>
      </c>
      <c r="O25" s="134">
        <v>0</v>
      </c>
      <c r="P25" s="134">
        <v>0.64</v>
      </c>
      <c r="Q25" s="134">
        <v>5.59</v>
      </c>
    </row>
    <row r="26" spans="1:17" customFormat="1">
      <c r="A26" s="112" t="s">
        <v>735</v>
      </c>
      <c r="B26" s="134">
        <v>17.63</v>
      </c>
      <c r="C26" s="134">
        <v>63.69</v>
      </c>
      <c r="D26" s="134">
        <v>46.37</v>
      </c>
      <c r="E26" s="134">
        <v>5.43</v>
      </c>
      <c r="F26" s="134">
        <v>4.59</v>
      </c>
      <c r="G26" s="134">
        <v>40.29</v>
      </c>
      <c r="H26" s="134">
        <v>20.329999999999998</v>
      </c>
      <c r="I26" s="134">
        <v>5.55</v>
      </c>
      <c r="J26" s="134">
        <v>0.11</v>
      </c>
      <c r="K26" s="134">
        <v>227.5</v>
      </c>
      <c r="L26" s="134">
        <v>26.57</v>
      </c>
      <c r="M26" s="134">
        <v>67.02</v>
      </c>
      <c r="N26" s="134">
        <v>0</v>
      </c>
      <c r="O26" s="134">
        <v>0</v>
      </c>
      <c r="P26" s="134">
        <v>0.65</v>
      </c>
      <c r="Q26" s="134">
        <v>5.63</v>
      </c>
    </row>
    <row r="27" spans="1:17" customFormat="1">
      <c r="A27" s="112" t="s">
        <v>736</v>
      </c>
      <c r="B27" s="134">
        <v>18.420000000000002</v>
      </c>
      <c r="C27" s="134">
        <v>64.16</v>
      </c>
      <c r="D27" s="134">
        <v>47.25</v>
      </c>
      <c r="E27" s="134">
        <v>5.5</v>
      </c>
      <c r="F27" s="134">
        <v>4.71</v>
      </c>
      <c r="G27" s="134">
        <v>45.49</v>
      </c>
      <c r="H27" s="134">
        <v>18.8</v>
      </c>
      <c r="I27" s="134">
        <v>5.6</v>
      </c>
      <c r="J27" s="134">
        <v>0.15</v>
      </c>
      <c r="K27" s="134">
        <v>246.51</v>
      </c>
      <c r="L27" s="134">
        <v>26.36</v>
      </c>
      <c r="M27" s="134">
        <v>68.16</v>
      </c>
      <c r="N27" s="134">
        <v>0</v>
      </c>
      <c r="O27" s="134">
        <v>0</v>
      </c>
      <c r="P27" s="134">
        <v>0.65</v>
      </c>
      <c r="Q27" s="134">
        <v>5.65</v>
      </c>
    </row>
    <row r="28" spans="1:17" customFormat="1">
      <c r="A28" s="112" t="s">
        <v>737</v>
      </c>
      <c r="B28" s="134">
        <v>21.77</v>
      </c>
      <c r="C28" s="134">
        <v>63.73</v>
      </c>
      <c r="D28" s="134">
        <v>49.71</v>
      </c>
      <c r="E28" s="134">
        <v>5.53</v>
      </c>
      <c r="F28" s="134">
        <v>4.01</v>
      </c>
      <c r="G28" s="134">
        <v>45.49</v>
      </c>
      <c r="H28" s="134">
        <v>18.8</v>
      </c>
      <c r="I28" s="134">
        <v>5.57</v>
      </c>
      <c r="J28" s="134">
        <v>0.08</v>
      </c>
      <c r="K28" s="134">
        <v>238.34</v>
      </c>
      <c r="L28" s="134">
        <v>26.39</v>
      </c>
      <c r="M28" s="134">
        <v>68.3</v>
      </c>
      <c r="N28" s="134">
        <v>0</v>
      </c>
      <c r="O28" s="134">
        <v>0</v>
      </c>
      <c r="P28" s="134">
        <v>0.65</v>
      </c>
      <c r="Q28" s="134">
        <v>5.7</v>
      </c>
    </row>
    <row r="29" spans="1:17" customFormat="1">
      <c r="A29" s="112" t="s">
        <v>738</v>
      </c>
      <c r="B29" s="134">
        <v>22.91</v>
      </c>
      <c r="C29" s="134">
        <v>66.069999999999993</v>
      </c>
      <c r="D29" s="134">
        <v>51.85</v>
      </c>
      <c r="E29" s="134">
        <v>5.62</v>
      </c>
      <c r="F29" s="134">
        <v>3.64</v>
      </c>
      <c r="G29" s="134">
        <v>45.49</v>
      </c>
      <c r="H29" s="134">
        <v>18.8</v>
      </c>
      <c r="I29" s="134">
        <v>5.53</v>
      </c>
      <c r="J29" s="134">
        <v>0.09</v>
      </c>
      <c r="K29" s="134">
        <v>104.21</v>
      </c>
      <c r="L29" s="134">
        <v>26.59</v>
      </c>
      <c r="M29" s="134">
        <v>66.86</v>
      </c>
      <c r="N29" s="134">
        <v>0</v>
      </c>
      <c r="O29" s="134">
        <v>0</v>
      </c>
      <c r="P29" s="134">
        <v>0.66</v>
      </c>
      <c r="Q29" s="134">
        <v>5.82</v>
      </c>
    </row>
    <row r="30" spans="1:17" customFormat="1">
      <c r="A30" s="112" t="s">
        <v>739</v>
      </c>
      <c r="B30" s="134">
        <v>24.37</v>
      </c>
      <c r="C30" s="134">
        <v>65.680000000000007</v>
      </c>
      <c r="D30" s="134">
        <v>52.81</v>
      </c>
      <c r="E30" s="134">
        <v>5.74</v>
      </c>
      <c r="F30" s="134">
        <v>3.94</v>
      </c>
      <c r="G30" s="134">
        <v>50.89</v>
      </c>
      <c r="H30" s="134">
        <v>19.79</v>
      </c>
      <c r="I30" s="134">
        <v>5.62</v>
      </c>
      <c r="J30" s="134">
        <v>0.16</v>
      </c>
      <c r="K30" s="134">
        <v>127.31</v>
      </c>
      <c r="L30" s="134">
        <v>26.8</v>
      </c>
      <c r="M30" s="134">
        <v>66.900000000000006</v>
      </c>
      <c r="N30" s="134">
        <v>0.6</v>
      </c>
      <c r="O30" s="134">
        <v>0</v>
      </c>
      <c r="P30" s="134">
        <v>0.65</v>
      </c>
      <c r="Q30" s="134">
        <v>5.91</v>
      </c>
    </row>
    <row r="31" spans="1:17" customFormat="1">
      <c r="A31" s="112" t="s">
        <v>740</v>
      </c>
      <c r="B31" s="134">
        <v>25.38</v>
      </c>
      <c r="C31" s="134">
        <v>69.75</v>
      </c>
      <c r="D31" s="134">
        <v>55.75</v>
      </c>
      <c r="E31" s="134">
        <v>6.16</v>
      </c>
      <c r="F31" s="134">
        <v>3.45</v>
      </c>
      <c r="G31" s="134">
        <v>59.01</v>
      </c>
      <c r="H31" s="134">
        <v>20.64</v>
      </c>
      <c r="I31" s="134">
        <v>5.65</v>
      </c>
      <c r="J31" s="134">
        <v>0.13</v>
      </c>
      <c r="K31" s="134">
        <v>130.13</v>
      </c>
      <c r="L31" s="134">
        <v>26.81</v>
      </c>
      <c r="M31" s="134">
        <v>67.86</v>
      </c>
      <c r="N31" s="134">
        <v>9.4</v>
      </c>
      <c r="O31" s="134">
        <v>0</v>
      </c>
      <c r="P31" s="134">
        <v>0.67</v>
      </c>
      <c r="Q31" s="134">
        <v>6.06</v>
      </c>
    </row>
    <row r="32" spans="1:17" customFormat="1">
      <c r="A32" s="112" t="s">
        <v>741</v>
      </c>
      <c r="B32" s="134">
        <v>26.18</v>
      </c>
      <c r="C32" s="134">
        <v>66.31</v>
      </c>
      <c r="D32" s="134">
        <v>54.59</v>
      </c>
      <c r="E32" s="134">
        <v>5.37</v>
      </c>
      <c r="F32" s="134">
        <v>4.1100000000000003</v>
      </c>
      <c r="G32" s="134">
        <v>59.01</v>
      </c>
      <c r="H32" s="134">
        <v>20.64</v>
      </c>
      <c r="I32" s="134">
        <v>5.67</v>
      </c>
      <c r="J32" s="134">
        <v>0.15</v>
      </c>
      <c r="K32" s="134">
        <v>107</v>
      </c>
      <c r="L32" s="134">
        <v>26.84</v>
      </c>
      <c r="M32" s="134">
        <v>68.39</v>
      </c>
      <c r="N32" s="134">
        <v>21.4</v>
      </c>
      <c r="O32" s="134">
        <v>0</v>
      </c>
      <c r="P32" s="134">
        <v>0.67</v>
      </c>
      <c r="Q32" s="134">
        <v>6.05</v>
      </c>
    </row>
    <row r="33" spans="1:17" customFormat="1">
      <c r="A33" s="112" t="s">
        <v>742</v>
      </c>
      <c r="B33" s="134">
        <v>26.37</v>
      </c>
      <c r="C33" s="134">
        <v>66.459999999999994</v>
      </c>
      <c r="D33" s="134">
        <v>54.83</v>
      </c>
      <c r="E33" s="134">
        <v>5.66</v>
      </c>
      <c r="F33" s="134">
        <v>4.7</v>
      </c>
      <c r="G33" s="134">
        <v>59.01</v>
      </c>
      <c r="H33" s="134">
        <v>20.64</v>
      </c>
      <c r="I33" s="134">
        <v>5.77</v>
      </c>
      <c r="J33" s="134">
        <v>0.3</v>
      </c>
      <c r="K33" s="134">
        <v>37.770000000000003</v>
      </c>
      <c r="L33" s="134">
        <v>27.49</v>
      </c>
      <c r="M33" s="134">
        <v>64.58</v>
      </c>
      <c r="N33" s="134">
        <v>33.799999999999997</v>
      </c>
      <c r="O33" s="134">
        <v>0</v>
      </c>
      <c r="P33" s="134">
        <v>0.69</v>
      </c>
      <c r="Q33" s="134">
        <v>6.11</v>
      </c>
    </row>
    <row r="34" spans="1:17" customFormat="1">
      <c r="A34" s="112" t="s">
        <v>743</v>
      </c>
      <c r="B34" s="134">
        <v>26.43</v>
      </c>
      <c r="C34" s="134">
        <v>63.21</v>
      </c>
      <c r="D34" s="134">
        <v>53.17</v>
      </c>
      <c r="E34" s="134">
        <v>5.7</v>
      </c>
      <c r="F34" s="134">
        <v>5.56</v>
      </c>
      <c r="G34" s="134">
        <v>64.52</v>
      </c>
      <c r="H34" s="134">
        <v>23.03</v>
      </c>
      <c r="I34" s="134">
        <v>6.04</v>
      </c>
      <c r="J34" s="134">
        <v>0.42</v>
      </c>
      <c r="K34" s="134">
        <v>53.09</v>
      </c>
      <c r="L34" s="134">
        <v>27.91</v>
      </c>
      <c r="M34" s="134">
        <v>63.99</v>
      </c>
      <c r="N34" s="134">
        <v>57.1</v>
      </c>
      <c r="O34" s="134">
        <v>0</v>
      </c>
      <c r="P34" s="134">
        <v>0.69</v>
      </c>
      <c r="Q34" s="134">
        <v>6.08</v>
      </c>
    </row>
    <row r="35" spans="1:17" customFormat="1">
      <c r="A35" s="112" t="s">
        <v>744</v>
      </c>
      <c r="B35" s="134">
        <v>26.87</v>
      </c>
      <c r="C35" s="134">
        <v>64.67</v>
      </c>
      <c r="D35" s="134">
        <v>54.29</v>
      </c>
      <c r="E35" s="134">
        <v>6.19</v>
      </c>
      <c r="F35" s="134">
        <v>6.6</v>
      </c>
      <c r="G35" s="134">
        <v>72.42</v>
      </c>
      <c r="H35" s="134">
        <v>25.08</v>
      </c>
      <c r="I35" s="134">
        <v>6.41</v>
      </c>
      <c r="J35" s="134">
        <v>0.52</v>
      </c>
      <c r="K35" s="134">
        <v>50</v>
      </c>
      <c r="L35" s="134">
        <v>28.38</v>
      </c>
      <c r="M35" s="134">
        <v>62.32</v>
      </c>
      <c r="N35" s="134">
        <v>59.8</v>
      </c>
      <c r="O35" s="134">
        <v>0</v>
      </c>
      <c r="P35" s="134">
        <v>0.71</v>
      </c>
      <c r="Q35" s="134">
        <v>6.2</v>
      </c>
    </row>
    <row r="36" spans="1:17" customFormat="1">
      <c r="A36" s="112" t="s">
        <v>745</v>
      </c>
      <c r="B36" s="134">
        <v>26.33</v>
      </c>
      <c r="C36" s="134">
        <v>62.28</v>
      </c>
      <c r="D36" s="134">
        <v>52.61</v>
      </c>
      <c r="E36" s="134">
        <v>5.91</v>
      </c>
      <c r="F36" s="134">
        <v>7.64</v>
      </c>
      <c r="G36" s="134">
        <v>72.42</v>
      </c>
      <c r="H36" s="134">
        <v>25.08</v>
      </c>
      <c r="I36" s="134">
        <v>6.39</v>
      </c>
      <c r="J36" s="134">
        <v>0.38</v>
      </c>
      <c r="K36" s="134">
        <v>48.85</v>
      </c>
      <c r="L36" s="134">
        <v>29.28</v>
      </c>
      <c r="M36" s="134">
        <v>58.92</v>
      </c>
      <c r="N36" s="134">
        <v>69.2</v>
      </c>
      <c r="O36" s="134">
        <v>0</v>
      </c>
      <c r="P36" s="134">
        <v>0.71</v>
      </c>
      <c r="Q36" s="134">
        <v>6.13</v>
      </c>
    </row>
    <row r="37" spans="1:17" customFormat="1">
      <c r="A37" s="112" t="s">
        <v>746</v>
      </c>
      <c r="B37" s="134">
        <v>25.17</v>
      </c>
      <c r="C37" s="134">
        <v>61.74</v>
      </c>
      <c r="D37" s="134">
        <v>51.39</v>
      </c>
      <c r="E37" s="134">
        <v>5.65</v>
      </c>
      <c r="F37" s="134">
        <v>12.09</v>
      </c>
      <c r="G37" s="134">
        <v>72.42</v>
      </c>
      <c r="H37" s="134">
        <v>25.08</v>
      </c>
      <c r="I37" s="134">
        <v>6.4</v>
      </c>
      <c r="J37" s="134">
        <v>0.38</v>
      </c>
      <c r="K37" s="134">
        <v>65.95</v>
      </c>
      <c r="L37" s="134">
        <v>30.34</v>
      </c>
      <c r="M37" s="134">
        <v>53.77</v>
      </c>
      <c r="N37" s="134">
        <v>79.599999999999994</v>
      </c>
      <c r="O37" s="134">
        <v>0</v>
      </c>
      <c r="P37" s="134">
        <v>0.71</v>
      </c>
      <c r="Q37" s="134">
        <v>6.22</v>
      </c>
    </row>
    <row r="38" spans="1:17" customFormat="1">
      <c r="A38" s="112" t="s">
        <v>747</v>
      </c>
      <c r="B38" s="134">
        <v>25.4</v>
      </c>
      <c r="C38" s="134">
        <v>60.99</v>
      </c>
      <c r="D38" s="134">
        <v>51.19</v>
      </c>
      <c r="E38" s="134">
        <v>5.94</v>
      </c>
      <c r="F38" s="134">
        <v>8.83</v>
      </c>
      <c r="G38" s="134">
        <v>73.569999999999993</v>
      </c>
      <c r="H38" s="134">
        <v>25.71</v>
      </c>
      <c r="I38" s="134">
        <v>6.45</v>
      </c>
      <c r="J38" s="134">
        <v>0.31</v>
      </c>
      <c r="K38" s="134">
        <v>64.55</v>
      </c>
      <c r="L38" s="134">
        <v>31.12</v>
      </c>
      <c r="M38" s="134">
        <v>52.09</v>
      </c>
      <c r="N38" s="134">
        <v>86.4</v>
      </c>
      <c r="O38" s="134">
        <v>0</v>
      </c>
      <c r="P38" s="134">
        <v>0.7</v>
      </c>
      <c r="Q38" s="134">
        <v>6.1</v>
      </c>
    </row>
    <row r="39" spans="1:17" customFormat="1">
      <c r="A39" s="112" t="s">
        <v>748</v>
      </c>
      <c r="B39" s="134">
        <v>24.05</v>
      </c>
      <c r="C39" s="134">
        <v>63.9</v>
      </c>
      <c r="D39" s="134">
        <v>51.63</v>
      </c>
      <c r="E39" s="134">
        <v>6.22</v>
      </c>
      <c r="F39" s="134">
        <v>10.42</v>
      </c>
      <c r="G39" s="134">
        <v>75.290000000000006</v>
      </c>
      <c r="H39" s="134">
        <v>27.2</v>
      </c>
      <c r="I39" s="134">
        <v>6.43</v>
      </c>
      <c r="J39" s="134">
        <v>0.19</v>
      </c>
      <c r="K39" s="134">
        <v>65.14</v>
      </c>
      <c r="L39" s="134">
        <v>31.58</v>
      </c>
      <c r="M39" s="134">
        <v>50.87</v>
      </c>
      <c r="N39" s="134">
        <v>91.8</v>
      </c>
      <c r="O39" s="134">
        <v>0</v>
      </c>
      <c r="P39" s="134">
        <v>0.71</v>
      </c>
      <c r="Q39" s="134">
        <v>6.18</v>
      </c>
    </row>
    <row r="40" spans="1:17" customFormat="1">
      <c r="A40" s="112" t="s">
        <v>749</v>
      </c>
      <c r="B40" s="134">
        <v>21.41</v>
      </c>
      <c r="C40" s="134">
        <v>55.7</v>
      </c>
      <c r="D40" s="134">
        <v>45.22</v>
      </c>
      <c r="E40" s="134">
        <v>5.53</v>
      </c>
      <c r="F40" s="134">
        <v>15.17</v>
      </c>
      <c r="G40" s="134">
        <v>75.290000000000006</v>
      </c>
      <c r="H40" s="134">
        <v>27.2</v>
      </c>
      <c r="I40" s="134">
        <v>6.44</v>
      </c>
      <c r="J40" s="134">
        <v>0.24</v>
      </c>
      <c r="K40" s="134">
        <v>136.35</v>
      </c>
      <c r="L40" s="134">
        <v>32.340000000000003</v>
      </c>
      <c r="M40" s="134">
        <v>47.39</v>
      </c>
      <c r="N40" s="134">
        <v>99.1</v>
      </c>
      <c r="O40" s="134">
        <v>0</v>
      </c>
      <c r="P40" s="134">
        <v>0.67</v>
      </c>
      <c r="Q40" s="134">
        <v>6.02</v>
      </c>
    </row>
    <row r="41" spans="1:17" customFormat="1">
      <c r="A41" s="112" t="s">
        <v>750</v>
      </c>
      <c r="B41" s="134">
        <v>21.8</v>
      </c>
      <c r="C41" s="134">
        <v>63</v>
      </c>
      <c r="D41" s="134">
        <v>49.35</v>
      </c>
      <c r="E41" s="134">
        <v>5.5</v>
      </c>
      <c r="F41" s="134">
        <v>11.1</v>
      </c>
      <c r="G41" s="134">
        <v>75.290000000000006</v>
      </c>
      <c r="H41" s="134">
        <v>27.2</v>
      </c>
      <c r="I41" s="134">
        <v>6.41</v>
      </c>
      <c r="J41" s="134">
        <v>0.23</v>
      </c>
      <c r="K41" s="134">
        <v>170.75</v>
      </c>
      <c r="L41" s="134">
        <v>33.15</v>
      </c>
      <c r="M41" s="134">
        <v>45.22</v>
      </c>
      <c r="N41" s="134">
        <v>106</v>
      </c>
      <c r="O41" s="134">
        <v>0</v>
      </c>
      <c r="P41" s="134">
        <v>0.69</v>
      </c>
      <c r="Q41" s="134">
        <v>6</v>
      </c>
    </row>
    <row r="42" spans="1:17" customFormat="1">
      <c r="A42" s="112" t="s">
        <v>751</v>
      </c>
      <c r="B42" s="134">
        <v>17.940000000000001</v>
      </c>
      <c r="C42" s="134">
        <v>55.69</v>
      </c>
      <c r="D42" s="134">
        <v>42.44</v>
      </c>
      <c r="E42" s="134">
        <v>5.86</v>
      </c>
      <c r="F42" s="134">
        <v>20.239999999999998</v>
      </c>
      <c r="G42" s="134">
        <v>66.069999999999993</v>
      </c>
      <c r="H42" s="134">
        <v>28.79</v>
      </c>
      <c r="I42" s="134">
        <v>6.39</v>
      </c>
      <c r="J42" s="134">
        <v>0.38</v>
      </c>
      <c r="K42" s="134">
        <v>256.02999999999997</v>
      </c>
      <c r="L42" s="134">
        <v>33.17</v>
      </c>
      <c r="M42" s="134">
        <v>44.59</v>
      </c>
      <c r="N42" s="134">
        <v>112.7</v>
      </c>
      <c r="O42" s="134">
        <v>0</v>
      </c>
      <c r="P42" s="134">
        <v>0.67</v>
      </c>
      <c r="Q42" s="134">
        <v>5.95</v>
      </c>
    </row>
    <row r="43" spans="1:17" customFormat="1">
      <c r="A43" s="112" t="s">
        <v>752</v>
      </c>
      <c r="B43" s="134">
        <v>17.32</v>
      </c>
      <c r="C43" s="134">
        <v>52.7</v>
      </c>
      <c r="D43" s="134">
        <v>40.380000000000003</v>
      </c>
      <c r="E43" s="134">
        <v>5.43</v>
      </c>
      <c r="F43" s="134">
        <v>17.73</v>
      </c>
      <c r="G43" s="134">
        <v>52.25</v>
      </c>
      <c r="H43" s="134">
        <v>30.15</v>
      </c>
      <c r="I43" s="134">
        <v>6.38</v>
      </c>
      <c r="J43" s="134">
        <v>0.35</v>
      </c>
      <c r="K43" s="134">
        <v>269.45</v>
      </c>
      <c r="L43" s="134">
        <v>33.81</v>
      </c>
      <c r="M43" s="134">
        <v>42.66</v>
      </c>
      <c r="N43" s="134">
        <v>118.6</v>
      </c>
      <c r="O43" s="134">
        <v>0</v>
      </c>
      <c r="P43" s="134">
        <v>0.64</v>
      </c>
      <c r="Q43" s="134">
        <v>5.77</v>
      </c>
    </row>
    <row r="44" spans="1:17" customFormat="1">
      <c r="A44" s="112" t="s">
        <v>753</v>
      </c>
      <c r="B44" s="134">
        <v>15.65</v>
      </c>
      <c r="C44" s="134">
        <v>52.52</v>
      </c>
      <c r="D44" s="134">
        <v>38.950000000000003</v>
      </c>
      <c r="E44" s="134">
        <v>6.09</v>
      </c>
      <c r="F44" s="134">
        <v>17.73</v>
      </c>
      <c r="G44" s="134">
        <v>52.25</v>
      </c>
      <c r="H44" s="134">
        <v>30.15</v>
      </c>
      <c r="I44" s="134">
        <v>6.11</v>
      </c>
      <c r="J44" s="134">
        <v>0.38</v>
      </c>
      <c r="K44" s="134">
        <v>257.93</v>
      </c>
      <c r="L44" s="134">
        <v>34.22</v>
      </c>
      <c r="M44" s="134">
        <v>40.18</v>
      </c>
      <c r="N44" s="134">
        <v>126.9</v>
      </c>
      <c r="O44" s="134">
        <v>0</v>
      </c>
      <c r="P44" s="134">
        <v>0.63</v>
      </c>
      <c r="Q44" s="134">
        <v>5.62</v>
      </c>
    </row>
    <row r="45" spans="1:17" customFormat="1">
      <c r="A45" s="112" t="s">
        <v>754</v>
      </c>
      <c r="B45" s="134">
        <v>13.31</v>
      </c>
      <c r="C45" s="134">
        <v>52.31</v>
      </c>
      <c r="D45" s="134">
        <v>36.96</v>
      </c>
      <c r="E45" s="134">
        <v>6.14</v>
      </c>
      <c r="F45" s="134">
        <v>21.87</v>
      </c>
      <c r="G45" s="134">
        <v>52.25</v>
      </c>
      <c r="H45" s="134">
        <v>30.15</v>
      </c>
      <c r="I45" s="134">
        <v>6.06</v>
      </c>
      <c r="J45" s="134">
        <v>0.41</v>
      </c>
      <c r="K45" s="134">
        <v>295.64</v>
      </c>
      <c r="L45" s="134">
        <v>34.520000000000003</v>
      </c>
      <c r="M45" s="134">
        <v>39.28</v>
      </c>
      <c r="N45" s="134">
        <v>133.30000000000001</v>
      </c>
      <c r="O45" s="134">
        <v>0</v>
      </c>
      <c r="P45" s="134">
        <v>0.62</v>
      </c>
      <c r="Q45" s="134">
        <v>5.49</v>
      </c>
    </row>
    <row r="46" spans="1:17" customFormat="1">
      <c r="A46" s="112" t="s">
        <v>755</v>
      </c>
      <c r="B46" s="134">
        <v>12.39</v>
      </c>
      <c r="C46" s="134">
        <v>54.12</v>
      </c>
      <c r="D46" s="134">
        <v>37.17</v>
      </c>
      <c r="E46" s="134">
        <v>6.46</v>
      </c>
      <c r="F46" s="134">
        <v>19.16</v>
      </c>
      <c r="G46" s="134">
        <v>47.19</v>
      </c>
      <c r="H46" s="134">
        <v>30.86</v>
      </c>
      <c r="I46" s="134">
        <v>6.01</v>
      </c>
      <c r="J46" s="134">
        <v>0.46</v>
      </c>
      <c r="K46" s="134">
        <v>287.87</v>
      </c>
      <c r="L46" s="134">
        <v>35.61</v>
      </c>
      <c r="M46" s="134">
        <v>37.01</v>
      </c>
      <c r="N46" s="134">
        <v>134.5</v>
      </c>
      <c r="O46" s="134">
        <v>0</v>
      </c>
      <c r="P46" s="134">
        <v>0.64</v>
      </c>
      <c r="Q46" s="134">
        <v>5.41</v>
      </c>
    </row>
    <row r="47" spans="1:17" customFormat="1">
      <c r="A47" s="112" t="s">
        <v>756</v>
      </c>
      <c r="B47" s="134">
        <v>11.16</v>
      </c>
      <c r="C47" s="134">
        <v>55.51</v>
      </c>
      <c r="D47" s="134">
        <v>36.909999999999997</v>
      </c>
      <c r="E47" s="134">
        <v>6.77</v>
      </c>
      <c r="F47" s="134">
        <v>20.49</v>
      </c>
      <c r="G47" s="134">
        <v>39.950000000000003</v>
      </c>
      <c r="H47" s="134">
        <v>31.47</v>
      </c>
      <c r="I47" s="134">
        <v>5.97</v>
      </c>
      <c r="J47" s="134">
        <v>0.19</v>
      </c>
      <c r="K47" s="134">
        <v>231.15</v>
      </c>
      <c r="L47" s="134">
        <v>36.33</v>
      </c>
      <c r="M47" s="134">
        <v>35.56</v>
      </c>
      <c r="N47" s="134">
        <v>135.4</v>
      </c>
      <c r="O47" s="134">
        <v>0</v>
      </c>
      <c r="P47" s="134">
        <v>0.65</v>
      </c>
      <c r="Q47" s="134">
        <v>5.44</v>
      </c>
    </row>
    <row r="48" spans="1:17" customFormat="1">
      <c r="A48" s="112" t="s">
        <v>757</v>
      </c>
      <c r="B48" s="134">
        <v>10.24</v>
      </c>
      <c r="C48" s="134">
        <v>55.17</v>
      </c>
      <c r="D48" s="134">
        <v>35.99</v>
      </c>
      <c r="E48" s="134">
        <v>6.86</v>
      </c>
      <c r="F48" s="134">
        <v>21.05</v>
      </c>
      <c r="G48" s="134">
        <v>39.950000000000003</v>
      </c>
      <c r="H48" s="134">
        <v>31.47</v>
      </c>
      <c r="I48" s="134">
        <v>6.04</v>
      </c>
      <c r="J48" s="134">
        <v>0.33</v>
      </c>
      <c r="K48" s="134">
        <v>192.81</v>
      </c>
      <c r="L48" s="134">
        <v>36.99</v>
      </c>
      <c r="M48" s="134">
        <v>32.909999999999997</v>
      </c>
      <c r="N48" s="134">
        <v>138.80000000000001</v>
      </c>
      <c r="O48" s="134">
        <v>0</v>
      </c>
      <c r="P48" s="134">
        <v>0.66</v>
      </c>
      <c r="Q48" s="134">
        <v>5.33</v>
      </c>
    </row>
    <row r="49" spans="1:17" customFormat="1">
      <c r="A49" s="112" t="s">
        <v>758</v>
      </c>
      <c r="B49" s="134">
        <v>8.69</v>
      </c>
      <c r="C49" s="134">
        <v>50.83</v>
      </c>
      <c r="D49" s="134">
        <v>32.479999999999997</v>
      </c>
      <c r="E49" s="134">
        <v>8.67</v>
      </c>
      <c r="F49" s="134">
        <v>31.74</v>
      </c>
      <c r="G49" s="134">
        <v>39.950000000000003</v>
      </c>
      <c r="H49" s="134">
        <v>31.47</v>
      </c>
      <c r="I49" s="134">
        <v>6.2</v>
      </c>
      <c r="J49" s="134">
        <v>0.18</v>
      </c>
      <c r="K49" s="134">
        <v>309.33</v>
      </c>
      <c r="L49" s="134">
        <v>37.67</v>
      </c>
      <c r="M49" s="134">
        <v>30.65</v>
      </c>
      <c r="N49" s="134">
        <v>142.4</v>
      </c>
      <c r="O49" s="134">
        <v>0</v>
      </c>
      <c r="P49" s="134">
        <v>0.65</v>
      </c>
      <c r="Q49" s="134">
        <v>5.23</v>
      </c>
    </row>
    <row r="50" spans="1:17" customFormat="1">
      <c r="A50" s="112" t="s">
        <v>759</v>
      </c>
      <c r="B50" s="134">
        <v>7.84</v>
      </c>
      <c r="C50" s="134">
        <v>51.56</v>
      </c>
      <c r="D50" s="134">
        <v>32.18</v>
      </c>
      <c r="E50" s="134">
        <v>9.56</v>
      </c>
      <c r="F50" s="134">
        <v>26.39</v>
      </c>
      <c r="G50" s="134">
        <v>39.74</v>
      </c>
      <c r="H50" s="134">
        <v>34.1</v>
      </c>
      <c r="I50" s="134">
        <v>6.27</v>
      </c>
      <c r="J50" s="134">
        <v>0.74</v>
      </c>
      <c r="K50" s="134">
        <v>332.83</v>
      </c>
      <c r="L50" s="134">
        <v>38.28</v>
      </c>
      <c r="M50" s="134">
        <v>28.91</v>
      </c>
      <c r="N50" s="134">
        <v>148.19999999999999</v>
      </c>
      <c r="O50" s="134">
        <v>0</v>
      </c>
      <c r="P50" s="134">
        <v>0.67</v>
      </c>
      <c r="Q50" s="134">
        <v>5.17</v>
      </c>
    </row>
    <row r="51" spans="1:17" customFormat="1">
      <c r="A51" s="112" t="s">
        <v>760</v>
      </c>
      <c r="B51" s="134">
        <v>6.74</v>
      </c>
      <c r="C51" s="134">
        <v>52.37</v>
      </c>
      <c r="D51" s="134">
        <v>31.72</v>
      </c>
      <c r="E51" s="134">
        <v>10.02</v>
      </c>
      <c r="F51" s="134">
        <v>33.6</v>
      </c>
      <c r="G51" s="134">
        <v>39.46</v>
      </c>
      <c r="H51" s="134">
        <v>36.369999999999997</v>
      </c>
      <c r="I51" s="134">
        <v>6.15</v>
      </c>
      <c r="J51" s="134">
        <v>0.61</v>
      </c>
      <c r="K51" s="134">
        <v>288.35000000000002</v>
      </c>
      <c r="L51" s="134">
        <v>38.46</v>
      </c>
      <c r="M51" s="134">
        <v>28.76</v>
      </c>
      <c r="N51" s="134">
        <v>153.6</v>
      </c>
      <c r="O51" s="134">
        <v>0</v>
      </c>
      <c r="P51" s="134">
        <v>0.68</v>
      </c>
      <c r="Q51" s="134">
        <v>5.19</v>
      </c>
    </row>
    <row r="52" spans="1:17" customFormat="1">
      <c r="A52" s="112" t="s">
        <v>761</v>
      </c>
      <c r="B52" s="134">
        <v>5.65</v>
      </c>
      <c r="C52" s="134">
        <v>49.05</v>
      </c>
      <c r="D52" s="134">
        <v>29.11</v>
      </c>
      <c r="E52" s="134">
        <v>10.38</v>
      </c>
      <c r="F52" s="134">
        <v>37.1</v>
      </c>
      <c r="G52" s="134">
        <v>39.46</v>
      </c>
      <c r="H52" s="134">
        <v>36.369999999999997</v>
      </c>
      <c r="I52" s="134">
        <v>6.06</v>
      </c>
      <c r="J52" s="134">
        <v>0.56999999999999995</v>
      </c>
      <c r="K52" s="134">
        <v>290.37</v>
      </c>
      <c r="L52" s="134">
        <v>38.770000000000003</v>
      </c>
      <c r="M52" s="134">
        <v>27.08</v>
      </c>
      <c r="N52" s="134">
        <v>163.19999999999999</v>
      </c>
      <c r="O52" s="134">
        <v>0</v>
      </c>
      <c r="P52" s="134">
        <v>0.67</v>
      </c>
      <c r="Q52" s="134">
        <v>5.07</v>
      </c>
    </row>
    <row r="53" spans="1:17" customFormat="1">
      <c r="A53" s="112" t="s">
        <v>762</v>
      </c>
      <c r="B53" s="134">
        <v>4.7300000000000004</v>
      </c>
      <c r="C53" s="134">
        <v>48.91</v>
      </c>
      <c r="D53" s="134">
        <v>28.3</v>
      </c>
      <c r="E53" s="134">
        <v>9.5500000000000007</v>
      </c>
      <c r="F53" s="134">
        <v>27.37</v>
      </c>
      <c r="G53" s="134">
        <v>39.46</v>
      </c>
      <c r="H53" s="134">
        <v>36.369999999999997</v>
      </c>
      <c r="I53" s="134">
        <v>6.14</v>
      </c>
      <c r="J53" s="134">
        <v>0.7</v>
      </c>
      <c r="K53" s="134">
        <v>256.51</v>
      </c>
      <c r="L53" s="134">
        <v>38.979999999999997</v>
      </c>
      <c r="M53" s="134">
        <v>24.37</v>
      </c>
      <c r="N53" s="134">
        <v>164.7</v>
      </c>
      <c r="O53" s="134">
        <v>0</v>
      </c>
      <c r="P53" s="134">
        <v>0.65</v>
      </c>
      <c r="Q53" s="134">
        <v>4.97</v>
      </c>
    </row>
    <row r="54" spans="1:17" customFormat="1">
      <c r="A54" s="112" t="s">
        <v>763</v>
      </c>
      <c r="B54" s="134">
        <v>3.58</v>
      </c>
      <c r="C54" s="134">
        <v>45.49</v>
      </c>
      <c r="D54" s="134">
        <v>25.6</v>
      </c>
      <c r="E54" s="134">
        <v>10.6</v>
      </c>
      <c r="F54" s="134">
        <v>49.92</v>
      </c>
      <c r="G54" s="134">
        <v>40.04</v>
      </c>
      <c r="H54" s="134">
        <v>36.56</v>
      </c>
      <c r="I54" s="134">
        <v>6.26</v>
      </c>
      <c r="J54" s="134">
        <v>0.56999999999999995</v>
      </c>
      <c r="K54" s="134">
        <v>343.16</v>
      </c>
      <c r="L54" s="134">
        <v>39.29</v>
      </c>
      <c r="M54" s="134">
        <v>25.53</v>
      </c>
      <c r="N54" s="134">
        <v>178.8</v>
      </c>
      <c r="O54" s="134">
        <v>0</v>
      </c>
      <c r="P54" s="134">
        <v>0.67</v>
      </c>
      <c r="Q54" s="134">
        <v>4.84</v>
      </c>
    </row>
    <row r="55" spans="1:17" customFormat="1">
      <c r="A55" s="112" t="s">
        <v>764</v>
      </c>
      <c r="B55" s="134">
        <v>3.41</v>
      </c>
      <c r="C55" s="134">
        <v>43.71</v>
      </c>
      <c r="D55" s="134">
        <v>24.53</v>
      </c>
      <c r="E55" s="134">
        <v>11.96</v>
      </c>
      <c r="F55" s="134">
        <v>46.21</v>
      </c>
      <c r="G55" s="134">
        <v>40.880000000000003</v>
      </c>
      <c r="H55" s="134">
        <v>36.729999999999997</v>
      </c>
      <c r="I55" s="134">
        <v>6.25</v>
      </c>
      <c r="J55" s="134">
        <v>0.54</v>
      </c>
      <c r="K55" s="134">
        <v>351.84</v>
      </c>
      <c r="L55" s="134">
        <v>39.840000000000003</v>
      </c>
      <c r="M55" s="134">
        <v>23.82</v>
      </c>
      <c r="N55" s="134">
        <v>242.1</v>
      </c>
      <c r="O55" s="134">
        <v>0</v>
      </c>
      <c r="P55" s="134">
        <v>0.66</v>
      </c>
      <c r="Q55" s="134">
        <v>4.8</v>
      </c>
    </row>
    <row r="56" spans="1:17" customFormat="1">
      <c r="A56" s="112" t="s">
        <v>765</v>
      </c>
      <c r="B56" s="134">
        <v>3.03</v>
      </c>
      <c r="C56" s="134">
        <v>44.97</v>
      </c>
      <c r="D56" s="134">
        <v>24.88</v>
      </c>
      <c r="E56" s="134">
        <v>12.2</v>
      </c>
      <c r="F56" s="134">
        <v>37.04</v>
      </c>
      <c r="G56" s="134">
        <v>40.880000000000003</v>
      </c>
      <c r="H56" s="134">
        <v>36.729999999999997</v>
      </c>
      <c r="I56" s="134">
        <v>6.15</v>
      </c>
      <c r="J56" s="134">
        <v>0.82</v>
      </c>
      <c r="K56" s="134">
        <v>304.89999999999998</v>
      </c>
      <c r="L56" s="134">
        <v>39.94</v>
      </c>
      <c r="M56" s="134">
        <v>23.06</v>
      </c>
      <c r="N56" s="134">
        <v>860.1</v>
      </c>
      <c r="O56" s="134">
        <v>0</v>
      </c>
      <c r="P56" s="134">
        <v>0.66</v>
      </c>
      <c r="Q56" s="134">
        <v>4.7699999999999996</v>
      </c>
    </row>
    <row r="57" spans="1:17" customFormat="1">
      <c r="A57" s="112" t="s">
        <v>766</v>
      </c>
      <c r="B57" s="134">
        <v>2.5299999999999998</v>
      </c>
      <c r="C57" s="134">
        <v>43.36</v>
      </c>
      <c r="D57" s="134">
        <v>23.64</v>
      </c>
      <c r="E57" s="134">
        <v>12.86</v>
      </c>
      <c r="F57" s="134">
        <v>44.97</v>
      </c>
      <c r="G57" s="134">
        <v>40.880000000000003</v>
      </c>
      <c r="H57" s="134">
        <v>36.729999999999997</v>
      </c>
      <c r="I57" s="134">
        <v>6.13</v>
      </c>
      <c r="J57" s="134">
        <v>0.56000000000000005</v>
      </c>
      <c r="K57" s="134">
        <v>9.93</v>
      </c>
      <c r="L57" s="134">
        <v>40.49</v>
      </c>
      <c r="M57" s="134">
        <v>19.55</v>
      </c>
      <c r="N57" s="134">
        <v>890.6</v>
      </c>
      <c r="O57" s="134">
        <v>0</v>
      </c>
      <c r="P57" s="134">
        <v>0.62</v>
      </c>
      <c r="Q57" s="134">
        <v>4.76</v>
      </c>
    </row>
    <row r="58" spans="1:17" customFormat="1">
      <c r="A58" s="112" t="s">
        <v>767</v>
      </c>
      <c r="B58" s="134">
        <v>2.61</v>
      </c>
      <c r="C58" s="134">
        <v>42.27</v>
      </c>
      <c r="D58" s="134">
        <v>23.13</v>
      </c>
      <c r="E58" s="134">
        <v>11.6</v>
      </c>
      <c r="F58" s="134">
        <v>39.1</v>
      </c>
      <c r="G58" s="134">
        <v>48.78</v>
      </c>
      <c r="H58" s="134">
        <v>37.14</v>
      </c>
      <c r="I58" s="134">
        <v>6.12</v>
      </c>
      <c r="J58" s="134">
        <v>0.64</v>
      </c>
      <c r="K58" s="134">
        <v>42.85</v>
      </c>
      <c r="L58" s="134">
        <v>40.869999999999997</v>
      </c>
      <c r="M58" s="134">
        <v>17.34</v>
      </c>
      <c r="N58" s="134">
        <v>828.1</v>
      </c>
      <c r="O58" s="134">
        <v>0</v>
      </c>
      <c r="P58" s="134">
        <v>0.6</v>
      </c>
      <c r="Q58" s="134">
        <v>4.7699999999999996</v>
      </c>
    </row>
    <row r="59" spans="1:17" customFormat="1">
      <c r="A59" s="112" t="s">
        <v>768</v>
      </c>
      <c r="B59" s="134">
        <v>2.98</v>
      </c>
      <c r="C59" s="134">
        <v>44.57</v>
      </c>
      <c r="D59" s="134">
        <v>24.63</v>
      </c>
      <c r="E59" s="134">
        <v>11.26</v>
      </c>
      <c r="F59" s="134">
        <v>32.56</v>
      </c>
      <c r="G59" s="134">
        <v>60.1</v>
      </c>
      <c r="H59" s="134">
        <v>37.49</v>
      </c>
      <c r="I59" s="134">
        <v>5.9</v>
      </c>
      <c r="J59" s="134">
        <v>0.72</v>
      </c>
      <c r="K59" s="134">
        <v>323.98</v>
      </c>
      <c r="L59" s="134">
        <v>40.97</v>
      </c>
      <c r="M59" s="134">
        <v>18.010000000000002</v>
      </c>
      <c r="N59" s="134">
        <v>841.6</v>
      </c>
      <c r="O59" s="134">
        <v>0</v>
      </c>
      <c r="P59" s="134">
        <v>0.64</v>
      </c>
      <c r="Q59" s="134">
        <v>4.8099999999999996</v>
      </c>
    </row>
    <row r="60" spans="1:17" customFormat="1">
      <c r="A60" s="112" t="s">
        <v>769</v>
      </c>
      <c r="B60" s="134">
        <v>2.95</v>
      </c>
      <c r="C60" s="134">
        <v>43.44</v>
      </c>
      <c r="D60" s="134">
        <v>24.02</v>
      </c>
      <c r="E60" s="134">
        <v>12.35</v>
      </c>
      <c r="F60" s="134">
        <v>38.31</v>
      </c>
      <c r="G60" s="134">
        <v>60.1</v>
      </c>
      <c r="H60" s="134">
        <v>37.49</v>
      </c>
      <c r="I60" s="134">
        <v>5.79</v>
      </c>
      <c r="J60" s="134">
        <v>0.85</v>
      </c>
      <c r="K60" s="134">
        <v>3.12</v>
      </c>
      <c r="L60" s="134">
        <v>41.07</v>
      </c>
      <c r="M60" s="134">
        <v>16.07</v>
      </c>
      <c r="N60" s="134">
        <v>800.1</v>
      </c>
      <c r="O60" s="134">
        <v>0</v>
      </c>
      <c r="P60" s="134">
        <v>0.6</v>
      </c>
      <c r="Q60" s="134">
        <v>4.83</v>
      </c>
    </row>
    <row r="61" spans="1:17" customFormat="1">
      <c r="A61" s="112" t="s">
        <v>770</v>
      </c>
      <c r="B61" s="134">
        <v>3.84</v>
      </c>
      <c r="C61" s="134">
        <v>47.13</v>
      </c>
      <c r="D61" s="134">
        <v>26.66</v>
      </c>
      <c r="E61" s="134">
        <v>10.14</v>
      </c>
      <c r="F61" s="134">
        <v>23.76</v>
      </c>
      <c r="G61" s="134">
        <v>60.1</v>
      </c>
      <c r="H61" s="134">
        <v>37.49</v>
      </c>
      <c r="I61" s="134">
        <v>5.96</v>
      </c>
      <c r="J61" s="134">
        <v>0.67</v>
      </c>
      <c r="K61" s="134">
        <v>358.56</v>
      </c>
      <c r="L61" s="134">
        <v>41.11</v>
      </c>
      <c r="M61" s="134">
        <v>14.56</v>
      </c>
      <c r="N61" s="134">
        <v>821</v>
      </c>
      <c r="O61" s="134">
        <v>0</v>
      </c>
      <c r="P61" s="134">
        <v>0.63</v>
      </c>
      <c r="Q61" s="134">
        <v>4.8600000000000003</v>
      </c>
    </row>
    <row r="62" spans="1:17" customFormat="1">
      <c r="A62" s="112" t="s">
        <v>771</v>
      </c>
      <c r="B62" s="134">
        <v>2.92</v>
      </c>
      <c r="C62" s="134">
        <v>46.98</v>
      </c>
      <c r="D62" s="134">
        <v>25.85</v>
      </c>
      <c r="E62" s="134">
        <v>11.03</v>
      </c>
      <c r="F62" s="134">
        <v>40.229999999999997</v>
      </c>
      <c r="G62" s="134">
        <v>53.1</v>
      </c>
      <c r="H62" s="134">
        <v>38.22</v>
      </c>
      <c r="I62" s="134">
        <v>6</v>
      </c>
      <c r="J62" s="134">
        <v>0.45</v>
      </c>
      <c r="K62" s="134">
        <v>304.98</v>
      </c>
      <c r="L62" s="134">
        <v>41.45</v>
      </c>
      <c r="M62" s="134">
        <v>15.29</v>
      </c>
      <c r="N62" s="134">
        <v>746.9</v>
      </c>
      <c r="O62" s="134">
        <v>0</v>
      </c>
      <c r="P62" s="134">
        <v>0.6</v>
      </c>
      <c r="Q62" s="134">
        <v>4.96</v>
      </c>
    </row>
    <row r="63" spans="1:17" customFormat="1">
      <c r="A63" s="112" t="s">
        <v>772</v>
      </c>
      <c r="B63" s="134">
        <v>3.09</v>
      </c>
      <c r="C63" s="134">
        <v>48.48</v>
      </c>
      <c r="D63" s="134">
        <v>26.76</v>
      </c>
      <c r="E63" s="134">
        <v>10.69</v>
      </c>
      <c r="F63" s="134">
        <v>23.04</v>
      </c>
      <c r="G63" s="134">
        <v>43.06</v>
      </c>
      <c r="H63" s="134">
        <v>39.950000000000003</v>
      </c>
      <c r="I63" s="134">
        <v>6.09</v>
      </c>
      <c r="J63" s="134">
        <v>1.22</v>
      </c>
      <c r="K63" s="134">
        <v>315.13</v>
      </c>
      <c r="L63" s="134">
        <v>41.41</v>
      </c>
      <c r="M63" s="134">
        <v>15.48</v>
      </c>
      <c r="N63" s="134">
        <v>732.6</v>
      </c>
      <c r="O63" s="134">
        <v>0</v>
      </c>
      <c r="P63" s="134">
        <v>0.64</v>
      </c>
      <c r="Q63" s="134">
        <v>5.0199999999999996</v>
      </c>
    </row>
    <row r="64" spans="1:17" customFormat="1">
      <c r="A64" s="112" t="s">
        <v>773</v>
      </c>
      <c r="B64" s="134">
        <v>3.22</v>
      </c>
      <c r="C64" s="134">
        <v>51.64</v>
      </c>
      <c r="D64" s="134">
        <v>28.52</v>
      </c>
      <c r="E64" s="134">
        <v>11.74</v>
      </c>
      <c r="F64" s="134">
        <v>25.57</v>
      </c>
      <c r="G64" s="134">
        <v>43.06</v>
      </c>
      <c r="H64" s="134">
        <v>39.950000000000003</v>
      </c>
      <c r="I64" s="134">
        <v>5.96</v>
      </c>
      <c r="J64" s="134">
        <v>0.8</v>
      </c>
      <c r="K64" s="134">
        <v>296.82</v>
      </c>
      <c r="L64" s="134">
        <v>41.5</v>
      </c>
      <c r="M64" s="134">
        <v>16.46</v>
      </c>
      <c r="N64" s="134">
        <v>733.9</v>
      </c>
      <c r="O64" s="134">
        <v>0</v>
      </c>
      <c r="P64" s="134">
        <v>0.64</v>
      </c>
      <c r="Q64" s="134">
        <v>5.0599999999999996</v>
      </c>
    </row>
    <row r="65" spans="1:17" customFormat="1">
      <c r="A65" s="112" t="s">
        <v>774</v>
      </c>
      <c r="B65" s="134">
        <v>3.28</v>
      </c>
      <c r="C65" s="134">
        <v>54.65</v>
      </c>
      <c r="D65" s="134">
        <v>30.13</v>
      </c>
      <c r="E65" s="134">
        <v>11.24</v>
      </c>
      <c r="F65" s="134">
        <v>20.63</v>
      </c>
      <c r="G65" s="134">
        <v>43.06</v>
      </c>
      <c r="H65" s="134">
        <v>39.950000000000003</v>
      </c>
      <c r="I65" s="134">
        <v>6</v>
      </c>
      <c r="J65" s="134">
        <v>1.04</v>
      </c>
      <c r="K65" s="134">
        <v>302.27999999999997</v>
      </c>
      <c r="L65" s="134">
        <v>41.46</v>
      </c>
      <c r="M65" s="134">
        <v>16.25</v>
      </c>
      <c r="N65" s="134">
        <v>529.9</v>
      </c>
      <c r="O65" s="134">
        <v>0</v>
      </c>
      <c r="P65" s="134">
        <v>0.64</v>
      </c>
      <c r="Q65" s="134">
        <v>5.1100000000000003</v>
      </c>
    </row>
    <row r="66" spans="1:17" customFormat="1">
      <c r="A66" s="112" t="s">
        <v>775</v>
      </c>
      <c r="B66" s="134">
        <v>3.29</v>
      </c>
      <c r="C66" s="134">
        <v>54.42</v>
      </c>
      <c r="D66" s="134">
        <v>30.02</v>
      </c>
      <c r="E66" s="134">
        <v>11.4</v>
      </c>
      <c r="F66" s="134">
        <v>35.32</v>
      </c>
      <c r="G66" s="134">
        <v>44.24</v>
      </c>
      <c r="H66" s="134">
        <v>38.74</v>
      </c>
      <c r="I66" s="134">
        <v>6.4</v>
      </c>
      <c r="J66" s="134">
        <v>0.54</v>
      </c>
      <c r="K66" s="134">
        <v>3.13</v>
      </c>
      <c r="L66" s="134">
        <v>41.52</v>
      </c>
      <c r="M66" s="134">
        <v>15.73</v>
      </c>
      <c r="N66" s="134">
        <v>688.4</v>
      </c>
      <c r="O66" s="134">
        <v>0</v>
      </c>
      <c r="P66" s="134">
        <v>0.63</v>
      </c>
      <c r="Q66" s="134">
        <v>5.21</v>
      </c>
    </row>
    <row r="67" spans="1:17" customFormat="1">
      <c r="A67" s="112" t="s">
        <v>776</v>
      </c>
      <c r="B67" s="134">
        <v>3.11</v>
      </c>
      <c r="C67" s="134">
        <v>54.59</v>
      </c>
      <c r="D67" s="134">
        <v>29.97</v>
      </c>
      <c r="E67" s="134">
        <v>11.02</v>
      </c>
      <c r="F67" s="134">
        <v>28.45</v>
      </c>
      <c r="G67" s="134">
        <v>45.92</v>
      </c>
      <c r="H67" s="134">
        <v>37.700000000000003</v>
      </c>
      <c r="I67" s="134">
        <v>6.31</v>
      </c>
      <c r="J67" s="134">
        <v>0.53</v>
      </c>
      <c r="K67" s="134">
        <v>344.92</v>
      </c>
      <c r="L67" s="134">
        <v>42.22</v>
      </c>
      <c r="M67" s="134">
        <v>13.28</v>
      </c>
      <c r="N67" s="134">
        <v>668.2</v>
      </c>
      <c r="O67" s="134">
        <v>0</v>
      </c>
      <c r="P67" s="134">
        <v>0.63</v>
      </c>
      <c r="Q67" s="134">
        <v>5.26</v>
      </c>
    </row>
    <row r="68" spans="1:17" customFormat="1">
      <c r="A68" s="112" t="s">
        <v>777</v>
      </c>
      <c r="B68" s="134">
        <v>2.4700000000000002</v>
      </c>
      <c r="C68" s="134">
        <v>56.69</v>
      </c>
      <c r="D68" s="134">
        <v>30.56</v>
      </c>
      <c r="E68" s="134">
        <v>11.46</v>
      </c>
      <c r="F68" s="134">
        <v>27.04</v>
      </c>
      <c r="G68" s="134">
        <v>45.92</v>
      </c>
      <c r="H68" s="134">
        <v>37.700000000000003</v>
      </c>
      <c r="I68" s="134">
        <v>6.05</v>
      </c>
      <c r="J68" s="134">
        <v>0.63</v>
      </c>
      <c r="K68" s="134">
        <v>324.73</v>
      </c>
      <c r="L68" s="134">
        <v>42.31</v>
      </c>
      <c r="M68" s="134">
        <v>12.22</v>
      </c>
      <c r="N68" s="134">
        <v>574.29999999999995</v>
      </c>
      <c r="O68" s="134">
        <v>0</v>
      </c>
      <c r="P68" s="134">
        <v>0.61</v>
      </c>
      <c r="Q68" s="134">
        <v>5.28</v>
      </c>
    </row>
    <row r="69" spans="1:17" customFormat="1">
      <c r="A69" s="112" t="s">
        <v>778</v>
      </c>
      <c r="B69" s="134">
        <v>2.85</v>
      </c>
      <c r="C69" s="134">
        <v>60.27</v>
      </c>
      <c r="D69" s="134">
        <v>32.729999999999997</v>
      </c>
      <c r="E69" s="134">
        <v>12.26</v>
      </c>
      <c r="F69" s="134">
        <v>21.36</v>
      </c>
      <c r="G69" s="134">
        <v>45.92</v>
      </c>
      <c r="H69" s="134">
        <v>37.700000000000003</v>
      </c>
      <c r="I69" s="134">
        <v>5.71</v>
      </c>
      <c r="J69" s="134">
        <v>0.68</v>
      </c>
      <c r="K69" s="134">
        <v>13.93</v>
      </c>
      <c r="L69" s="134">
        <v>42.51</v>
      </c>
      <c r="M69" s="134">
        <v>11.94</v>
      </c>
      <c r="N69" s="134">
        <v>620.29999999999995</v>
      </c>
      <c r="O69" s="134">
        <v>0</v>
      </c>
      <c r="P69" s="134">
        <v>0.62</v>
      </c>
      <c r="Q69" s="134">
        <v>5.33</v>
      </c>
    </row>
    <row r="70" spans="1:17" customFormat="1">
      <c r="A70" s="112" t="s">
        <v>779</v>
      </c>
      <c r="B70" s="134">
        <v>3.95</v>
      </c>
      <c r="C70" s="134">
        <v>67.86</v>
      </c>
      <c r="D70" s="134">
        <v>37.58</v>
      </c>
      <c r="E70" s="134">
        <v>14.3</v>
      </c>
      <c r="F70" s="134">
        <v>34.520000000000003</v>
      </c>
      <c r="G70" s="134">
        <v>47.17</v>
      </c>
      <c r="H70" s="134">
        <v>36.22</v>
      </c>
      <c r="I70" s="134">
        <v>5.54</v>
      </c>
      <c r="J70" s="134">
        <v>0.73</v>
      </c>
      <c r="K70" s="134">
        <v>28.32</v>
      </c>
      <c r="L70" s="134">
        <v>42.78</v>
      </c>
      <c r="M70" s="134">
        <v>11.63</v>
      </c>
      <c r="N70" s="134">
        <v>570.29999999999995</v>
      </c>
      <c r="O70" s="134">
        <v>0</v>
      </c>
      <c r="P70" s="134">
        <v>0.61</v>
      </c>
      <c r="Q70" s="134">
        <v>5.54</v>
      </c>
    </row>
    <row r="71" spans="1:17" customFormat="1">
      <c r="A71" s="112" t="s">
        <v>780</v>
      </c>
      <c r="B71" s="134">
        <v>4.12</v>
      </c>
      <c r="C71" s="134">
        <v>66.64</v>
      </c>
      <c r="D71" s="134">
        <v>37.07</v>
      </c>
      <c r="E71" s="134">
        <v>12.53</v>
      </c>
      <c r="F71" s="134">
        <v>32.880000000000003</v>
      </c>
      <c r="G71" s="134">
        <v>48.96</v>
      </c>
      <c r="H71" s="134">
        <v>34.950000000000003</v>
      </c>
      <c r="I71" s="134">
        <v>5.66</v>
      </c>
      <c r="J71" s="134">
        <v>0.64</v>
      </c>
      <c r="K71" s="134">
        <v>62.33</v>
      </c>
      <c r="L71" s="134">
        <v>42.41</v>
      </c>
      <c r="M71" s="134">
        <v>11.91</v>
      </c>
      <c r="N71" s="134">
        <v>472.1</v>
      </c>
      <c r="O71" s="134">
        <v>0</v>
      </c>
      <c r="P71" s="134">
        <v>0.6</v>
      </c>
      <c r="Q71" s="134">
        <v>5.67</v>
      </c>
    </row>
    <row r="72" spans="1:17" customFormat="1">
      <c r="A72" s="112" t="s">
        <v>781</v>
      </c>
      <c r="B72" s="134">
        <v>4.45</v>
      </c>
      <c r="C72" s="134">
        <v>64.599999999999994</v>
      </c>
      <c r="D72" s="134">
        <v>36.28</v>
      </c>
      <c r="E72" s="134">
        <v>12.79</v>
      </c>
      <c r="F72" s="134">
        <v>29.04</v>
      </c>
      <c r="G72" s="134">
        <v>48.96</v>
      </c>
      <c r="H72" s="134">
        <v>34.950000000000003</v>
      </c>
      <c r="I72" s="134">
        <v>5.64</v>
      </c>
      <c r="J72" s="134">
        <v>1.24</v>
      </c>
      <c r="K72" s="134">
        <v>53.23</v>
      </c>
      <c r="L72" s="134">
        <v>41.82</v>
      </c>
      <c r="M72" s="134">
        <v>12.59</v>
      </c>
      <c r="N72" s="134">
        <v>424.3</v>
      </c>
      <c r="O72" s="134">
        <v>0</v>
      </c>
      <c r="P72" s="134">
        <v>0.59</v>
      </c>
      <c r="Q72" s="134">
        <v>5.61</v>
      </c>
    </row>
    <row r="73" spans="1:17" customFormat="1">
      <c r="A73" s="112" t="s">
        <v>782</v>
      </c>
      <c r="B73" s="134">
        <v>5.43</v>
      </c>
      <c r="C73" s="134">
        <v>59.51</v>
      </c>
      <c r="D73" s="134">
        <v>34.4</v>
      </c>
      <c r="E73" s="134">
        <v>12.04</v>
      </c>
      <c r="F73" s="134">
        <v>34.5</v>
      </c>
      <c r="G73" s="134">
        <v>48.96</v>
      </c>
      <c r="H73" s="134">
        <v>34.950000000000003</v>
      </c>
      <c r="I73" s="134">
        <v>5.34</v>
      </c>
      <c r="J73" s="134">
        <v>1</v>
      </c>
      <c r="K73" s="134">
        <v>52.1</v>
      </c>
      <c r="L73" s="134">
        <v>41.56</v>
      </c>
      <c r="M73" s="134">
        <v>12.79</v>
      </c>
      <c r="N73" s="134">
        <v>381.4</v>
      </c>
      <c r="O73" s="134">
        <v>0</v>
      </c>
      <c r="P73" s="134">
        <v>0.56000000000000005</v>
      </c>
      <c r="Q73" s="134">
        <v>5.57</v>
      </c>
    </row>
    <row r="74" spans="1:17" customFormat="1">
      <c r="A74" s="112" t="s">
        <v>783</v>
      </c>
      <c r="B74" s="134">
        <v>6.82</v>
      </c>
      <c r="C74" s="134">
        <v>59.38</v>
      </c>
      <c r="D74" s="134">
        <v>35.450000000000003</v>
      </c>
      <c r="E74" s="134">
        <v>12.42</v>
      </c>
      <c r="F74" s="134">
        <v>39.15</v>
      </c>
      <c r="G74" s="134">
        <v>45.53</v>
      </c>
      <c r="H74" s="134">
        <v>33.299999999999997</v>
      </c>
      <c r="I74" s="134">
        <v>5.2</v>
      </c>
      <c r="J74" s="134">
        <v>0.69</v>
      </c>
      <c r="K74" s="134">
        <v>22.81</v>
      </c>
      <c r="L74" s="134">
        <v>41.42</v>
      </c>
      <c r="M74" s="134">
        <v>13.25</v>
      </c>
      <c r="N74" s="134">
        <v>195.5</v>
      </c>
      <c r="O74" s="134">
        <v>0</v>
      </c>
      <c r="P74" s="134">
        <v>0.54</v>
      </c>
      <c r="Q74" s="134">
        <v>5.44</v>
      </c>
    </row>
    <row r="75" spans="1:17" customFormat="1">
      <c r="A75" s="112" t="s">
        <v>784</v>
      </c>
      <c r="B75" s="134">
        <v>6.45</v>
      </c>
      <c r="C75" s="134">
        <v>54.75</v>
      </c>
      <c r="D75" s="134">
        <v>32.74</v>
      </c>
      <c r="E75" s="134">
        <v>12.49</v>
      </c>
      <c r="F75" s="134">
        <v>40.909999999999997</v>
      </c>
      <c r="G75" s="134">
        <v>40.619999999999997</v>
      </c>
      <c r="H75" s="134">
        <v>31.88</v>
      </c>
      <c r="I75" s="134">
        <v>5.01</v>
      </c>
      <c r="J75" s="134">
        <v>0.6</v>
      </c>
      <c r="K75" s="134">
        <v>51.97</v>
      </c>
      <c r="L75" s="134">
        <v>40.340000000000003</v>
      </c>
      <c r="M75" s="134">
        <v>13.93</v>
      </c>
      <c r="N75" s="134">
        <v>84.3</v>
      </c>
      <c r="O75" s="134">
        <v>0</v>
      </c>
      <c r="P75" s="134">
        <v>0.52</v>
      </c>
      <c r="Q75" s="134">
        <v>5.41</v>
      </c>
    </row>
    <row r="76" spans="1:17" customFormat="1">
      <c r="A76" s="112" t="s">
        <v>785</v>
      </c>
      <c r="B76" s="134">
        <v>7.24</v>
      </c>
      <c r="C76" s="134">
        <v>58.86</v>
      </c>
      <c r="D76" s="134">
        <v>35.51</v>
      </c>
      <c r="E76" s="134">
        <v>10.65</v>
      </c>
      <c r="F76" s="134">
        <v>28.18</v>
      </c>
      <c r="G76" s="134">
        <v>40.619999999999997</v>
      </c>
      <c r="H76" s="134">
        <v>31.88</v>
      </c>
      <c r="I76" s="134">
        <v>4.74</v>
      </c>
      <c r="J76" s="134">
        <v>0.36</v>
      </c>
      <c r="K76" s="134">
        <v>330.9</v>
      </c>
      <c r="L76" s="134">
        <v>40.08</v>
      </c>
      <c r="M76" s="134">
        <v>14.78</v>
      </c>
      <c r="N76" s="134">
        <v>97.9</v>
      </c>
      <c r="O76" s="134">
        <v>0</v>
      </c>
      <c r="P76" s="134">
        <v>0.56000000000000005</v>
      </c>
      <c r="Q76" s="134">
        <v>5.37</v>
      </c>
    </row>
    <row r="77" spans="1:17" customFormat="1">
      <c r="A77" s="112" t="s">
        <v>786</v>
      </c>
      <c r="B77" s="134">
        <v>9.0399999999999991</v>
      </c>
      <c r="C77" s="134">
        <v>60.63</v>
      </c>
      <c r="D77" s="134">
        <v>37.880000000000003</v>
      </c>
      <c r="E77" s="134">
        <v>11.34</v>
      </c>
      <c r="F77" s="134">
        <v>37.409999999999997</v>
      </c>
      <c r="G77" s="134">
        <v>40.619999999999997</v>
      </c>
      <c r="H77" s="134">
        <v>31.88</v>
      </c>
      <c r="I77" s="134">
        <v>4.7300000000000004</v>
      </c>
      <c r="J77" s="134">
        <v>0.18</v>
      </c>
      <c r="K77" s="134">
        <v>20.93</v>
      </c>
      <c r="L77" s="134">
        <v>39.94</v>
      </c>
      <c r="M77" s="134">
        <v>16.63</v>
      </c>
      <c r="N77" s="134">
        <v>91.3</v>
      </c>
      <c r="O77" s="134">
        <v>0</v>
      </c>
      <c r="P77" s="134">
        <v>0.56999999999999995</v>
      </c>
      <c r="Q77" s="134">
        <v>5.33</v>
      </c>
    </row>
    <row r="78" spans="1:17" customFormat="1">
      <c r="A78" s="112" t="s">
        <v>787</v>
      </c>
      <c r="B78" s="134">
        <v>6.94</v>
      </c>
      <c r="C78" s="134">
        <v>55.61</v>
      </c>
      <c r="D78" s="134">
        <v>33.58</v>
      </c>
      <c r="E78" s="134">
        <v>11.41</v>
      </c>
      <c r="F78" s="134">
        <v>44.21</v>
      </c>
      <c r="G78" s="134">
        <v>44.62</v>
      </c>
      <c r="H78" s="134">
        <v>30.56</v>
      </c>
      <c r="I78" s="134">
        <v>4.63</v>
      </c>
      <c r="J78" s="134">
        <v>0.31</v>
      </c>
      <c r="K78" s="134">
        <v>2.96</v>
      </c>
      <c r="L78" s="134">
        <v>40.020000000000003</v>
      </c>
      <c r="M78" s="134">
        <v>16.38</v>
      </c>
      <c r="N78" s="134">
        <v>133.6</v>
      </c>
      <c r="O78" s="134">
        <v>0</v>
      </c>
      <c r="P78" s="134">
        <v>0.57999999999999996</v>
      </c>
      <c r="Q78" s="134">
        <v>5.31</v>
      </c>
    </row>
    <row r="79" spans="1:17" customFormat="1">
      <c r="A79" s="112" t="s">
        <v>788</v>
      </c>
      <c r="B79" s="134">
        <v>9.85</v>
      </c>
      <c r="C79" s="134">
        <v>61.2</v>
      </c>
      <c r="D79" s="134">
        <v>39.06</v>
      </c>
      <c r="E79" s="134">
        <v>18.22</v>
      </c>
      <c r="F79" s="134">
        <v>32.270000000000003</v>
      </c>
      <c r="G79" s="134">
        <v>50.36</v>
      </c>
      <c r="H79" s="134">
        <v>29.42</v>
      </c>
      <c r="I79" s="134">
        <v>4.33</v>
      </c>
      <c r="J79" s="134">
        <v>0.28000000000000003</v>
      </c>
      <c r="K79" s="134">
        <v>55.61</v>
      </c>
      <c r="L79" s="134">
        <v>40.270000000000003</v>
      </c>
      <c r="M79" s="134">
        <v>16.420000000000002</v>
      </c>
      <c r="N79" s="134">
        <v>75.8</v>
      </c>
      <c r="O79" s="134">
        <v>0</v>
      </c>
      <c r="P79" s="134">
        <v>0.62</v>
      </c>
      <c r="Q79" s="134">
        <v>5.29</v>
      </c>
    </row>
    <row r="80" spans="1:17" customFormat="1">
      <c r="A80" s="112" t="s">
        <v>789</v>
      </c>
      <c r="B80" s="134">
        <v>13.09</v>
      </c>
      <c r="C80" s="134">
        <v>65.81</v>
      </c>
      <c r="D80" s="134">
        <v>43.84</v>
      </c>
      <c r="E80" s="134">
        <v>19.75</v>
      </c>
      <c r="F80" s="134">
        <v>24.53</v>
      </c>
      <c r="G80" s="134">
        <v>50.36</v>
      </c>
      <c r="H80" s="134">
        <v>29.42</v>
      </c>
      <c r="I80" s="134">
        <v>4.22</v>
      </c>
      <c r="J80" s="134">
        <v>0.21</v>
      </c>
      <c r="K80" s="134">
        <v>81.650000000000006</v>
      </c>
      <c r="L80" s="134">
        <v>39.67</v>
      </c>
      <c r="M80" s="134">
        <v>18.5</v>
      </c>
      <c r="N80" s="134">
        <v>46.8</v>
      </c>
      <c r="O80" s="134">
        <v>0</v>
      </c>
      <c r="P80" s="134">
        <v>0.66</v>
      </c>
      <c r="Q80" s="134">
        <v>5.29</v>
      </c>
    </row>
    <row r="81" spans="1:17" customFormat="1">
      <c r="A81" s="112" t="s">
        <v>790</v>
      </c>
      <c r="B81" s="134">
        <v>5.63</v>
      </c>
      <c r="C81" s="134">
        <v>55.36</v>
      </c>
      <c r="D81" s="134">
        <v>32.39</v>
      </c>
      <c r="E81" s="134">
        <v>14.68</v>
      </c>
      <c r="F81" s="134">
        <v>42.41</v>
      </c>
      <c r="G81" s="134">
        <v>50.36</v>
      </c>
      <c r="H81" s="134">
        <v>29.42</v>
      </c>
      <c r="I81" s="134">
        <v>4.32</v>
      </c>
      <c r="J81" s="134">
        <v>0.23</v>
      </c>
      <c r="K81" s="134">
        <v>170.67</v>
      </c>
      <c r="L81" s="134">
        <v>38.409999999999997</v>
      </c>
      <c r="M81" s="134">
        <v>21.36</v>
      </c>
      <c r="N81" s="134">
        <v>11.4</v>
      </c>
      <c r="O81" s="134">
        <v>0</v>
      </c>
      <c r="P81" s="134">
        <v>0.59</v>
      </c>
      <c r="Q81" s="134">
        <v>5.28</v>
      </c>
    </row>
    <row r="82" spans="1:17" customFormat="1">
      <c r="A82" s="112" t="s">
        <v>791</v>
      </c>
      <c r="B82" s="134">
        <v>4.82</v>
      </c>
      <c r="C82" s="134">
        <v>54.01</v>
      </c>
      <c r="D82" s="134">
        <v>31.04</v>
      </c>
      <c r="E82" s="134">
        <v>20.92</v>
      </c>
      <c r="F82" s="134">
        <v>34.700000000000003</v>
      </c>
      <c r="G82" s="134">
        <v>57.2</v>
      </c>
      <c r="H82" s="134">
        <v>31.81</v>
      </c>
      <c r="I82" s="134">
        <v>4.37</v>
      </c>
      <c r="J82" s="134">
        <v>0.24</v>
      </c>
      <c r="K82" s="134">
        <v>172.51</v>
      </c>
      <c r="L82" s="134">
        <v>37.36</v>
      </c>
      <c r="M82" s="134">
        <v>22.9</v>
      </c>
      <c r="N82" s="134">
        <v>0.4</v>
      </c>
      <c r="O82" s="134">
        <v>0</v>
      </c>
      <c r="P82" s="134">
        <v>0.61</v>
      </c>
      <c r="Q82" s="134">
        <v>5.25</v>
      </c>
    </row>
    <row r="83" spans="1:17" customFormat="1">
      <c r="A83" s="112" t="s">
        <v>792</v>
      </c>
      <c r="B83" s="134">
        <v>5.0199999999999996</v>
      </c>
      <c r="C83" s="134">
        <v>49.44</v>
      </c>
      <c r="D83" s="134">
        <v>28.82</v>
      </c>
      <c r="E83" s="134">
        <v>17.21</v>
      </c>
      <c r="F83" s="134">
        <v>39.01</v>
      </c>
      <c r="G83" s="134">
        <v>67</v>
      </c>
      <c r="H83" s="134">
        <v>33.869999999999997</v>
      </c>
      <c r="I83" s="134">
        <v>4.22</v>
      </c>
      <c r="J83" s="134">
        <v>0.16</v>
      </c>
      <c r="K83" s="134">
        <v>177.66</v>
      </c>
      <c r="L83" s="134">
        <v>36.380000000000003</v>
      </c>
      <c r="M83" s="134">
        <v>25.92</v>
      </c>
      <c r="N83" s="134">
        <v>0</v>
      </c>
      <c r="O83" s="134">
        <v>0</v>
      </c>
      <c r="P83" s="134">
        <v>0.59</v>
      </c>
      <c r="Q83" s="134">
        <v>5.31</v>
      </c>
    </row>
    <row r="84" spans="1:17" customFormat="1">
      <c r="A84" s="112" t="s">
        <v>793</v>
      </c>
      <c r="B84" s="134">
        <v>19.079999999999998</v>
      </c>
      <c r="C84" s="134">
        <v>49.67</v>
      </c>
      <c r="D84" s="134">
        <v>42.77</v>
      </c>
      <c r="E84" s="134">
        <v>17.809999999999999</v>
      </c>
      <c r="F84" s="134">
        <v>30.37</v>
      </c>
      <c r="G84" s="134">
        <v>67</v>
      </c>
      <c r="H84" s="134">
        <v>33.869999999999997</v>
      </c>
      <c r="I84" s="134">
        <v>4.5</v>
      </c>
      <c r="J84" s="134">
        <v>0.38</v>
      </c>
      <c r="K84" s="134">
        <v>69.72</v>
      </c>
      <c r="L84" s="134">
        <v>36.020000000000003</v>
      </c>
      <c r="M84" s="134">
        <v>25.55</v>
      </c>
      <c r="N84" s="134">
        <v>0</v>
      </c>
      <c r="O84" s="134">
        <v>0</v>
      </c>
      <c r="P84" s="134">
        <v>0.73</v>
      </c>
      <c r="Q84" s="134">
        <v>5.32</v>
      </c>
    </row>
    <row r="85" spans="1:17" customFormat="1">
      <c r="A85" s="112" t="s">
        <v>794</v>
      </c>
      <c r="B85" s="134">
        <v>11.54</v>
      </c>
      <c r="C85" s="134">
        <v>57.49</v>
      </c>
      <c r="D85" s="134">
        <v>38.25</v>
      </c>
      <c r="E85" s="134">
        <v>11.19</v>
      </c>
      <c r="F85" s="134">
        <v>24.05</v>
      </c>
      <c r="G85" s="134">
        <v>67</v>
      </c>
      <c r="H85" s="134">
        <v>33.869999999999997</v>
      </c>
      <c r="I85" s="134">
        <v>4.92</v>
      </c>
      <c r="J85" s="134">
        <v>1.2</v>
      </c>
      <c r="K85" s="134">
        <v>62.45</v>
      </c>
      <c r="L85" s="134">
        <v>36.619999999999997</v>
      </c>
      <c r="M85" s="134">
        <v>22.43</v>
      </c>
      <c r="N85" s="134">
        <v>0</v>
      </c>
      <c r="O85" s="134">
        <v>0</v>
      </c>
      <c r="P85" s="134">
        <v>0.71</v>
      </c>
      <c r="Q85" s="134">
        <v>5.33</v>
      </c>
    </row>
    <row r="86" spans="1:17" customFormat="1">
      <c r="A86" s="112" t="s">
        <v>795</v>
      </c>
      <c r="B86" s="134">
        <v>11.47</v>
      </c>
      <c r="C86" s="134">
        <v>56.44</v>
      </c>
      <c r="D86" s="134">
        <v>37.64</v>
      </c>
      <c r="E86" s="134">
        <v>11.77</v>
      </c>
      <c r="F86" s="134">
        <v>24.86</v>
      </c>
      <c r="G86" s="134">
        <v>71.540000000000006</v>
      </c>
      <c r="H86" s="134">
        <v>34.07</v>
      </c>
      <c r="I86" s="134">
        <v>5.52</v>
      </c>
      <c r="J86" s="134">
        <v>0.69</v>
      </c>
      <c r="K86" s="134">
        <v>61.95</v>
      </c>
      <c r="L86" s="134">
        <v>36.729999999999997</v>
      </c>
      <c r="M86" s="134">
        <v>22.14</v>
      </c>
      <c r="N86" s="134">
        <v>0</v>
      </c>
      <c r="O86" s="134">
        <v>0</v>
      </c>
      <c r="P86" s="134">
        <v>0.77</v>
      </c>
      <c r="Q86" s="134">
        <v>5.39</v>
      </c>
    </row>
    <row r="87" spans="1:17" customFormat="1">
      <c r="A87" s="112" t="s">
        <v>796</v>
      </c>
      <c r="B87" s="134">
        <v>16.72</v>
      </c>
      <c r="C87" s="134">
        <v>62.56</v>
      </c>
      <c r="D87" s="134">
        <v>45.05</v>
      </c>
      <c r="E87" s="134">
        <v>20.49</v>
      </c>
      <c r="F87" s="134">
        <v>19.97</v>
      </c>
      <c r="G87" s="134">
        <v>78.03</v>
      </c>
      <c r="H87" s="134">
        <v>34.58</v>
      </c>
      <c r="I87" s="134">
        <v>5.91</v>
      </c>
      <c r="J87" s="134">
        <v>0.57999999999999996</v>
      </c>
      <c r="K87" s="134">
        <v>57.2</v>
      </c>
      <c r="L87" s="134">
        <v>36.49</v>
      </c>
      <c r="M87" s="134">
        <v>22.35</v>
      </c>
      <c r="N87" s="134">
        <v>0</v>
      </c>
      <c r="O87" s="134">
        <v>0</v>
      </c>
      <c r="P87" s="134">
        <v>0.77</v>
      </c>
      <c r="Q87" s="134">
        <v>5.39</v>
      </c>
    </row>
    <row r="88" spans="1:17" customFormat="1">
      <c r="A88" s="112" t="s">
        <v>797</v>
      </c>
      <c r="B88" s="134">
        <v>13.03</v>
      </c>
      <c r="C88" s="134">
        <v>60.29</v>
      </c>
      <c r="D88" s="134">
        <v>40.9</v>
      </c>
      <c r="E88" s="134">
        <v>21.27</v>
      </c>
      <c r="F88" s="134">
        <v>18.48</v>
      </c>
      <c r="G88" s="134">
        <v>78.03</v>
      </c>
      <c r="H88" s="134">
        <v>34.58</v>
      </c>
      <c r="I88" s="134">
        <v>5.5</v>
      </c>
      <c r="J88" s="134">
        <v>0.16</v>
      </c>
      <c r="K88" s="134">
        <v>130.13999999999999</v>
      </c>
      <c r="L88" s="134">
        <v>36.200000000000003</v>
      </c>
      <c r="M88" s="134">
        <v>24.21</v>
      </c>
      <c r="N88" s="134">
        <v>0</v>
      </c>
      <c r="O88" s="134">
        <v>0</v>
      </c>
      <c r="P88" s="134">
        <v>0.75</v>
      </c>
      <c r="Q88" s="134">
        <v>5.43</v>
      </c>
    </row>
    <row r="89" spans="1:17" customFormat="1">
      <c r="A89" s="112" t="s">
        <v>798</v>
      </c>
      <c r="B89" s="134">
        <v>13.18</v>
      </c>
      <c r="C89" s="134">
        <v>62.37</v>
      </c>
      <c r="D89" s="134">
        <v>42.11</v>
      </c>
      <c r="E89" s="134">
        <v>15.37</v>
      </c>
      <c r="F89" s="134">
        <v>11.18</v>
      </c>
      <c r="G89" s="134">
        <v>78.03</v>
      </c>
      <c r="H89" s="134">
        <v>34.58</v>
      </c>
      <c r="I89" s="134">
        <v>5.76</v>
      </c>
      <c r="J89" s="134">
        <v>0.16</v>
      </c>
      <c r="K89" s="134">
        <v>196.57</v>
      </c>
      <c r="L89" s="134">
        <v>35.299999999999997</v>
      </c>
      <c r="M89" s="134">
        <v>26.31</v>
      </c>
      <c r="N89" s="134">
        <v>0</v>
      </c>
      <c r="O89" s="134">
        <v>0</v>
      </c>
      <c r="P89" s="134">
        <v>0.76</v>
      </c>
      <c r="Q89" s="134">
        <v>5.51</v>
      </c>
    </row>
    <row r="90" spans="1:17" customFormat="1">
      <c r="A90" s="112" t="s">
        <v>799</v>
      </c>
      <c r="B90" s="134">
        <v>9.9</v>
      </c>
      <c r="C90" s="134">
        <v>57.86</v>
      </c>
      <c r="D90" s="134">
        <v>37.119999999999997</v>
      </c>
      <c r="E90" s="134">
        <v>16.73</v>
      </c>
      <c r="F90" s="134">
        <v>18.579999999999998</v>
      </c>
      <c r="G90" s="134">
        <v>76.98</v>
      </c>
      <c r="H90" s="134">
        <v>34.97</v>
      </c>
      <c r="I90" s="134">
        <v>5.9</v>
      </c>
      <c r="J90" s="134">
        <v>0.25</v>
      </c>
      <c r="K90" s="134">
        <v>186.82</v>
      </c>
      <c r="L90" s="134">
        <v>34.42</v>
      </c>
      <c r="M90" s="134">
        <v>29.26</v>
      </c>
      <c r="N90" s="134">
        <v>0</v>
      </c>
      <c r="O90" s="134">
        <v>0</v>
      </c>
      <c r="P90" s="134">
        <v>0.68</v>
      </c>
      <c r="Q90" s="134">
        <v>5.63</v>
      </c>
    </row>
    <row r="91" spans="1:17" customFormat="1">
      <c r="A91" s="112" t="s">
        <v>800</v>
      </c>
      <c r="B91" s="134">
        <v>9.2799999999999994</v>
      </c>
      <c r="C91" s="134">
        <v>52.16</v>
      </c>
      <c r="D91" s="134">
        <v>33.65</v>
      </c>
      <c r="E91" s="134">
        <v>15.95</v>
      </c>
      <c r="F91" s="134">
        <v>22.68</v>
      </c>
      <c r="G91" s="134">
        <v>75.489999999999995</v>
      </c>
      <c r="H91" s="134">
        <v>35.31</v>
      </c>
      <c r="I91" s="134">
        <v>5.76</v>
      </c>
      <c r="J91" s="134">
        <v>0.14000000000000001</v>
      </c>
      <c r="K91" s="134">
        <v>197.42</v>
      </c>
      <c r="L91" s="134">
        <v>33.76</v>
      </c>
      <c r="M91" s="134">
        <v>29.88</v>
      </c>
      <c r="N91" s="134">
        <v>0</v>
      </c>
      <c r="O91" s="134">
        <v>0</v>
      </c>
      <c r="P91" s="134">
        <v>0.67</v>
      </c>
      <c r="Q91" s="134">
        <v>5.59</v>
      </c>
    </row>
    <row r="92" spans="1:17" customFormat="1">
      <c r="A92" s="112" t="s">
        <v>801</v>
      </c>
      <c r="B92" s="134">
        <v>9.4</v>
      </c>
      <c r="C92" s="134">
        <v>49.06</v>
      </c>
      <c r="D92" s="134">
        <v>32.130000000000003</v>
      </c>
      <c r="E92" s="134">
        <v>15.82</v>
      </c>
      <c r="F92" s="134">
        <v>22.7</v>
      </c>
      <c r="G92" s="134">
        <v>75.489999999999995</v>
      </c>
      <c r="H92" s="134">
        <v>35.31</v>
      </c>
      <c r="I92" s="134">
        <v>5.59</v>
      </c>
      <c r="J92" s="134">
        <v>0.19</v>
      </c>
      <c r="K92" s="134">
        <v>178.41</v>
      </c>
      <c r="L92" s="134">
        <v>33.520000000000003</v>
      </c>
      <c r="M92" s="134">
        <v>30.92</v>
      </c>
      <c r="N92" s="134">
        <v>0</v>
      </c>
      <c r="O92" s="134">
        <v>0</v>
      </c>
      <c r="P92" s="134">
        <v>0.64</v>
      </c>
      <c r="Q92" s="134">
        <v>5.51</v>
      </c>
    </row>
    <row r="93" spans="1:17" customFormat="1">
      <c r="A93" s="112" t="s">
        <v>802</v>
      </c>
      <c r="B93" s="134">
        <v>9.56</v>
      </c>
      <c r="C93" s="134">
        <v>47.93</v>
      </c>
      <c r="D93" s="134">
        <v>31.66</v>
      </c>
      <c r="E93" s="134">
        <v>15.11</v>
      </c>
      <c r="F93" s="134">
        <v>20.84</v>
      </c>
      <c r="G93" s="134">
        <v>75.489999999999995</v>
      </c>
      <c r="H93" s="134">
        <v>35.31</v>
      </c>
      <c r="I93" s="134">
        <v>5.31</v>
      </c>
      <c r="J93" s="134">
        <v>0.19</v>
      </c>
      <c r="K93" s="134">
        <v>193.48</v>
      </c>
      <c r="L93" s="134">
        <v>33.19</v>
      </c>
      <c r="M93" s="134">
        <v>31.45</v>
      </c>
      <c r="N93" s="134">
        <v>0</v>
      </c>
      <c r="O93" s="134">
        <v>0</v>
      </c>
      <c r="P93" s="134">
        <v>0.64</v>
      </c>
      <c r="Q93" s="134">
        <v>5.44</v>
      </c>
    </row>
    <row r="94" spans="1:17" customFormat="1">
      <c r="A94" s="112" t="s">
        <v>803</v>
      </c>
      <c r="B94" s="134">
        <v>11.02</v>
      </c>
      <c r="C94" s="134">
        <v>49.99</v>
      </c>
      <c r="D94" s="134">
        <v>33.909999999999997</v>
      </c>
      <c r="E94" s="134">
        <v>11.54</v>
      </c>
      <c r="F94" s="134">
        <v>14.92</v>
      </c>
      <c r="G94" s="134">
        <v>72.62</v>
      </c>
      <c r="H94" s="134">
        <v>34.479999999999997</v>
      </c>
      <c r="I94" s="134">
        <v>5.19</v>
      </c>
      <c r="J94" s="134">
        <v>0.25</v>
      </c>
      <c r="K94" s="134">
        <v>172.61</v>
      </c>
      <c r="L94" s="134">
        <v>32.69</v>
      </c>
      <c r="M94" s="134">
        <v>34.51</v>
      </c>
      <c r="N94" s="134">
        <v>0</v>
      </c>
      <c r="O94" s="134">
        <v>0</v>
      </c>
      <c r="P94" s="134">
        <v>0.68</v>
      </c>
      <c r="Q94" s="134">
        <v>5.37</v>
      </c>
    </row>
    <row r="95" spans="1:17" customFormat="1">
      <c r="A95" s="112" t="s">
        <v>804</v>
      </c>
      <c r="B95" s="134">
        <v>11.54</v>
      </c>
      <c r="C95" s="134">
        <v>55.71</v>
      </c>
      <c r="D95" s="134">
        <v>37.32</v>
      </c>
      <c r="E95" s="134">
        <v>10.72</v>
      </c>
      <c r="F95" s="134">
        <v>15.41</v>
      </c>
      <c r="G95" s="134">
        <v>68.5</v>
      </c>
      <c r="H95" s="134">
        <v>33.770000000000003</v>
      </c>
      <c r="I95" s="134">
        <v>5.28</v>
      </c>
      <c r="J95" s="134">
        <v>0.18</v>
      </c>
      <c r="K95" s="134">
        <v>170.99</v>
      </c>
      <c r="L95" s="134">
        <v>32.42</v>
      </c>
      <c r="M95" s="134">
        <v>33.79</v>
      </c>
      <c r="N95" s="134">
        <v>0</v>
      </c>
      <c r="O95" s="134">
        <v>0</v>
      </c>
      <c r="P95" s="134">
        <v>0.67</v>
      </c>
      <c r="Q95" s="134">
        <v>5.56</v>
      </c>
    </row>
    <row r="96" spans="1:17" customFormat="1">
      <c r="A96" s="112" t="s">
        <v>805</v>
      </c>
      <c r="B96" s="134">
        <v>10.32</v>
      </c>
      <c r="C96" s="134">
        <v>52.05</v>
      </c>
      <c r="D96" s="134">
        <v>34.43</v>
      </c>
      <c r="E96" s="134">
        <v>11.47</v>
      </c>
      <c r="F96" s="134">
        <v>17.78</v>
      </c>
      <c r="G96" s="134">
        <v>68.5</v>
      </c>
      <c r="H96" s="134">
        <v>33.770000000000003</v>
      </c>
      <c r="I96" s="134">
        <v>5.64</v>
      </c>
      <c r="J96" s="134">
        <v>0.22</v>
      </c>
      <c r="K96" s="134">
        <v>179.26</v>
      </c>
      <c r="L96" s="134">
        <v>32.19</v>
      </c>
      <c r="M96" s="134">
        <v>35.36</v>
      </c>
      <c r="N96" s="134">
        <v>0</v>
      </c>
      <c r="O96" s="134">
        <v>0</v>
      </c>
      <c r="P96" s="134">
        <v>0.66</v>
      </c>
      <c r="Q96" s="134">
        <v>5.57</v>
      </c>
    </row>
    <row r="97" spans="1:22" customFormat="1">
      <c r="A97" s="112" t="s">
        <v>806</v>
      </c>
      <c r="B97" s="134">
        <v>12.94</v>
      </c>
      <c r="C97" s="134">
        <v>55.36</v>
      </c>
      <c r="D97" s="134">
        <v>38.25</v>
      </c>
      <c r="E97" s="134">
        <v>8.7799999999999994</v>
      </c>
      <c r="F97" s="134">
        <v>12.01</v>
      </c>
      <c r="G97" s="134">
        <v>68.5</v>
      </c>
      <c r="H97" s="134">
        <v>33.770000000000003</v>
      </c>
      <c r="I97" s="134">
        <v>5.7</v>
      </c>
      <c r="J97" s="134">
        <v>0.21</v>
      </c>
      <c r="K97" s="134">
        <v>173.29</v>
      </c>
      <c r="L97" s="134">
        <v>31.76</v>
      </c>
      <c r="M97" s="134">
        <v>36.24</v>
      </c>
      <c r="N97" s="134">
        <v>0</v>
      </c>
      <c r="O97" s="134">
        <v>0</v>
      </c>
      <c r="P97" s="134">
        <v>0.68</v>
      </c>
      <c r="Q97" s="134">
        <v>5.51</v>
      </c>
    </row>
    <row r="98" spans="1:22" customFormat="1">
      <c r="A98" s="112" t="s">
        <v>807</v>
      </c>
      <c r="B98" s="134">
        <v>11.41</v>
      </c>
      <c r="C98" s="134">
        <v>53.15</v>
      </c>
      <c r="D98" s="134">
        <v>35.869999999999997</v>
      </c>
      <c r="E98" s="134">
        <v>9.8800000000000008</v>
      </c>
      <c r="F98" s="134">
        <v>14.19</v>
      </c>
      <c r="G98" s="134">
        <v>68.09</v>
      </c>
      <c r="H98" s="134">
        <v>33.840000000000003</v>
      </c>
      <c r="I98" s="134">
        <v>5.59</v>
      </c>
      <c r="J98" s="134">
        <v>0.24</v>
      </c>
      <c r="K98" s="134">
        <v>168.01</v>
      </c>
      <c r="L98" s="134">
        <v>31.64</v>
      </c>
      <c r="M98" s="134">
        <v>37.450000000000003</v>
      </c>
      <c r="N98" s="134">
        <v>0</v>
      </c>
      <c r="O98" s="134">
        <v>0</v>
      </c>
      <c r="P98" s="134">
        <v>0.68</v>
      </c>
      <c r="Q98" s="134">
        <v>5.6</v>
      </c>
    </row>
    <row r="99" spans="1:22" customFormat="1">
      <c r="A99" s="112" t="s">
        <v>808</v>
      </c>
      <c r="B99" s="134">
        <v>13.65</v>
      </c>
      <c r="C99" s="134">
        <v>55.3</v>
      </c>
      <c r="D99" s="134">
        <v>38.799999999999997</v>
      </c>
      <c r="E99" s="134">
        <v>7.67</v>
      </c>
      <c r="F99" s="134">
        <v>10.51</v>
      </c>
      <c r="G99" s="134">
        <v>67.510000000000005</v>
      </c>
      <c r="H99" s="134">
        <v>33.9</v>
      </c>
      <c r="I99" s="134">
        <v>5.75</v>
      </c>
      <c r="J99" s="134">
        <v>0.21</v>
      </c>
      <c r="K99" s="134">
        <v>182.16</v>
      </c>
      <c r="L99" s="134">
        <v>31.05</v>
      </c>
      <c r="M99" s="134">
        <v>39.65</v>
      </c>
      <c r="N99" s="134">
        <v>0</v>
      </c>
      <c r="O99" s="134">
        <v>0</v>
      </c>
      <c r="P99" s="134">
        <v>0.69</v>
      </c>
      <c r="Q99" s="134">
        <v>5.51</v>
      </c>
    </row>
    <row r="100" spans="1:22" customFormat="1">
      <c r="A100" s="112" t="s">
        <v>809</v>
      </c>
      <c r="B100" s="134">
        <v>13.29</v>
      </c>
      <c r="C100" s="134">
        <v>57.09</v>
      </c>
      <c r="D100" s="134">
        <v>39.44</v>
      </c>
      <c r="E100" s="134">
        <v>9.6199999999999992</v>
      </c>
      <c r="F100" s="134">
        <v>12.65</v>
      </c>
      <c r="G100" s="134">
        <v>67.510000000000005</v>
      </c>
      <c r="H100" s="134">
        <v>33.9</v>
      </c>
      <c r="I100" s="134">
        <v>5.77</v>
      </c>
      <c r="J100" s="134">
        <v>0.14000000000000001</v>
      </c>
      <c r="K100" s="134">
        <v>187.28</v>
      </c>
      <c r="L100" s="134">
        <v>30.88</v>
      </c>
      <c r="M100" s="134">
        <v>38.880000000000003</v>
      </c>
      <c r="N100" s="134">
        <v>0</v>
      </c>
      <c r="O100" s="134">
        <v>0</v>
      </c>
      <c r="P100" s="134">
        <v>0.68</v>
      </c>
      <c r="Q100" s="134">
        <v>5.62</v>
      </c>
    </row>
    <row r="101" spans="1:22" customFormat="1">
      <c r="A101" s="112" t="s">
        <v>810</v>
      </c>
      <c r="B101" s="134">
        <v>15.58</v>
      </c>
      <c r="C101" s="134">
        <v>54.54</v>
      </c>
      <c r="D101" s="134">
        <v>39.950000000000003</v>
      </c>
      <c r="E101" s="134">
        <v>9.73</v>
      </c>
      <c r="F101" s="134">
        <v>11.09</v>
      </c>
      <c r="G101" s="134">
        <v>67.510000000000005</v>
      </c>
      <c r="H101" s="134">
        <v>33.9</v>
      </c>
      <c r="I101" s="134">
        <v>5.83</v>
      </c>
      <c r="J101" s="134">
        <v>0.18</v>
      </c>
      <c r="K101" s="134">
        <v>158.88999999999999</v>
      </c>
      <c r="L101" s="134">
        <v>30.85</v>
      </c>
      <c r="M101" s="134">
        <v>38.78</v>
      </c>
      <c r="N101" s="134">
        <v>0</v>
      </c>
      <c r="O101" s="134">
        <v>0</v>
      </c>
      <c r="P101" s="134">
        <v>0.67</v>
      </c>
      <c r="Q101" s="134">
        <v>5.54</v>
      </c>
    </row>
    <row r="102" spans="1:22" customFormat="1">
      <c r="A102" s="112" t="s">
        <v>811</v>
      </c>
      <c r="B102" s="134">
        <v>58.3</v>
      </c>
      <c r="C102" s="134">
        <v>66.98</v>
      </c>
      <c r="D102" s="134">
        <v>81.2</v>
      </c>
      <c r="E102" s="134">
        <v>10.11</v>
      </c>
      <c r="F102" s="134">
        <v>4.95</v>
      </c>
      <c r="G102" s="134">
        <v>66.02</v>
      </c>
      <c r="H102" s="134">
        <v>33.03</v>
      </c>
      <c r="I102" s="134">
        <v>5.74</v>
      </c>
      <c r="J102" s="134">
        <v>0.17</v>
      </c>
      <c r="K102" s="134">
        <v>134.16999999999999</v>
      </c>
      <c r="L102" s="134">
        <v>31.22</v>
      </c>
      <c r="M102" s="134">
        <v>38.35</v>
      </c>
      <c r="N102" s="134">
        <v>0</v>
      </c>
      <c r="O102" s="134">
        <v>0</v>
      </c>
      <c r="P102" s="134">
        <v>0.85</v>
      </c>
      <c r="Q102" s="134">
        <v>5.66</v>
      </c>
    </row>
    <row r="103" spans="1:22" customFormat="1">
      <c r="A103" s="112" t="s">
        <v>812</v>
      </c>
      <c r="B103" s="134">
        <v>36.799999999999997</v>
      </c>
      <c r="C103" s="134">
        <v>63.32</v>
      </c>
      <c r="D103" s="134">
        <v>61.55</v>
      </c>
      <c r="E103" s="134">
        <v>9.31</v>
      </c>
      <c r="F103" s="134">
        <v>4.03</v>
      </c>
      <c r="G103" s="134">
        <v>63.89</v>
      </c>
      <c r="H103" s="134">
        <v>32.270000000000003</v>
      </c>
      <c r="I103" s="134">
        <v>5.88</v>
      </c>
      <c r="J103" s="134">
        <v>0.19</v>
      </c>
      <c r="K103" s="134">
        <v>160.81</v>
      </c>
      <c r="L103" s="134">
        <v>31</v>
      </c>
      <c r="M103" s="134">
        <v>40.5</v>
      </c>
      <c r="N103" s="134">
        <v>0</v>
      </c>
      <c r="O103" s="134">
        <v>0</v>
      </c>
      <c r="P103" s="134">
        <v>0.78</v>
      </c>
      <c r="Q103" s="134">
        <v>5.77</v>
      </c>
    </row>
    <row r="104" spans="1:22" customFormat="1">
      <c r="A104" s="112" t="s">
        <v>813</v>
      </c>
      <c r="B104" s="134">
        <v>32.24</v>
      </c>
      <c r="C104" s="134">
        <v>65.19</v>
      </c>
      <c r="D104" s="134">
        <v>58.87</v>
      </c>
      <c r="E104" s="134">
        <v>8.42</v>
      </c>
      <c r="F104" s="134">
        <v>3.43</v>
      </c>
      <c r="G104" s="134">
        <v>63.89</v>
      </c>
      <c r="H104" s="134">
        <v>32.270000000000003</v>
      </c>
      <c r="I104" s="134">
        <v>6.28</v>
      </c>
      <c r="J104" s="134">
        <v>0.21</v>
      </c>
      <c r="K104" s="134">
        <v>179.84</v>
      </c>
      <c r="L104" s="134">
        <v>30.53</v>
      </c>
      <c r="M104" s="134">
        <v>41</v>
      </c>
      <c r="N104" s="134">
        <v>0</v>
      </c>
      <c r="O104" s="134">
        <v>0</v>
      </c>
      <c r="P104" s="134">
        <v>0.77</v>
      </c>
      <c r="Q104" s="134">
        <v>5.95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2.4700000000000002</v>
      </c>
      <c r="C106" s="183">
        <f>MIN(C9:C104)</f>
        <v>42.27</v>
      </c>
      <c r="D106" s="183">
        <f t="shared" ref="D106:Q106" si="0">MIN(D9:D104)</f>
        <v>23.13</v>
      </c>
      <c r="E106" s="183">
        <f t="shared" si="0"/>
        <v>5.26</v>
      </c>
      <c r="F106" s="183">
        <f t="shared" si="0"/>
        <v>3.43</v>
      </c>
      <c r="G106" s="183">
        <f t="shared" si="0"/>
        <v>34.89</v>
      </c>
      <c r="H106" s="183">
        <f t="shared" si="0"/>
        <v>18.8</v>
      </c>
      <c r="I106" s="183">
        <f t="shared" si="0"/>
        <v>4.22</v>
      </c>
      <c r="J106" s="183">
        <f t="shared" si="0"/>
        <v>0.06</v>
      </c>
      <c r="K106" s="183">
        <f t="shared" si="0"/>
        <v>2.96</v>
      </c>
      <c r="L106" s="183">
        <f t="shared" si="0"/>
        <v>26.34</v>
      </c>
      <c r="M106" s="183">
        <f t="shared" si="0"/>
        <v>11.63</v>
      </c>
      <c r="N106" s="183">
        <f t="shared" si="0"/>
        <v>0</v>
      </c>
      <c r="O106" s="183">
        <f t="shared" si="0"/>
        <v>0</v>
      </c>
      <c r="P106" s="183">
        <f t="shared" si="0"/>
        <v>0.52</v>
      </c>
      <c r="Q106" s="183">
        <f t="shared" si="0"/>
        <v>4.76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58.3</v>
      </c>
      <c r="C107" s="184">
        <f t="shared" ref="C107:Q107" si="1">MAX(C9:C104)</f>
        <v>69.75</v>
      </c>
      <c r="D107" s="184">
        <f t="shared" si="1"/>
        <v>81.2</v>
      </c>
      <c r="E107" s="184">
        <f t="shared" si="1"/>
        <v>21.27</v>
      </c>
      <c r="F107" s="184">
        <f t="shared" si="1"/>
        <v>49.92</v>
      </c>
      <c r="G107" s="184">
        <f t="shared" si="1"/>
        <v>78.03</v>
      </c>
      <c r="H107" s="184">
        <f t="shared" si="1"/>
        <v>39.950000000000003</v>
      </c>
      <c r="I107" s="184">
        <f t="shared" si="1"/>
        <v>6.45</v>
      </c>
      <c r="J107" s="184">
        <f t="shared" si="1"/>
        <v>1.24</v>
      </c>
      <c r="K107" s="184">
        <f t="shared" si="1"/>
        <v>358.56</v>
      </c>
      <c r="L107" s="184">
        <f t="shared" si="1"/>
        <v>42.78</v>
      </c>
      <c r="M107" s="184">
        <f t="shared" si="1"/>
        <v>68.39</v>
      </c>
      <c r="N107" s="184">
        <f t="shared" si="1"/>
        <v>890.6</v>
      </c>
      <c r="O107" s="184">
        <f t="shared" si="1"/>
        <v>0</v>
      </c>
      <c r="P107" s="184">
        <f t="shared" si="1"/>
        <v>0.85</v>
      </c>
      <c r="Q107" s="184">
        <f t="shared" si="1"/>
        <v>6.22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12.846458333333336</v>
      </c>
      <c r="C108" s="183">
        <f t="shared" ref="C108:Q108" si="2">AVERAGE(C9:C104)</f>
        <v>57.13927083333332</v>
      </c>
      <c r="D108" s="183">
        <f t="shared" si="2"/>
        <v>39.14510416666667</v>
      </c>
      <c r="E108" s="183">
        <f t="shared" si="2"/>
        <v>9.7622916666666661</v>
      </c>
      <c r="F108" s="183">
        <f t="shared" si="2"/>
        <v>19.751458333333339</v>
      </c>
      <c r="G108" s="183">
        <f t="shared" si="2"/>
        <v>53.976041666666674</v>
      </c>
      <c r="H108" s="183">
        <f t="shared" si="2"/>
        <v>30.322708333333338</v>
      </c>
      <c r="I108" s="183">
        <f t="shared" si="2"/>
        <v>5.6678124999999966</v>
      </c>
      <c r="J108" s="183">
        <f t="shared" si="2"/>
        <v>0.36947916666666658</v>
      </c>
      <c r="K108" s="183">
        <f t="shared" si="2"/>
        <v>173.09093750000002</v>
      </c>
      <c r="L108" s="183">
        <f t="shared" si="2"/>
        <v>34.112812500000004</v>
      </c>
      <c r="M108" s="183">
        <f t="shared" si="2"/>
        <v>38.053229166666689</v>
      </c>
      <c r="N108" s="183">
        <f t="shared" si="2"/>
        <v>163.8385416666666</v>
      </c>
      <c r="O108" s="183">
        <f t="shared" si="2"/>
        <v>0</v>
      </c>
      <c r="P108" s="183">
        <f t="shared" si="2"/>
        <v>0.65447916666666706</v>
      </c>
      <c r="Q108" s="183">
        <f t="shared" si="2"/>
        <v>5.4533333333333331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8.9903999067035976</v>
      </c>
      <c r="C109" s="183">
        <f t="shared" ref="C109:Q109" si="3">STDEV(C9:C104)</f>
        <v>6.5699459654579861</v>
      </c>
      <c r="D109" s="183">
        <f t="shared" si="3"/>
        <v>9.7113422558412594</v>
      </c>
      <c r="E109" s="183">
        <f t="shared" si="3"/>
        <v>4.1266921834797694</v>
      </c>
      <c r="F109" s="183">
        <f t="shared" si="3"/>
        <v>12.820876230763686</v>
      </c>
      <c r="G109" s="183">
        <f t="shared" si="3"/>
        <v>13.289082220828019</v>
      </c>
      <c r="H109" s="183">
        <f t="shared" si="3"/>
        <v>6.1868341498900348</v>
      </c>
      <c r="I109" s="183">
        <f t="shared" si="3"/>
        <v>0.53964355316609414</v>
      </c>
      <c r="J109" s="183">
        <f t="shared" si="3"/>
        <v>0.28061725119220099</v>
      </c>
      <c r="K109" s="183">
        <f t="shared" si="3"/>
        <v>98.96029533502842</v>
      </c>
      <c r="L109" s="183">
        <f t="shared" si="3"/>
        <v>5.5989321732150703</v>
      </c>
      <c r="M109" s="183">
        <f t="shared" si="3"/>
        <v>19.729986288297354</v>
      </c>
      <c r="N109" s="183">
        <f t="shared" si="3"/>
        <v>262.76012449612551</v>
      </c>
      <c r="O109" s="183">
        <f t="shared" si="3"/>
        <v>0</v>
      </c>
      <c r="P109" s="183">
        <f t="shared" si="3"/>
        <v>5.1725384008982814E-2</v>
      </c>
      <c r="Q109" s="183">
        <f t="shared" si="3"/>
        <v>0.3474771228112602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07/06/2023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814</v>
      </c>
      <c r="B9" s="134">
        <v>34.56</v>
      </c>
      <c r="C9" s="134">
        <v>63.39</v>
      </c>
      <c r="D9" s="134">
        <v>59.79</v>
      </c>
      <c r="E9" s="134">
        <v>7.22</v>
      </c>
      <c r="F9" s="134">
        <v>3.9</v>
      </c>
      <c r="G9" s="134">
        <v>63.89</v>
      </c>
      <c r="H9" s="134">
        <v>32.270000000000003</v>
      </c>
      <c r="I9" s="134">
        <v>6.34</v>
      </c>
      <c r="J9" s="134">
        <v>0.31</v>
      </c>
      <c r="K9" s="134">
        <v>182.89</v>
      </c>
      <c r="L9" s="134">
        <v>29.87</v>
      </c>
      <c r="M9" s="134">
        <v>44.06</v>
      </c>
      <c r="N9" s="134">
        <v>0</v>
      </c>
      <c r="O9" s="134">
        <v>0</v>
      </c>
      <c r="P9" s="134">
        <v>0.77</v>
      </c>
      <c r="Q9" s="134">
        <v>6.02</v>
      </c>
    </row>
    <row r="10" spans="1:21" customFormat="1">
      <c r="A10" s="112" t="s">
        <v>815</v>
      </c>
      <c r="B10" s="134">
        <v>23.83</v>
      </c>
      <c r="C10" s="134">
        <v>60.56</v>
      </c>
      <c r="D10" s="134">
        <v>49.71</v>
      </c>
      <c r="E10" s="134">
        <v>7.66</v>
      </c>
      <c r="F10" s="134">
        <v>4.6100000000000003</v>
      </c>
      <c r="G10" s="134">
        <v>70.59</v>
      </c>
      <c r="H10" s="134">
        <v>36.880000000000003</v>
      </c>
      <c r="I10" s="134">
        <v>6.34</v>
      </c>
      <c r="J10" s="134">
        <v>0.16</v>
      </c>
      <c r="K10" s="134">
        <v>135.72</v>
      </c>
      <c r="L10" s="134">
        <v>29.71</v>
      </c>
      <c r="M10" s="134">
        <v>44.43</v>
      </c>
      <c r="N10" s="134">
        <v>0</v>
      </c>
      <c r="O10" s="134">
        <v>0</v>
      </c>
      <c r="P10" s="134">
        <v>0.78</v>
      </c>
      <c r="Q10" s="134">
        <v>6.15</v>
      </c>
    </row>
    <row r="11" spans="1:21" customFormat="1">
      <c r="A11" s="112" t="s">
        <v>816</v>
      </c>
      <c r="B11" s="134">
        <v>25.77</v>
      </c>
      <c r="C11" s="134">
        <v>60.78</v>
      </c>
      <c r="D11" s="134">
        <v>51.37</v>
      </c>
      <c r="E11" s="134">
        <v>7.31</v>
      </c>
      <c r="F11" s="134">
        <v>5.4</v>
      </c>
      <c r="G11" s="134">
        <v>80.2</v>
      </c>
      <c r="H11" s="134">
        <v>40.840000000000003</v>
      </c>
      <c r="I11" s="134">
        <v>6.43</v>
      </c>
      <c r="J11" s="134">
        <v>0.21</v>
      </c>
      <c r="K11" s="134">
        <v>248.92</v>
      </c>
      <c r="L11" s="134">
        <v>29.75</v>
      </c>
      <c r="M11" s="134">
        <v>43.47</v>
      </c>
      <c r="N11" s="134">
        <v>0</v>
      </c>
      <c r="O11" s="134">
        <v>0</v>
      </c>
      <c r="P11" s="134">
        <v>0.77</v>
      </c>
      <c r="Q11" s="134">
        <v>6.15</v>
      </c>
    </row>
    <row r="12" spans="1:21" customFormat="1">
      <c r="A12" s="112" t="s">
        <v>817</v>
      </c>
      <c r="B12" s="134">
        <v>26.06</v>
      </c>
      <c r="C12" s="134">
        <v>65.7</v>
      </c>
      <c r="D12" s="134">
        <v>54.18</v>
      </c>
      <c r="E12" s="134">
        <v>7.98</v>
      </c>
      <c r="F12" s="134">
        <v>4.6900000000000004</v>
      </c>
      <c r="G12" s="134">
        <v>80.2</v>
      </c>
      <c r="H12" s="134">
        <v>40.840000000000003</v>
      </c>
      <c r="I12" s="134">
        <v>6.55</v>
      </c>
      <c r="J12" s="134">
        <v>0.18</v>
      </c>
      <c r="K12" s="134">
        <v>229.35</v>
      </c>
      <c r="L12" s="134">
        <v>30.12</v>
      </c>
      <c r="M12" s="134">
        <v>41.08</v>
      </c>
      <c r="N12" s="134">
        <v>0</v>
      </c>
      <c r="O12" s="134">
        <v>0</v>
      </c>
      <c r="P12" s="134">
        <v>0.79</v>
      </c>
      <c r="Q12" s="134">
        <v>6.29</v>
      </c>
    </row>
    <row r="13" spans="1:21" customFormat="1">
      <c r="A13" s="112" t="s">
        <v>818</v>
      </c>
      <c r="B13" s="134">
        <v>44.01</v>
      </c>
      <c r="C13" s="134">
        <v>66.78</v>
      </c>
      <c r="D13" s="134">
        <v>69.14</v>
      </c>
      <c r="E13" s="134">
        <v>8.67</v>
      </c>
      <c r="F13" s="134">
        <v>3.72</v>
      </c>
      <c r="G13" s="134">
        <v>80.2</v>
      </c>
      <c r="H13" s="134">
        <v>40.840000000000003</v>
      </c>
      <c r="I13" s="134">
        <v>6.59</v>
      </c>
      <c r="J13" s="134">
        <v>0.11</v>
      </c>
      <c r="K13" s="134">
        <v>125.24</v>
      </c>
      <c r="L13" s="134">
        <v>30.25</v>
      </c>
      <c r="M13" s="134">
        <v>41.97</v>
      </c>
      <c r="N13" s="134">
        <v>0</v>
      </c>
      <c r="O13" s="134">
        <v>0</v>
      </c>
      <c r="P13" s="134">
        <v>0.85</v>
      </c>
      <c r="Q13" s="134">
        <v>6.38</v>
      </c>
    </row>
    <row r="14" spans="1:21" customFormat="1">
      <c r="A14" s="112" t="s">
        <v>819</v>
      </c>
      <c r="B14" s="134">
        <v>47.3</v>
      </c>
      <c r="C14" s="134">
        <v>63.78</v>
      </c>
      <c r="D14" s="134">
        <v>70.209999999999994</v>
      </c>
      <c r="E14" s="134">
        <v>7.84</v>
      </c>
      <c r="F14" s="134">
        <v>3.99</v>
      </c>
      <c r="G14" s="134">
        <v>82.66</v>
      </c>
      <c r="H14" s="134">
        <v>39.78</v>
      </c>
      <c r="I14" s="134">
        <v>6.67</v>
      </c>
      <c r="J14" s="134">
        <v>0.17</v>
      </c>
      <c r="K14" s="134">
        <v>113.99</v>
      </c>
      <c r="L14" s="134">
        <v>30.18</v>
      </c>
      <c r="M14" s="134">
        <v>42.21</v>
      </c>
      <c r="N14" s="134">
        <v>0</v>
      </c>
      <c r="O14" s="134">
        <v>0</v>
      </c>
      <c r="P14" s="134">
        <v>0.84</v>
      </c>
      <c r="Q14" s="134">
        <v>6.38</v>
      </c>
    </row>
    <row r="15" spans="1:21" customFormat="1">
      <c r="A15" s="112" t="s">
        <v>820</v>
      </c>
      <c r="B15" s="134">
        <v>37.56</v>
      </c>
      <c r="C15" s="134">
        <v>69.09</v>
      </c>
      <c r="D15" s="134">
        <v>65.180000000000007</v>
      </c>
      <c r="E15" s="134">
        <v>7.4</v>
      </c>
      <c r="F15" s="134">
        <v>3.44</v>
      </c>
      <c r="G15" s="134">
        <v>86.18</v>
      </c>
      <c r="H15" s="134">
        <v>37.26</v>
      </c>
      <c r="I15" s="134">
        <v>6.74</v>
      </c>
      <c r="J15" s="134">
        <v>0.28999999999999998</v>
      </c>
      <c r="K15" s="134">
        <v>78.44</v>
      </c>
      <c r="L15" s="134">
        <v>30.11</v>
      </c>
      <c r="M15" s="134">
        <v>43.12</v>
      </c>
      <c r="N15" s="134">
        <v>0</v>
      </c>
      <c r="O15" s="134">
        <v>0</v>
      </c>
      <c r="P15" s="134">
        <v>0.82</v>
      </c>
      <c r="Q15" s="134">
        <v>6.64</v>
      </c>
    </row>
    <row r="16" spans="1:21" customFormat="1">
      <c r="A16" s="112" t="s">
        <v>821</v>
      </c>
      <c r="B16" s="134">
        <v>38.770000000000003</v>
      </c>
      <c r="C16" s="134">
        <v>64.87</v>
      </c>
      <c r="D16" s="134">
        <v>63.94</v>
      </c>
      <c r="E16" s="134">
        <v>7.17</v>
      </c>
      <c r="F16" s="134">
        <v>3.83</v>
      </c>
      <c r="G16" s="134">
        <v>86.18</v>
      </c>
      <c r="H16" s="134">
        <v>37.26</v>
      </c>
      <c r="I16" s="134">
        <v>6.81</v>
      </c>
      <c r="J16" s="134">
        <v>0.28999999999999998</v>
      </c>
      <c r="K16" s="134">
        <v>71.03</v>
      </c>
      <c r="L16" s="134">
        <v>30.14</v>
      </c>
      <c r="M16" s="134">
        <v>41.73</v>
      </c>
      <c r="N16" s="134">
        <v>0</v>
      </c>
      <c r="O16" s="134">
        <v>0</v>
      </c>
      <c r="P16" s="134">
        <v>0.83</v>
      </c>
      <c r="Q16" s="134">
        <v>6.67</v>
      </c>
    </row>
    <row r="17" spans="1:17" customFormat="1">
      <c r="A17" s="112" t="s">
        <v>822</v>
      </c>
      <c r="B17" s="134">
        <v>40.57</v>
      </c>
      <c r="C17" s="134">
        <v>68.069999999999993</v>
      </c>
      <c r="D17" s="134">
        <v>67.05</v>
      </c>
      <c r="E17" s="134">
        <v>6.56</v>
      </c>
      <c r="F17" s="134">
        <v>3.64</v>
      </c>
      <c r="G17" s="134">
        <v>86.18</v>
      </c>
      <c r="H17" s="134">
        <v>37.26</v>
      </c>
      <c r="I17" s="134">
        <v>6.87</v>
      </c>
      <c r="J17" s="134">
        <v>0.11</v>
      </c>
      <c r="K17" s="134">
        <v>132.82</v>
      </c>
      <c r="L17" s="134">
        <v>30.19</v>
      </c>
      <c r="M17" s="134">
        <v>42.81</v>
      </c>
      <c r="N17" s="134">
        <v>0</v>
      </c>
      <c r="O17" s="134">
        <v>0</v>
      </c>
      <c r="P17" s="134">
        <v>0.88</v>
      </c>
      <c r="Q17" s="134">
        <v>6.76</v>
      </c>
    </row>
    <row r="18" spans="1:17" customFormat="1">
      <c r="A18" s="112" t="s">
        <v>823</v>
      </c>
      <c r="B18" s="134">
        <v>40.42</v>
      </c>
      <c r="C18" s="134">
        <v>64.36</v>
      </c>
      <c r="D18" s="134">
        <v>65</v>
      </c>
      <c r="E18" s="134">
        <v>7.94</v>
      </c>
      <c r="F18" s="134">
        <v>4.0599999999999996</v>
      </c>
      <c r="G18" s="134">
        <v>85.26</v>
      </c>
      <c r="H18" s="134">
        <v>36.4</v>
      </c>
      <c r="I18" s="134">
        <v>7.34</v>
      </c>
      <c r="J18" s="134">
        <v>0.17</v>
      </c>
      <c r="K18" s="134">
        <v>126.42</v>
      </c>
      <c r="L18" s="134">
        <v>29.96</v>
      </c>
      <c r="M18" s="134">
        <v>44.42</v>
      </c>
      <c r="N18" s="134">
        <v>0</v>
      </c>
      <c r="O18" s="134">
        <v>0</v>
      </c>
      <c r="P18" s="134">
        <v>0.87</v>
      </c>
      <c r="Q18" s="134">
        <v>6.73</v>
      </c>
    </row>
    <row r="19" spans="1:17" customFormat="1">
      <c r="A19" s="112" t="s">
        <v>824</v>
      </c>
      <c r="B19" s="134">
        <v>48.82</v>
      </c>
      <c r="C19" s="134">
        <v>69.02</v>
      </c>
      <c r="D19" s="134">
        <v>74.17</v>
      </c>
      <c r="E19" s="134">
        <v>8.91</v>
      </c>
      <c r="F19" s="134">
        <v>3.51</v>
      </c>
      <c r="G19" s="134">
        <v>83.87</v>
      </c>
      <c r="H19" s="134">
        <v>35.630000000000003</v>
      </c>
      <c r="I19" s="134">
        <v>9.0399999999999991</v>
      </c>
      <c r="J19" s="134">
        <v>0.17</v>
      </c>
      <c r="K19" s="134">
        <v>92.11</v>
      </c>
      <c r="L19" s="134">
        <v>29.89</v>
      </c>
      <c r="M19" s="134">
        <v>44.22</v>
      </c>
      <c r="N19" s="134">
        <v>0</v>
      </c>
      <c r="O19" s="134">
        <v>0</v>
      </c>
      <c r="P19" s="134">
        <v>0.9</v>
      </c>
      <c r="Q19" s="134">
        <v>6.92</v>
      </c>
    </row>
    <row r="20" spans="1:17" customFormat="1">
      <c r="A20" s="112" t="s">
        <v>825</v>
      </c>
      <c r="B20" s="134">
        <v>44.45</v>
      </c>
      <c r="C20" s="134">
        <v>62.32</v>
      </c>
      <c r="D20" s="134">
        <v>67.16</v>
      </c>
      <c r="E20" s="134">
        <v>9.83</v>
      </c>
      <c r="F20" s="134">
        <v>3.94</v>
      </c>
      <c r="G20" s="134">
        <v>83.87</v>
      </c>
      <c r="H20" s="134">
        <v>35.630000000000003</v>
      </c>
      <c r="I20" s="134">
        <v>10.4</v>
      </c>
      <c r="J20" s="134">
        <v>0.36</v>
      </c>
      <c r="K20" s="134">
        <v>52.19</v>
      </c>
      <c r="L20" s="134">
        <v>29.79</v>
      </c>
      <c r="M20" s="134">
        <v>43.59</v>
      </c>
      <c r="N20" s="134">
        <v>0</v>
      </c>
      <c r="O20" s="134">
        <v>0</v>
      </c>
      <c r="P20" s="134">
        <v>0.91</v>
      </c>
      <c r="Q20" s="134">
        <v>6.94</v>
      </c>
    </row>
    <row r="21" spans="1:17" customFormat="1">
      <c r="A21" s="112" t="s">
        <v>826</v>
      </c>
      <c r="B21" s="134">
        <v>42.47</v>
      </c>
      <c r="C21" s="134">
        <v>67.67</v>
      </c>
      <c r="D21" s="134">
        <v>68.37</v>
      </c>
      <c r="E21" s="134">
        <v>8.9499999999999993</v>
      </c>
      <c r="F21" s="134">
        <v>3.77</v>
      </c>
      <c r="G21" s="134">
        <v>83.87</v>
      </c>
      <c r="H21" s="134">
        <v>35.630000000000003</v>
      </c>
      <c r="I21" s="134">
        <v>11.92</v>
      </c>
      <c r="J21" s="134">
        <v>0.21</v>
      </c>
      <c r="K21" s="134">
        <v>109.53</v>
      </c>
      <c r="L21" s="134">
        <v>29.77</v>
      </c>
      <c r="M21" s="134">
        <v>44.58</v>
      </c>
      <c r="N21" s="134">
        <v>0</v>
      </c>
      <c r="O21" s="134">
        <v>0</v>
      </c>
      <c r="P21" s="134">
        <v>0.89</v>
      </c>
      <c r="Q21" s="134">
        <v>7.02</v>
      </c>
    </row>
    <row r="22" spans="1:17" customFormat="1">
      <c r="A22" s="112" t="s">
        <v>827</v>
      </c>
      <c r="B22" s="134">
        <v>42.87</v>
      </c>
      <c r="C22" s="134">
        <v>65.739999999999995</v>
      </c>
      <c r="D22" s="134">
        <v>67.680000000000007</v>
      </c>
      <c r="E22" s="134">
        <v>9.76</v>
      </c>
      <c r="F22" s="134">
        <v>3.81</v>
      </c>
      <c r="G22" s="134">
        <v>87.49</v>
      </c>
      <c r="H22" s="134">
        <v>35.82</v>
      </c>
      <c r="I22" s="134">
        <v>12.87</v>
      </c>
      <c r="J22" s="134">
        <v>0.16</v>
      </c>
      <c r="K22" s="134">
        <v>165.84</v>
      </c>
      <c r="L22" s="134">
        <v>29.37</v>
      </c>
      <c r="M22" s="134">
        <v>46.66</v>
      </c>
      <c r="N22" s="134">
        <v>0</v>
      </c>
      <c r="O22" s="134">
        <v>0</v>
      </c>
      <c r="P22" s="134">
        <v>0.92</v>
      </c>
      <c r="Q22" s="134">
        <v>7.05</v>
      </c>
    </row>
    <row r="23" spans="1:17" customFormat="1">
      <c r="A23" s="112" t="s">
        <v>828</v>
      </c>
      <c r="B23" s="134">
        <v>43.04</v>
      </c>
      <c r="C23" s="134">
        <v>69.36</v>
      </c>
      <c r="D23" s="134">
        <v>69.709999999999994</v>
      </c>
      <c r="E23" s="134">
        <v>9.4</v>
      </c>
      <c r="F23" s="134">
        <v>3.64</v>
      </c>
      <c r="G23" s="134">
        <v>92.91</v>
      </c>
      <c r="H23" s="134">
        <v>35.979999999999997</v>
      </c>
      <c r="I23" s="134">
        <v>12.34</v>
      </c>
      <c r="J23" s="134">
        <v>0.19</v>
      </c>
      <c r="K23" s="134">
        <v>184.64</v>
      </c>
      <c r="L23" s="134">
        <v>28.88</v>
      </c>
      <c r="M23" s="134">
        <v>48</v>
      </c>
      <c r="N23" s="134">
        <v>0</v>
      </c>
      <c r="O23" s="134">
        <v>0</v>
      </c>
      <c r="P23" s="134">
        <v>0.92</v>
      </c>
      <c r="Q23" s="134">
        <v>7.1</v>
      </c>
    </row>
    <row r="24" spans="1:17" customFormat="1">
      <c r="A24" s="112" t="s">
        <v>829</v>
      </c>
      <c r="B24" s="134">
        <v>52.39</v>
      </c>
      <c r="C24" s="134">
        <v>64.89</v>
      </c>
      <c r="D24" s="134">
        <v>74.87</v>
      </c>
      <c r="E24" s="134">
        <v>8.9600000000000009</v>
      </c>
      <c r="F24" s="134">
        <v>3.95</v>
      </c>
      <c r="G24" s="134">
        <v>92.91</v>
      </c>
      <c r="H24" s="134">
        <v>35.979999999999997</v>
      </c>
      <c r="I24" s="134">
        <v>12.6</v>
      </c>
      <c r="J24" s="134">
        <v>0.15</v>
      </c>
      <c r="K24" s="134">
        <v>128.38999999999999</v>
      </c>
      <c r="L24" s="134">
        <v>28.69</v>
      </c>
      <c r="M24" s="134">
        <v>48.9</v>
      </c>
      <c r="N24" s="134">
        <v>0</v>
      </c>
      <c r="O24" s="134">
        <v>0</v>
      </c>
      <c r="P24" s="134">
        <v>0.92</v>
      </c>
      <c r="Q24" s="134">
        <v>7.03</v>
      </c>
    </row>
    <row r="25" spans="1:17" customFormat="1">
      <c r="A25" s="112" t="s">
        <v>830</v>
      </c>
      <c r="B25" s="134">
        <v>53.85</v>
      </c>
      <c r="C25" s="134">
        <v>68.3</v>
      </c>
      <c r="D25" s="134">
        <v>77.819999999999993</v>
      </c>
      <c r="E25" s="134">
        <v>13.15</v>
      </c>
      <c r="F25" s="134">
        <v>3.46</v>
      </c>
      <c r="G25" s="134">
        <v>92.91</v>
      </c>
      <c r="H25" s="134">
        <v>35.979999999999997</v>
      </c>
      <c r="I25" s="134">
        <v>12.39</v>
      </c>
      <c r="J25" s="134">
        <v>0.55000000000000004</v>
      </c>
      <c r="K25" s="134">
        <v>55.53</v>
      </c>
      <c r="L25" s="134">
        <v>29.01</v>
      </c>
      <c r="M25" s="134">
        <v>45.42</v>
      </c>
      <c r="N25" s="134">
        <v>0</v>
      </c>
      <c r="O25" s="134">
        <v>0</v>
      </c>
      <c r="P25" s="134">
        <v>0.97</v>
      </c>
      <c r="Q25" s="134">
        <v>7.19</v>
      </c>
    </row>
    <row r="26" spans="1:17" customFormat="1">
      <c r="A26" s="112" t="s">
        <v>831</v>
      </c>
      <c r="B26" s="134">
        <v>49.82</v>
      </c>
      <c r="C26" s="134">
        <v>65.23</v>
      </c>
      <c r="D26" s="134">
        <v>72.989999999999995</v>
      </c>
      <c r="E26" s="134">
        <v>21.75</v>
      </c>
      <c r="F26" s="134">
        <v>3.82</v>
      </c>
      <c r="G26" s="134">
        <v>98.94</v>
      </c>
      <c r="H26" s="134">
        <v>37.82</v>
      </c>
      <c r="I26" s="134">
        <v>12.98</v>
      </c>
      <c r="J26" s="134">
        <v>0.31</v>
      </c>
      <c r="K26" s="134">
        <v>41.28</v>
      </c>
      <c r="L26" s="134">
        <v>29.43</v>
      </c>
      <c r="M26" s="134">
        <v>42.41</v>
      </c>
      <c r="N26" s="134">
        <v>0</v>
      </c>
      <c r="O26" s="134">
        <v>0</v>
      </c>
      <c r="P26" s="134">
        <v>0.97</v>
      </c>
      <c r="Q26" s="134">
        <v>7.24</v>
      </c>
    </row>
    <row r="27" spans="1:17" customFormat="1">
      <c r="A27" s="112" t="s">
        <v>832</v>
      </c>
      <c r="B27" s="134">
        <v>58.15</v>
      </c>
      <c r="C27" s="134">
        <v>66.98</v>
      </c>
      <c r="D27" s="134">
        <v>80.58</v>
      </c>
      <c r="E27" s="134">
        <v>26.24</v>
      </c>
      <c r="F27" s="134">
        <v>3.72</v>
      </c>
      <c r="G27" s="134">
        <v>107.59</v>
      </c>
      <c r="H27" s="134">
        <v>39.409999999999997</v>
      </c>
      <c r="I27" s="134">
        <v>13.1</v>
      </c>
      <c r="J27" s="134">
        <v>0.17</v>
      </c>
      <c r="K27" s="134">
        <v>47.53</v>
      </c>
      <c r="L27" s="134">
        <v>29.22</v>
      </c>
      <c r="M27" s="134">
        <v>43.72</v>
      </c>
      <c r="N27" s="134">
        <v>0</v>
      </c>
      <c r="O27" s="134">
        <v>0</v>
      </c>
      <c r="P27" s="134">
        <v>1</v>
      </c>
      <c r="Q27" s="134">
        <v>7.4</v>
      </c>
    </row>
    <row r="28" spans="1:17" customFormat="1">
      <c r="A28" s="112" t="s">
        <v>833</v>
      </c>
      <c r="B28" s="134">
        <v>60.17</v>
      </c>
      <c r="C28" s="134">
        <v>68.8</v>
      </c>
      <c r="D28" s="134">
        <v>83.15</v>
      </c>
      <c r="E28" s="134">
        <v>18.690000000000001</v>
      </c>
      <c r="F28" s="134">
        <v>3.75</v>
      </c>
      <c r="G28" s="134">
        <v>107.59</v>
      </c>
      <c r="H28" s="134">
        <v>39.409999999999997</v>
      </c>
      <c r="I28" s="134">
        <v>13.47</v>
      </c>
      <c r="J28" s="134">
        <v>0.1</v>
      </c>
      <c r="K28" s="134">
        <v>133.66999999999999</v>
      </c>
      <c r="L28" s="134">
        <v>29.15</v>
      </c>
      <c r="M28" s="134">
        <v>44.97</v>
      </c>
      <c r="N28" s="134">
        <v>0</v>
      </c>
      <c r="O28" s="134">
        <v>0</v>
      </c>
      <c r="P28" s="134">
        <v>1</v>
      </c>
      <c r="Q28" s="134">
        <v>7.46</v>
      </c>
    </row>
    <row r="29" spans="1:17" customFormat="1">
      <c r="A29" s="112" t="s">
        <v>834</v>
      </c>
      <c r="B29" s="134">
        <v>58.34</v>
      </c>
      <c r="C29" s="134">
        <v>66.91</v>
      </c>
      <c r="D29" s="134">
        <v>80.7</v>
      </c>
      <c r="E29" s="134">
        <v>23.05</v>
      </c>
      <c r="F29" s="134">
        <v>3.82</v>
      </c>
      <c r="G29" s="134">
        <v>107.59</v>
      </c>
      <c r="H29" s="134">
        <v>39.409999999999997</v>
      </c>
      <c r="I29" s="134">
        <v>13.24</v>
      </c>
      <c r="J29" s="134">
        <v>0.18</v>
      </c>
      <c r="K29" s="134">
        <v>163.07</v>
      </c>
      <c r="L29" s="134">
        <v>28.56</v>
      </c>
      <c r="M29" s="134">
        <v>48.34</v>
      </c>
      <c r="N29" s="134">
        <v>0</v>
      </c>
      <c r="O29" s="134">
        <v>0</v>
      </c>
      <c r="P29" s="134">
        <v>1.03</v>
      </c>
      <c r="Q29" s="134">
        <v>7.55</v>
      </c>
    </row>
    <row r="30" spans="1:17" customFormat="1">
      <c r="A30" s="112" t="s">
        <v>835</v>
      </c>
      <c r="B30" s="134">
        <v>55.95</v>
      </c>
      <c r="C30" s="134">
        <v>69.73</v>
      </c>
      <c r="D30" s="134">
        <v>80.260000000000005</v>
      </c>
      <c r="E30" s="134">
        <v>10.95</v>
      </c>
      <c r="F30" s="134">
        <v>3.69</v>
      </c>
      <c r="G30" s="134">
        <v>118.79</v>
      </c>
      <c r="H30" s="134">
        <v>44.93</v>
      </c>
      <c r="I30" s="134">
        <v>13.53</v>
      </c>
      <c r="J30" s="134">
        <v>0.27</v>
      </c>
      <c r="K30" s="134">
        <v>180.28</v>
      </c>
      <c r="L30" s="134">
        <v>28.03</v>
      </c>
      <c r="M30" s="134">
        <v>50.72</v>
      </c>
      <c r="N30" s="134">
        <v>2.6</v>
      </c>
      <c r="O30" s="134">
        <v>0</v>
      </c>
      <c r="P30" s="134">
        <v>1.01</v>
      </c>
      <c r="Q30" s="134">
        <v>7.62</v>
      </c>
    </row>
    <row r="31" spans="1:17" customFormat="1">
      <c r="A31" s="112" t="s">
        <v>836</v>
      </c>
      <c r="B31" s="134">
        <v>61.97</v>
      </c>
      <c r="C31" s="134">
        <v>67.25</v>
      </c>
      <c r="D31" s="134">
        <v>83.79</v>
      </c>
      <c r="E31" s="134">
        <v>14.43</v>
      </c>
      <c r="F31" s="134">
        <v>3.74</v>
      </c>
      <c r="G31" s="134">
        <v>134.84</v>
      </c>
      <c r="H31" s="134">
        <v>49.69</v>
      </c>
      <c r="I31" s="134">
        <v>13.66</v>
      </c>
      <c r="J31" s="134">
        <v>0.19</v>
      </c>
      <c r="K31" s="134">
        <v>78.3</v>
      </c>
      <c r="L31" s="134">
        <v>28.21</v>
      </c>
      <c r="M31" s="134">
        <v>48.52</v>
      </c>
      <c r="N31" s="134">
        <v>10.9</v>
      </c>
      <c r="O31" s="134">
        <v>0</v>
      </c>
      <c r="P31" s="134">
        <v>1.03</v>
      </c>
      <c r="Q31" s="134">
        <v>7.65</v>
      </c>
    </row>
    <row r="32" spans="1:17" customFormat="1">
      <c r="A32" s="112" t="s">
        <v>837</v>
      </c>
      <c r="B32" s="134">
        <v>59.86</v>
      </c>
      <c r="C32" s="134">
        <v>70.69</v>
      </c>
      <c r="D32" s="134">
        <v>83.9</v>
      </c>
      <c r="E32" s="134">
        <v>15.7</v>
      </c>
      <c r="F32" s="134">
        <v>3.65</v>
      </c>
      <c r="G32" s="134">
        <v>134.84</v>
      </c>
      <c r="H32" s="134">
        <v>49.69</v>
      </c>
      <c r="I32" s="134">
        <v>13.52</v>
      </c>
      <c r="J32" s="134">
        <v>0.28999999999999998</v>
      </c>
      <c r="K32" s="134">
        <v>68.400000000000006</v>
      </c>
      <c r="L32" s="134">
        <v>29.1</v>
      </c>
      <c r="M32" s="134">
        <v>45.06</v>
      </c>
      <c r="N32" s="134">
        <v>21.9</v>
      </c>
      <c r="O32" s="134">
        <v>0</v>
      </c>
      <c r="P32" s="134">
        <v>1.1299999999999999</v>
      </c>
      <c r="Q32" s="134">
        <v>7.76</v>
      </c>
    </row>
    <row r="33" spans="1:17" customFormat="1">
      <c r="A33" s="112" t="s">
        <v>838</v>
      </c>
      <c r="B33" s="134">
        <v>57.97</v>
      </c>
      <c r="C33" s="134">
        <v>64.23</v>
      </c>
      <c r="D33" s="134">
        <v>79.010000000000005</v>
      </c>
      <c r="E33" s="134">
        <v>24.46</v>
      </c>
      <c r="F33" s="134">
        <v>4.96</v>
      </c>
      <c r="G33" s="134">
        <v>134.84</v>
      </c>
      <c r="H33" s="134">
        <v>49.69</v>
      </c>
      <c r="I33" s="134">
        <v>13.88</v>
      </c>
      <c r="J33" s="134">
        <v>0.27</v>
      </c>
      <c r="K33" s="134">
        <v>52.84</v>
      </c>
      <c r="L33" s="134">
        <v>29.56</v>
      </c>
      <c r="M33" s="134">
        <v>42.44</v>
      </c>
      <c r="N33" s="134">
        <v>32.700000000000003</v>
      </c>
      <c r="O33" s="134">
        <v>0</v>
      </c>
      <c r="P33" s="134">
        <v>1.1299999999999999</v>
      </c>
      <c r="Q33" s="134">
        <v>7.73</v>
      </c>
    </row>
    <row r="34" spans="1:17" customFormat="1">
      <c r="A34" s="112" t="s">
        <v>839</v>
      </c>
      <c r="B34" s="134">
        <v>55.76</v>
      </c>
      <c r="C34" s="134">
        <v>66.849999999999994</v>
      </c>
      <c r="D34" s="134">
        <v>78.599999999999994</v>
      </c>
      <c r="E34" s="134">
        <v>24</v>
      </c>
      <c r="F34" s="134">
        <v>4.88</v>
      </c>
      <c r="G34" s="134">
        <v>149.91</v>
      </c>
      <c r="H34" s="134">
        <v>53.63</v>
      </c>
      <c r="I34" s="134">
        <v>14.47</v>
      </c>
      <c r="J34" s="134">
        <v>0.33</v>
      </c>
      <c r="K34" s="134">
        <v>43.38</v>
      </c>
      <c r="L34" s="134">
        <v>29.82</v>
      </c>
      <c r="M34" s="134">
        <v>42.48</v>
      </c>
      <c r="N34" s="134">
        <v>47</v>
      </c>
      <c r="O34" s="134">
        <v>0</v>
      </c>
      <c r="P34" s="134">
        <v>1.19</v>
      </c>
      <c r="Q34" s="134">
        <v>7.79</v>
      </c>
    </row>
    <row r="35" spans="1:17" customFormat="1">
      <c r="A35" s="112" t="s">
        <v>840</v>
      </c>
      <c r="B35" s="134">
        <v>57.07</v>
      </c>
      <c r="C35" s="134">
        <v>64.95</v>
      </c>
      <c r="D35" s="134">
        <v>78.650000000000006</v>
      </c>
      <c r="E35" s="134">
        <v>21.3</v>
      </c>
      <c r="F35" s="134">
        <v>5.16</v>
      </c>
      <c r="G35" s="134">
        <v>171.49</v>
      </c>
      <c r="H35" s="134">
        <v>57.02</v>
      </c>
      <c r="I35" s="134">
        <v>14.87</v>
      </c>
      <c r="J35" s="134">
        <v>0.42</v>
      </c>
      <c r="K35" s="134">
        <v>51.85</v>
      </c>
      <c r="L35" s="134">
        <v>30.11</v>
      </c>
      <c r="M35" s="134">
        <v>42.25</v>
      </c>
      <c r="N35" s="134">
        <v>56.4</v>
      </c>
      <c r="O35" s="134">
        <v>0</v>
      </c>
      <c r="P35" s="134">
        <v>1.18</v>
      </c>
      <c r="Q35" s="134">
        <v>7.76</v>
      </c>
    </row>
    <row r="36" spans="1:17" customFormat="1">
      <c r="A36" s="112" t="s">
        <v>841</v>
      </c>
      <c r="B36" s="134">
        <v>54.82</v>
      </c>
      <c r="C36" s="134">
        <v>66.58</v>
      </c>
      <c r="D36" s="134">
        <v>77.709999999999994</v>
      </c>
      <c r="E36" s="134">
        <v>32.19</v>
      </c>
      <c r="F36" s="134">
        <v>5.75</v>
      </c>
      <c r="G36" s="134">
        <v>171.49</v>
      </c>
      <c r="H36" s="134">
        <v>57.02</v>
      </c>
      <c r="I36" s="134">
        <v>14.82</v>
      </c>
      <c r="J36" s="134">
        <v>0.35</v>
      </c>
      <c r="K36" s="134">
        <v>43</v>
      </c>
      <c r="L36" s="134">
        <v>30.82</v>
      </c>
      <c r="M36" s="134">
        <v>40.51</v>
      </c>
      <c r="N36" s="134">
        <v>65.2</v>
      </c>
      <c r="O36" s="134">
        <v>0</v>
      </c>
      <c r="P36" s="134">
        <v>1.26</v>
      </c>
      <c r="Q36" s="134">
        <v>7.81</v>
      </c>
    </row>
    <row r="37" spans="1:17" customFormat="1">
      <c r="A37" s="112" t="s">
        <v>842</v>
      </c>
      <c r="B37" s="134">
        <v>53.03</v>
      </c>
      <c r="C37" s="134">
        <v>62.61</v>
      </c>
      <c r="D37" s="134">
        <v>74.19</v>
      </c>
      <c r="E37" s="134">
        <v>28.13</v>
      </c>
      <c r="F37" s="134">
        <v>7.66</v>
      </c>
      <c r="G37" s="134">
        <v>171.49</v>
      </c>
      <c r="H37" s="134">
        <v>57.02</v>
      </c>
      <c r="I37" s="134">
        <v>15.05</v>
      </c>
      <c r="J37" s="134">
        <v>0.41</v>
      </c>
      <c r="K37" s="134">
        <v>45.79</v>
      </c>
      <c r="L37" s="134">
        <v>32.119999999999997</v>
      </c>
      <c r="M37" s="134">
        <v>37.71</v>
      </c>
      <c r="N37" s="134">
        <v>75.3</v>
      </c>
      <c r="O37" s="134">
        <v>0</v>
      </c>
      <c r="P37" s="134">
        <v>1.23</v>
      </c>
      <c r="Q37" s="134">
        <v>7.74</v>
      </c>
    </row>
    <row r="38" spans="1:17" customFormat="1">
      <c r="A38" s="112" t="s">
        <v>843</v>
      </c>
      <c r="B38" s="134">
        <v>49.31</v>
      </c>
      <c r="C38" s="134">
        <v>65.64</v>
      </c>
      <c r="D38" s="134">
        <v>72.790000000000006</v>
      </c>
      <c r="E38" s="134">
        <v>17.38</v>
      </c>
      <c r="F38" s="134">
        <v>12.54</v>
      </c>
      <c r="G38" s="134">
        <v>182.91</v>
      </c>
      <c r="H38" s="134">
        <v>62.08</v>
      </c>
      <c r="I38" s="134">
        <v>15.09</v>
      </c>
      <c r="J38" s="134">
        <v>0.82</v>
      </c>
      <c r="K38" s="134">
        <v>35.770000000000003</v>
      </c>
      <c r="L38" s="134">
        <v>32.93</v>
      </c>
      <c r="M38" s="134">
        <v>33.799999999999997</v>
      </c>
      <c r="N38" s="134">
        <v>84.3</v>
      </c>
      <c r="O38" s="134">
        <v>0</v>
      </c>
      <c r="P38" s="134">
        <v>1.1599999999999999</v>
      </c>
      <c r="Q38" s="134">
        <v>7.8</v>
      </c>
    </row>
    <row r="39" spans="1:17" customFormat="1">
      <c r="A39" s="112" t="s">
        <v>844</v>
      </c>
      <c r="B39" s="134">
        <v>51.04</v>
      </c>
      <c r="C39" s="134">
        <v>62.44</v>
      </c>
      <c r="D39" s="134">
        <v>72.5</v>
      </c>
      <c r="E39" s="134">
        <v>13.28</v>
      </c>
      <c r="F39" s="134">
        <v>13.07</v>
      </c>
      <c r="G39" s="134">
        <v>200.04</v>
      </c>
      <c r="H39" s="134">
        <v>74.14</v>
      </c>
      <c r="I39" s="134">
        <v>14.97</v>
      </c>
      <c r="J39" s="134">
        <v>1.28</v>
      </c>
      <c r="K39" s="134">
        <v>58.55</v>
      </c>
      <c r="L39" s="134">
        <v>33.409999999999997</v>
      </c>
      <c r="M39" s="134">
        <v>30.88</v>
      </c>
      <c r="N39" s="134">
        <v>91.9</v>
      </c>
      <c r="O39" s="134">
        <v>0</v>
      </c>
      <c r="P39" s="134">
        <v>1.1000000000000001</v>
      </c>
      <c r="Q39" s="134">
        <v>7.66</v>
      </c>
    </row>
    <row r="40" spans="1:17" customFormat="1">
      <c r="A40" s="112" t="s">
        <v>845</v>
      </c>
      <c r="B40" s="134">
        <v>49.08</v>
      </c>
      <c r="C40" s="134">
        <v>68.790000000000006</v>
      </c>
      <c r="D40" s="134">
        <v>74.63</v>
      </c>
      <c r="E40" s="134">
        <v>10.65</v>
      </c>
      <c r="F40" s="134">
        <v>9.76</v>
      </c>
      <c r="G40" s="134">
        <v>200.04</v>
      </c>
      <c r="H40" s="134">
        <v>74.14</v>
      </c>
      <c r="I40" s="134">
        <v>13.99</v>
      </c>
      <c r="J40" s="134">
        <v>1.36</v>
      </c>
      <c r="K40" s="134">
        <v>56.38</v>
      </c>
      <c r="L40" s="134">
        <v>34.08</v>
      </c>
      <c r="M40" s="134">
        <v>29.57</v>
      </c>
      <c r="N40" s="134">
        <v>98.3</v>
      </c>
      <c r="O40" s="134">
        <v>0</v>
      </c>
      <c r="P40" s="134">
        <v>1.0900000000000001</v>
      </c>
      <c r="Q40" s="134">
        <v>7.58</v>
      </c>
    </row>
    <row r="41" spans="1:17" customFormat="1">
      <c r="A41" s="112" t="s">
        <v>846</v>
      </c>
      <c r="B41" s="134">
        <v>44.42</v>
      </c>
      <c r="C41" s="134">
        <v>65.3</v>
      </c>
      <c r="D41" s="134">
        <v>68.7</v>
      </c>
      <c r="E41" s="134">
        <v>13.88</v>
      </c>
      <c r="F41" s="134">
        <v>11.7</v>
      </c>
      <c r="G41" s="134">
        <v>200.04</v>
      </c>
      <c r="H41" s="134">
        <v>74.14</v>
      </c>
      <c r="I41" s="134">
        <v>13.47</v>
      </c>
      <c r="J41" s="134">
        <v>1.1100000000000001</v>
      </c>
      <c r="K41" s="134">
        <v>60.11</v>
      </c>
      <c r="L41" s="134">
        <v>35</v>
      </c>
      <c r="M41" s="134">
        <v>28.69</v>
      </c>
      <c r="N41" s="134">
        <v>105.3</v>
      </c>
      <c r="O41" s="134">
        <v>0</v>
      </c>
      <c r="P41" s="134">
        <v>1.04</v>
      </c>
      <c r="Q41" s="134">
        <v>7.53</v>
      </c>
    </row>
    <row r="42" spans="1:17" customFormat="1">
      <c r="A42" s="112" t="s">
        <v>847</v>
      </c>
      <c r="B42" s="134">
        <v>39.28</v>
      </c>
      <c r="C42" s="134">
        <v>64.63</v>
      </c>
      <c r="D42" s="134">
        <v>64.22</v>
      </c>
      <c r="E42" s="134">
        <v>18.64</v>
      </c>
      <c r="F42" s="134">
        <v>18.78</v>
      </c>
      <c r="G42" s="134">
        <v>147.72999999999999</v>
      </c>
      <c r="H42" s="134">
        <v>70.540000000000006</v>
      </c>
      <c r="I42" s="134">
        <v>13.23</v>
      </c>
      <c r="J42" s="134">
        <v>1.1200000000000001</v>
      </c>
      <c r="K42" s="134">
        <v>60.52</v>
      </c>
      <c r="L42" s="134">
        <v>35.68</v>
      </c>
      <c r="M42" s="134">
        <v>27.93</v>
      </c>
      <c r="N42" s="134">
        <v>116.8</v>
      </c>
      <c r="O42" s="134">
        <v>0</v>
      </c>
      <c r="P42" s="134">
        <v>1.02</v>
      </c>
      <c r="Q42" s="134">
        <v>7.3</v>
      </c>
    </row>
    <row r="43" spans="1:17" customFormat="1">
      <c r="A43" s="112" t="s">
        <v>848</v>
      </c>
      <c r="B43" s="134">
        <v>39.68</v>
      </c>
      <c r="C43" s="134">
        <v>62.18</v>
      </c>
      <c r="D43" s="134">
        <v>63.26</v>
      </c>
      <c r="E43" s="134">
        <v>18.87</v>
      </c>
      <c r="F43" s="134">
        <v>17.670000000000002</v>
      </c>
      <c r="G43" s="134">
        <v>72.81</v>
      </c>
      <c r="H43" s="134">
        <v>67.44</v>
      </c>
      <c r="I43" s="134">
        <v>12.39</v>
      </c>
      <c r="J43" s="134">
        <v>1.2</v>
      </c>
      <c r="K43" s="134">
        <v>56.07</v>
      </c>
      <c r="L43" s="134">
        <v>36.04</v>
      </c>
      <c r="M43" s="134">
        <v>27.82</v>
      </c>
      <c r="N43" s="134">
        <v>144.1</v>
      </c>
      <c r="O43" s="134">
        <v>0</v>
      </c>
      <c r="P43" s="134">
        <v>1.03</v>
      </c>
      <c r="Q43" s="134">
        <v>7.17</v>
      </c>
    </row>
    <row r="44" spans="1:17" customFormat="1">
      <c r="A44" s="112" t="s">
        <v>849</v>
      </c>
      <c r="B44" s="134">
        <v>34.380000000000003</v>
      </c>
      <c r="C44" s="134">
        <v>59.94</v>
      </c>
      <c r="D44" s="134">
        <v>57.84</v>
      </c>
      <c r="E44" s="134">
        <v>20.84</v>
      </c>
      <c r="F44" s="134">
        <v>26.17</v>
      </c>
      <c r="G44" s="134">
        <v>72.81</v>
      </c>
      <c r="H44" s="134">
        <v>67.44</v>
      </c>
      <c r="I44" s="134">
        <v>12.08</v>
      </c>
      <c r="J44" s="134">
        <v>1.19</v>
      </c>
      <c r="K44" s="134">
        <v>43.42</v>
      </c>
      <c r="L44" s="134">
        <v>36.520000000000003</v>
      </c>
      <c r="M44" s="134">
        <v>27.36</v>
      </c>
      <c r="N44" s="134">
        <v>171.1</v>
      </c>
      <c r="O44" s="134">
        <v>0</v>
      </c>
      <c r="P44" s="134">
        <v>1.02</v>
      </c>
      <c r="Q44" s="134">
        <v>7.04</v>
      </c>
    </row>
    <row r="45" spans="1:17" customFormat="1">
      <c r="A45" s="112" t="s">
        <v>850</v>
      </c>
      <c r="B45" s="134">
        <v>30.44</v>
      </c>
      <c r="C45" s="134">
        <v>57.07</v>
      </c>
      <c r="D45" s="134">
        <v>53.19</v>
      </c>
      <c r="E45" s="134">
        <v>22.85</v>
      </c>
      <c r="F45" s="134">
        <v>28.83</v>
      </c>
      <c r="G45" s="134">
        <v>72.81</v>
      </c>
      <c r="H45" s="134">
        <v>67.44</v>
      </c>
      <c r="I45" s="134">
        <v>12.26</v>
      </c>
      <c r="J45" s="134">
        <v>0.82</v>
      </c>
      <c r="K45" s="134">
        <v>60.58</v>
      </c>
      <c r="L45" s="134">
        <v>37.44</v>
      </c>
      <c r="M45" s="134">
        <v>26.24</v>
      </c>
      <c r="N45" s="134">
        <v>147</v>
      </c>
      <c r="O45" s="134">
        <v>0</v>
      </c>
      <c r="P45" s="134">
        <v>1.01</v>
      </c>
      <c r="Q45" s="134">
        <v>6.87</v>
      </c>
    </row>
    <row r="46" spans="1:17" customFormat="1">
      <c r="A46" s="112" t="s">
        <v>851</v>
      </c>
      <c r="B46" s="134">
        <v>26.08</v>
      </c>
      <c r="C46" s="134">
        <v>54.55</v>
      </c>
      <c r="D46" s="134">
        <v>48.37</v>
      </c>
      <c r="E46" s="134">
        <v>26.29</v>
      </c>
      <c r="F46" s="134">
        <v>40.1</v>
      </c>
      <c r="G46" s="134">
        <v>87.95</v>
      </c>
      <c r="H46" s="134">
        <v>63.88</v>
      </c>
      <c r="I46" s="134">
        <v>12.03</v>
      </c>
      <c r="J46" s="134">
        <v>0.89</v>
      </c>
      <c r="K46" s="134">
        <v>45.08</v>
      </c>
      <c r="L46" s="134">
        <v>37.74</v>
      </c>
      <c r="M46" s="134">
        <v>26</v>
      </c>
      <c r="N46" s="134">
        <v>157.9</v>
      </c>
      <c r="O46" s="134">
        <v>0</v>
      </c>
      <c r="P46" s="134">
        <v>1.01</v>
      </c>
      <c r="Q46" s="134">
        <v>6.72</v>
      </c>
    </row>
    <row r="47" spans="1:17" customFormat="1">
      <c r="A47" s="112" t="s">
        <v>852</v>
      </c>
      <c r="B47" s="134">
        <v>23.32</v>
      </c>
      <c r="C47" s="134">
        <v>57.16</v>
      </c>
      <c r="D47" s="134">
        <v>47.52</v>
      </c>
      <c r="E47" s="134">
        <v>28.05</v>
      </c>
      <c r="F47" s="134">
        <v>37.14</v>
      </c>
      <c r="G47" s="134">
        <v>109.65</v>
      </c>
      <c r="H47" s="134">
        <v>60.82</v>
      </c>
      <c r="I47" s="134">
        <v>11.64</v>
      </c>
      <c r="J47" s="134">
        <v>0.88</v>
      </c>
      <c r="K47" s="134">
        <v>34.4</v>
      </c>
      <c r="L47" s="134">
        <v>38.409999999999997</v>
      </c>
      <c r="M47" s="134">
        <v>25.05</v>
      </c>
      <c r="N47" s="134">
        <v>162</v>
      </c>
      <c r="O47" s="134">
        <v>0</v>
      </c>
      <c r="P47" s="134">
        <v>0.98</v>
      </c>
      <c r="Q47" s="134">
        <v>6.57</v>
      </c>
    </row>
    <row r="48" spans="1:17" customFormat="1">
      <c r="A48" s="112" t="s">
        <v>853</v>
      </c>
      <c r="B48" s="134">
        <v>23.02</v>
      </c>
      <c r="C48" s="134">
        <v>57.94</v>
      </c>
      <c r="D48" s="134">
        <v>47.69</v>
      </c>
      <c r="E48" s="134">
        <v>26.25</v>
      </c>
      <c r="F48" s="134">
        <v>32.79</v>
      </c>
      <c r="G48" s="134">
        <v>109.65</v>
      </c>
      <c r="H48" s="134">
        <v>60.82</v>
      </c>
      <c r="I48" s="134">
        <v>11.26</v>
      </c>
      <c r="J48" s="134">
        <v>0.92</v>
      </c>
      <c r="K48" s="134">
        <v>47.97</v>
      </c>
      <c r="L48" s="134">
        <v>38.659999999999997</v>
      </c>
      <c r="M48" s="134">
        <v>24.27</v>
      </c>
      <c r="N48" s="134">
        <v>162.5</v>
      </c>
      <c r="O48" s="134">
        <v>0</v>
      </c>
      <c r="P48" s="134">
        <v>0.96</v>
      </c>
      <c r="Q48" s="134">
        <v>6.46</v>
      </c>
    </row>
    <row r="49" spans="1:17" customFormat="1">
      <c r="A49" s="112" t="s">
        <v>854</v>
      </c>
      <c r="B49" s="134">
        <v>19.82</v>
      </c>
      <c r="C49" s="134">
        <v>55.07</v>
      </c>
      <c r="D49" s="134">
        <v>43.62</v>
      </c>
      <c r="E49" s="134">
        <v>15.6</v>
      </c>
      <c r="F49" s="134">
        <v>42.66</v>
      </c>
      <c r="G49" s="134">
        <v>109.65</v>
      </c>
      <c r="H49" s="134">
        <v>60.82</v>
      </c>
      <c r="I49" s="134">
        <v>10.93</v>
      </c>
      <c r="J49" s="134">
        <v>0.59</v>
      </c>
      <c r="K49" s="134">
        <v>70.97</v>
      </c>
      <c r="L49" s="134">
        <v>39.33</v>
      </c>
      <c r="M49" s="134">
        <v>22.66</v>
      </c>
      <c r="N49" s="134">
        <v>167.1</v>
      </c>
      <c r="O49" s="134">
        <v>0</v>
      </c>
      <c r="P49" s="134">
        <v>0.9</v>
      </c>
      <c r="Q49" s="134">
        <v>6.32</v>
      </c>
    </row>
    <row r="50" spans="1:17" customFormat="1">
      <c r="A50" s="112" t="s">
        <v>855</v>
      </c>
      <c r="B50" s="134">
        <v>16.850000000000001</v>
      </c>
      <c r="C50" s="134">
        <v>54.55</v>
      </c>
      <c r="D50" s="134">
        <v>40.97</v>
      </c>
      <c r="E50" s="134">
        <v>28.72</v>
      </c>
      <c r="F50" s="134">
        <v>50.81</v>
      </c>
      <c r="G50" s="134">
        <v>103.86</v>
      </c>
      <c r="H50" s="134">
        <v>60.63</v>
      </c>
      <c r="I50" s="134">
        <v>10.77</v>
      </c>
      <c r="J50" s="134">
        <v>0.71</v>
      </c>
      <c r="K50" s="134">
        <v>67.81</v>
      </c>
      <c r="L50" s="134">
        <v>40.130000000000003</v>
      </c>
      <c r="M50" s="134">
        <v>21.98</v>
      </c>
      <c r="N50" s="134">
        <v>178.7</v>
      </c>
      <c r="O50" s="134">
        <v>0</v>
      </c>
      <c r="P50" s="134">
        <v>0.92</v>
      </c>
      <c r="Q50" s="134">
        <v>6.2</v>
      </c>
    </row>
    <row r="51" spans="1:17" customFormat="1">
      <c r="A51" s="112" t="s">
        <v>856</v>
      </c>
      <c r="B51" s="134">
        <v>16.64</v>
      </c>
      <c r="C51" s="134">
        <v>60.89</v>
      </c>
      <c r="D51" s="134">
        <v>44.12</v>
      </c>
      <c r="E51" s="134">
        <v>19.989999999999998</v>
      </c>
      <c r="F51" s="134">
        <v>28.66</v>
      </c>
      <c r="G51" s="134">
        <v>95.55</v>
      </c>
      <c r="H51" s="134">
        <v>60.46</v>
      </c>
      <c r="I51" s="134">
        <v>10.5</v>
      </c>
      <c r="J51" s="134">
        <v>0.71</v>
      </c>
      <c r="K51" s="134">
        <v>56.84</v>
      </c>
      <c r="L51" s="134">
        <v>40.61</v>
      </c>
      <c r="M51" s="134">
        <v>20.64</v>
      </c>
      <c r="N51" s="134">
        <v>184.4</v>
      </c>
      <c r="O51" s="134">
        <v>0</v>
      </c>
      <c r="P51" s="134">
        <v>0.94</v>
      </c>
      <c r="Q51" s="134">
        <v>6.11</v>
      </c>
    </row>
    <row r="52" spans="1:17" customFormat="1">
      <c r="A52" s="112" t="s">
        <v>857</v>
      </c>
      <c r="B52" s="134">
        <v>13.83</v>
      </c>
      <c r="C52" s="134">
        <v>64.73</v>
      </c>
      <c r="D52" s="134">
        <v>43.87</v>
      </c>
      <c r="E52" s="134">
        <v>21.82</v>
      </c>
      <c r="F52" s="134">
        <v>34.53</v>
      </c>
      <c r="G52" s="134">
        <v>95.55</v>
      </c>
      <c r="H52" s="134">
        <v>60.46</v>
      </c>
      <c r="I52" s="134">
        <v>10.34</v>
      </c>
      <c r="J52" s="134">
        <v>0.78</v>
      </c>
      <c r="K52" s="134">
        <v>71.45</v>
      </c>
      <c r="L52" s="134">
        <v>40.85</v>
      </c>
      <c r="M52" s="134">
        <v>19.420000000000002</v>
      </c>
      <c r="N52" s="134">
        <v>190.9</v>
      </c>
      <c r="O52" s="134">
        <v>0</v>
      </c>
      <c r="P52" s="134">
        <v>0.9</v>
      </c>
      <c r="Q52" s="134">
        <v>6.09</v>
      </c>
    </row>
    <row r="53" spans="1:17" customFormat="1">
      <c r="A53" s="112" t="s">
        <v>858</v>
      </c>
      <c r="B53" s="134">
        <v>11.63</v>
      </c>
      <c r="C53" s="134">
        <v>62.65</v>
      </c>
      <c r="D53" s="134">
        <v>41.01</v>
      </c>
      <c r="E53" s="134">
        <v>22.05</v>
      </c>
      <c r="F53" s="134">
        <v>45.25</v>
      </c>
      <c r="G53" s="134">
        <v>95.55</v>
      </c>
      <c r="H53" s="134">
        <v>60.46</v>
      </c>
      <c r="I53" s="134">
        <v>10.32</v>
      </c>
      <c r="J53" s="134">
        <v>0.61</v>
      </c>
      <c r="K53" s="134">
        <v>70.91</v>
      </c>
      <c r="L53" s="134">
        <v>41.05</v>
      </c>
      <c r="M53" s="134">
        <v>18.68</v>
      </c>
      <c r="N53" s="134">
        <v>203.7</v>
      </c>
      <c r="O53" s="134">
        <v>0</v>
      </c>
      <c r="P53" s="134">
        <v>0.86</v>
      </c>
      <c r="Q53" s="134">
        <v>5.9</v>
      </c>
    </row>
    <row r="54" spans="1:17" customFormat="1">
      <c r="A54" s="112" t="s">
        <v>859</v>
      </c>
      <c r="B54" s="134">
        <v>9.3800000000000008</v>
      </c>
      <c r="C54" s="134">
        <v>51.76</v>
      </c>
      <c r="D54" s="134">
        <v>33.520000000000003</v>
      </c>
      <c r="E54" s="134">
        <v>24.9</v>
      </c>
      <c r="F54" s="134">
        <v>53.48</v>
      </c>
      <c r="G54" s="134">
        <v>85.15</v>
      </c>
      <c r="H54" s="134">
        <v>57.58</v>
      </c>
      <c r="I54" s="134">
        <v>9.91</v>
      </c>
      <c r="J54" s="134">
        <v>0.99</v>
      </c>
      <c r="K54" s="134">
        <v>62.64</v>
      </c>
      <c r="L54" s="134">
        <v>41.27</v>
      </c>
      <c r="M54" s="134">
        <v>17.63</v>
      </c>
      <c r="N54" s="134">
        <v>215.1</v>
      </c>
      <c r="O54" s="134">
        <v>0</v>
      </c>
      <c r="P54" s="134">
        <v>0.8</v>
      </c>
      <c r="Q54" s="134">
        <v>5.73</v>
      </c>
    </row>
    <row r="55" spans="1:17" customFormat="1">
      <c r="A55" s="112" t="s">
        <v>860</v>
      </c>
      <c r="B55" s="134">
        <v>8.6199999999999992</v>
      </c>
      <c r="C55" s="134">
        <v>51.63</v>
      </c>
      <c r="D55" s="134">
        <v>32.85</v>
      </c>
      <c r="E55" s="134">
        <v>24.63</v>
      </c>
      <c r="F55" s="134">
        <v>51.17</v>
      </c>
      <c r="G55" s="134">
        <v>70.25</v>
      </c>
      <c r="H55" s="134">
        <v>55.1</v>
      </c>
      <c r="I55" s="134">
        <v>9.44</v>
      </c>
      <c r="J55" s="134">
        <v>0.49</v>
      </c>
      <c r="K55" s="134">
        <v>56.58</v>
      </c>
      <c r="L55" s="134">
        <v>41.93</v>
      </c>
      <c r="M55" s="134">
        <v>17.010000000000002</v>
      </c>
      <c r="N55" s="134">
        <v>259.60000000000002</v>
      </c>
      <c r="O55" s="134">
        <v>0</v>
      </c>
      <c r="P55" s="134">
        <v>0.79</v>
      </c>
      <c r="Q55" s="134">
        <v>5.58</v>
      </c>
    </row>
    <row r="56" spans="1:17" customFormat="1">
      <c r="A56" s="112" t="s">
        <v>861</v>
      </c>
      <c r="B56" s="134">
        <v>7.86</v>
      </c>
      <c r="C56" s="134">
        <v>53.22</v>
      </c>
      <c r="D56" s="134">
        <v>33.07</v>
      </c>
      <c r="E56" s="134">
        <v>21.91</v>
      </c>
      <c r="F56" s="134">
        <v>44.86</v>
      </c>
      <c r="G56" s="134">
        <v>70.25</v>
      </c>
      <c r="H56" s="134">
        <v>55.1</v>
      </c>
      <c r="I56" s="134">
        <v>8.91</v>
      </c>
      <c r="J56" s="134">
        <v>0.93</v>
      </c>
      <c r="K56" s="134">
        <v>67.47</v>
      </c>
      <c r="L56" s="134">
        <v>42.16</v>
      </c>
      <c r="M56" s="134">
        <v>16.13</v>
      </c>
      <c r="N56" s="134">
        <v>773.8</v>
      </c>
      <c r="O56" s="134">
        <v>0</v>
      </c>
      <c r="P56" s="134">
        <v>0.77</v>
      </c>
      <c r="Q56" s="134">
        <v>5.46</v>
      </c>
    </row>
    <row r="57" spans="1:17" customFormat="1">
      <c r="A57" s="112" t="s">
        <v>862</v>
      </c>
      <c r="B57" s="134">
        <v>7.44</v>
      </c>
      <c r="C57" s="134">
        <v>51.92</v>
      </c>
      <c r="D57" s="134">
        <v>32.049999999999997</v>
      </c>
      <c r="E57" s="134">
        <v>19.64</v>
      </c>
      <c r="F57" s="134">
        <v>46.68</v>
      </c>
      <c r="G57" s="134">
        <v>70.25</v>
      </c>
      <c r="H57" s="134">
        <v>55.1</v>
      </c>
      <c r="I57" s="134">
        <v>8.52</v>
      </c>
      <c r="J57" s="134">
        <v>1.38</v>
      </c>
      <c r="K57" s="134">
        <v>58.31</v>
      </c>
      <c r="L57" s="134">
        <v>41.56</v>
      </c>
      <c r="M57" s="134">
        <v>15.94</v>
      </c>
      <c r="N57" s="134">
        <v>817.1</v>
      </c>
      <c r="O57" s="134">
        <v>0</v>
      </c>
      <c r="P57" s="134">
        <v>0.76</v>
      </c>
      <c r="Q57" s="134">
        <v>5.39</v>
      </c>
    </row>
    <row r="58" spans="1:17" customFormat="1">
      <c r="A58" s="112" t="s">
        <v>863</v>
      </c>
      <c r="B58" s="134">
        <v>7.09</v>
      </c>
      <c r="C58" s="134">
        <v>52.22</v>
      </c>
      <c r="D58" s="134">
        <v>31.92</v>
      </c>
      <c r="E58" s="134">
        <v>21.05</v>
      </c>
      <c r="F58" s="134">
        <v>46.65</v>
      </c>
      <c r="G58" s="134">
        <v>73.319999999999993</v>
      </c>
      <c r="H58" s="134">
        <v>53.65</v>
      </c>
      <c r="I58" s="134">
        <v>8.7100000000000009</v>
      </c>
      <c r="J58" s="134">
        <v>0.7</v>
      </c>
      <c r="K58" s="134">
        <v>355.19</v>
      </c>
      <c r="L58" s="134">
        <v>42.1</v>
      </c>
      <c r="M58" s="134">
        <v>15.3</v>
      </c>
      <c r="N58" s="134">
        <v>826</v>
      </c>
      <c r="O58" s="134">
        <v>0</v>
      </c>
      <c r="P58" s="134">
        <v>0.73</v>
      </c>
      <c r="Q58" s="134">
        <v>5.37</v>
      </c>
    </row>
    <row r="59" spans="1:17" customFormat="1">
      <c r="A59" s="112" t="s">
        <v>864</v>
      </c>
      <c r="B59" s="134">
        <v>6.85</v>
      </c>
      <c r="C59" s="134">
        <v>54.67</v>
      </c>
      <c r="D59" s="134">
        <v>33.01</v>
      </c>
      <c r="E59" s="134">
        <v>16.28</v>
      </c>
      <c r="F59" s="134">
        <v>40.56</v>
      </c>
      <c r="G59" s="134">
        <v>77.709999999999994</v>
      </c>
      <c r="H59" s="134">
        <v>52.4</v>
      </c>
      <c r="I59" s="134">
        <v>8.34</v>
      </c>
      <c r="J59" s="134">
        <v>0.14000000000000001</v>
      </c>
      <c r="K59" s="134">
        <v>101.85</v>
      </c>
      <c r="L59" s="134">
        <v>42.85</v>
      </c>
      <c r="M59" s="134">
        <v>14.61</v>
      </c>
      <c r="N59" s="134">
        <v>805.8</v>
      </c>
      <c r="O59" s="134">
        <v>0</v>
      </c>
      <c r="P59" s="134">
        <v>0.72</v>
      </c>
      <c r="Q59" s="134">
        <v>5.38</v>
      </c>
    </row>
    <row r="60" spans="1:17" customFormat="1">
      <c r="A60" s="112" t="s">
        <v>865</v>
      </c>
      <c r="B60" s="134">
        <v>6.17</v>
      </c>
      <c r="C60" s="134">
        <v>56.94</v>
      </c>
      <c r="D60" s="134">
        <v>33.65</v>
      </c>
      <c r="E60" s="134">
        <v>14.93</v>
      </c>
      <c r="F60" s="134">
        <v>42.35</v>
      </c>
      <c r="G60" s="134">
        <v>77.709999999999994</v>
      </c>
      <c r="H60" s="134">
        <v>52.4</v>
      </c>
      <c r="I60" s="134">
        <v>7.75</v>
      </c>
      <c r="J60" s="134">
        <v>0.62</v>
      </c>
      <c r="K60" s="134">
        <v>61.18</v>
      </c>
      <c r="L60" s="134">
        <v>42.85</v>
      </c>
      <c r="M60" s="134">
        <v>15.08</v>
      </c>
      <c r="N60" s="134">
        <v>567.20000000000005</v>
      </c>
      <c r="O60" s="134">
        <v>0</v>
      </c>
      <c r="P60" s="134">
        <v>0.71</v>
      </c>
      <c r="Q60" s="134">
        <v>5.41</v>
      </c>
    </row>
    <row r="61" spans="1:17" customFormat="1">
      <c r="A61" s="112" t="s">
        <v>866</v>
      </c>
      <c r="B61" s="134">
        <v>6.61</v>
      </c>
      <c r="C61" s="134">
        <v>58.99</v>
      </c>
      <c r="D61" s="134">
        <v>35.08</v>
      </c>
      <c r="E61" s="134">
        <v>16.489999999999998</v>
      </c>
      <c r="F61" s="134">
        <v>42.75</v>
      </c>
      <c r="G61" s="134">
        <v>77.709999999999994</v>
      </c>
      <c r="H61" s="134">
        <v>52.4</v>
      </c>
      <c r="I61" s="134">
        <v>8.3000000000000007</v>
      </c>
      <c r="J61" s="134">
        <v>0.98</v>
      </c>
      <c r="K61" s="134">
        <v>41.19</v>
      </c>
      <c r="L61" s="134">
        <v>42.07</v>
      </c>
      <c r="M61" s="134">
        <v>15.52</v>
      </c>
      <c r="N61" s="134">
        <v>440.2</v>
      </c>
      <c r="O61" s="134">
        <v>0</v>
      </c>
      <c r="P61" s="134">
        <v>0.72</v>
      </c>
      <c r="Q61" s="134">
        <v>5.4</v>
      </c>
    </row>
    <row r="62" spans="1:17" customFormat="1">
      <c r="A62" s="112" t="s">
        <v>867</v>
      </c>
      <c r="B62" s="134">
        <v>5.34</v>
      </c>
      <c r="C62" s="134">
        <v>53.24</v>
      </c>
      <c r="D62" s="134">
        <v>31.06</v>
      </c>
      <c r="E62" s="134">
        <v>18.309999999999999</v>
      </c>
      <c r="F62" s="134">
        <v>61.05</v>
      </c>
      <c r="G62" s="134">
        <v>65.72</v>
      </c>
      <c r="H62" s="134">
        <v>50.49</v>
      </c>
      <c r="I62" s="134">
        <v>8.0500000000000007</v>
      </c>
      <c r="J62" s="134">
        <v>0.36</v>
      </c>
      <c r="K62" s="134">
        <v>327.78</v>
      </c>
      <c r="L62" s="134">
        <v>41.44</v>
      </c>
      <c r="M62" s="134">
        <v>15.61</v>
      </c>
      <c r="N62" s="134">
        <v>433.4</v>
      </c>
      <c r="O62" s="134">
        <v>0</v>
      </c>
      <c r="P62" s="134">
        <v>0.64</v>
      </c>
      <c r="Q62" s="134">
        <v>5.51</v>
      </c>
    </row>
    <row r="63" spans="1:17" customFormat="1">
      <c r="A63" s="112" t="s">
        <v>868</v>
      </c>
      <c r="B63" s="134">
        <v>5.98</v>
      </c>
      <c r="C63" s="134">
        <v>60.97</v>
      </c>
      <c r="D63" s="134">
        <v>35.61</v>
      </c>
      <c r="E63" s="134">
        <v>16.5</v>
      </c>
      <c r="F63" s="134">
        <v>41.44</v>
      </c>
      <c r="G63" s="134">
        <v>48.54</v>
      </c>
      <c r="H63" s="134">
        <v>45.92</v>
      </c>
      <c r="I63" s="134">
        <v>7.51</v>
      </c>
      <c r="J63" s="134">
        <v>0.72</v>
      </c>
      <c r="K63" s="134">
        <v>322.49</v>
      </c>
      <c r="L63" s="134">
        <v>41.19</v>
      </c>
      <c r="M63" s="134">
        <v>15.75</v>
      </c>
      <c r="N63" s="134">
        <v>321.8</v>
      </c>
      <c r="O63" s="134">
        <v>0</v>
      </c>
      <c r="P63" s="134">
        <v>0.7</v>
      </c>
      <c r="Q63" s="134">
        <v>5.46</v>
      </c>
    </row>
    <row r="64" spans="1:17" customFormat="1">
      <c r="A64" s="112" t="s">
        <v>869</v>
      </c>
      <c r="B64" s="134">
        <v>5.29</v>
      </c>
      <c r="C64" s="134">
        <v>53.66</v>
      </c>
      <c r="D64" s="134">
        <v>31.23</v>
      </c>
      <c r="E64" s="134">
        <v>18.48</v>
      </c>
      <c r="F64" s="134">
        <v>51.54</v>
      </c>
      <c r="G64" s="134">
        <v>48.54</v>
      </c>
      <c r="H64" s="134">
        <v>45.92</v>
      </c>
      <c r="I64" s="134">
        <v>7.55</v>
      </c>
      <c r="J64" s="134">
        <v>0.27</v>
      </c>
      <c r="K64" s="134">
        <v>14.96</v>
      </c>
      <c r="L64" s="134">
        <v>41.04</v>
      </c>
      <c r="M64" s="134">
        <v>16.100000000000001</v>
      </c>
      <c r="N64" s="134">
        <v>224.5</v>
      </c>
      <c r="O64" s="134">
        <v>0</v>
      </c>
      <c r="P64" s="134">
        <v>0.63</v>
      </c>
      <c r="Q64" s="134">
        <v>5.38</v>
      </c>
    </row>
    <row r="65" spans="1:17" customFormat="1">
      <c r="A65" s="112" t="s">
        <v>870</v>
      </c>
      <c r="B65" s="134">
        <v>5.12</v>
      </c>
      <c r="C65" s="134">
        <v>50.98</v>
      </c>
      <c r="D65" s="134">
        <v>29.7</v>
      </c>
      <c r="E65" s="134">
        <v>20.46</v>
      </c>
      <c r="F65" s="134">
        <v>61.77</v>
      </c>
      <c r="G65" s="134">
        <v>48.54</v>
      </c>
      <c r="H65" s="134">
        <v>45.92</v>
      </c>
      <c r="I65" s="134">
        <v>7.45</v>
      </c>
      <c r="J65" s="134">
        <v>0.31</v>
      </c>
      <c r="K65" s="134">
        <v>333.3</v>
      </c>
      <c r="L65" s="134">
        <v>40.81</v>
      </c>
      <c r="M65" s="134">
        <v>16.489999999999998</v>
      </c>
      <c r="N65" s="134">
        <v>161.5</v>
      </c>
      <c r="O65" s="134">
        <v>0</v>
      </c>
      <c r="P65" s="134">
        <v>0.6</v>
      </c>
      <c r="Q65" s="134">
        <v>5.29</v>
      </c>
    </row>
    <row r="66" spans="1:17" customFormat="1">
      <c r="A66" s="112" t="s">
        <v>871</v>
      </c>
      <c r="B66" s="134">
        <v>5.59</v>
      </c>
      <c r="C66" s="134">
        <v>50.83</v>
      </c>
      <c r="D66" s="134">
        <v>29.99</v>
      </c>
      <c r="E66" s="134">
        <v>22.29</v>
      </c>
      <c r="F66" s="134">
        <v>50.49</v>
      </c>
      <c r="G66" s="134">
        <v>49.08</v>
      </c>
      <c r="H66" s="134">
        <v>41.77</v>
      </c>
      <c r="I66" s="134">
        <v>6.9</v>
      </c>
      <c r="J66" s="134">
        <v>0.78</v>
      </c>
      <c r="K66" s="134">
        <v>34.06</v>
      </c>
      <c r="L66" s="134">
        <v>40.64</v>
      </c>
      <c r="M66" s="134">
        <v>16.809999999999999</v>
      </c>
      <c r="N66" s="134">
        <v>225.9</v>
      </c>
      <c r="O66" s="134">
        <v>0</v>
      </c>
      <c r="P66" s="134">
        <v>0.64</v>
      </c>
      <c r="Q66" s="134">
        <v>5.21</v>
      </c>
    </row>
    <row r="67" spans="1:17" customFormat="1">
      <c r="A67" s="112" t="s">
        <v>872</v>
      </c>
      <c r="B67" s="134">
        <v>5.77</v>
      </c>
      <c r="C67" s="134">
        <v>53.77</v>
      </c>
      <c r="D67" s="134">
        <v>31.67</v>
      </c>
      <c r="E67" s="134">
        <v>22.23</v>
      </c>
      <c r="F67" s="134">
        <v>39.58</v>
      </c>
      <c r="G67" s="134">
        <v>49.85</v>
      </c>
      <c r="H67" s="134">
        <v>38.090000000000003</v>
      </c>
      <c r="I67" s="134">
        <v>6.34</v>
      </c>
      <c r="J67" s="134">
        <v>1.75</v>
      </c>
      <c r="K67" s="134">
        <v>37.69</v>
      </c>
      <c r="L67" s="134">
        <v>39.75</v>
      </c>
      <c r="M67" s="134">
        <v>18.77</v>
      </c>
      <c r="N67" s="134">
        <v>366.3</v>
      </c>
      <c r="O67" s="134">
        <v>0</v>
      </c>
      <c r="P67" s="134">
        <v>0.65</v>
      </c>
      <c r="Q67" s="134">
        <v>5.21</v>
      </c>
    </row>
    <row r="68" spans="1:17" customFormat="1">
      <c r="A68" s="112" t="s">
        <v>873</v>
      </c>
      <c r="B68" s="134">
        <v>5.38</v>
      </c>
      <c r="C68" s="134">
        <v>53.69</v>
      </c>
      <c r="D68" s="134">
        <v>31.32</v>
      </c>
      <c r="E68" s="134">
        <v>15.95</v>
      </c>
      <c r="F68" s="134">
        <v>33.01</v>
      </c>
      <c r="G68" s="134">
        <v>49.85</v>
      </c>
      <c r="H68" s="134">
        <v>38.090000000000003</v>
      </c>
      <c r="I68" s="134">
        <v>6.44</v>
      </c>
      <c r="J68" s="134">
        <v>2.66</v>
      </c>
      <c r="K68" s="134">
        <v>45.65</v>
      </c>
      <c r="L68" s="134">
        <v>37.65</v>
      </c>
      <c r="M68" s="134">
        <v>22.82</v>
      </c>
      <c r="N68" s="134">
        <v>128.5</v>
      </c>
      <c r="O68" s="134">
        <v>0</v>
      </c>
      <c r="P68" s="134">
        <v>0.64</v>
      </c>
      <c r="Q68" s="134">
        <v>5.15</v>
      </c>
    </row>
    <row r="69" spans="1:17" customFormat="1">
      <c r="A69" s="112" t="s">
        <v>874</v>
      </c>
      <c r="B69" s="134">
        <v>4.47</v>
      </c>
      <c r="C69" s="134">
        <v>48.17</v>
      </c>
      <c r="D69" s="134">
        <v>27.71</v>
      </c>
      <c r="E69" s="134">
        <v>17.53</v>
      </c>
      <c r="F69" s="134">
        <v>51.74</v>
      </c>
      <c r="G69" s="134">
        <v>49.85</v>
      </c>
      <c r="H69" s="134">
        <v>38.090000000000003</v>
      </c>
      <c r="I69" s="134">
        <v>7.03</v>
      </c>
      <c r="J69" s="134">
        <v>1.17</v>
      </c>
      <c r="K69" s="134">
        <v>40.06</v>
      </c>
      <c r="L69" s="134">
        <v>37.450000000000003</v>
      </c>
      <c r="M69" s="134">
        <v>22.16</v>
      </c>
      <c r="N69" s="134">
        <v>280.60000000000002</v>
      </c>
      <c r="O69" s="134">
        <v>0</v>
      </c>
      <c r="P69" s="134">
        <v>0.6</v>
      </c>
      <c r="Q69" s="134">
        <v>4.99</v>
      </c>
    </row>
    <row r="70" spans="1:17" customFormat="1">
      <c r="A70" s="112" t="s">
        <v>875</v>
      </c>
      <c r="B70" s="134">
        <v>4.38</v>
      </c>
      <c r="C70" s="134">
        <v>47.64</v>
      </c>
      <c r="D70" s="134">
        <v>27.36</v>
      </c>
      <c r="E70" s="134">
        <v>22.85</v>
      </c>
      <c r="F70" s="134">
        <v>48.6</v>
      </c>
      <c r="G70" s="134">
        <v>67.319999999999993</v>
      </c>
      <c r="H70" s="134">
        <v>42.04</v>
      </c>
      <c r="I70" s="134">
        <v>7.25</v>
      </c>
      <c r="J70" s="134">
        <v>0.92</v>
      </c>
      <c r="K70" s="134">
        <v>34.130000000000003</v>
      </c>
      <c r="L70" s="134">
        <v>40.130000000000003</v>
      </c>
      <c r="M70" s="134">
        <v>18.89</v>
      </c>
      <c r="N70" s="134">
        <v>505.6</v>
      </c>
      <c r="O70" s="134">
        <v>0</v>
      </c>
      <c r="P70" s="134">
        <v>0.59</v>
      </c>
      <c r="Q70" s="134">
        <v>4.8899999999999997</v>
      </c>
    </row>
    <row r="71" spans="1:17" customFormat="1">
      <c r="A71" s="112" t="s">
        <v>876</v>
      </c>
      <c r="B71" s="134">
        <v>4.76</v>
      </c>
      <c r="C71" s="134">
        <v>52.83</v>
      </c>
      <c r="D71" s="134">
        <v>30.37</v>
      </c>
      <c r="E71" s="134">
        <v>23.82</v>
      </c>
      <c r="F71" s="134">
        <v>58.29</v>
      </c>
      <c r="G71" s="134">
        <v>92.34</v>
      </c>
      <c r="H71" s="134">
        <v>45.45</v>
      </c>
      <c r="I71" s="134">
        <v>6.44</v>
      </c>
      <c r="J71" s="134">
        <v>0.85</v>
      </c>
      <c r="K71" s="134">
        <v>49.83</v>
      </c>
      <c r="L71" s="134">
        <v>41.17</v>
      </c>
      <c r="M71" s="134">
        <v>16.63</v>
      </c>
      <c r="N71" s="134">
        <v>456.4</v>
      </c>
      <c r="O71" s="134">
        <v>0</v>
      </c>
      <c r="P71" s="134">
        <v>0.57999999999999996</v>
      </c>
      <c r="Q71" s="134">
        <v>5.07</v>
      </c>
    </row>
    <row r="72" spans="1:17" customFormat="1">
      <c r="A72" s="112" t="s">
        <v>877</v>
      </c>
      <c r="B72" s="134">
        <v>5.31</v>
      </c>
      <c r="C72" s="134">
        <v>52.88</v>
      </c>
      <c r="D72" s="134">
        <v>30.84</v>
      </c>
      <c r="E72" s="134">
        <v>23.16</v>
      </c>
      <c r="F72" s="134">
        <v>54.14</v>
      </c>
      <c r="G72" s="134">
        <v>92.34</v>
      </c>
      <c r="H72" s="134">
        <v>45.45</v>
      </c>
      <c r="I72" s="134">
        <v>5.64</v>
      </c>
      <c r="J72" s="134">
        <v>0.99</v>
      </c>
      <c r="K72" s="134">
        <v>47.78</v>
      </c>
      <c r="L72" s="134">
        <v>41.24</v>
      </c>
      <c r="M72" s="134">
        <v>15.36</v>
      </c>
      <c r="N72" s="134">
        <v>410.3</v>
      </c>
      <c r="O72" s="134">
        <v>0</v>
      </c>
      <c r="P72" s="134">
        <v>0.57999999999999996</v>
      </c>
      <c r="Q72" s="134">
        <v>5.09</v>
      </c>
    </row>
    <row r="73" spans="1:17" customFormat="1">
      <c r="A73" s="112" t="s">
        <v>878</v>
      </c>
      <c r="B73" s="134">
        <v>5.57</v>
      </c>
      <c r="C73" s="134">
        <v>52.99</v>
      </c>
      <c r="D73" s="134">
        <v>31.11</v>
      </c>
      <c r="E73" s="134">
        <v>19.309999999999999</v>
      </c>
      <c r="F73" s="134">
        <v>53.9</v>
      </c>
      <c r="G73" s="134">
        <v>92.34</v>
      </c>
      <c r="H73" s="134">
        <v>45.45</v>
      </c>
      <c r="I73" s="134">
        <v>5.61</v>
      </c>
      <c r="J73" s="134">
        <v>0.87</v>
      </c>
      <c r="K73" s="134">
        <v>42.75</v>
      </c>
      <c r="L73" s="134">
        <v>41.21</v>
      </c>
      <c r="M73" s="134">
        <v>15.08</v>
      </c>
      <c r="N73" s="134">
        <v>319.8</v>
      </c>
      <c r="O73" s="134">
        <v>0</v>
      </c>
      <c r="P73" s="134">
        <v>0.56999999999999995</v>
      </c>
      <c r="Q73" s="134">
        <v>5.0599999999999996</v>
      </c>
    </row>
    <row r="74" spans="1:17" customFormat="1">
      <c r="A74" s="112" t="s">
        <v>879</v>
      </c>
      <c r="B74" s="134">
        <v>5.55</v>
      </c>
      <c r="C74" s="134">
        <v>49.89</v>
      </c>
      <c r="D74" s="134">
        <v>29.47</v>
      </c>
      <c r="E74" s="134">
        <v>21.92</v>
      </c>
      <c r="F74" s="134">
        <v>61.62</v>
      </c>
      <c r="G74" s="134">
        <v>85.7</v>
      </c>
      <c r="H74" s="134">
        <v>43.57</v>
      </c>
      <c r="I74" s="134">
        <v>5.75</v>
      </c>
      <c r="J74" s="134">
        <v>0.76</v>
      </c>
      <c r="K74" s="134">
        <v>41.1</v>
      </c>
      <c r="L74" s="134">
        <v>40.53</v>
      </c>
      <c r="M74" s="134">
        <v>15.84</v>
      </c>
      <c r="N74" s="134">
        <v>112.5</v>
      </c>
      <c r="O74" s="134">
        <v>0</v>
      </c>
      <c r="P74" s="134">
        <v>0.56000000000000005</v>
      </c>
      <c r="Q74" s="134">
        <v>5.04</v>
      </c>
    </row>
    <row r="75" spans="1:17" customFormat="1">
      <c r="A75" s="112" t="s">
        <v>880</v>
      </c>
      <c r="B75" s="134">
        <v>5.67</v>
      </c>
      <c r="C75" s="134">
        <v>53.79</v>
      </c>
      <c r="D75" s="134">
        <v>31.6</v>
      </c>
      <c r="E75" s="134">
        <v>22.86</v>
      </c>
      <c r="F75" s="134">
        <v>52.82</v>
      </c>
      <c r="G75" s="134">
        <v>76.209999999999994</v>
      </c>
      <c r="H75" s="134">
        <v>41.96</v>
      </c>
      <c r="I75" s="134">
        <v>5.5</v>
      </c>
      <c r="J75" s="134">
        <v>0.67</v>
      </c>
      <c r="K75" s="134">
        <v>37.49</v>
      </c>
      <c r="L75" s="134">
        <v>39.57</v>
      </c>
      <c r="M75" s="134">
        <v>16.86</v>
      </c>
      <c r="N75" s="134">
        <v>69.5</v>
      </c>
      <c r="O75" s="134">
        <v>0</v>
      </c>
      <c r="P75" s="134">
        <v>0.59</v>
      </c>
      <c r="Q75" s="134">
        <v>5.09</v>
      </c>
    </row>
    <row r="76" spans="1:17" customFormat="1">
      <c r="A76" s="112" t="s">
        <v>881</v>
      </c>
      <c r="B76" s="134">
        <v>7.72</v>
      </c>
      <c r="C76" s="134">
        <v>59.74</v>
      </c>
      <c r="D76" s="134">
        <v>36.36</v>
      </c>
      <c r="E76" s="134">
        <v>22.46</v>
      </c>
      <c r="F76" s="134">
        <v>38.64</v>
      </c>
      <c r="G76" s="134">
        <v>76.209999999999994</v>
      </c>
      <c r="H76" s="134">
        <v>41.96</v>
      </c>
      <c r="I76" s="134">
        <v>4.95</v>
      </c>
      <c r="J76" s="134">
        <v>1.1599999999999999</v>
      </c>
      <c r="K76" s="134">
        <v>45.68</v>
      </c>
      <c r="L76" s="134">
        <v>38.950000000000003</v>
      </c>
      <c r="M76" s="134">
        <v>19.79</v>
      </c>
      <c r="N76" s="134">
        <v>63.2</v>
      </c>
      <c r="O76" s="134">
        <v>0</v>
      </c>
      <c r="P76" s="134">
        <v>0.61</v>
      </c>
      <c r="Q76" s="134">
        <v>5.13</v>
      </c>
    </row>
    <row r="77" spans="1:17" customFormat="1">
      <c r="A77" s="112" t="s">
        <v>882</v>
      </c>
      <c r="B77" s="134">
        <v>6.61</v>
      </c>
      <c r="C77" s="134">
        <v>55.99</v>
      </c>
      <c r="D77" s="134">
        <v>33.51</v>
      </c>
      <c r="E77" s="134">
        <v>18.809999999999999</v>
      </c>
      <c r="F77" s="134">
        <v>26.25</v>
      </c>
      <c r="G77" s="134">
        <v>76.209999999999994</v>
      </c>
      <c r="H77" s="134">
        <v>41.96</v>
      </c>
      <c r="I77" s="134">
        <v>5.14</v>
      </c>
      <c r="J77" s="134">
        <v>1.59</v>
      </c>
      <c r="K77" s="134">
        <v>42.34</v>
      </c>
      <c r="L77" s="134">
        <v>37.31</v>
      </c>
      <c r="M77" s="134">
        <v>24.52</v>
      </c>
      <c r="N77" s="134">
        <v>69.2</v>
      </c>
      <c r="O77" s="134">
        <v>0</v>
      </c>
      <c r="P77" s="134">
        <v>0.62</v>
      </c>
      <c r="Q77" s="134">
        <v>5.16</v>
      </c>
    </row>
    <row r="78" spans="1:17" customFormat="1">
      <c r="A78" s="112" t="s">
        <v>883</v>
      </c>
      <c r="B78" s="134">
        <v>6.06</v>
      </c>
      <c r="C78" s="134">
        <v>50.9</v>
      </c>
      <c r="D78" s="134">
        <v>30.4</v>
      </c>
      <c r="E78" s="134">
        <v>15.49</v>
      </c>
      <c r="F78" s="134">
        <v>39.450000000000003</v>
      </c>
      <c r="G78" s="134">
        <v>79.45</v>
      </c>
      <c r="H78" s="134">
        <v>43.03</v>
      </c>
      <c r="I78" s="134">
        <v>5.84</v>
      </c>
      <c r="J78" s="134">
        <v>1.1499999999999999</v>
      </c>
      <c r="K78" s="134">
        <v>36.770000000000003</v>
      </c>
      <c r="L78" s="134">
        <v>36.57</v>
      </c>
      <c r="M78" s="134">
        <v>25.72</v>
      </c>
      <c r="N78" s="134">
        <v>62.4</v>
      </c>
      <c r="O78" s="134">
        <v>0</v>
      </c>
      <c r="P78" s="134">
        <v>0.61</v>
      </c>
      <c r="Q78" s="134">
        <v>5.1100000000000003</v>
      </c>
    </row>
    <row r="79" spans="1:17" customFormat="1">
      <c r="A79" s="112" t="s">
        <v>884</v>
      </c>
      <c r="B79" s="134">
        <v>6.96</v>
      </c>
      <c r="C79" s="134">
        <v>56.12</v>
      </c>
      <c r="D79" s="134">
        <v>33.86</v>
      </c>
      <c r="E79" s="134">
        <v>24.17</v>
      </c>
      <c r="F79" s="134">
        <v>31.7</v>
      </c>
      <c r="G79" s="134">
        <v>84.32</v>
      </c>
      <c r="H79" s="134">
        <v>43.95</v>
      </c>
      <c r="I79" s="134">
        <v>6.14</v>
      </c>
      <c r="J79" s="134">
        <v>0.63</v>
      </c>
      <c r="K79" s="134">
        <v>335.9</v>
      </c>
      <c r="L79" s="134">
        <v>36.619999999999997</v>
      </c>
      <c r="M79" s="134">
        <v>25.3</v>
      </c>
      <c r="N79" s="134">
        <v>37.200000000000003</v>
      </c>
      <c r="O79" s="134">
        <v>0</v>
      </c>
      <c r="P79" s="134">
        <v>0.64</v>
      </c>
      <c r="Q79" s="134">
        <v>5.07</v>
      </c>
    </row>
    <row r="80" spans="1:17" customFormat="1">
      <c r="A80" s="112" t="s">
        <v>885</v>
      </c>
      <c r="B80" s="134">
        <v>7.7</v>
      </c>
      <c r="C80" s="134">
        <v>57.46</v>
      </c>
      <c r="D80" s="134">
        <v>35.15</v>
      </c>
      <c r="E80" s="134">
        <v>46.24</v>
      </c>
      <c r="F80" s="134">
        <v>34.96</v>
      </c>
      <c r="G80" s="134">
        <v>84.32</v>
      </c>
      <c r="H80" s="134">
        <v>43.95</v>
      </c>
      <c r="I80" s="134">
        <v>5.71</v>
      </c>
      <c r="J80" s="134">
        <v>0.36</v>
      </c>
      <c r="K80" s="134">
        <v>37.9</v>
      </c>
      <c r="L80" s="134">
        <v>36.729999999999997</v>
      </c>
      <c r="M80" s="134">
        <v>25.29</v>
      </c>
      <c r="N80" s="134">
        <v>23</v>
      </c>
      <c r="O80" s="134">
        <v>0</v>
      </c>
      <c r="P80" s="134">
        <v>0.69</v>
      </c>
      <c r="Q80" s="134">
        <v>5.0599999999999996</v>
      </c>
    </row>
    <row r="81" spans="1:17" customFormat="1">
      <c r="A81" s="112" t="s">
        <v>886</v>
      </c>
      <c r="B81" s="134">
        <v>7.79</v>
      </c>
      <c r="C81" s="134">
        <v>63.24</v>
      </c>
      <c r="D81" s="134">
        <v>38.24</v>
      </c>
      <c r="E81" s="134">
        <v>51.16</v>
      </c>
      <c r="F81" s="134">
        <v>28.39</v>
      </c>
      <c r="G81" s="134">
        <v>84.32</v>
      </c>
      <c r="H81" s="134">
        <v>43.95</v>
      </c>
      <c r="I81" s="134">
        <v>5.49</v>
      </c>
      <c r="J81" s="134">
        <v>0.47</v>
      </c>
      <c r="K81" s="134">
        <v>73.56</v>
      </c>
      <c r="L81" s="134">
        <v>36.700000000000003</v>
      </c>
      <c r="M81" s="134">
        <v>25.76</v>
      </c>
      <c r="N81" s="134">
        <v>5.5</v>
      </c>
      <c r="O81" s="134">
        <v>0</v>
      </c>
      <c r="P81" s="134">
        <v>0.78</v>
      </c>
      <c r="Q81" s="134">
        <v>5.13</v>
      </c>
    </row>
    <row r="82" spans="1:17" customFormat="1">
      <c r="A82" s="112" t="s">
        <v>887</v>
      </c>
      <c r="B82" s="134">
        <v>10.11</v>
      </c>
      <c r="C82" s="134">
        <v>61.06</v>
      </c>
      <c r="D82" s="134">
        <v>38.97</v>
      </c>
      <c r="E82" s="134">
        <v>32.97</v>
      </c>
      <c r="F82" s="134">
        <v>33.99</v>
      </c>
      <c r="G82" s="134">
        <v>90.95</v>
      </c>
      <c r="H82" s="134">
        <v>45.37</v>
      </c>
      <c r="I82" s="134">
        <v>5.62</v>
      </c>
      <c r="J82" s="134">
        <v>0.67</v>
      </c>
      <c r="K82" s="134">
        <v>54.63</v>
      </c>
      <c r="L82" s="134">
        <v>36.4</v>
      </c>
      <c r="M82" s="134">
        <v>25.81</v>
      </c>
      <c r="N82" s="134">
        <v>0.1</v>
      </c>
      <c r="O82" s="134">
        <v>0</v>
      </c>
      <c r="P82" s="134">
        <v>0.76</v>
      </c>
      <c r="Q82" s="134">
        <v>5.21</v>
      </c>
    </row>
    <row r="83" spans="1:17" customFormat="1">
      <c r="A83" s="112" t="s">
        <v>888</v>
      </c>
      <c r="B83" s="134">
        <v>8.93</v>
      </c>
      <c r="C83" s="134">
        <v>58.9</v>
      </c>
      <c r="D83" s="134">
        <v>36.89</v>
      </c>
      <c r="E83" s="134">
        <v>22.84</v>
      </c>
      <c r="F83" s="134">
        <v>33.869999999999997</v>
      </c>
      <c r="G83" s="134">
        <v>100.44</v>
      </c>
      <c r="H83" s="134">
        <v>46.6</v>
      </c>
      <c r="I83" s="134">
        <v>5.78</v>
      </c>
      <c r="J83" s="134">
        <v>0.77</v>
      </c>
      <c r="K83" s="134">
        <v>53.57</v>
      </c>
      <c r="L83" s="134">
        <v>36.130000000000003</v>
      </c>
      <c r="M83" s="134">
        <v>25.51</v>
      </c>
      <c r="N83" s="134">
        <v>0</v>
      </c>
      <c r="O83" s="134">
        <v>0</v>
      </c>
      <c r="P83" s="134">
        <v>0.72</v>
      </c>
      <c r="Q83" s="134">
        <v>5.25</v>
      </c>
    </row>
    <row r="84" spans="1:17" customFormat="1">
      <c r="A84" s="112" t="s">
        <v>889</v>
      </c>
      <c r="B84" s="134">
        <v>8.34</v>
      </c>
      <c r="C84" s="134">
        <v>57.94</v>
      </c>
      <c r="D84" s="134">
        <v>35.909999999999997</v>
      </c>
      <c r="E84" s="134">
        <v>22.9</v>
      </c>
      <c r="F84" s="134">
        <v>35.69</v>
      </c>
      <c r="G84" s="134">
        <v>100.44</v>
      </c>
      <c r="H84" s="134">
        <v>46.6</v>
      </c>
      <c r="I84" s="134">
        <v>5.75</v>
      </c>
      <c r="J84" s="134">
        <v>0.77</v>
      </c>
      <c r="K84" s="134">
        <v>62.15</v>
      </c>
      <c r="L84" s="134">
        <v>35.78</v>
      </c>
      <c r="M84" s="134">
        <v>26.54</v>
      </c>
      <c r="N84" s="134">
        <v>0</v>
      </c>
      <c r="O84" s="134">
        <v>0</v>
      </c>
      <c r="P84" s="134">
        <v>0.7</v>
      </c>
      <c r="Q84" s="134">
        <v>5.31</v>
      </c>
    </row>
    <row r="85" spans="1:17" customFormat="1">
      <c r="A85" s="112" t="s">
        <v>890</v>
      </c>
      <c r="B85" s="134">
        <v>8.86</v>
      </c>
      <c r="C85" s="134">
        <v>57.42</v>
      </c>
      <c r="D85" s="134">
        <v>36.06</v>
      </c>
      <c r="E85" s="134">
        <v>16.82</v>
      </c>
      <c r="F85" s="134">
        <v>33.97</v>
      </c>
      <c r="G85" s="134">
        <v>100.44</v>
      </c>
      <c r="H85" s="134">
        <v>46.6</v>
      </c>
      <c r="I85" s="134">
        <v>5.68</v>
      </c>
      <c r="J85" s="134">
        <v>0.83</v>
      </c>
      <c r="K85" s="134">
        <v>42.23</v>
      </c>
      <c r="L85" s="134">
        <v>35.369999999999997</v>
      </c>
      <c r="M85" s="134">
        <v>27.6</v>
      </c>
      <c r="N85" s="134">
        <v>0</v>
      </c>
      <c r="O85" s="134">
        <v>0</v>
      </c>
      <c r="P85" s="134">
        <v>0.68</v>
      </c>
      <c r="Q85" s="134">
        <v>5.29</v>
      </c>
    </row>
    <row r="86" spans="1:17" customFormat="1">
      <c r="A86" s="112" t="s">
        <v>891</v>
      </c>
      <c r="B86" s="134">
        <v>9.84</v>
      </c>
      <c r="C86" s="134">
        <v>57.98</v>
      </c>
      <c r="D86" s="134">
        <v>37.14</v>
      </c>
      <c r="E86" s="134">
        <v>15.02</v>
      </c>
      <c r="F86" s="134">
        <v>33.6</v>
      </c>
      <c r="G86" s="134">
        <v>99.25</v>
      </c>
      <c r="H86" s="134">
        <v>45.81</v>
      </c>
      <c r="I86" s="134">
        <v>5.7</v>
      </c>
      <c r="J86" s="134">
        <v>0.92</v>
      </c>
      <c r="K86" s="134">
        <v>40.97</v>
      </c>
      <c r="L86" s="134">
        <v>35.17</v>
      </c>
      <c r="M86" s="134">
        <v>27.79</v>
      </c>
      <c r="N86" s="134">
        <v>0</v>
      </c>
      <c r="O86" s="134">
        <v>0</v>
      </c>
      <c r="P86" s="134">
        <v>0.69</v>
      </c>
      <c r="Q86" s="134">
        <v>5.28</v>
      </c>
    </row>
    <row r="87" spans="1:17" customFormat="1">
      <c r="A87" s="112" t="s">
        <v>892</v>
      </c>
      <c r="B87" s="134">
        <v>9.3800000000000008</v>
      </c>
      <c r="C87" s="134">
        <v>56.49</v>
      </c>
      <c r="D87" s="134">
        <v>35.99</v>
      </c>
      <c r="E87" s="134">
        <v>17.11</v>
      </c>
      <c r="F87" s="134">
        <v>35.17</v>
      </c>
      <c r="G87" s="134">
        <v>97.55</v>
      </c>
      <c r="H87" s="134">
        <v>43.77</v>
      </c>
      <c r="I87" s="134">
        <v>5.77</v>
      </c>
      <c r="J87" s="134">
        <v>0.55000000000000004</v>
      </c>
      <c r="K87" s="134">
        <v>358.47</v>
      </c>
      <c r="L87" s="134">
        <v>35.11</v>
      </c>
      <c r="M87" s="134">
        <v>27.59</v>
      </c>
      <c r="N87" s="134">
        <v>0</v>
      </c>
      <c r="O87" s="134">
        <v>0</v>
      </c>
      <c r="P87" s="134">
        <v>0.67</v>
      </c>
      <c r="Q87" s="134">
        <v>5.27</v>
      </c>
    </row>
    <row r="88" spans="1:17" customFormat="1">
      <c r="A88" s="112" t="s">
        <v>893</v>
      </c>
      <c r="B88" s="134">
        <v>8.67</v>
      </c>
      <c r="C88" s="134">
        <v>54.62</v>
      </c>
      <c r="D88" s="134">
        <v>34.44</v>
      </c>
      <c r="E88" s="134">
        <v>30.87</v>
      </c>
      <c r="F88" s="134">
        <v>27.28</v>
      </c>
      <c r="G88" s="134">
        <v>97.55</v>
      </c>
      <c r="H88" s="134">
        <v>43.77</v>
      </c>
      <c r="I88" s="134">
        <v>5.69</v>
      </c>
      <c r="J88" s="134">
        <v>0.44</v>
      </c>
      <c r="K88" s="134">
        <v>30.12</v>
      </c>
      <c r="L88" s="134">
        <v>35.18</v>
      </c>
      <c r="M88" s="134">
        <v>27.25</v>
      </c>
      <c r="N88" s="134">
        <v>0</v>
      </c>
      <c r="O88" s="134">
        <v>0</v>
      </c>
      <c r="P88" s="134">
        <v>0.68</v>
      </c>
      <c r="Q88" s="134">
        <v>5.25</v>
      </c>
    </row>
    <row r="89" spans="1:17" customFormat="1">
      <c r="A89" s="112" t="s">
        <v>894</v>
      </c>
      <c r="B89" s="134">
        <v>11</v>
      </c>
      <c r="C89" s="134">
        <v>60.74</v>
      </c>
      <c r="D89" s="134">
        <v>39.520000000000003</v>
      </c>
      <c r="E89" s="134">
        <v>42.58</v>
      </c>
      <c r="F89" s="134">
        <v>19.25</v>
      </c>
      <c r="G89" s="134">
        <v>97.55</v>
      </c>
      <c r="H89" s="134">
        <v>43.77</v>
      </c>
      <c r="I89" s="134">
        <v>5.55</v>
      </c>
      <c r="J89" s="134">
        <v>0.38</v>
      </c>
      <c r="K89" s="134">
        <v>45</v>
      </c>
      <c r="L89" s="134">
        <v>35.06</v>
      </c>
      <c r="M89" s="134">
        <v>27.84</v>
      </c>
      <c r="N89" s="134">
        <v>0</v>
      </c>
      <c r="O89" s="134">
        <v>0</v>
      </c>
      <c r="P89" s="134">
        <v>0.73</v>
      </c>
      <c r="Q89" s="134">
        <v>5.25</v>
      </c>
    </row>
    <row r="90" spans="1:17" customFormat="1">
      <c r="A90" s="112" t="s">
        <v>895</v>
      </c>
      <c r="B90" s="134">
        <v>12.03</v>
      </c>
      <c r="C90" s="134">
        <v>63</v>
      </c>
      <c r="D90" s="134">
        <v>41.52</v>
      </c>
      <c r="E90" s="134">
        <v>59.23</v>
      </c>
      <c r="F90" s="134">
        <v>19.61</v>
      </c>
      <c r="G90" s="134">
        <v>100.34</v>
      </c>
      <c r="H90" s="134">
        <v>43.42</v>
      </c>
      <c r="I90" s="134">
        <v>5.64</v>
      </c>
      <c r="J90" s="134">
        <v>0.52</v>
      </c>
      <c r="K90" s="134">
        <v>44.87</v>
      </c>
      <c r="L90" s="134">
        <v>34.9</v>
      </c>
      <c r="M90" s="134">
        <v>28.54</v>
      </c>
      <c r="N90" s="134">
        <v>0</v>
      </c>
      <c r="O90" s="134">
        <v>0</v>
      </c>
      <c r="P90" s="134">
        <v>0.79</v>
      </c>
      <c r="Q90" s="134">
        <v>5.39</v>
      </c>
    </row>
    <row r="91" spans="1:17" customFormat="1">
      <c r="A91" s="112" t="s">
        <v>896</v>
      </c>
      <c r="B91" s="134">
        <v>14.24</v>
      </c>
      <c r="C91" s="134">
        <v>63.17</v>
      </c>
      <c r="D91" s="134">
        <v>43.38</v>
      </c>
      <c r="E91" s="134">
        <v>73.099999999999994</v>
      </c>
      <c r="F91" s="134">
        <v>17.73</v>
      </c>
      <c r="G91" s="134">
        <v>104.34</v>
      </c>
      <c r="H91" s="134">
        <v>43.11</v>
      </c>
      <c r="I91" s="134">
        <v>5.8</v>
      </c>
      <c r="J91" s="134">
        <v>0.44</v>
      </c>
      <c r="K91" s="134">
        <v>38.9</v>
      </c>
      <c r="L91" s="134">
        <v>34.78</v>
      </c>
      <c r="M91" s="134">
        <v>28.99</v>
      </c>
      <c r="N91" s="134">
        <v>0</v>
      </c>
      <c r="O91" s="134">
        <v>0</v>
      </c>
      <c r="P91" s="134">
        <v>0.86</v>
      </c>
      <c r="Q91" s="134">
        <v>5.48</v>
      </c>
    </row>
    <row r="92" spans="1:17" customFormat="1">
      <c r="A92" s="112" t="s">
        <v>897</v>
      </c>
      <c r="B92" s="134">
        <v>18.170000000000002</v>
      </c>
      <c r="C92" s="134">
        <v>63.19</v>
      </c>
      <c r="D92" s="134">
        <v>46.54</v>
      </c>
      <c r="E92" s="134">
        <v>90.8</v>
      </c>
      <c r="F92" s="134">
        <v>15.14</v>
      </c>
      <c r="G92" s="134">
        <v>104.34</v>
      </c>
      <c r="H92" s="134">
        <v>43.11</v>
      </c>
      <c r="I92" s="134">
        <v>6.14</v>
      </c>
      <c r="J92" s="134">
        <v>0.38</v>
      </c>
      <c r="K92" s="134">
        <v>47.9</v>
      </c>
      <c r="L92" s="134">
        <v>34.67</v>
      </c>
      <c r="M92" s="134">
        <v>29.7</v>
      </c>
      <c r="N92" s="134">
        <v>0</v>
      </c>
      <c r="O92" s="134">
        <v>0</v>
      </c>
      <c r="P92" s="134">
        <v>0.96</v>
      </c>
      <c r="Q92" s="134">
        <v>5.48</v>
      </c>
    </row>
    <row r="93" spans="1:17" customFormat="1">
      <c r="A93" s="112" t="s">
        <v>898</v>
      </c>
      <c r="B93" s="134">
        <v>16.37</v>
      </c>
      <c r="C93" s="134">
        <v>61.55</v>
      </c>
      <c r="D93" s="134">
        <v>44.24</v>
      </c>
      <c r="E93" s="134">
        <v>74.989999999999995</v>
      </c>
      <c r="F93" s="134">
        <v>13.82</v>
      </c>
      <c r="G93" s="134">
        <v>104.34</v>
      </c>
      <c r="H93" s="134">
        <v>43.11</v>
      </c>
      <c r="I93" s="134">
        <v>6.57</v>
      </c>
      <c r="J93" s="134">
        <v>0.34</v>
      </c>
      <c r="K93" s="134">
        <v>70.430000000000007</v>
      </c>
      <c r="L93" s="134">
        <v>34.61</v>
      </c>
      <c r="M93" s="134">
        <v>30.3</v>
      </c>
      <c r="N93" s="134">
        <v>0</v>
      </c>
      <c r="O93" s="134">
        <v>0</v>
      </c>
      <c r="P93" s="134">
        <v>0.99</v>
      </c>
      <c r="Q93" s="134">
        <v>5.5</v>
      </c>
    </row>
    <row r="94" spans="1:17" customFormat="1">
      <c r="A94" s="112" t="s">
        <v>899</v>
      </c>
      <c r="B94" s="134">
        <v>10.98</v>
      </c>
      <c r="C94" s="134">
        <v>56.03</v>
      </c>
      <c r="D94" s="134">
        <v>37.03</v>
      </c>
      <c r="E94" s="134">
        <v>64.930000000000007</v>
      </c>
      <c r="F94" s="134">
        <v>15.45</v>
      </c>
      <c r="G94" s="134">
        <v>110.76</v>
      </c>
      <c r="H94" s="134">
        <v>45.29</v>
      </c>
      <c r="I94" s="134">
        <v>6.98</v>
      </c>
      <c r="J94" s="134">
        <v>0.15</v>
      </c>
      <c r="K94" s="134">
        <v>129.84</v>
      </c>
      <c r="L94" s="134">
        <v>34.33</v>
      </c>
      <c r="M94" s="134">
        <v>32.450000000000003</v>
      </c>
      <c r="N94" s="134">
        <v>0</v>
      </c>
      <c r="O94" s="134">
        <v>0</v>
      </c>
      <c r="P94" s="134">
        <v>0.94</v>
      </c>
      <c r="Q94" s="134">
        <v>5.5</v>
      </c>
    </row>
    <row r="95" spans="1:17" customFormat="1">
      <c r="A95" s="112" t="s">
        <v>900</v>
      </c>
      <c r="B95" s="134">
        <v>18.670000000000002</v>
      </c>
      <c r="C95" s="134">
        <v>60.2</v>
      </c>
      <c r="D95" s="134">
        <v>45.38</v>
      </c>
      <c r="E95" s="134">
        <v>51.7</v>
      </c>
      <c r="F95" s="134">
        <v>10.88</v>
      </c>
      <c r="G95" s="134">
        <v>119.96</v>
      </c>
      <c r="H95" s="134">
        <v>47.17</v>
      </c>
      <c r="I95" s="134">
        <v>6.75</v>
      </c>
      <c r="J95" s="134">
        <v>0.17</v>
      </c>
      <c r="K95" s="134">
        <v>82.9</v>
      </c>
      <c r="L95" s="134">
        <v>34.15</v>
      </c>
      <c r="M95" s="134">
        <v>32.82</v>
      </c>
      <c r="N95" s="134">
        <v>0</v>
      </c>
      <c r="O95" s="134">
        <v>0</v>
      </c>
      <c r="P95" s="134">
        <v>0.95</v>
      </c>
      <c r="Q95" s="134">
        <v>5.49</v>
      </c>
    </row>
    <row r="96" spans="1:17" customFormat="1">
      <c r="A96" s="112" t="s">
        <v>901</v>
      </c>
      <c r="B96" s="134">
        <v>16.7</v>
      </c>
      <c r="C96" s="134">
        <v>63.27</v>
      </c>
      <c r="D96" s="134">
        <v>45.4</v>
      </c>
      <c r="E96" s="134">
        <v>34.36</v>
      </c>
      <c r="F96" s="134">
        <v>9.3000000000000007</v>
      </c>
      <c r="G96" s="134">
        <v>119.96</v>
      </c>
      <c r="H96" s="134">
        <v>47.17</v>
      </c>
      <c r="I96" s="134">
        <v>6.46</v>
      </c>
      <c r="J96" s="134">
        <v>0.12</v>
      </c>
      <c r="K96" s="134">
        <v>169.44</v>
      </c>
      <c r="L96" s="134">
        <v>33.92</v>
      </c>
      <c r="M96" s="134">
        <v>33.51</v>
      </c>
      <c r="N96" s="134">
        <v>0</v>
      </c>
      <c r="O96" s="134">
        <v>0</v>
      </c>
      <c r="P96" s="134">
        <v>0.9</v>
      </c>
      <c r="Q96" s="134">
        <v>5.54</v>
      </c>
    </row>
    <row r="97" spans="1:22" customFormat="1">
      <c r="A97" s="112" t="s">
        <v>902</v>
      </c>
      <c r="B97" s="134">
        <v>12.19</v>
      </c>
      <c r="C97" s="134">
        <v>61.44</v>
      </c>
      <c r="D97" s="134">
        <v>40.840000000000003</v>
      </c>
      <c r="E97" s="134">
        <v>30.23</v>
      </c>
      <c r="F97" s="134">
        <v>13.25</v>
      </c>
      <c r="G97" s="134">
        <v>119.96</v>
      </c>
      <c r="H97" s="134">
        <v>47.17</v>
      </c>
      <c r="I97" s="134">
        <v>6.48</v>
      </c>
      <c r="J97" s="134">
        <v>0.18</v>
      </c>
      <c r="K97" s="134">
        <v>170.1</v>
      </c>
      <c r="L97" s="134">
        <v>33.299999999999997</v>
      </c>
      <c r="M97" s="134">
        <v>35.46</v>
      </c>
      <c r="N97" s="134">
        <v>0</v>
      </c>
      <c r="O97" s="134">
        <v>0</v>
      </c>
      <c r="P97" s="134">
        <v>0.88</v>
      </c>
      <c r="Q97" s="134">
        <v>5.72</v>
      </c>
    </row>
    <row r="98" spans="1:22" customFormat="1">
      <c r="A98" s="112" t="s">
        <v>903</v>
      </c>
      <c r="B98" s="134">
        <v>12.23</v>
      </c>
      <c r="C98" s="134">
        <v>58.51</v>
      </c>
      <c r="D98" s="134">
        <v>39.340000000000003</v>
      </c>
      <c r="E98" s="134">
        <v>26.46</v>
      </c>
      <c r="F98" s="134">
        <v>14.29</v>
      </c>
      <c r="G98" s="134">
        <v>113.21</v>
      </c>
      <c r="H98" s="134">
        <v>47.08</v>
      </c>
      <c r="I98" s="134">
        <v>6.48</v>
      </c>
      <c r="J98" s="134">
        <v>0.24</v>
      </c>
      <c r="K98" s="134">
        <v>164.06</v>
      </c>
      <c r="L98" s="134">
        <v>32.909999999999997</v>
      </c>
      <c r="M98" s="134">
        <v>36.53</v>
      </c>
      <c r="N98" s="134">
        <v>0</v>
      </c>
      <c r="O98" s="134">
        <v>0</v>
      </c>
      <c r="P98" s="134">
        <v>0.84</v>
      </c>
      <c r="Q98" s="134">
        <v>5.69</v>
      </c>
    </row>
    <row r="99" spans="1:22" customFormat="1">
      <c r="A99" s="112" t="s">
        <v>904</v>
      </c>
      <c r="B99" s="134">
        <v>11.77</v>
      </c>
      <c r="C99" s="134">
        <v>56.95</v>
      </c>
      <c r="D99" s="134">
        <v>38.15</v>
      </c>
      <c r="E99" s="134">
        <v>22.93</v>
      </c>
      <c r="F99" s="134">
        <v>16.690000000000001</v>
      </c>
      <c r="G99" s="134">
        <v>103.55</v>
      </c>
      <c r="H99" s="134">
        <v>47.01</v>
      </c>
      <c r="I99" s="134">
        <v>6.38</v>
      </c>
      <c r="J99" s="134">
        <v>0.14000000000000001</v>
      </c>
      <c r="K99" s="134">
        <v>174.4</v>
      </c>
      <c r="L99" s="134">
        <v>32.54</v>
      </c>
      <c r="M99" s="134">
        <v>37.44</v>
      </c>
      <c r="N99" s="134">
        <v>0</v>
      </c>
      <c r="O99" s="134">
        <v>0</v>
      </c>
      <c r="P99" s="134">
        <v>0.81</v>
      </c>
      <c r="Q99" s="134">
        <v>5.78</v>
      </c>
    </row>
    <row r="100" spans="1:22" customFormat="1">
      <c r="A100" s="112" t="s">
        <v>905</v>
      </c>
      <c r="B100" s="134">
        <v>11.47</v>
      </c>
      <c r="C100" s="134">
        <v>54.35</v>
      </c>
      <c r="D100" s="134">
        <v>36.549999999999997</v>
      </c>
      <c r="E100" s="134">
        <v>19.72</v>
      </c>
      <c r="F100" s="134">
        <v>17.05</v>
      </c>
      <c r="G100" s="134">
        <v>103.55</v>
      </c>
      <c r="H100" s="134">
        <v>47.01</v>
      </c>
      <c r="I100" s="134">
        <v>6.24</v>
      </c>
      <c r="J100" s="134">
        <v>0.26</v>
      </c>
      <c r="K100" s="134">
        <v>257.58999999999997</v>
      </c>
      <c r="L100" s="134">
        <v>32.36</v>
      </c>
      <c r="M100" s="134">
        <v>37.28</v>
      </c>
      <c r="N100" s="134">
        <v>0</v>
      </c>
      <c r="O100" s="134">
        <v>0</v>
      </c>
      <c r="P100" s="134">
        <v>0.77</v>
      </c>
      <c r="Q100" s="134">
        <v>5.7</v>
      </c>
    </row>
    <row r="101" spans="1:22" customFormat="1">
      <c r="A101" s="112" t="s">
        <v>906</v>
      </c>
      <c r="B101" s="134">
        <v>23.35</v>
      </c>
      <c r="C101" s="134">
        <v>67.819999999999993</v>
      </c>
      <c r="D101" s="134">
        <v>53.12</v>
      </c>
      <c r="E101" s="134">
        <v>17.829999999999998</v>
      </c>
      <c r="F101" s="134">
        <v>5.72</v>
      </c>
      <c r="G101" s="134">
        <v>103.55</v>
      </c>
      <c r="H101" s="134">
        <v>47.01</v>
      </c>
      <c r="I101" s="134">
        <v>6.06</v>
      </c>
      <c r="J101" s="134">
        <v>0.1</v>
      </c>
      <c r="K101" s="134">
        <v>300.72000000000003</v>
      </c>
      <c r="L101" s="134">
        <v>32.56</v>
      </c>
      <c r="M101" s="134">
        <v>37.06</v>
      </c>
      <c r="N101" s="134">
        <v>0</v>
      </c>
      <c r="O101" s="134">
        <v>0</v>
      </c>
      <c r="P101" s="134">
        <v>0.87</v>
      </c>
      <c r="Q101" s="134">
        <v>5.67</v>
      </c>
    </row>
    <row r="102" spans="1:22" customFormat="1">
      <c r="A102" s="112" t="s">
        <v>907</v>
      </c>
      <c r="B102" s="134">
        <v>37.89</v>
      </c>
      <c r="C102" s="134">
        <v>66.7</v>
      </c>
      <c r="D102" s="134">
        <v>64.349999999999994</v>
      </c>
      <c r="E102" s="134">
        <v>18.989999999999998</v>
      </c>
      <c r="F102" s="134">
        <v>6.6</v>
      </c>
      <c r="G102" s="134">
        <v>101.16</v>
      </c>
      <c r="H102" s="134">
        <v>47.44</v>
      </c>
      <c r="I102" s="134">
        <v>6.03</v>
      </c>
      <c r="J102" s="134">
        <v>0.44</v>
      </c>
      <c r="K102" s="134">
        <v>40.15</v>
      </c>
      <c r="L102" s="134">
        <v>32.69</v>
      </c>
      <c r="M102" s="134">
        <v>36.130000000000003</v>
      </c>
      <c r="N102" s="134">
        <v>0</v>
      </c>
      <c r="O102" s="134">
        <v>0</v>
      </c>
      <c r="P102" s="134">
        <v>0.87</v>
      </c>
      <c r="Q102" s="134">
        <v>5.85</v>
      </c>
    </row>
    <row r="103" spans="1:22" customFormat="1">
      <c r="A103" s="112" t="s">
        <v>908</v>
      </c>
      <c r="B103" s="134">
        <v>24.07</v>
      </c>
      <c r="C103" s="134">
        <v>60.43</v>
      </c>
      <c r="D103" s="134">
        <v>49.83</v>
      </c>
      <c r="E103" s="134">
        <v>16.79</v>
      </c>
      <c r="F103" s="134">
        <v>9.98</v>
      </c>
      <c r="G103" s="134">
        <v>97.74</v>
      </c>
      <c r="H103" s="134">
        <v>47.82</v>
      </c>
      <c r="I103" s="134">
        <v>6.37</v>
      </c>
      <c r="J103" s="134">
        <v>0.08</v>
      </c>
      <c r="K103" s="134">
        <v>312.45</v>
      </c>
      <c r="L103" s="134">
        <v>32.64</v>
      </c>
      <c r="M103" s="134">
        <v>36.090000000000003</v>
      </c>
      <c r="N103" s="134">
        <v>0</v>
      </c>
      <c r="O103" s="134">
        <v>0</v>
      </c>
      <c r="P103" s="134">
        <v>0.83</v>
      </c>
      <c r="Q103" s="134">
        <v>5.87</v>
      </c>
    </row>
    <row r="104" spans="1:22" customFormat="1">
      <c r="A104" s="112" t="s">
        <v>909</v>
      </c>
      <c r="B104" s="134">
        <v>18.329999999999998</v>
      </c>
      <c r="C104" s="134">
        <v>63.62</v>
      </c>
      <c r="D104" s="134">
        <v>46.9</v>
      </c>
      <c r="E104" s="134">
        <v>14.96</v>
      </c>
      <c r="F104" s="134">
        <v>10.41</v>
      </c>
      <c r="G104" s="134">
        <v>97.74</v>
      </c>
      <c r="H104" s="134">
        <v>47.82</v>
      </c>
      <c r="I104" s="134">
        <v>6.45</v>
      </c>
      <c r="J104" s="134">
        <v>0.31</v>
      </c>
      <c r="K104" s="134">
        <v>206.36</v>
      </c>
      <c r="L104" s="134">
        <v>32.11</v>
      </c>
      <c r="M104" s="134">
        <v>37.68</v>
      </c>
      <c r="N104" s="134">
        <v>0</v>
      </c>
      <c r="O104" s="134">
        <v>0</v>
      </c>
      <c r="P104" s="134">
        <v>0.81</v>
      </c>
      <c r="Q104" s="134">
        <v>6.04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4.38</v>
      </c>
      <c r="C106" s="183">
        <f>MIN(C9:C104)</f>
        <v>47.64</v>
      </c>
      <c r="D106" s="183">
        <f t="shared" ref="D106:Q106" si="0">MIN(D9:D104)</f>
        <v>27.36</v>
      </c>
      <c r="E106" s="183">
        <f t="shared" si="0"/>
        <v>6.56</v>
      </c>
      <c r="F106" s="183">
        <f t="shared" si="0"/>
        <v>3.44</v>
      </c>
      <c r="G106" s="183">
        <f t="shared" si="0"/>
        <v>48.54</v>
      </c>
      <c r="H106" s="183">
        <f t="shared" si="0"/>
        <v>32.270000000000003</v>
      </c>
      <c r="I106" s="183">
        <f t="shared" si="0"/>
        <v>4.95</v>
      </c>
      <c r="J106" s="183">
        <f t="shared" si="0"/>
        <v>0.08</v>
      </c>
      <c r="K106" s="183">
        <f t="shared" si="0"/>
        <v>14.96</v>
      </c>
      <c r="L106" s="183">
        <f t="shared" si="0"/>
        <v>28.03</v>
      </c>
      <c r="M106" s="183">
        <f t="shared" si="0"/>
        <v>14.61</v>
      </c>
      <c r="N106" s="183">
        <f t="shared" si="0"/>
        <v>0</v>
      </c>
      <c r="O106" s="183">
        <f t="shared" si="0"/>
        <v>0</v>
      </c>
      <c r="P106" s="183">
        <f t="shared" si="0"/>
        <v>0.56000000000000005</v>
      </c>
      <c r="Q106" s="183">
        <f t="shared" si="0"/>
        <v>4.8899999999999997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61.97</v>
      </c>
      <c r="C107" s="184">
        <f t="shared" ref="C107:Q107" si="1">MAX(C9:C104)</f>
        <v>70.69</v>
      </c>
      <c r="D107" s="184">
        <f t="shared" si="1"/>
        <v>83.9</v>
      </c>
      <c r="E107" s="184">
        <f t="shared" si="1"/>
        <v>90.8</v>
      </c>
      <c r="F107" s="184">
        <f t="shared" si="1"/>
        <v>61.77</v>
      </c>
      <c r="G107" s="184">
        <f t="shared" si="1"/>
        <v>200.04</v>
      </c>
      <c r="H107" s="184">
        <f t="shared" si="1"/>
        <v>74.14</v>
      </c>
      <c r="I107" s="184">
        <f t="shared" si="1"/>
        <v>15.09</v>
      </c>
      <c r="J107" s="184">
        <f t="shared" si="1"/>
        <v>2.66</v>
      </c>
      <c r="K107" s="184">
        <f t="shared" si="1"/>
        <v>358.47</v>
      </c>
      <c r="L107" s="184">
        <f t="shared" si="1"/>
        <v>42.85</v>
      </c>
      <c r="M107" s="184">
        <f t="shared" si="1"/>
        <v>50.72</v>
      </c>
      <c r="N107" s="184">
        <f t="shared" si="1"/>
        <v>826</v>
      </c>
      <c r="O107" s="184">
        <f t="shared" si="1"/>
        <v>0</v>
      </c>
      <c r="P107" s="184">
        <f t="shared" si="1"/>
        <v>1.26</v>
      </c>
      <c r="Q107" s="184">
        <f t="shared" si="1"/>
        <v>7.81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24.678124999999991</v>
      </c>
      <c r="C108" s="183">
        <f t="shared" ref="C108:Q108" si="2">AVERAGE(C9:C104)</f>
        <v>60.2555208333333</v>
      </c>
      <c r="D108" s="183">
        <f t="shared" si="2"/>
        <v>50.233124999999994</v>
      </c>
      <c r="E108" s="183">
        <f t="shared" si="2"/>
        <v>22.632499999999983</v>
      </c>
      <c r="F108" s="183">
        <f t="shared" si="2"/>
        <v>24.052499999999998</v>
      </c>
      <c r="G108" s="183">
        <f t="shared" si="2"/>
        <v>97.681666666666572</v>
      </c>
      <c r="H108" s="183">
        <f t="shared" si="2"/>
        <v>47.963541666666664</v>
      </c>
      <c r="I108" s="183">
        <f t="shared" si="2"/>
        <v>8.8237500000000022</v>
      </c>
      <c r="J108" s="183">
        <f t="shared" si="2"/>
        <v>0.58270833333333338</v>
      </c>
      <c r="K108" s="183">
        <f t="shared" si="2"/>
        <v>101.68906249999999</v>
      </c>
      <c r="L108" s="183">
        <f t="shared" si="2"/>
        <v>35.081770833333337</v>
      </c>
      <c r="M108" s="183">
        <f t="shared" si="2"/>
        <v>30.556979166666679</v>
      </c>
      <c r="N108" s="183">
        <f t="shared" si="2"/>
        <v>121.45833333333333</v>
      </c>
      <c r="O108" s="183">
        <f t="shared" si="2"/>
        <v>0</v>
      </c>
      <c r="P108" s="183">
        <f t="shared" si="2"/>
        <v>0.84322916666666703</v>
      </c>
      <c r="Q108" s="183">
        <f t="shared" si="2"/>
        <v>6.1237499999999976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18.974199175251261</v>
      </c>
      <c r="C109" s="183">
        <f t="shared" ref="C109:Q109" si="3">STDEV(C9:C104)</f>
        <v>5.8326164337049535</v>
      </c>
      <c r="D109" s="183">
        <f t="shared" si="3"/>
        <v>17.756400139697568</v>
      </c>
      <c r="E109" s="183">
        <f t="shared" si="3"/>
        <v>14.891760561853648</v>
      </c>
      <c r="F109" s="183">
        <f t="shared" si="3"/>
        <v>18.676372689633965</v>
      </c>
      <c r="G109" s="183">
        <f t="shared" si="3"/>
        <v>32.31865020196863</v>
      </c>
      <c r="H109" s="183">
        <f t="shared" si="3"/>
        <v>9.7948288160176293</v>
      </c>
      <c r="I109" s="183">
        <f t="shared" si="3"/>
        <v>3.1859468558689117</v>
      </c>
      <c r="J109" s="183">
        <f t="shared" si="3"/>
        <v>0.4414246771693161</v>
      </c>
      <c r="K109" s="183">
        <f t="shared" si="3"/>
        <v>87.150849330983803</v>
      </c>
      <c r="L109" s="183">
        <f t="shared" si="3"/>
        <v>4.5255071236135684</v>
      </c>
      <c r="M109" s="183">
        <f t="shared" si="3"/>
        <v>10.831072661054169</v>
      </c>
      <c r="N109" s="183">
        <f t="shared" si="3"/>
        <v>195.0411560707214</v>
      </c>
      <c r="O109" s="183">
        <f t="shared" si="3"/>
        <v>0</v>
      </c>
      <c r="P109" s="183">
        <f t="shared" si="3"/>
        <v>0.16949146720746727</v>
      </c>
      <c r="Q109" s="183">
        <f t="shared" si="3"/>
        <v>0.92526895094289607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08/06/2023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910</v>
      </c>
      <c r="B9" s="134">
        <v>14.46</v>
      </c>
      <c r="C9" s="134">
        <v>52.75</v>
      </c>
      <c r="D9" s="134">
        <v>38.11</v>
      </c>
      <c r="E9" s="134">
        <v>25.44</v>
      </c>
      <c r="F9" s="134">
        <v>15.79</v>
      </c>
      <c r="G9" s="134">
        <v>97.74</v>
      </c>
      <c r="H9" s="134">
        <v>47.82</v>
      </c>
      <c r="I9" s="134">
        <v>6.43</v>
      </c>
      <c r="J9" s="134">
        <v>0.23</v>
      </c>
      <c r="K9" s="134">
        <v>219.04</v>
      </c>
      <c r="L9" s="134">
        <v>31.9</v>
      </c>
      <c r="M9" s="134">
        <v>37.53</v>
      </c>
      <c r="N9" s="134">
        <v>0</v>
      </c>
      <c r="O9" s="134">
        <v>0</v>
      </c>
      <c r="P9" s="134">
        <v>0.8</v>
      </c>
      <c r="Q9" s="134">
        <v>6</v>
      </c>
    </row>
    <row r="10" spans="1:21" customFormat="1">
      <c r="A10" s="112" t="s">
        <v>911</v>
      </c>
      <c r="B10" s="134">
        <v>15.23</v>
      </c>
      <c r="C10" s="134">
        <v>58.48</v>
      </c>
      <c r="D10" s="134">
        <v>41.72</v>
      </c>
      <c r="E10" s="134">
        <v>31.18</v>
      </c>
      <c r="F10" s="134">
        <v>14.04</v>
      </c>
      <c r="G10" s="134">
        <v>95.88</v>
      </c>
      <c r="H10" s="134">
        <v>44.14</v>
      </c>
      <c r="I10" s="134">
        <v>6.62</v>
      </c>
      <c r="J10" s="134">
        <v>0.19</v>
      </c>
      <c r="K10" s="134">
        <v>162.94</v>
      </c>
      <c r="L10" s="134">
        <v>31.82</v>
      </c>
      <c r="M10" s="134">
        <v>38.86</v>
      </c>
      <c r="N10" s="134">
        <v>0</v>
      </c>
      <c r="O10" s="134">
        <v>0</v>
      </c>
      <c r="P10" s="134">
        <v>0.84</v>
      </c>
      <c r="Q10" s="134">
        <v>5.95</v>
      </c>
    </row>
    <row r="11" spans="1:21" customFormat="1">
      <c r="A11" s="112" t="s">
        <v>912</v>
      </c>
      <c r="B11" s="134">
        <v>16.559999999999999</v>
      </c>
      <c r="C11" s="134">
        <v>59.22</v>
      </c>
      <c r="D11" s="134">
        <v>43.17</v>
      </c>
      <c r="E11" s="134">
        <v>25.06</v>
      </c>
      <c r="F11" s="134">
        <v>11.37</v>
      </c>
      <c r="G11" s="134">
        <v>93.2</v>
      </c>
      <c r="H11" s="134">
        <v>41.08</v>
      </c>
      <c r="I11" s="134">
        <v>7.09</v>
      </c>
      <c r="J11" s="134">
        <v>0.27</v>
      </c>
      <c r="K11" s="134">
        <v>181.16</v>
      </c>
      <c r="L11" s="134">
        <v>31.33</v>
      </c>
      <c r="M11" s="134">
        <v>40.9</v>
      </c>
      <c r="N11" s="134">
        <v>0</v>
      </c>
      <c r="O11" s="134">
        <v>0</v>
      </c>
      <c r="P11" s="134">
        <v>0.84</v>
      </c>
      <c r="Q11" s="134">
        <v>6.02</v>
      </c>
    </row>
    <row r="12" spans="1:21" customFormat="1">
      <c r="A12" s="112" t="s">
        <v>913</v>
      </c>
      <c r="B12" s="134">
        <v>18.02</v>
      </c>
      <c r="C12" s="134">
        <v>62.69</v>
      </c>
      <c r="D12" s="134">
        <v>46.16</v>
      </c>
      <c r="E12" s="134">
        <v>19.28</v>
      </c>
      <c r="F12" s="134">
        <v>7.9</v>
      </c>
      <c r="G12" s="134">
        <v>93.2</v>
      </c>
      <c r="H12" s="134">
        <v>41.08</v>
      </c>
      <c r="I12" s="134">
        <v>7.49</v>
      </c>
      <c r="J12" s="134">
        <v>0.23</v>
      </c>
      <c r="K12" s="134">
        <v>195.54</v>
      </c>
      <c r="L12" s="134">
        <v>30.78</v>
      </c>
      <c r="M12" s="134">
        <v>43</v>
      </c>
      <c r="N12" s="134">
        <v>0</v>
      </c>
      <c r="O12" s="134">
        <v>0</v>
      </c>
      <c r="P12" s="134">
        <v>0.83</v>
      </c>
      <c r="Q12" s="134">
        <v>6.05</v>
      </c>
    </row>
    <row r="13" spans="1:21" customFormat="1">
      <c r="A13" s="112" t="s">
        <v>914</v>
      </c>
      <c r="B13" s="134">
        <v>19.63</v>
      </c>
      <c r="C13" s="134">
        <v>63.12</v>
      </c>
      <c r="D13" s="134">
        <v>47.68</v>
      </c>
      <c r="E13" s="134">
        <v>13.28</v>
      </c>
      <c r="F13" s="134">
        <v>7.51</v>
      </c>
      <c r="G13" s="134">
        <v>93.2</v>
      </c>
      <c r="H13" s="134">
        <v>41.08</v>
      </c>
      <c r="I13" s="134">
        <v>7.47</v>
      </c>
      <c r="J13" s="134">
        <v>0.21</v>
      </c>
      <c r="K13" s="134">
        <v>193.21</v>
      </c>
      <c r="L13" s="134">
        <v>30.56</v>
      </c>
      <c r="M13" s="134">
        <v>44</v>
      </c>
      <c r="N13" s="134">
        <v>0</v>
      </c>
      <c r="O13" s="134">
        <v>0</v>
      </c>
      <c r="P13" s="134">
        <v>0.85</v>
      </c>
      <c r="Q13" s="134">
        <v>5.97</v>
      </c>
    </row>
    <row r="14" spans="1:21" customFormat="1">
      <c r="A14" s="112" t="s">
        <v>915</v>
      </c>
      <c r="B14" s="134">
        <v>18.55</v>
      </c>
      <c r="C14" s="134">
        <v>59.47</v>
      </c>
      <c r="D14" s="134">
        <v>44.9</v>
      </c>
      <c r="E14" s="134">
        <v>16.760000000000002</v>
      </c>
      <c r="F14" s="134">
        <v>7.97</v>
      </c>
      <c r="G14" s="134">
        <v>93.1</v>
      </c>
      <c r="H14" s="134">
        <v>40.659999999999997</v>
      </c>
      <c r="I14" s="134">
        <v>7.43</v>
      </c>
      <c r="J14" s="134">
        <v>0.13</v>
      </c>
      <c r="K14" s="134">
        <v>213.08</v>
      </c>
      <c r="L14" s="134">
        <v>30.17</v>
      </c>
      <c r="M14" s="134">
        <v>45.26</v>
      </c>
      <c r="N14" s="134">
        <v>0</v>
      </c>
      <c r="O14" s="134">
        <v>0</v>
      </c>
      <c r="P14" s="134">
        <v>0.83</v>
      </c>
      <c r="Q14" s="134">
        <v>5.97</v>
      </c>
    </row>
    <row r="15" spans="1:21" customFormat="1">
      <c r="A15" s="112" t="s">
        <v>916</v>
      </c>
      <c r="B15" s="134">
        <v>19</v>
      </c>
      <c r="C15" s="134">
        <v>61.09</v>
      </c>
      <c r="D15" s="134">
        <v>46.11</v>
      </c>
      <c r="E15" s="134">
        <v>13.82</v>
      </c>
      <c r="F15" s="134">
        <v>8.7899999999999991</v>
      </c>
      <c r="G15" s="134">
        <v>92.94</v>
      </c>
      <c r="H15" s="134">
        <v>39.65</v>
      </c>
      <c r="I15" s="134">
        <v>7.41</v>
      </c>
      <c r="J15" s="134">
        <v>0.19</v>
      </c>
      <c r="K15" s="134">
        <v>180.95</v>
      </c>
      <c r="L15" s="134">
        <v>30.16</v>
      </c>
      <c r="M15" s="134">
        <v>44.79</v>
      </c>
      <c r="N15" s="134">
        <v>0</v>
      </c>
      <c r="O15" s="134">
        <v>0</v>
      </c>
      <c r="P15" s="134">
        <v>0.81</v>
      </c>
      <c r="Q15" s="134">
        <v>6.04</v>
      </c>
    </row>
    <row r="16" spans="1:21" customFormat="1">
      <c r="A16" s="112" t="s">
        <v>917</v>
      </c>
      <c r="B16" s="134">
        <v>19.34</v>
      </c>
      <c r="C16" s="134">
        <v>60.43</v>
      </c>
      <c r="D16" s="134">
        <v>46.04</v>
      </c>
      <c r="E16" s="134">
        <v>11.13</v>
      </c>
      <c r="F16" s="134">
        <v>9.75</v>
      </c>
      <c r="G16" s="134">
        <v>92.94</v>
      </c>
      <c r="H16" s="134">
        <v>39.65</v>
      </c>
      <c r="I16" s="134">
        <v>7.27</v>
      </c>
      <c r="J16" s="134">
        <v>0.17</v>
      </c>
      <c r="K16" s="134">
        <v>166.57</v>
      </c>
      <c r="L16" s="134">
        <v>30.16</v>
      </c>
      <c r="M16" s="134">
        <v>44.45</v>
      </c>
      <c r="N16" s="134">
        <v>0</v>
      </c>
      <c r="O16" s="134">
        <v>0</v>
      </c>
      <c r="P16" s="134">
        <v>0.81</v>
      </c>
      <c r="Q16" s="134">
        <v>6.02</v>
      </c>
    </row>
    <row r="17" spans="1:17" customFormat="1">
      <c r="A17" s="112" t="s">
        <v>918</v>
      </c>
      <c r="B17" s="134">
        <v>18.77</v>
      </c>
      <c r="C17" s="134">
        <v>56.82</v>
      </c>
      <c r="D17" s="134">
        <v>43.7</v>
      </c>
      <c r="E17" s="134">
        <v>8.74</v>
      </c>
      <c r="F17" s="134">
        <v>10.25</v>
      </c>
      <c r="G17" s="134">
        <v>92.94</v>
      </c>
      <c r="H17" s="134">
        <v>39.65</v>
      </c>
      <c r="I17" s="134">
        <v>7.09</v>
      </c>
      <c r="J17" s="134">
        <v>0.11</v>
      </c>
      <c r="K17" s="134">
        <v>143.30000000000001</v>
      </c>
      <c r="L17" s="134">
        <v>29.88</v>
      </c>
      <c r="M17" s="134">
        <v>45.65</v>
      </c>
      <c r="N17" s="134">
        <v>0</v>
      </c>
      <c r="O17" s="134">
        <v>0</v>
      </c>
      <c r="P17" s="134">
        <v>0.78</v>
      </c>
      <c r="Q17" s="134">
        <v>5.98</v>
      </c>
    </row>
    <row r="18" spans="1:17" customFormat="1">
      <c r="A18" s="112" t="s">
        <v>919</v>
      </c>
      <c r="B18" s="134">
        <v>17.95</v>
      </c>
      <c r="C18" s="134">
        <v>56.72</v>
      </c>
      <c r="D18" s="134">
        <v>42.98</v>
      </c>
      <c r="E18" s="134">
        <v>10.37</v>
      </c>
      <c r="F18" s="134">
        <v>9.16</v>
      </c>
      <c r="G18" s="134">
        <v>87.69</v>
      </c>
      <c r="H18" s="134">
        <v>38.04</v>
      </c>
      <c r="I18" s="134">
        <v>6.88</v>
      </c>
      <c r="J18" s="134">
        <v>0.09</v>
      </c>
      <c r="K18" s="134">
        <v>180.41</v>
      </c>
      <c r="L18" s="134">
        <v>29.69</v>
      </c>
      <c r="M18" s="134">
        <v>45.94</v>
      </c>
      <c r="N18" s="134">
        <v>0</v>
      </c>
      <c r="O18" s="134">
        <v>0</v>
      </c>
      <c r="P18" s="134">
        <v>0.78</v>
      </c>
      <c r="Q18" s="134">
        <v>5.98</v>
      </c>
    </row>
    <row r="19" spans="1:17" customFormat="1">
      <c r="A19" s="112" t="s">
        <v>920</v>
      </c>
      <c r="B19" s="134">
        <v>19.600000000000001</v>
      </c>
      <c r="C19" s="134">
        <v>57.34</v>
      </c>
      <c r="D19" s="134">
        <v>44.63</v>
      </c>
      <c r="E19" s="134">
        <v>9.93</v>
      </c>
      <c r="F19" s="134">
        <v>9.39</v>
      </c>
      <c r="G19" s="134">
        <v>80.180000000000007</v>
      </c>
      <c r="H19" s="134">
        <v>36.61</v>
      </c>
      <c r="I19" s="134">
        <v>6.88</v>
      </c>
      <c r="J19" s="134">
        <v>0.14000000000000001</v>
      </c>
      <c r="K19" s="134">
        <v>183.19</v>
      </c>
      <c r="L19" s="134">
        <v>29.33</v>
      </c>
      <c r="M19" s="134">
        <v>46.4</v>
      </c>
      <c r="N19" s="134">
        <v>0</v>
      </c>
      <c r="O19" s="134">
        <v>0</v>
      </c>
      <c r="P19" s="134">
        <v>0.78</v>
      </c>
      <c r="Q19" s="134">
        <v>5.96</v>
      </c>
    </row>
    <row r="20" spans="1:17" customFormat="1">
      <c r="A20" s="112" t="s">
        <v>921</v>
      </c>
      <c r="B20" s="134">
        <v>19.510000000000002</v>
      </c>
      <c r="C20" s="134">
        <v>57.49</v>
      </c>
      <c r="D20" s="134">
        <v>44.64</v>
      </c>
      <c r="E20" s="134">
        <v>9.8800000000000008</v>
      </c>
      <c r="F20" s="134">
        <v>8.8699999999999992</v>
      </c>
      <c r="G20" s="134">
        <v>80.180000000000007</v>
      </c>
      <c r="H20" s="134">
        <v>36.61</v>
      </c>
      <c r="I20" s="134">
        <v>6.81</v>
      </c>
      <c r="J20" s="134">
        <v>0.2</v>
      </c>
      <c r="K20" s="134">
        <v>186.33</v>
      </c>
      <c r="L20" s="134">
        <v>29.12</v>
      </c>
      <c r="M20" s="134">
        <v>47.15</v>
      </c>
      <c r="N20" s="134">
        <v>0</v>
      </c>
      <c r="O20" s="134">
        <v>0</v>
      </c>
      <c r="P20" s="134">
        <v>0.77</v>
      </c>
      <c r="Q20" s="134">
        <v>5.99</v>
      </c>
    </row>
    <row r="21" spans="1:17" customFormat="1">
      <c r="A21" s="112" t="s">
        <v>922</v>
      </c>
      <c r="B21" s="134">
        <v>20.92</v>
      </c>
      <c r="C21" s="134">
        <v>60.97</v>
      </c>
      <c r="D21" s="134">
        <v>47.59</v>
      </c>
      <c r="E21" s="134">
        <v>8</v>
      </c>
      <c r="F21" s="134">
        <v>6.8</v>
      </c>
      <c r="G21" s="134">
        <v>80.180000000000007</v>
      </c>
      <c r="H21" s="134">
        <v>36.61</v>
      </c>
      <c r="I21" s="134">
        <v>6.68</v>
      </c>
      <c r="J21" s="134">
        <v>0.11</v>
      </c>
      <c r="K21" s="134">
        <v>230.16</v>
      </c>
      <c r="L21" s="134">
        <v>29.05</v>
      </c>
      <c r="M21" s="134">
        <v>47.86</v>
      </c>
      <c r="N21" s="134">
        <v>0</v>
      </c>
      <c r="O21" s="134">
        <v>0</v>
      </c>
      <c r="P21" s="134">
        <v>0.79</v>
      </c>
      <c r="Q21" s="134">
        <v>5.94</v>
      </c>
    </row>
    <row r="22" spans="1:17" customFormat="1">
      <c r="A22" s="112" t="s">
        <v>923</v>
      </c>
      <c r="B22" s="134">
        <v>20.309999999999999</v>
      </c>
      <c r="C22" s="134">
        <v>57.61</v>
      </c>
      <c r="D22" s="134">
        <v>45.34</v>
      </c>
      <c r="E22" s="134">
        <v>8.56</v>
      </c>
      <c r="F22" s="134">
        <v>9.0299999999999994</v>
      </c>
      <c r="G22" s="134">
        <v>72.62</v>
      </c>
      <c r="H22" s="134">
        <v>34.65</v>
      </c>
      <c r="I22" s="134">
        <v>6.95</v>
      </c>
      <c r="J22" s="134">
        <v>0.27</v>
      </c>
      <c r="K22" s="134">
        <v>254.81</v>
      </c>
      <c r="L22" s="134">
        <v>29</v>
      </c>
      <c r="M22" s="134">
        <v>46.54</v>
      </c>
      <c r="N22" s="134">
        <v>0</v>
      </c>
      <c r="O22" s="134">
        <v>0</v>
      </c>
      <c r="P22" s="134">
        <v>0.76</v>
      </c>
      <c r="Q22" s="134">
        <v>5.96</v>
      </c>
    </row>
    <row r="23" spans="1:17" customFormat="1">
      <c r="A23" s="112" t="s">
        <v>924</v>
      </c>
      <c r="B23" s="134">
        <v>19.63</v>
      </c>
      <c r="C23" s="134">
        <v>57.47</v>
      </c>
      <c r="D23" s="134">
        <v>44.73</v>
      </c>
      <c r="E23" s="134">
        <v>9.58</v>
      </c>
      <c r="F23" s="134">
        <v>9.58</v>
      </c>
      <c r="G23" s="134">
        <v>61.28</v>
      </c>
      <c r="H23" s="134">
        <v>32.909999999999997</v>
      </c>
      <c r="I23" s="134">
        <v>6.86</v>
      </c>
      <c r="J23" s="134">
        <v>0.13</v>
      </c>
      <c r="K23" s="134">
        <v>215.63</v>
      </c>
      <c r="L23" s="134">
        <v>29.06</v>
      </c>
      <c r="M23" s="134">
        <v>47.21</v>
      </c>
      <c r="N23" s="134">
        <v>0</v>
      </c>
      <c r="O23" s="134">
        <v>0</v>
      </c>
      <c r="P23" s="134">
        <v>0.74</v>
      </c>
      <c r="Q23" s="134">
        <v>6</v>
      </c>
    </row>
    <row r="24" spans="1:17" customFormat="1">
      <c r="A24" s="112" t="s">
        <v>925</v>
      </c>
      <c r="B24" s="134">
        <v>22.49</v>
      </c>
      <c r="C24" s="134">
        <v>62.72</v>
      </c>
      <c r="D24" s="134">
        <v>49.76</v>
      </c>
      <c r="E24" s="134">
        <v>6.87</v>
      </c>
      <c r="F24" s="134">
        <v>6.5</v>
      </c>
      <c r="G24" s="134">
        <v>61.28</v>
      </c>
      <c r="H24" s="134">
        <v>32.909999999999997</v>
      </c>
      <c r="I24" s="134">
        <v>6.63</v>
      </c>
      <c r="J24" s="134">
        <v>0.18</v>
      </c>
      <c r="K24" s="134">
        <v>190.3</v>
      </c>
      <c r="L24" s="134">
        <v>28.71</v>
      </c>
      <c r="M24" s="134">
        <v>49.72</v>
      </c>
      <c r="N24" s="134">
        <v>0</v>
      </c>
      <c r="O24" s="134">
        <v>0</v>
      </c>
      <c r="P24" s="134">
        <v>0.79</v>
      </c>
      <c r="Q24" s="134">
        <v>5.98</v>
      </c>
    </row>
    <row r="25" spans="1:17" customFormat="1">
      <c r="A25" s="112" t="s">
        <v>926</v>
      </c>
      <c r="B25" s="134">
        <v>22.4</v>
      </c>
      <c r="C25" s="134">
        <v>60.4</v>
      </c>
      <c r="D25" s="134">
        <v>48.47</v>
      </c>
      <c r="E25" s="134">
        <v>7.03</v>
      </c>
      <c r="F25" s="134">
        <v>5.88</v>
      </c>
      <c r="G25" s="134">
        <v>61.28</v>
      </c>
      <c r="H25" s="134">
        <v>32.909999999999997</v>
      </c>
      <c r="I25" s="134">
        <v>6.81</v>
      </c>
      <c r="J25" s="134">
        <v>0.2</v>
      </c>
      <c r="K25" s="134">
        <v>164.99</v>
      </c>
      <c r="L25" s="134">
        <v>28.3</v>
      </c>
      <c r="M25" s="134">
        <v>50.91</v>
      </c>
      <c r="N25" s="134">
        <v>0</v>
      </c>
      <c r="O25" s="134">
        <v>0</v>
      </c>
      <c r="P25" s="134">
        <v>0.76</v>
      </c>
      <c r="Q25" s="134">
        <v>5.93</v>
      </c>
    </row>
    <row r="26" spans="1:17" customFormat="1">
      <c r="A26" s="112" t="s">
        <v>927</v>
      </c>
      <c r="B26" s="134">
        <v>21.15</v>
      </c>
      <c r="C26" s="134">
        <v>60.27</v>
      </c>
      <c r="D26" s="134">
        <v>47.41</v>
      </c>
      <c r="E26" s="134">
        <v>7.64</v>
      </c>
      <c r="F26" s="134">
        <v>6.67</v>
      </c>
      <c r="G26" s="134">
        <v>57.48</v>
      </c>
      <c r="H26" s="134">
        <v>31.48</v>
      </c>
      <c r="I26" s="134">
        <v>6.91</v>
      </c>
      <c r="J26" s="134">
        <v>0.14000000000000001</v>
      </c>
      <c r="K26" s="134">
        <v>145.38</v>
      </c>
      <c r="L26" s="134">
        <v>28.11</v>
      </c>
      <c r="M26" s="134">
        <v>51.29</v>
      </c>
      <c r="N26" s="134">
        <v>0</v>
      </c>
      <c r="O26" s="134">
        <v>0</v>
      </c>
      <c r="P26" s="134">
        <v>0.76</v>
      </c>
      <c r="Q26" s="134">
        <v>5.98</v>
      </c>
    </row>
    <row r="27" spans="1:17" customFormat="1">
      <c r="A27" s="112" t="s">
        <v>928</v>
      </c>
      <c r="B27" s="134">
        <v>21.95</v>
      </c>
      <c r="C27" s="134">
        <v>60.09</v>
      </c>
      <c r="D27" s="134">
        <v>47.95</v>
      </c>
      <c r="E27" s="134">
        <v>7.26</v>
      </c>
      <c r="F27" s="134">
        <v>6.34</v>
      </c>
      <c r="G27" s="134">
        <v>51.78</v>
      </c>
      <c r="H27" s="134">
        <v>30.24</v>
      </c>
      <c r="I27" s="134">
        <v>7.02</v>
      </c>
      <c r="J27" s="134">
        <v>0.14000000000000001</v>
      </c>
      <c r="K27" s="134">
        <v>216.55</v>
      </c>
      <c r="L27" s="134">
        <v>28.33</v>
      </c>
      <c r="M27" s="134">
        <v>50.22</v>
      </c>
      <c r="N27" s="134">
        <v>0</v>
      </c>
      <c r="O27" s="134">
        <v>0</v>
      </c>
      <c r="P27" s="134">
        <v>0.77</v>
      </c>
      <c r="Q27" s="134">
        <v>5.96</v>
      </c>
    </row>
    <row r="28" spans="1:17" customFormat="1">
      <c r="A28" s="112" t="s">
        <v>929</v>
      </c>
      <c r="B28" s="134">
        <v>21.58</v>
      </c>
      <c r="C28" s="134">
        <v>57.9</v>
      </c>
      <c r="D28" s="134">
        <v>46.52</v>
      </c>
      <c r="E28" s="134">
        <v>7.65</v>
      </c>
      <c r="F28" s="134">
        <v>7.17</v>
      </c>
      <c r="G28" s="134">
        <v>51.78</v>
      </c>
      <c r="H28" s="134">
        <v>30.24</v>
      </c>
      <c r="I28" s="134">
        <v>7.06</v>
      </c>
      <c r="J28" s="134">
        <v>0.16</v>
      </c>
      <c r="K28" s="134">
        <v>199.77</v>
      </c>
      <c r="L28" s="134">
        <v>28.17</v>
      </c>
      <c r="M28" s="134">
        <v>50.93</v>
      </c>
      <c r="N28" s="134">
        <v>0</v>
      </c>
      <c r="O28" s="134">
        <v>0</v>
      </c>
      <c r="P28" s="134">
        <v>0.77</v>
      </c>
      <c r="Q28" s="134">
        <v>6.02</v>
      </c>
    </row>
    <row r="29" spans="1:17" customFormat="1">
      <c r="A29" s="112" t="s">
        <v>930</v>
      </c>
      <c r="B29" s="134">
        <v>23.07</v>
      </c>
      <c r="C29" s="134">
        <v>62.17</v>
      </c>
      <c r="D29" s="134">
        <v>49.94</v>
      </c>
      <c r="E29" s="134">
        <v>6.96</v>
      </c>
      <c r="F29" s="134">
        <v>5.6</v>
      </c>
      <c r="G29" s="134">
        <v>51.78</v>
      </c>
      <c r="H29" s="134">
        <v>30.24</v>
      </c>
      <c r="I29" s="134">
        <v>7.09</v>
      </c>
      <c r="J29" s="134">
        <v>0.15</v>
      </c>
      <c r="K29" s="134">
        <v>192.52</v>
      </c>
      <c r="L29" s="134">
        <v>27.98</v>
      </c>
      <c r="M29" s="134">
        <v>52.76</v>
      </c>
      <c r="N29" s="134">
        <v>0</v>
      </c>
      <c r="O29" s="134">
        <v>0</v>
      </c>
      <c r="P29" s="134">
        <v>0.78</v>
      </c>
      <c r="Q29" s="134">
        <v>6.04</v>
      </c>
    </row>
    <row r="30" spans="1:17" customFormat="1">
      <c r="A30" s="112" t="s">
        <v>931</v>
      </c>
      <c r="B30" s="134">
        <v>22.95</v>
      </c>
      <c r="C30" s="134">
        <v>60</v>
      </c>
      <c r="D30" s="134">
        <v>48.71</v>
      </c>
      <c r="E30" s="134">
        <v>6.3</v>
      </c>
      <c r="F30" s="134">
        <v>5.0199999999999996</v>
      </c>
      <c r="G30" s="134">
        <v>54.64</v>
      </c>
      <c r="H30" s="134">
        <v>29.95</v>
      </c>
      <c r="I30" s="134">
        <v>7.25</v>
      </c>
      <c r="J30" s="134">
        <v>0.15</v>
      </c>
      <c r="K30" s="134">
        <v>169.08</v>
      </c>
      <c r="L30" s="134">
        <v>27.92</v>
      </c>
      <c r="M30" s="134">
        <v>53.58</v>
      </c>
      <c r="N30" s="134">
        <v>2.5</v>
      </c>
      <c r="O30" s="134">
        <v>0</v>
      </c>
      <c r="P30" s="134">
        <v>0.78</v>
      </c>
      <c r="Q30" s="134">
        <v>6.05</v>
      </c>
    </row>
    <row r="31" spans="1:17" customFormat="1">
      <c r="A31" s="112" t="s">
        <v>932</v>
      </c>
      <c r="B31" s="134">
        <v>23.38</v>
      </c>
      <c r="C31" s="134">
        <v>60.24</v>
      </c>
      <c r="D31" s="134">
        <v>49.18</v>
      </c>
      <c r="E31" s="134">
        <v>6.96</v>
      </c>
      <c r="F31" s="134">
        <v>4.95</v>
      </c>
      <c r="G31" s="134">
        <v>58.93</v>
      </c>
      <c r="H31" s="134">
        <v>29.69</v>
      </c>
      <c r="I31" s="134">
        <v>7.34</v>
      </c>
      <c r="J31" s="134">
        <v>0.2</v>
      </c>
      <c r="K31" s="134">
        <v>188.86</v>
      </c>
      <c r="L31" s="134">
        <v>27.92</v>
      </c>
      <c r="M31" s="134">
        <v>53.96</v>
      </c>
      <c r="N31" s="134">
        <v>10.4</v>
      </c>
      <c r="O31" s="134">
        <v>0</v>
      </c>
      <c r="P31" s="134">
        <v>0.78</v>
      </c>
      <c r="Q31" s="134">
        <v>6.06</v>
      </c>
    </row>
    <row r="32" spans="1:17" customFormat="1">
      <c r="A32" s="112" t="s">
        <v>933</v>
      </c>
      <c r="B32" s="134">
        <v>24.34</v>
      </c>
      <c r="C32" s="134">
        <v>60.67</v>
      </c>
      <c r="D32" s="134">
        <v>50.18</v>
      </c>
      <c r="E32" s="134">
        <v>6.22</v>
      </c>
      <c r="F32" s="134">
        <v>4.6100000000000003</v>
      </c>
      <c r="G32" s="134">
        <v>58.93</v>
      </c>
      <c r="H32" s="134">
        <v>29.69</v>
      </c>
      <c r="I32" s="134">
        <v>7.32</v>
      </c>
      <c r="J32" s="134">
        <v>0.14000000000000001</v>
      </c>
      <c r="K32" s="134">
        <v>149.22</v>
      </c>
      <c r="L32" s="134">
        <v>27.92</v>
      </c>
      <c r="M32" s="134">
        <v>54.71</v>
      </c>
      <c r="N32" s="134">
        <v>20.8</v>
      </c>
      <c r="O32" s="134">
        <v>0</v>
      </c>
      <c r="P32" s="134">
        <v>0.77</v>
      </c>
      <c r="Q32" s="134">
        <v>6.04</v>
      </c>
    </row>
    <row r="33" spans="1:17" customFormat="1">
      <c r="A33" s="112" t="s">
        <v>934</v>
      </c>
      <c r="B33" s="134">
        <v>24.95</v>
      </c>
      <c r="C33" s="134">
        <v>60.61</v>
      </c>
      <c r="D33" s="134">
        <v>50.63</v>
      </c>
      <c r="E33" s="134">
        <v>6.94</v>
      </c>
      <c r="F33" s="134">
        <v>4.79</v>
      </c>
      <c r="G33" s="134">
        <v>58.93</v>
      </c>
      <c r="H33" s="134">
        <v>29.69</v>
      </c>
      <c r="I33" s="134">
        <v>7.36</v>
      </c>
      <c r="J33" s="134">
        <v>0.12</v>
      </c>
      <c r="K33" s="134">
        <v>160.28</v>
      </c>
      <c r="L33" s="134">
        <v>28.47</v>
      </c>
      <c r="M33" s="134">
        <v>53</v>
      </c>
      <c r="N33" s="134">
        <v>31.1</v>
      </c>
      <c r="O33" s="134">
        <v>0</v>
      </c>
      <c r="P33" s="134">
        <v>0.81</v>
      </c>
      <c r="Q33" s="134">
        <v>6.06</v>
      </c>
    </row>
    <row r="34" spans="1:17" customFormat="1">
      <c r="A34" s="112" t="s">
        <v>935</v>
      </c>
      <c r="B34" s="134">
        <v>26.3</v>
      </c>
      <c r="C34" s="134">
        <v>59.35</v>
      </c>
      <c r="D34" s="134">
        <v>51.05</v>
      </c>
      <c r="E34" s="134">
        <v>6.95</v>
      </c>
      <c r="F34" s="134">
        <v>4.84</v>
      </c>
      <c r="G34" s="134">
        <v>61.49</v>
      </c>
      <c r="H34" s="134">
        <v>29.61</v>
      </c>
      <c r="I34" s="134">
        <v>7.51</v>
      </c>
      <c r="J34" s="134">
        <v>0.27</v>
      </c>
      <c r="K34" s="134">
        <v>208.09</v>
      </c>
      <c r="L34" s="134">
        <v>29.09</v>
      </c>
      <c r="M34" s="134">
        <v>50.94</v>
      </c>
      <c r="N34" s="134">
        <v>45.8</v>
      </c>
      <c r="O34" s="134">
        <v>0</v>
      </c>
      <c r="P34" s="134">
        <v>0.81</v>
      </c>
      <c r="Q34" s="134">
        <v>6.03</v>
      </c>
    </row>
    <row r="35" spans="1:17" customFormat="1">
      <c r="A35" s="112" t="s">
        <v>936</v>
      </c>
      <c r="B35" s="134">
        <v>24.48</v>
      </c>
      <c r="C35" s="134">
        <v>58.35</v>
      </c>
      <c r="D35" s="134">
        <v>49.07</v>
      </c>
      <c r="E35" s="134">
        <v>7.3</v>
      </c>
      <c r="F35" s="134">
        <v>5.86</v>
      </c>
      <c r="G35" s="134">
        <v>65.17</v>
      </c>
      <c r="H35" s="134">
        <v>29.54</v>
      </c>
      <c r="I35" s="134">
        <v>7.62</v>
      </c>
      <c r="J35" s="134">
        <v>0.2</v>
      </c>
      <c r="K35" s="134">
        <v>144.85</v>
      </c>
      <c r="L35" s="134">
        <v>30.08</v>
      </c>
      <c r="M35" s="134">
        <v>48.77</v>
      </c>
      <c r="N35" s="134">
        <v>58.2</v>
      </c>
      <c r="O35" s="134">
        <v>0</v>
      </c>
      <c r="P35" s="134">
        <v>0.82</v>
      </c>
      <c r="Q35" s="134">
        <v>6.14</v>
      </c>
    </row>
    <row r="36" spans="1:17" customFormat="1">
      <c r="A36" s="112" t="s">
        <v>937</v>
      </c>
      <c r="B36" s="134">
        <v>23.64</v>
      </c>
      <c r="C36" s="134">
        <v>59.14</v>
      </c>
      <c r="D36" s="134">
        <v>48.8</v>
      </c>
      <c r="E36" s="134">
        <v>7.81</v>
      </c>
      <c r="F36" s="134">
        <v>7.74</v>
      </c>
      <c r="G36" s="134">
        <v>65.17</v>
      </c>
      <c r="H36" s="134">
        <v>29.54</v>
      </c>
      <c r="I36" s="134">
        <v>7.78</v>
      </c>
      <c r="J36" s="134">
        <v>0.16</v>
      </c>
      <c r="K36" s="134">
        <v>215.21</v>
      </c>
      <c r="L36" s="134">
        <v>31.05</v>
      </c>
      <c r="M36" s="134">
        <v>46.12</v>
      </c>
      <c r="N36" s="134">
        <v>68.900000000000006</v>
      </c>
      <c r="O36" s="134">
        <v>0</v>
      </c>
      <c r="P36" s="134">
        <v>0.82</v>
      </c>
      <c r="Q36" s="134">
        <v>6.14</v>
      </c>
    </row>
    <row r="37" spans="1:17" customFormat="1">
      <c r="A37" s="112" t="s">
        <v>938</v>
      </c>
      <c r="B37" s="134">
        <v>21.8</v>
      </c>
      <c r="C37" s="134">
        <v>54.18</v>
      </c>
      <c r="D37" s="134">
        <v>44.74</v>
      </c>
      <c r="E37" s="134">
        <v>9.52</v>
      </c>
      <c r="F37" s="134">
        <v>10.58</v>
      </c>
      <c r="G37" s="134">
        <v>65.17</v>
      </c>
      <c r="H37" s="134">
        <v>29.54</v>
      </c>
      <c r="I37" s="134">
        <v>8.02</v>
      </c>
      <c r="J37" s="134">
        <v>0.17</v>
      </c>
      <c r="K37" s="134">
        <v>300.06</v>
      </c>
      <c r="L37" s="134">
        <v>32.200000000000003</v>
      </c>
      <c r="M37" s="134">
        <v>44.02</v>
      </c>
      <c r="N37" s="134">
        <v>79.2</v>
      </c>
      <c r="O37" s="134">
        <v>0</v>
      </c>
      <c r="P37" s="134">
        <v>0.86</v>
      </c>
      <c r="Q37" s="134">
        <v>6.1</v>
      </c>
    </row>
    <row r="38" spans="1:17" customFormat="1">
      <c r="A38" s="112" t="s">
        <v>939</v>
      </c>
      <c r="B38" s="134">
        <v>24.62</v>
      </c>
      <c r="C38" s="134">
        <v>60.51</v>
      </c>
      <c r="D38" s="134">
        <v>50.31</v>
      </c>
      <c r="E38" s="134">
        <v>12.16</v>
      </c>
      <c r="F38" s="134">
        <v>9.5</v>
      </c>
      <c r="G38" s="134">
        <v>73.540000000000006</v>
      </c>
      <c r="H38" s="134">
        <v>30.19</v>
      </c>
      <c r="I38" s="134">
        <v>8.3699999999999992</v>
      </c>
      <c r="J38" s="134">
        <v>0.57999999999999996</v>
      </c>
      <c r="K38" s="134">
        <v>324.33999999999997</v>
      </c>
      <c r="L38" s="134">
        <v>32.86</v>
      </c>
      <c r="M38" s="134">
        <v>40.14</v>
      </c>
      <c r="N38" s="134">
        <v>90.3</v>
      </c>
      <c r="O38" s="134">
        <v>0</v>
      </c>
      <c r="P38" s="134">
        <v>0.87</v>
      </c>
      <c r="Q38" s="134">
        <v>6.06</v>
      </c>
    </row>
    <row r="39" spans="1:17" customFormat="1">
      <c r="A39" s="112" t="s">
        <v>940</v>
      </c>
      <c r="B39" s="134">
        <v>24.02</v>
      </c>
      <c r="C39" s="134">
        <v>59.93</v>
      </c>
      <c r="D39" s="134">
        <v>49.53</v>
      </c>
      <c r="E39" s="134">
        <v>34.200000000000003</v>
      </c>
      <c r="F39" s="134">
        <v>11.79</v>
      </c>
      <c r="G39" s="134">
        <v>85.53</v>
      </c>
      <c r="H39" s="134">
        <v>31.74</v>
      </c>
      <c r="I39" s="134">
        <v>8.73</v>
      </c>
      <c r="J39" s="134">
        <v>0.95</v>
      </c>
      <c r="K39" s="134">
        <v>316.83</v>
      </c>
      <c r="L39" s="134">
        <v>33.270000000000003</v>
      </c>
      <c r="M39" s="134">
        <v>34.99</v>
      </c>
      <c r="N39" s="134">
        <v>100.2</v>
      </c>
      <c r="O39" s="134">
        <v>0</v>
      </c>
      <c r="P39" s="134">
        <v>0.82</v>
      </c>
      <c r="Q39" s="134">
        <v>6.17</v>
      </c>
    </row>
    <row r="40" spans="1:17" customFormat="1">
      <c r="A40" s="112" t="s">
        <v>941</v>
      </c>
      <c r="B40" s="134">
        <v>23.45</v>
      </c>
      <c r="C40" s="134">
        <v>57.52</v>
      </c>
      <c r="D40" s="134">
        <v>47.82</v>
      </c>
      <c r="E40" s="134">
        <v>28.46</v>
      </c>
      <c r="F40" s="134">
        <v>11.84</v>
      </c>
      <c r="G40" s="134">
        <v>85.53</v>
      </c>
      <c r="H40" s="134">
        <v>31.74</v>
      </c>
      <c r="I40" s="134">
        <v>8.61</v>
      </c>
      <c r="J40" s="134">
        <v>0.74</v>
      </c>
      <c r="K40" s="134">
        <v>293.99</v>
      </c>
      <c r="L40" s="134">
        <v>33.78</v>
      </c>
      <c r="M40" s="134">
        <v>33.799999999999997</v>
      </c>
      <c r="N40" s="134">
        <v>106.5</v>
      </c>
      <c r="O40" s="134">
        <v>0</v>
      </c>
      <c r="P40" s="134">
        <v>0.82</v>
      </c>
      <c r="Q40" s="134">
        <v>6.05</v>
      </c>
    </row>
    <row r="41" spans="1:17" customFormat="1">
      <c r="A41" s="112" t="s">
        <v>942</v>
      </c>
      <c r="B41" s="134">
        <v>23.51</v>
      </c>
      <c r="C41" s="134">
        <v>64.2</v>
      </c>
      <c r="D41" s="134">
        <v>51.35</v>
      </c>
      <c r="E41" s="134">
        <v>16.37</v>
      </c>
      <c r="F41" s="134">
        <v>10.029999999999999</v>
      </c>
      <c r="G41" s="134">
        <v>85.53</v>
      </c>
      <c r="H41" s="134">
        <v>31.74</v>
      </c>
      <c r="I41" s="134">
        <v>8.5</v>
      </c>
      <c r="J41" s="134">
        <v>0.88</v>
      </c>
      <c r="K41" s="134">
        <v>304.58</v>
      </c>
      <c r="L41" s="134">
        <v>34.159999999999997</v>
      </c>
      <c r="M41" s="134">
        <v>32.9</v>
      </c>
      <c r="N41" s="134">
        <v>115.9</v>
      </c>
      <c r="O41" s="134">
        <v>0</v>
      </c>
      <c r="P41" s="134">
        <v>0.83</v>
      </c>
      <c r="Q41" s="134">
        <v>6.14</v>
      </c>
    </row>
    <row r="42" spans="1:17" customFormat="1">
      <c r="A42" s="112" t="s">
        <v>943</v>
      </c>
      <c r="B42" s="134">
        <v>21.89</v>
      </c>
      <c r="C42" s="134">
        <v>61.36</v>
      </c>
      <c r="D42" s="134">
        <v>48.57</v>
      </c>
      <c r="E42" s="134">
        <v>21.03</v>
      </c>
      <c r="F42" s="134">
        <v>15.19</v>
      </c>
      <c r="G42" s="134">
        <v>90.1</v>
      </c>
      <c r="H42" s="134">
        <v>35.71</v>
      </c>
      <c r="I42" s="134">
        <v>8.7200000000000006</v>
      </c>
      <c r="J42" s="134">
        <v>0.98</v>
      </c>
      <c r="K42" s="134">
        <v>309.66000000000003</v>
      </c>
      <c r="L42" s="134">
        <v>34.6</v>
      </c>
      <c r="M42" s="134">
        <v>31.26</v>
      </c>
      <c r="N42" s="134">
        <v>119.5</v>
      </c>
      <c r="O42" s="134">
        <v>0</v>
      </c>
      <c r="P42" s="134">
        <v>0.83</v>
      </c>
      <c r="Q42" s="134">
        <v>6.15</v>
      </c>
    </row>
    <row r="43" spans="1:17" customFormat="1">
      <c r="A43" s="112" t="s">
        <v>944</v>
      </c>
      <c r="B43" s="134">
        <v>19.73</v>
      </c>
      <c r="C43" s="134">
        <v>55.07</v>
      </c>
      <c r="D43" s="134">
        <v>43.55</v>
      </c>
      <c r="E43" s="134">
        <v>22.02</v>
      </c>
      <c r="F43" s="134">
        <v>20.41</v>
      </c>
      <c r="G43" s="134">
        <v>96.95</v>
      </c>
      <c r="H43" s="134">
        <v>39.130000000000003</v>
      </c>
      <c r="I43" s="134">
        <v>8.59</v>
      </c>
      <c r="J43" s="134">
        <v>0.84</v>
      </c>
      <c r="K43" s="134">
        <v>310.57</v>
      </c>
      <c r="L43" s="134">
        <v>35.549999999999997</v>
      </c>
      <c r="M43" s="134">
        <v>29.79</v>
      </c>
      <c r="N43" s="134">
        <v>123.3</v>
      </c>
      <c r="O43" s="134">
        <v>0</v>
      </c>
      <c r="P43" s="134">
        <v>0.81</v>
      </c>
      <c r="Q43" s="134">
        <v>6.02</v>
      </c>
    </row>
    <row r="44" spans="1:17" customFormat="1">
      <c r="A44" s="112" t="s">
        <v>945</v>
      </c>
      <c r="B44" s="134">
        <v>19.07</v>
      </c>
      <c r="C44" s="134">
        <v>54.34</v>
      </c>
      <c r="D44" s="134">
        <v>42.64</v>
      </c>
      <c r="E44" s="134">
        <v>18.07</v>
      </c>
      <c r="F44" s="134">
        <v>19.420000000000002</v>
      </c>
      <c r="G44" s="134">
        <v>96.95</v>
      </c>
      <c r="H44" s="134">
        <v>39.130000000000003</v>
      </c>
      <c r="I44" s="134">
        <v>8.3000000000000007</v>
      </c>
      <c r="J44" s="134">
        <v>0.84</v>
      </c>
      <c r="K44" s="134">
        <v>331.1</v>
      </c>
      <c r="L44" s="134">
        <v>36.25</v>
      </c>
      <c r="M44" s="134">
        <v>28.14</v>
      </c>
      <c r="N44" s="134">
        <v>130</v>
      </c>
      <c r="O44" s="134">
        <v>0</v>
      </c>
      <c r="P44" s="134">
        <v>0.81</v>
      </c>
      <c r="Q44" s="134">
        <v>5.91</v>
      </c>
    </row>
    <row r="45" spans="1:17" customFormat="1">
      <c r="A45" s="112" t="s">
        <v>946</v>
      </c>
      <c r="B45" s="134">
        <v>16.61</v>
      </c>
      <c r="C45" s="134">
        <v>52.45</v>
      </c>
      <c r="D45" s="134">
        <v>39.67</v>
      </c>
      <c r="E45" s="134">
        <v>13.27</v>
      </c>
      <c r="F45" s="134">
        <v>22.64</v>
      </c>
      <c r="G45" s="134">
        <v>96.95</v>
      </c>
      <c r="H45" s="134">
        <v>39.130000000000003</v>
      </c>
      <c r="I45" s="134">
        <v>8.17</v>
      </c>
      <c r="J45" s="134">
        <v>0.81</v>
      </c>
      <c r="K45" s="134">
        <v>310.04000000000002</v>
      </c>
      <c r="L45" s="134">
        <v>36.840000000000003</v>
      </c>
      <c r="M45" s="134">
        <v>26.37</v>
      </c>
      <c r="N45" s="134">
        <v>137.19999999999999</v>
      </c>
      <c r="O45" s="134">
        <v>0</v>
      </c>
      <c r="P45" s="134">
        <v>0.78</v>
      </c>
      <c r="Q45" s="134">
        <v>5.81</v>
      </c>
    </row>
    <row r="46" spans="1:17" customFormat="1">
      <c r="A46" s="112" t="s">
        <v>947</v>
      </c>
      <c r="B46" s="134">
        <v>14</v>
      </c>
      <c r="C46" s="134">
        <v>49.76</v>
      </c>
      <c r="D46" s="134">
        <v>36.18</v>
      </c>
      <c r="E46" s="134">
        <v>18.73</v>
      </c>
      <c r="F46" s="134">
        <v>33.44</v>
      </c>
      <c r="G46" s="134">
        <v>94.6</v>
      </c>
      <c r="H46" s="134">
        <v>39.6</v>
      </c>
      <c r="I46" s="134">
        <v>8.01</v>
      </c>
      <c r="J46" s="134">
        <v>0.46</v>
      </c>
      <c r="K46" s="134">
        <v>301.62</v>
      </c>
      <c r="L46" s="134">
        <v>37.78</v>
      </c>
      <c r="M46" s="134">
        <v>24.5</v>
      </c>
      <c r="N46" s="134">
        <v>148.4</v>
      </c>
      <c r="O46" s="134">
        <v>0</v>
      </c>
      <c r="P46" s="134">
        <v>0.76</v>
      </c>
      <c r="Q46" s="134">
        <v>5.7</v>
      </c>
    </row>
    <row r="47" spans="1:17" customFormat="1">
      <c r="A47" s="112" t="s">
        <v>948</v>
      </c>
      <c r="B47" s="134">
        <v>13.03</v>
      </c>
      <c r="C47" s="134">
        <v>48.41</v>
      </c>
      <c r="D47" s="134">
        <v>34.700000000000003</v>
      </c>
      <c r="E47" s="134">
        <v>20.3</v>
      </c>
      <c r="F47" s="134">
        <v>30.61</v>
      </c>
      <c r="G47" s="134">
        <v>91.22</v>
      </c>
      <c r="H47" s="134">
        <v>40</v>
      </c>
      <c r="I47" s="134">
        <v>7.73</v>
      </c>
      <c r="J47" s="134">
        <v>0.39</v>
      </c>
      <c r="K47" s="134">
        <v>346.44</v>
      </c>
      <c r="L47" s="134">
        <v>38.43</v>
      </c>
      <c r="M47" s="134">
        <v>22.86</v>
      </c>
      <c r="N47" s="134">
        <v>156</v>
      </c>
      <c r="O47" s="134">
        <v>0</v>
      </c>
      <c r="P47" s="134">
        <v>0.75</v>
      </c>
      <c r="Q47" s="134">
        <v>5.6</v>
      </c>
    </row>
    <row r="48" spans="1:17" customFormat="1">
      <c r="A48" s="112" t="s">
        <v>949</v>
      </c>
      <c r="B48" s="134">
        <v>13.3</v>
      </c>
      <c r="C48" s="134">
        <v>50.83</v>
      </c>
      <c r="D48" s="134">
        <v>36.18</v>
      </c>
      <c r="E48" s="134">
        <v>18.96</v>
      </c>
      <c r="F48" s="134">
        <v>26.84</v>
      </c>
      <c r="G48" s="134">
        <v>91.22</v>
      </c>
      <c r="H48" s="134">
        <v>40</v>
      </c>
      <c r="I48" s="134">
        <v>7.46</v>
      </c>
      <c r="J48" s="134">
        <v>0.67</v>
      </c>
      <c r="K48" s="134">
        <v>326.01</v>
      </c>
      <c r="L48" s="134">
        <v>38.229999999999997</v>
      </c>
      <c r="M48" s="134">
        <v>21.8</v>
      </c>
      <c r="N48" s="134">
        <v>159</v>
      </c>
      <c r="O48" s="134">
        <v>0</v>
      </c>
      <c r="P48" s="134">
        <v>0.76</v>
      </c>
      <c r="Q48" s="134">
        <v>5.52</v>
      </c>
    </row>
    <row r="49" spans="1:17" customFormat="1">
      <c r="A49" s="112" t="s">
        <v>950</v>
      </c>
      <c r="B49" s="134">
        <v>10.92</v>
      </c>
      <c r="C49" s="134">
        <v>48.54</v>
      </c>
      <c r="D49" s="134">
        <v>33.07</v>
      </c>
      <c r="E49" s="134">
        <v>17.489999999999998</v>
      </c>
      <c r="F49" s="134">
        <v>37.159999999999997</v>
      </c>
      <c r="G49" s="134">
        <v>91.22</v>
      </c>
      <c r="H49" s="134">
        <v>40</v>
      </c>
      <c r="I49" s="134">
        <v>7.41</v>
      </c>
      <c r="J49" s="134">
        <v>0.38</v>
      </c>
      <c r="K49" s="134">
        <v>348.29</v>
      </c>
      <c r="L49" s="134">
        <v>38.869999999999997</v>
      </c>
      <c r="M49" s="134">
        <v>21.38</v>
      </c>
      <c r="N49" s="134">
        <v>160.80000000000001</v>
      </c>
      <c r="O49" s="134">
        <v>0</v>
      </c>
      <c r="P49" s="134">
        <v>0.71</v>
      </c>
      <c r="Q49" s="134">
        <v>5.48</v>
      </c>
    </row>
    <row r="50" spans="1:17" customFormat="1">
      <c r="A50" s="112" t="s">
        <v>951</v>
      </c>
      <c r="B50" s="134">
        <v>9.7799999999999994</v>
      </c>
      <c r="C50" s="134">
        <v>48.64</v>
      </c>
      <c r="D50" s="134">
        <v>32.21</v>
      </c>
      <c r="E50" s="134">
        <v>23.78</v>
      </c>
      <c r="F50" s="134">
        <v>39.770000000000003</v>
      </c>
      <c r="G50" s="134">
        <v>85.15</v>
      </c>
      <c r="H50" s="134">
        <v>39.479999999999997</v>
      </c>
      <c r="I50" s="134">
        <v>7.34</v>
      </c>
      <c r="J50" s="134">
        <v>0.67</v>
      </c>
      <c r="K50" s="134">
        <v>27.76</v>
      </c>
      <c r="L50" s="134">
        <v>39.57</v>
      </c>
      <c r="M50" s="134">
        <v>20.34</v>
      </c>
      <c r="N50" s="134">
        <v>167.6</v>
      </c>
      <c r="O50" s="134">
        <v>0</v>
      </c>
      <c r="P50" s="134">
        <v>0.72</v>
      </c>
      <c r="Q50" s="134">
        <v>5.43</v>
      </c>
    </row>
    <row r="51" spans="1:17" customFormat="1">
      <c r="A51" s="112" t="s">
        <v>952</v>
      </c>
      <c r="B51" s="134">
        <v>8.98</v>
      </c>
      <c r="C51" s="134">
        <v>50</v>
      </c>
      <c r="D51" s="134">
        <v>32.28</v>
      </c>
      <c r="E51" s="134">
        <v>33.590000000000003</v>
      </c>
      <c r="F51" s="134">
        <v>37.21</v>
      </c>
      <c r="G51" s="134">
        <v>76.45</v>
      </c>
      <c r="H51" s="134">
        <v>39.04</v>
      </c>
      <c r="I51" s="134">
        <v>6.85</v>
      </c>
      <c r="J51" s="134">
        <v>0.64</v>
      </c>
      <c r="K51" s="134">
        <v>54.67</v>
      </c>
      <c r="L51" s="134">
        <v>40.17</v>
      </c>
      <c r="M51" s="134">
        <v>19.559999999999999</v>
      </c>
      <c r="N51" s="134">
        <v>175.9</v>
      </c>
      <c r="O51" s="134">
        <v>0</v>
      </c>
      <c r="P51" s="134">
        <v>0.72</v>
      </c>
      <c r="Q51" s="134">
        <v>5.35</v>
      </c>
    </row>
    <row r="52" spans="1:17" customFormat="1">
      <c r="A52" s="112" t="s">
        <v>953</v>
      </c>
      <c r="B52" s="134">
        <v>8.32</v>
      </c>
      <c r="C52" s="134">
        <v>59.96</v>
      </c>
      <c r="D52" s="134">
        <v>36.950000000000003</v>
      </c>
      <c r="E52" s="134">
        <v>31.98</v>
      </c>
      <c r="F52" s="134">
        <v>36.5</v>
      </c>
      <c r="G52" s="134">
        <v>76.45</v>
      </c>
      <c r="H52" s="134">
        <v>39.04</v>
      </c>
      <c r="I52" s="134">
        <v>6.64</v>
      </c>
      <c r="J52" s="134">
        <v>0.79</v>
      </c>
      <c r="K52" s="134">
        <v>41.67</v>
      </c>
      <c r="L52" s="134">
        <v>40.32</v>
      </c>
      <c r="M52" s="134">
        <v>18.78</v>
      </c>
      <c r="N52" s="134">
        <v>184.9</v>
      </c>
      <c r="O52" s="134">
        <v>0</v>
      </c>
      <c r="P52" s="134">
        <v>0.72</v>
      </c>
      <c r="Q52" s="134">
        <v>5.44</v>
      </c>
    </row>
    <row r="53" spans="1:17" customFormat="1">
      <c r="A53" s="112" t="s">
        <v>954</v>
      </c>
      <c r="B53" s="134">
        <v>7.58</v>
      </c>
      <c r="C53" s="134">
        <v>59.98</v>
      </c>
      <c r="D53" s="134">
        <v>36.369999999999997</v>
      </c>
      <c r="E53" s="134">
        <v>20.16</v>
      </c>
      <c r="F53" s="134">
        <v>38.299999999999997</v>
      </c>
      <c r="G53" s="134">
        <v>76.45</v>
      </c>
      <c r="H53" s="134">
        <v>39.04</v>
      </c>
      <c r="I53" s="134">
        <v>6.89</v>
      </c>
      <c r="J53" s="134">
        <v>1.32</v>
      </c>
      <c r="K53" s="134">
        <v>49.51</v>
      </c>
      <c r="L53" s="134">
        <v>40.19</v>
      </c>
      <c r="M53" s="134">
        <v>18.14</v>
      </c>
      <c r="N53" s="134">
        <v>196.7</v>
      </c>
      <c r="O53" s="134">
        <v>0</v>
      </c>
      <c r="P53" s="134">
        <v>0.7</v>
      </c>
      <c r="Q53" s="134">
        <v>5.54</v>
      </c>
    </row>
    <row r="54" spans="1:17" customFormat="1">
      <c r="A54" s="112" t="s">
        <v>955</v>
      </c>
      <c r="B54" s="134">
        <v>7.14</v>
      </c>
      <c r="C54" s="134">
        <v>55.56</v>
      </c>
      <c r="D54" s="134">
        <v>33.71</v>
      </c>
      <c r="E54" s="134">
        <v>17.489999999999998</v>
      </c>
      <c r="F54" s="134">
        <v>43.63</v>
      </c>
      <c r="G54" s="134">
        <v>75.069999999999993</v>
      </c>
      <c r="H54" s="134">
        <v>40.340000000000003</v>
      </c>
      <c r="I54" s="134">
        <v>7.06</v>
      </c>
      <c r="J54" s="134">
        <v>0.95</v>
      </c>
      <c r="K54" s="134">
        <v>26.63</v>
      </c>
      <c r="L54" s="134">
        <v>40.200000000000003</v>
      </c>
      <c r="M54" s="134">
        <v>18.43</v>
      </c>
      <c r="N54" s="134">
        <v>205.9</v>
      </c>
      <c r="O54" s="134">
        <v>0</v>
      </c>
      <c r="P54" s="134">
        <v>0.7</v>
      </c>
      <c r="Q54" s="134">
        <v>5.4</v>
      </c>
    </row>
    <row r="55" spans="1:17" customFormat="1">
      <c r="A55" s="112" t="s">
        <v>956</v>
      </c>
      <c r="B55" s="134">
        <v>6.35</v>
      </c>
      <c r="C55" s="134">
        <v>52.05</v>
      </c>
      <c r="D55" s="134">
        <v>31.25</v>
      </c>
      <c r="E55" s="134">
        <v>19.71</v>
      </c>
      <c r="F55" s="134">
        <v>46.66</v>
      </c>
      <c r="G55" s="134">
        <v>73.09</v>
      </c>
      <c r="H55" s="134">
        <v>41.45</v>
      </c>
      <c r="I55" s="134">
        <v>6.87</v>
      </c>
      <c r="J55" s="134">
        <v>0.86</v>
      </c>
      <c r="K55" s="134">
        <v>33.17</v>
      </c>
      <c r="L55" s="134">
        <v>40.409999999999997</v>
      </c>
      <c r="M55" s="134">
        <v>17.68</v>
      </c>
      <c r="N55" s="134">
        <v>264.10000000000002</v>
      </c>
      <c r="O55" s="134">
        <v>0</v>
      </c>
      <c r="P55" s="134">
        <v>0.66</v>
      </c>
      <c r="Q55" s="134">
        <v>5.29</v>
      </c>
    </row>
    <row r="56" spans="1:17" customFormat="1">
      <c r="A56" s="112" t="s">
        <v>957</v>
      </c>
      <c r="B56" s="134">
        <v>6.3</v>
      </c>
      <c r="C56" s="134">
        <v>49.34</v>
      </c>
      <c r="D56" s="134">
        <v>29.78</v>
      </c>
      <c r="E56" s="134">
        <v>22.26</v>
      </c>
      <c r="F56" s="134">
        <v>50.38</v>
      </c>
      <c r="G56" s="134">
        <v>73.09</v>
      </c>
      <c r="H56" s="134">
        <v>41.45</v>
      </c>
      <c r="I56" s="134">
        <v>6.68</v>
      </c>
      <c r="J56" s="134">
        <v>0.62</v>
      </c>
      <c r="K56" s="134">
        <v>6.41</v>
      </c>
      <c r="L56" s="134">
        <v>41.12</v>
      </c>
      <c r="M56" s="134">
        <v>17.16</v>
      </c>
      <c r="N56" s="134">
        <v>744.4</v>
      </c>
      <c r="O56" s="134">
        <v>0</v>
      </c>
      <c r="P56" s="134">
        <v>0.65</v>
      </c>
      <c r="Q56" s="134">
        <v>5.21</v>
      </c>
    </row>
    <row r="57" spans="1:17" customFormat="1">
      <c r="A57" s="112" t="s">
        <v>958</v>
      </c>
      <c r="B57" s="134">
        <v>5.21</v>
      </c>
      <c r="C57" s="134">
        <v>52.3</v>
      </c>
      <c r="D57" s="134">
        <v>30.46</v>
      </c>
      <c r="E57" s="134">
        <v>21.68</v>
      </c>
      <c r="F57" s="134">
        <v>48.51</v>
      </c>
      <c r="G57" s="134">
        <v>73.09</v>
      </c>
      <c r="H57" s="134">
        <v>41.45</v>
      </c>
      <c r="I57" s="134">
        <v>6.42</v>
      </c>
      <c r="J57" s="134">
        <v>0.84</v>
      </c>
      <c r="K57" s="134">
        <v>8.73</v>
      </c>
      <c r="L57" s="134">
        <v>41.21</v>
      </c>
      <c r="M57" s="134">
        <v>16.59</v>
      </c>
      <c r="N57" s="134">
        <v>790</v>
      </c>
      <c r="O57" s="134">
        <v>0</v>
      </c>
      <c r="P57" s="134">
        <v>0.65</v>
      </c>
      <c r="Q57" s="134">
        <v>5.19</v>
      </c>
    </row>
    <row r="58" spans="1:17" customFormat="1">
      <c r="A58" s="112" t="s">
        <v>959</v>
      </c>
      <c r="B58" s="134">
        <v>4.76</v>
      </c>
      <c r="C58" s="134">
        <v>51.64</v>
      </c>
      <c r="D58" s="134">
        <v>29.75</v>
      </c>
      <c r="E58" s="134">
        <v>21.21</v>
      </c>
      <c r="F58" s="134">
        <v>49.41</v>
      </c>
      <c r="G58" s="134">
        <v>71.13</v>
      </c>
      <c r="H58" s="134">
        <v>39.49</v>
      </c>
      <c r="I58" s="134">
        <v>6.28</v>
      </c>
      <c r="J58" s="134">
        <v>1.41</v>
      </c>
      <c r="K58" s="134">
        <v>46.24</v>
      </c>
      <c r="L58" s="134">
        <v>41.11</v>
      </c>
      <c r="M58" s="134">
        <v>16.61</v>
      </c>
      <c r="N58" s="134">
        <v>675.1</v>
      </c>
      <c r="O58" s="134">
        <v>0</v>
      </c>
      <c r="P58" s="134">
        <v>0.63</v>
      </c>
      <c r="Q58" s="134">
        <v>5.19</v>
      </c>
    </row>
    <row r="59" spans="1:17" customFormat="1">
      <c r="A59" s="112" t="s">
        <v>960</v>
      </c>
      <c r="B59" s="134">
        <v>5.05</v>
      </c>
      <c r="C59" s="134">
        <v>54.34</v>
      </c>
      <c r="D59" s="134">
        <v>31.4</v>
      </c>
      <c r="E59" s="134">
        <v>20.16</v>
      </c>
      <c r="F59" s="134">
        <v>42.93</v>
      </c>
      <c r="G59" s="134">
        <v>68.319999999999993</v>
      </c>
      <c r="H59" s="134">
        <v>37.799999999999997</v>
      </c>
      <c r="I59" s="134">
        <v>6.35</v>
      </c>
      <c r="J59" s="134">
        <v>1.1299999999999999</v>
      </c>
      <c r="K59" s="134">
        <v>34.36</v>
      </c>
      <c r="L59" s="134">
        <v>41.4</v>
      </c>
      <c r="M59" s="134">
        <v>15.87</v>
      </c>
      <c r="N59" s="134">
        <v>798.3</v>
      </c>
      <c r="O59" s="134">
        <v>0</v>
      </c>
      <c r="P59" s="134">
        <v>0.63</v>
      </c>
      <c r="Q59" s="134">
        <v>5.21</v>
      </c>
    </row>
    <row r="60" spans="1:17" customFormat="1">
      <c r="A60" s="112" t="s">
        <v>961</v>
      </c>
      <c r="B60" s="134">
        <v>4.71</v>
      </c>
      <c r="C60" s="134">
        <v>53.17</v>
      </c>
      <c r="D60" s="134">
        <v>30.51</v>
      </c>
      <c r="E60" s="134">
        <v>18.04</v>
      </c>
      <c r="F60" s="134">
        <v>39.229999999999997</v>
      </c>
      <c r="G60" s="134">
        <v>68.319999999999993</v>
      </c>
      <c r="H60" s="134">
        <v>37.799999999999997</v>
      </c>
      <c r="I60" s="134">
        <v>6.23</v>
      </c>
      <c r="J60" s="134">
        <v>1.34</v>
      </c>
      <c r="K60" s="134">
        <v>36.909999999999997</v>
      </c>
      <c r="L60" s="134">
        <v>41.53</v>
      </c>
      <c r="M60" s="134">
        <v>15.77</v>
      </c>
      <c r="N60" s="134">
        <v>627.29999999999995</v>
      </c>
      <c r="O60" s="134">
        <v>0</v>
      </c>
      <c r="P60" s="134">
        <v>0.63</v>
      </c>
      <c r="Q60" s="134">
        <v>5.19</v>
      </c>
    </row>
    <row r="61" spans="1:17" customFormat="1">
      <c r="A61" s="112" t="s">
        <v>962</v>
      </c>
      <c r="B61" s="134">
        <v>4.5</v>
      </c>
      <c r="C61" s="134">
        <v>60.67</v>
      </c>
      <c r="D61" s="134">
        <v>34.26</v>
      </c>
      <c r="E61" s="134">
        <v>17.77</v>
      </c>
      <c r="F61" s="134">
        <v>33.729999999999997</v>
      </c>
      <c r="G61" s="134">
        <v>68.319999999999993</v>
      </c>
      <c r="H61" s="134">
        <v>37.799999999999997</v>
      </c>
      <c r="I61" s="134">
        <v>6.28</v>
      </c>
      <c r="J61" s="134">
        <v>1.06</v>
      </c>
      <c r="K61" s="134">
        <v>333.87</v>
      </c>
      <c r="L61" s="134">
        <v>41.63</v>
      </c>
      <c r="M61" s="134">
        <v>15.18</v>
      </c>
      <c r="N61" s="134">
        <v>783.6</v>
      </c>
      <c r="O61" s="134">
        <v>0</v>
      </c>
      <c r="P61" s="134">
        <v>0.63</v>
      </c>
      <c r="Q61" s="134">
        <v>5.28</v>
      </c>
    </row>
    <row r="62" spans="1:17" customFormat="1">
      <c r="A62" s="112" t="s">
        <v>963</v>
      </c>
      <c r="B62" s="134">
        <v>4.08</v>
      </c>
      <c r="C62" s="134">
        <v>63.96</v>
      </c>
      <c r="D62" s="134">
        <v>35.64</v>
      </c>
      <c r="E62" s="134">
        <v>17.16</v>
      </c>
      <c r="F62" s="134">
        <v>43.83</v>
      </c>
      <c r="G62" s="134">
        <v>68.72</v>
      </c>
      <c r="H62" s="134">
        <v>38.03</v>
      </c>
      <c r="I62" s="134">
        <v>6.33</v>
      </c>
      <c r="J62" s="134">
        <v>1.24</v>
      </c>
      <c r="K62" s="134">
        <v>36.97</v>
      </c>
      <c r="L62" s="134">
        <v>41.81</v>
      </c>
      <c r="M62" s="134">
        <v>14.77</v>
      </c>
      <c r="N62" s="134">
        <v>775</v>
      </c>
      <c r="O62" s="134">
        <v>0</v>
      </c>
      <c r="P62" s="134">
        <v>0.62</v>
      </c>
      <c r="Q62" s="134">
        <v>5.45</v>
      </c>
    </row>
    <row r="63" spans="1:17" customFormat="1">
      <c r="A63" s="112" t="s">
        <v>964</v>
      </c>
      <c r="B63" s="134">
        <v>4.46</v>
      </c>
      <c r="C63" s="134">
        <v>64.44</v>
      </c>
      <c r="D63" s="134">
        <v>36.200000000000003</v>
      </c>
      <c r="E63" s="134">
        <v>18.16</v>
      </c>
      <c r="F63" s="134">
        <v>44.72</v>
      </c>
      <c r="G63" s="134">
        <v>69.290000000000006</v>
      </c>
      <c r="H63" s="134">
        <v>38.64</v>
      </c>
      <c r="I63" s="134">
        <v>6.32</v>
      </c>
      <c r="J63" s="134">
        <v>0.76</v>
      </c>
      <c r="K63" s="134">
        <v>357.33</v>
      </c>
      <c r="L63" s="134">
        <v>42.05</v>
      </c>
      <c r="M63" s="134">
        <v>14.43</v>
      </c>
      <c r="N63" s="134">
        <v>717.1</v>
      </c>
      <c r="O63" s="134">
        <v>0</v>
      </c>
      <c r="P63" s="134">
        <v>0.61</v>
      </c>
      <c r="Q63" s="134">
        <v>5.53</v>
      </c>
    </row>
    <row r="64" spans="1:17" customFormat="1">
      <c r="A64" s="112" t="s">
        <v>965</v>
      </c>
      <c r="B64" s="134">
        <v>4.24</v>
      </c>
      <c r="C64" s="134">
        <v>63.75</v>
      </c>
      <c r="D64" s="134">
        <v>35.659999999999997</v>
      </c>
      <c r="E64" s="134">
        <v>16.47</v>
      </c>
      <c r="F64" s="134">
        <v>36.53</v>
      </c>
      <c r="G64" s="134">
        <v>69.290000000000006</v>
      </c>
      <c r="H64" s="134">
        <v>38.64</v>
      </c>
      <c r="I64" s="134">
        <v>6.21</v>
      </c>
      <c r="J64" s="134">
        <v>1.19</v>
      </c>
      <c r="K64" s="134">
        <v>50.06</v>
      </c>
      <c r="L64" s="134">
        <v>42.17</v>
      </c>
      <c r="M64" s="134">
        <v>14.26</v>
      </c>
      <c r="N64" s="134">
        <v>515</v>
      </c>
      <c r="O64" s="134">
        <v>0</v>
      </c>
      <c r="P64" s="134">
        <v>0.61</v>
      </c>
      <c r="Q64" s="134">
        <v>5.47</v>
      </c>
    </row>
    <row r="65" spans="1:17" customFormat="1">
      <c r="A65" s="112" t="s">
        <v>966</v>
      </c>
      <c r="B65" s="134">
        <v>3.98</v>
      </c>
      <c r="C65" s="134">
        <v>60.12</v>
      </c>
      <c r="D65" s="134">
        <v>33.549999999999997</v>
      </c>
      <c r="E65" s="134">
        <v>15.11</v>
      </c>
      <c r="F65" s="134">
        <v>42.96</v>
      </c>
      <c r="G65" s="134">
        <v>69.290000000000006</v>
      </c>
      <c r="H65" s="134">
        <v>38.64</v>
      </c>
      <c r="I65" s="134">
        <v>6.13</v>
      </c>
      <c r="J65" s="134">
        <v>0.48</v>
      </c>
      <c r="K65" s="134">
        <v>337.57</v>
      </c>
      <c r="L65" s="134">
        <v>41.38</v>
      </c>
      <c r="M65" s="134">
        <v>14.79</v>
      </c>
      <c r="N65" s="134">
        <v>599.5</v>
      </c>
      <c r="O65" s="134">
        <v>0</v>
      </c>
      <c r="P65" s="134">
        <v>0.56999999999999995</v>
      </c>
      <c r="Q65" s="134">
        <v>5.46</v>
      </c>
    </row>
    <row r="66" spans="1:17" customFormat="1">
      <c r="A66" s="112" t="s">
        <v>967</v>
      </c>
      <c r="B66" s="134">
        <v>4.51</v>
      </c>
      <c r="C66" s="134">
        <v>58.35</v>
      </c>
      <c r="D66" s="134">
        <v>33.06</v>
      </c>
      <c r="E66" s="134">
        <v>20.440000000000001</v>
      </c>
      <c r="F66" s="134">
        <v>55.52</v>
      </c>
      <c r="G66" s="134">
        <v>65.540000000000006</v>
      </c>
      <c r="H66" s="134">
        <v>36.69</v>
      </c>
      <c r="I66" s="134">
        <v>6.13</v>
      </c>
      <c r="J66" s="134">
        <v>0.91</v>
      </c>
      <c r="K66" s="134">
        <v>20.440000000000001</v>
      </c>
      <c r="L66" s="134">
        <v>42.67</v>
      </c>
      <c r="M66" s="134">
        <v>14.07</v>
      </c>
      <c r="N66" s="134">
        <v>633.6</v>
      </c>
      <c r="O66" s="134">
        <v>0</v>
      </c>
      <c r="P66" s="134">
        <v>0.57999999999999996</v>
      </c>
      <c r="Q66" s="134">
        <v>5.42</v>
      </c>
    </row>
    <row r="67" spans="1:17" customFormat="1">
      <c r="A67" s="112" t="s">
        <v>968</v>
      </c>
      <c r="B67" s="134">
        <v>4.07</v>
      </c>
      <c r="C67" s="134">
        <v>57.9</v>
      </c>
      <c r="D67" s="134">
        <v>32.47</v>
      </c>
      <c r="E67" s="134">
        <v>17.5</v>
      </c>
      <c r="F67" s="134">
        <v>39</v>
      </c>
      <c r="G67" s="134">
        <v>60.18</v>
      </c>
      <c r="H67" s="134">
        <v>35.020000000000003</v>
      </c>
      <c r="I67" s="134">
        <v>5.79</v>
      </c>
      <c r="J67" s="134">
        <v>0.71</v>
      </c>
      <c r="K67" s="134">
        <v>346.68</v>
      </c>
      <c r="L67" s="134">
        <v>42.49</v>
      </c>
      <c r="M67" s="134">
        <v>13.5</v>
      </c>
      <c r="N67" s="134">
        <v>630.9</v>
      </c>
      <c r="O67" s="134">
        <v>0</v>
      </c>
      <c r="P67" s="134">
        <v>0.59</v>
      </c>
      <c r="Q67" s="134">
        <v>5.38</v>
      </c>
    </row>
    <row r="68" spans="1:17" customFormat="1">
      <c r="A68" s="112" t="s">
        <v>969</v>
      </c>
      <c r="B68" s="134">
        <v>4.1900000000000004</v>
      </c>
      <c r="C68" s="134">
        <v>62.05</v>
      </c>
      <c r="D68" s="134">
        <v>34.729999999999997</v>
      </c>
      <c r="E68" s="134">
        <v>15.29</v>
      </c>
      <c r="F68" s="134">
        <v>36.79</v>
      </c>
      <c r="G68" s="134">
        <v>60.18</v>
      </c>
      <c r="H68" s="134">
        <v>35.020000000000003</v>
      </c>
      <c r="I68" s="134">
        <v>5.46</v>
      </c>
      <c r="J68" s="134">
        <v>0.83</v>
      </c>
      <c r="K68" s="134">
        <v>356.32</v>
      </c>
      <c r="L68" s="134">
        <v>42.45</v>
      </c>
      <c r="M68" s="134">
        <v>13.61</v>
      </c>
      <c r="N68" s="134">
        <v>523.70000000000005</v>
      </c>
      <c r="O68" s="134">
        <v>0</v>
      </c>
      <c r="P68" s="134">
        <v>0.59</v>
      </c>
      <c r="Q68" s="134">
        <v>5.37</v>
      </c>
    </row>
    <row r="69" spans="1:17" customFormat="1">
      <c r="A69" s="112" t="s">
        <v>970</v>
      </c>
      <c r="B69" s="134">
        <v>4.2300000000000004</v>
      </c>
      <c r="C69" s="134">
        <v>64</v>
      </c>
      <c r="D69" s="134">
        <v>35.78</v>
      </c>
      <c r="E69" s="134">
        <v>13.55</v>
      </c>
      <c r="F69" s="134">
        <v>27.65</v>
      </c>
      <c r="G69" s="134">
        <v>60.18</v>
      </c>
      <c r="H69" s="134">
        <v>35.020000000000003</v>
      </c>
      <c r="I69" s="134">
        <v>5.71</v>
      </c>
      <c r="J69" s="134">
        <v>1.1399999999999999</v>
      </c>
      <c r="K69" s="134">
        <v>301.11</v>
      </c>
      <c r="L69" s="134">
        <v>41.71</v>
      </c>
      <c r="M69" s="134">
        <v>13.98</v>
      </c>
      <c r="N69" s="134">
        <v>458</v>
      </c>
      <c r="O69" s="134">
        <v>0</v>
      </c>
      <c r="P69" s="134">
        <v>0.61</v>
      </c>
      <c r="Q69" s="134">
        <v>5.38</v>
      </c>
    </row>
    <row r="70" spans="1:17" customFormat="1">
      <c r="A70" s="112" t="s">
        <v>971</v>
      </c>
      <c r="B70" s="134">
        <v>3.89</v>
      </c>
      <c r="C70" s="134">
        <v>55.42</v>
      </c>
      <c r="D70" s="134">
        <v>31.03</v>
      </c>
      <c r="E70" s="134">
        <v>19.829999999999998</v>
      </c>
      <c r="F70" s="134">
        <v>52.7</v>
      </c>
      <c r="G70" s="134">
        <v>59.34</v>
      </c>
      <c r="H70" s="134">
        <v>34.42</v>
      </c>
      <c r="I70" s="134">
        <v>5.95</v>
      </c>
      <c r="J70" s="134">
        <v>0.66</v>
      </c>
      <c r="K70" s="134">
        <v>295.52</v>
      </c>
      <c r="L70" s="134">
        <v>42.18</v>
      </c>
      <c r="M70" s="134">
        <v>13.62</v>
      </c>
      <c r="N70" s="134">
        <v>451.7</v>
      </c>
      <c r="O70" s="134">
        <v>0</v>
      </c>
      <c r="P70" s="134">
        <v>0.56000000000000005</v>
      </c>
      <c r="Q70" s="134">
        <v>5.36</v>
      </c>
    </row>
    <row r="71" spans="1:17" customFormat="1">
      <c r="A71" s="112" t="s">
        <v>972</v>
      </c>
      <c r="B71" s="134">
        <v>3.94</v>
      </c>
      <c r="C71" s="134">
        <v>59.55</v>
      </c>
      <c r="D71" s="134">
        <v>33.229999999999997</v>
      </c>
      <c r="E71" s="134">
        <v>12.68</v>
      </c>
      <c r="F71" s="134">
        <v>34.25</v>
      </c>
      <c r="G71" s="134">
        <v>58.14</v>
      </c>
      <c r="H71" s="134">
        <v>33.9</v>
      </c>
      <c r="I71" s="134">
        <v>5.94</v>
      </c>
      <c r="J71" s="134">
        <v>0.53</v>
      </c>
      <c r="K71" s="134">
        <v>47.33</v>
      </c>
      <c r="L71" s="134">
        <v>42</v>
      </c>
      <c r="M71" s="134">
        <v>14.67</v>
      </c>
      <c r="N71" s="134">
        <v>323.7</v>
      </c>
      <c r="O71" s="134">
        <v>0</v>
      </c>
      <c r="P71" s="134">
        <v>0.57999999999999996</v>
      </c>
      <c r="Q71" s="134">
        <v>5.39</v>
      </c>
    </row>
    <row r="72" spans="1:17" customFormat="1">
      <c r="A72" s="112" t="s">
        <v>973</v>
      </c>
      <c r="B72" s="134">
        <v>4.0199999999999996</v>
      </c>
      <c r="C72" s="134">
        <v>57.06</v>
      </c>
      <c r="D72" s="134">
        <v>31.99</v>
      </c>
      <c r="E72" s="134">
        <v>14.24</v>
      </c>
      <c r="F72" s="134">
        <v>40.869999999999997</v>
      </c>
      <c r="G72" s="134">
        <v>58.14</v>
      </c>
      <c r="H72" s="134">
        <v>33.9</v>
      </c>
      <c r="I72" s="134">
        <v>5.74</v>
      </c>
      <c r="J72" s="134">
        <v>0.86</v>
      </c>
      <c r="K72" s="134">
        <v>8.49</v>
      </c>
      <c r="L72" s="134">
        <v>41.2</v>
      </c>
      <c r="M72" s="134">
        <v>15.09</v>
      </c>
      <c r="N72" s="134">
        <v>162.30000000000001</v>
      </c>
      <c r="O72" s="134">
        <v>0</v>
      </c>
      <c r="P72" s="134">
        <v>0.57999999999999996</v>
      </c>
      <c r="Q72" s="134">
        <v>5.42</v>
      </c>
    </row>
    <row r="73" spans="1:17" customFormat="1">
      <c r="A73" s="112" t="s">
        <v>974</v>
      </c>
      <c r="B73" s="134">
        <v>4.2300000000000004</v>
      </c>
      <c r="C73" s="134">
        <v>56.88</v>
      </c>
      <c r="D73" s="134">
        <v>32.07</v>
      </c>
      <c r="E73" s="134">
        <v>14.09</v>
      </c>
      <c r="F73" s="134">
        <v>39.049999999999997</v>
      </c>
      <c r="G73" s="134">
        <v>58.14</v>
      </c>
      <c r="H73" s="134">
        <v>33.9</v>
      </c>
      <c r="I73" s="134">
        <v>5.62</v>
      </c>
      <c r="J73" s="134">
        <v>1.32</v>
      </c>
      <c r="K73" s="134">
        <v>51.11</v>
      </c>
      <c r="L73" s="134">
        <v>40.659999999999997</v>
      </c>
      <c r="M73" s="134">
        <v>15.96</v>
      </c>
      <c r="N73" s="134">
        <v>212.3</v>
      </c>
      <c r="O73" s="134">
        <v>0</v>
      </c>
      <c r="P73" s="134">
        <v>0.57999999999999996</v>
      </c>
      <c r="Q73" s="134">
        <v>5.38</v>
      </c>
    </row>
    <row r="74" spans="1:17" customFormat="1">
      <c r="A74" s="112" t="s">
        <v>975</v>
      </c>
      <c r="B74" s="134">
        <v>4.5199999999999996</v>
      </c>
      <c r="C74" s="134">
        <v>53.81</v>
      </c>
      <c r="D74" s="134">
        <v>30.7</v>
      </c>
      <c r="E74" s="134">
        <v>14.12</v>
      </c>
      <c r="F74" s="134">
        <v>53.36</v>
      </c>
      <c r="G74" s="134">
        <v>58.12</v>
      </c>
      <c r="H74" s="134">
        <v>33.94</v>
      </c>
      <c r="I74" s="134">
        <v>5.31</v>
      </c>
      <c r="J74" s="134">
        <v>1.22</v>
      </c>
      <c r="K74" s="134">
        <v>45.79</v>
      </c>
      <c r="L74" s="134">
        <v>40.71</v>
      </c>
      <c r="M74" s="134">
        <v>16.260000000000002</v>
      </c>
      <c r="N74" s="134">
        <v>230.6</v>
      </c>
      <c r="O74" s="134">
        <v>0</v>
      </c>
      <c r="P74" s="134">
        <v>0.56999999999999995</v>
      </c>
      <c r="Q74" s="134">
        <v>5.36</v>
      </c>
    </row>
    <row r="75" spans="1:17" customFormat="1">
      <c r="A75" s="112" t="s">
        <v>976</v>
      </c>
      <c r="B75" s="134">
        <v>5.18</v>
      </c>
      <c r="C75" s="134">
        <v>58.4</v>
      </c>
      <c r="D75" s="134">
        <v>33.619999999999997</v>
      </c>
      <c r="E75" s="134">
        <v>12.8</v>
      </c>
      <c r="F75" s="134">
        <v>46.22</v>
      </c>
      <c r="G75" s="134">
        <v>58.09</v>
      </c>
      <c r="H75" s="134">
        <v>33.97</v>
      </c>
      <c r="I75" s="134">
        <v>5.29</v>
      </c>
      <c r="J75" s="134">
        <v>0.98</v>
      </c>
      <c r="K75" s="134">
        <v>38.53</v>
      </c>
      <c r="L75" s="134">
        <v>40.43</v>
      </c>
      <c r="M75" s="134">
        <v>16.649999999999999</v>
      </c>
      <c r="N75" s="134">
        <v>120.2</v>
      </c>
      <c r="O75" s="134">
        <v>0</v>
      </c>
      <c r="P75" s="134">
        <v>0.55000000000000004</v>
      </c>
      <c r="Q75" s="134">
        <v>5.38</v>
      </c>
    </row>
    <row r="76" spans="1:17" customFormat="1">
      <c r="A76" s="112" t="s">
        <v>977</v>
      </c>
      <c r="B76" s="134">
        <v>5.0199999999999996</v>
      </c>
      <c r="C76" s="134">
        <v>57.48</v>
      </c>
      <c r="D76" s="134">
        <v>33.01</v>
      </c>
      <c r="E76" s="134">
        <v>15.11</v>
      </c>
      <c r="F76" s="134">
        <v>45.87</v>
      </c>
      <c r="G76" s="134">
        <v>58.09</v>
      </c>
      <c r="H76" s="134">
        <v>33.97</v>
      </c>
      <c r="I76" s="134">
        <v>5.3</v>
      </c>
      <c r="J76" s="134">
        <v>0.81</v>
      </c>
      <c r="K76" s="134">
        <v>47.52</v>
      </c>
      <c r="L76" s="134">
        <v>39.869999999999997</v>
      </c>
      <c r="M76" s="134">
        <v>17.12</v>
      </c>
      <c r="N76" s="134">
        <v>44.2</v>
      </c>
      <c r="O76" s="134">
        <v>0</v>
      </c>
      <c r="P76" s="134">
        <v>0.57999999999999996</v>
      </c>
      <c r="Q76" s="134">
        <v>5.33</v>
      </c>
    </row>
    <row r="77" spans="1:17" customFormat="1">
      <c r="A77" s="112" t="s">
        <v>978</v>
      </c>
      <c r="B77" s="134">
        <v>5.71</v>
      </c>
      <c r="C77" s="134">
        <v>57.92</v>
      </c>
      <c r="D77" s="134">
        <v>33.79</v>
      </c>
      <c r="E77" s="134">
        <v>17.21</v>
      </c>
      <c r="F77" s="134">
        <v>46.18</v>
      </c>
      <c r="G77" s="134">
        <v>58.09</v>
      </c>
      <c r="H77" s="134">
        <v>33.97</v>
      </c>
      <c r="I77" s="134">
        <v>5.2</v>
      </c>
      <c r="J77" s="134">
        <v>0.47</v>
      </c>
      <c r="K77" s="134">
        <v>23.35</v>
      </c>
      <c r="L77" s="134">
        <v>39.51</v>
      </c>
      <c r="M77" s="134">
        <v>17.52</v>
      </c>
      <c r="N77" s="134">
        <v>26.2</v>
      </c>
      <c r="O77" s="134">
        <v>0</v>
      </c>
      <c r="P77" s="134">
        <v>0.6</v>
      </c>
      <c r="Q77" s="134">
        <v>5.3</v>
      </c>
    </row>
    <row r="78" spans="1:17" customFormat="1">
      <c r="A78" s="112" t="s">
        <v>979</v>
      </c>
      <c r="B78" s="134">
        <v>7.81</v>
      </c>
      <c r="C78" s="134">
        <v>61.51</v>
      </c>
      <c r="D78" s="134">
        <v>37.36</v>
      </c>
      <c r="E78" s="134">
        <v>20.67</v>
      </c>
      <c r="F78" s="134">
        <v>43.98</v>
      </c>
      <c r="G78" s="134">
        <v>60.69</v>
      </c>
      <c r="H78" s="134">
        <v>32.26</v>
      </c>
      <c r="I78" s="134">
        <v>4.96</v>
      </c>
      <c r="J78" s="134">
        <v>0.47</v>
      </c>
      <c r="K78" s="134">
        <v>42.69</v>
      </c>
      <c r="L78" s="134">
        <v>39.450000000000003</v>
      </c>
      <c r="M78" s="134">
        <v>17.850000000000001</v>
      </c>
      <c r="N78" s="134">
        <v>35</v>
      </c>
      <c r="O78" s="134">
        <v>0</v>
      </c>
      <c r="P78" s="134">
        <v>0.68</v>
      </c>
      <c r="Q78" s="134">
        <v>5.3</v>
      </c>
    </row>
    <row r="79" spans="1:17" customFormat="1">
      <c r="A79" s="112" t="s">
        <v>980</v>
      </c>
      <c r="B79" s="134">
        <v>8</v>
      </c>
      <c r="C79" s="134">
        <v>58.72</v>
      </c>
      <c r="D79" s="134">
        <v>36.53</v>
      </c>
      <c r="E79" s="134">
        <v>22.92</v>
      </c>
      <c r="F79" s="134">
        <v>41.41</v>
      </c>
      <c r="G79" s="134">
        <v>64.42</v>
      </c>
      <c r="H79" s="134">
        <v>30.79</v>
      </c>
      <c r="I79" s="134">
        <v>4.84</v>
      </c>
      <c r="J79" s="134">
        <v>0.44</v>
      </c>
      <c r="K79" s="134">
        <v>38.32</v>
      </c>
      <c r="L79" s="134">
        <v>39.31</v>
      </c>
      <c r="M79" s="134">
        <v>17.920000000000002</v>
      </c>
      <c r="N79" s="134">
        <v>25.3</v>
      </c>
      <c r="O79" s="134">
        <v>0</v>
      </c>
      <c r="P79" s="134">
        <v>0.62</v>
      </c>
      <c r="Q79" s="134">
        <v>5.26</v>
      </c>
    </row>
    <row r="80" spans="1:17" customFormat="1">
      <c r="A80" s="112" t="s">
        <v>981</v>
      </c>
      <c r="B80" s="134">
        <v>9.15</v>
      </c>
      <c r="C80" s="134">
        <v>63.87</v>
      </c>
      <c r="D80" s="134">
        <v>39.659999999999997</v>
      </c>
      <c r="E80" s="134">
        <v>26.1</v>
      </c>
      <c r="F80" s="134">
        <v>34.49</v>
      </c>
      <c r="G80" s="134">
        <v>64.42</v>
      </c>
      <c r="H80" s="134">
        <v>30.79</v>
      </c>
      <c r="I80" s="134">
        <v>4.79</v>
      </c>
      <c r="J80" s="134">
        <v>0.23</v>
      </c>
      <c r="K80" s="134">
        <v>42.77</v>
      </c>
      <c r="L80" s="134">
        <v>39.14</v>
      </c>
      <c r="M80" s="134">
        <v>18.41</v>
      </c>
      <c r="N80" s="134">
        <v>23.1</v>
      </c>
      <c r="O80" s="134">
        <v>0</v>
      </c>
      <c r="P80" s="134">
        <v>0.69</v>
      </c>
      <c r="Q80" s="134">
        <v>5.26</v>
      </c>
    </row>
    <row r="81" spans="1:17" customFormat="1">
      <c r="A81" s="112" t="s">
        <v>982</v>
      </c>
      <c r="B81" s="134">
        <v>7.89</v>
      </c>
      <c r="C81" s="134">
        <v>59.2</v>
      </c>
      <c r="D81" s="134">
        <v>36.46</v>
      </c>
      <c r="E81" s="134">
        <v>14.76</v>
      </c>
      <c r="F81" s="134">
        <v>36.56</v>
      </c>
      <c r="G81" s="134">
        <v>64.42</v>
      </c>
      <c r="H81" s="134">
        <v>30.79</v>
      </c>
      <c r="I81" s="134">
        <v>4.59</v>
      </c>
      <c r="J81" s="134">
        <v>0.26</v>
      </c>
      <c r="K81" s="134">
        <v>34.54</v>
      </c>
      <c r="L81" s="134">
        <v>38.97</v>
      </c>
      <c r="M81" s="134">
        <v>18.55</v>
      </c>
      <c r="N81" s="134">
        <v>16.2</v>
      </c>
      <c r="O81" s="134">
        <v>0</v>
      </c>
      <c r="P81" s="134">
        <v>0.72</v>
      </c>
      <c r="Q81" s="134">
        <v>5.24</v>
      </c>
    </row>
    <row r="82" spans="1:17" customFormat="1">
      <c r="A82" s="112" t="s">
        <v>983</v>
      </c>
      <c r="B82" s="134">
        <v>8.66</v>
      </c>
      <c r="C82" s="134">
        <v>61.72</v>
      </c>
      <c r="D82" s="134">
        <v>38.14</v>
      </c>
      <c r="E82" s="134">
        <v>16.72</v>
      </c>
      <c r="F82" s="134">
        <v>35.380000000000003</v>
      </c>
      <c r="G82" s="134">
        <v>70.150000000000006</v>
      </c>
      <c r="H82" s="134">
        <v>32.090000000000003</v>
      </c>
      <c r="I82" s="134">
        <v>4.6500000000000004</v>
      </c>
      <c r="J82" s="134">
        <v>0.35</v>
      </c>
      <c r="K82" s="134">
        <v>52.81</v>
      </c>
      <c r="L82" s="134">
        <v>38.68</v>
      </c>
      <c r="M82" s="134">
        <v>18.649999999999999</v>
      </c>
      <c r="N82" s="134">
        <v>2.5</v>
      </c>
      <c r="O82" s="134">
        <v>0</v>
      </c>
      <c r="P82" s="134">
        <v>0.68</v>
      </c>
      <c r="Q82" s="134">
        <v>5.24</v>
      </c>
    </row>
    <row r="83" spans="1:17" customFormat="1">
      <c r="A83" s="112" t="s">
        <v>984</v>
      </c>
      <c r="B83" s="134">
        <v>10.19</v>
      </c>
      <c r="C83" s="134">
        <v>63.45</v>
      </c>
      <c r="D83" s="134">
        <v>40.270000000000003</v>
      </c>
      <c r="E83" s="134">
        <v>13.21</v>
      </c>
      <c r="F83" s="134">
        <v>33.49</v>
      </c>
      <c r="G83" s="134">
        <v>78.36</v>
      </c>
      <c r="H83" s="134">
        <v>33.22</v>
      </c>
      <c r="I83" s="134">
        <v>4.6900000000000004</v>
      </c>
      <c r="J83" s="134">
        <v>0.63</v>
      </c>
      <c r="K83" s="134">
        <v>53.37</v>
      </c>
      <c r="L83" s="134">
        <v>38.39</v>
      </c>
      <c r="M83" s="134">
        <v>19</v>
      </c>
      <c r="N83" s="134">
        <v>0</v>
      </c>
      <c r="O83" s="134">
        <v>0</v>
      </c>
      <c r="P83" s="134">
        <v>0.75</v>
      </c>
      <c r="Q83" s="134">
        <v>5.4</v>
      </c>
    </row>
    <row r="84" spans="1:17" customFormat="1">
      <c r="A84" s="112" t="s">
        <v>985</v>
      </c>
      <c r="B84" s="134">
        <v>10.55</v>
      </c>
      <c r="C84" s="134">
        <v>62.29</v>
      </c>
      <c r="D84" s="134">
        <v>40.07</v>
      </c>
      <c r="E84" s="134">
        <v>17.86</v>
      </c>
      <c r="F84" s="134">
        <v>32.340000000000003</v>
      </c>
      <c r="G84" s="134">
        <v>78.36</v>
      </c>
      <c r="H84" s="134">
        <v>33.22</v>
      </c>
      <c r="I84" s="134">
        <v>5.01</v>
      </c>
      <c r="J84" s="134">
        <v>0.52</v>
      </c>
      <c r="K84" s="134">
        <v>45.63</v>
      </c>
      <c r="L84" s="134">
        <v>38.26</v>
      </c>
      <c r="M84" s="134">
        <v>19.18</v>
      </c>
      <c r="N84" s="134">
        <v>0</v>
      </c>
      <c r="O84" s="134">
        <v>0</v>
      </c>
      <c r="P84" s="134">
        <v>0.78</v>
      </c>
      <c r="Q84" s="134">
        <v>5.49</v>
      </c>
    </row>
    <row r="85" spans="1:17" customFormat="1">
      <c r="A85" s="112" t="s">
        <v>986</v>
      </c>
      <c r="B85" s="134">
        <v>14.89</v>
      </c>
      <c r="C85" s="134">
        <v>68.790000000000006</v>
      </c>
      <c r="D85" s="134">
        <v>46.84</v>
      </c>
      <c r="E85" s="134">
        <v>18.96</v>
      </c>
      <c r="F85" s="134">
        <v>21.01</v>
      </c>
      <c r="G85" s="134">
        <v>78.36</v>
      </c>
      <c r="H85" s="134">
        <v>33.22</v>
      </c>
      <c r="I85" s="134">
        <v>7.14</v>
      </c>
      <c r="J85" s="134">
        <v>0.54</v>
      </c>
      <c r="K85" s="134">
        <v>62.86</v>
      </c>
      <c r="L85" s="134">
        <v>38.020000000000003</v>
      </c>
      <c r="M85" s="134">
        <v>20.010000000000002</v>
      </c>
      <c r="N85" s="134">
        <v>0</v>
      </c>
      <c r="O85" s="134">
        <v>0</v>
      </c>
      <c r="P85" s="134">
        <v>0.87</v>
      </c>
      <c r="Q85" s="134">
        <v>5.55</v>
      </c>
    </row>
    <row r="86" spans="1:17" customFormat="1">
      <c r="A86" s="112" t="s">
        <v>987</v>
      </c>
      <c r="B86" s="134">
        <v>11.11</v>
      </c>
      <c r="C86" s="134">
        <v>65.48</v>
      </c>
      <c r="D86" s="134">
        <v>42.07</v>
      </c>
      <c r="E86" s="134">
        <v>17.02</v>
      </c>
      <c r="F86" s="134">
        <v>24.28</v>
      </c>
      <c r="G86" s="134">
        <v>83.89</v>
      </c>
      <c r="H86" s="134">
        <v>34.53</v>
      </c>
      <c r="I86" s="134">
        <v>11.68</v>
      </c>
      <c r="J86" s="134">
        <v>0.28999999999999998</v>
      </c>
      <c r="K86" s="134">
        <v>72.650000000000006</v>
      </c>
      <c r="L86" s="134">
        <v>37.81</v>
      </c>
      <c r="M86" s="134">
        <v>21.2</v>
      </c>
      <c r="N86" s="134">
        <v>0</v>
      </c>
      <c r="O86" s="134">
        <v>0</v>
      </c>
      <c r="P86" s="134">
        <v>0.81</v>
      </c>
      <c r="Q86" s="134">
        <v>5.58</v>
      </c>
    </row>
    <row r="87" spans="1:17" customFormat="1">
      <c r="A87" s="112" t="s">
        <v>988</v>
      </c>
      <c r="B87" s="134">
        <v>7.67</v>
      </c>
      <c r="C87" s="134">
        <v>56.58</v>
      </c>
      <c r="D87" s="134">
        <v>34.67</v>
      </c>
      <c r="E87" s="134">
        <v>14.91</v>
      </c>
      <c r="F87" s="134">
        <v>29.94</v>
      </c>
      <c r="G87" s="134">
        <v>92.19</v>
      </c>
      <c r="H87" s="134">
        <v>37.909999999999997</v>
      </c>
      <c r="I87" s="134">
        <v>12.03</v>
      </c>
      <c r="J87" s="134">
        <v>0.22</v>
      </c>
      <c r="K87" s="134">
        <v>167.4</v>
      </c>
      <c r="L87" s="134">
        <v>36.86</v>
      </c>
      <c r="M87" s="134">
        <v>24.23</v>
      </c>
      <c r="N87" s="134">
        <v>0</v>
      </c>
      <c r="O87" s="134">
        <v>0</v>
      </c>
      <c r="P87" s="134">
        <v>0.73</v>
      </c>
      <c r="Q87" s="134">
        <v>5.58</v>
      </c>
    </row>
    <row r="88" spans="1:17" customFormat="1">
      <c r="A88" s="112" t="s">
        <v>989</v>
      </c>
      <c r="B88" s="134">
        <v>11.15</v>
      </c>
      <c r="C88" s="134">
        <v>65.47</v>
      </c>
      <c r="D88" s="134">
        <v>42.1</v>
      </c>
      <c r="E88" s="134">
        <v>13.73</v>
      </c>
      <c r="F88" s="134">
        <v>12.86</v>
      </c>
      <c r="G88" s="134">
        <v>92.19</v>
      </c>
      <c r="H88" s="134">
        <v>37.909999999999997</v>
      </c>
      <c r="I88" s="134">
        <v>8</v>
      </c>
      <c r="J88" s="134">
        <v>0.2</v>
      </c>
      <c r="K88" s="134">
        <v>183</v>
      </c>
      <c r="L88" s="134">
        <v>36.19</v>
      </c>
      <c r="M88" s="134">
        <v>25.53</v>
      </c>
      <c r="N88" s="134">
        <v>0</v>
      </c>
      <c r="O88" s="134">
        <v>0</v>
      </c>
      <c r="P88" s="134">
        <v>0.8</v>
      </c>
      <c r="Q88" s="134">
        <v>5.55</v>
      </c>
    </row>
    <row r="89" spans="1:17" customFormat="1">
      <c r="A89" s="112" t="s">
        <v>990</v>
      </c>
      <c r="B89" s="134">
        <v>8.77</v>
      </c>
      <c r="C89" s="134">
        <v>65.150000000000006</v>
      </c>
      <c r="D89" s="134">
        <v>40.020000000000003</v>
      </c>
      <c r="E89" s="134">
        <v>11.97</v>
      </c>
      <c r="F89" s="134">
        <v>11.84</v>
      </c>
      <c r="G89" s="134">
        <v>92.19</v>
      </c>
      <c r="H89" s="134">
        <v>37.909999999999997</v>
      </c>
      <c r="I89" s="134">
        <v>7.17</v>
      </c>
      <c r="J89" s="134">
        <v>0.23</v>
      </c>
      <c r="K89" s="134">
        <v>169.36</v>
      </c>
      <c r="L89" s="134">
        <v>35.57</v>
      </c>
      <c r="M89" s="134">
        <v>27.81</v>
      </c>
      <c r="N89" s="134">
        <v>0</v>
      </c>
      <c r="O89" s="134">
        <v>0</v>
      </c>
      <c r="P89" s="134">
        <v>0.81</v>
      </c>
      <c r="Q89" s="134">
        <v>5.59</v>
      </c>
    </row>
    <row r="90" spans="1:17" customFormat="1">
      <c r="A90" s="112" t="s">
        <v>991</v>
      </c>
      <c r="B90" s="134">
        <v>8.9499999999999993</v>
      </c>
      <c r="C90" s="134">
        <v>56.93</v>
      </c>
      <c r="D90" s="134">
        <v>35.880000000000003</v>
      </c>
      <c r="E90" s="134">
        <v>10.39</v>
      </c>
      <c r="F90" s="134">
        <v>17.73</v>
      </c>
      <c r="G90" s="134">
        <v>95.36</v>
      </c>
      <c r="H90" s="134">
        <v>38.08</v>
      </c>
      <c r="I90" s="134">
        <v>7.78</v>
      </c>
      <c r="J90" s="134">
        <v>0.22</v>
      </c>
      <c r="K90" s="134">
        <v>164</v>
      </c>
      <c r="L90" s="134">
        <v>34.950000000000003</v>
      </c>
      <c r="M90" s="134">
        <v>29.65</v>
      </c>
      <c r="N90" s="134">
        <v>0</v>
      </c>
      <c r="O90" s="134">
        <v>0</v>
      </c>
      <c r="P90" s="134">
        <v>0.76</v>
      </c>
      <c r="Q90" s="134">
        <v>5.57</v>
      </c>
    </row>
    <row r="91" spans="1:17" customFormat="1">
      <c r="A91" s="112" t="s">
        <v>992</v>
      </c>
      <c r="B91" s="134">
        <v>6.96</v>
      </c>
      <c r="C91" s="134">
        <v>46.03</v>
      </c>
      <c r="D91" s="134">
        <v>28.59</v>
      </c>
      <c r="E91" s="134">
        <v>10.46</v>
      </c>
      <c r="F91" s="134">
        <v>26.06</v>
      </c>
      <c r="G91" s="134">
        <v>99.9</v>
      </c>
      <c r="H91" s="134">
        <v>38.22</v>
      </c>
      <c r="I91" s="134">
        <v>8.2799999999999994</v>
      </c>
      <c r="J91" s="134">
        <v>0.21</v>
      </c>
      <c r="K91" s="134">
        <v>174.29</v>
      </c>
      <c r="L91" s="134">
        <v>34.92</v>
      </c>
      <c r="M91" s="134">
        <v>30.44</v>
      </c>
      <c r="N91" s="134">
        <v>0</v>
      </c>
      <c r="O91" s="134">
        <v>0</v>
      </c>
      <c r="P91" s="134">
        <v>0.72</v>
      </c>
      <c r="Q91" s="134">
        <v>5.56</v>
      </c>
    </row>
    <row r="92" spans="1:17" customFormat="1">
      <c r="A92" s="112" t="s">
        <v>993</v>
      </c>
      <c r="B92" s="134">
        <v>7.76</v>
      </c>
      <c r="C92" s="134">
        <v>47.24</v>
      </c>
      <c r="D92" s="134">
        <v>29.86</v>
      </c>
      <c r="E92" s="134">
        <v>9.68</v>
      </c>
      <c r="F92" s="134">
        <v>21.91</v>
      </c>
      <c r="G92" s="134">
        <v>99.9</v>
      </c>
      <c r="H92" s="134">
        <v>38.22</v>
      </c>
      <c r="I92" s="134">
        <v>7.49</v>
      </c>
      <c r="J92" s="134">
        <v>0.2</v>
      </c>
      <c r="K92" s="134">
        <v>200.18</v>
      </c>
      <c r="L92" s="134">
        <v>34.5</v>
      </c>
      <c r="M92" s="134">
        <v>31.82</v>
      </c>
      <c r="N92" s="134">
        <v>0</v>
      </c>
      <c r="O92" s="134">
        <v>0</v>
      </c>
      <c r="P92" s="134">
        <v>0.76</v>
      </c>
      <c r="Q92" s="134">
        <v>5.54</v>
      </c>
    </row>
    <row r="93" spans="1:17" customFormat="1">
      <c r="A93" s="112" t="s">
        <v>994</v>
      </c>
      <c r="B93" s="134">
        <v>7.4</v>
      </c>
      <c r="C93" s="134">
        <v>44.51</v>
      </c>
      <c r="D93" s="134">
        <v>28.14</v>
      </c>
      <c r="E93" s="134">
        <v>11.95</v>
      </c>
      <c r="F93" s="134">
        <v>28.36</v>
      </c>
      <c r="G93" s="134">
        <v>99.9</v>
      </c>
      <c r="H93" s="134">
        <v>38.22</v>
      </c>
      <c r="I93" s="134">
        <v>7.17</v>
      </c>
      <c r="J93" s="134">
        <v>0.18</v>
      </c>
      <c r="K93" s="134">
        <v>194.89</v>
      </c>
      <c r="L93" s="134">
        <v>34.29</v>
      </c>
      <c r="M93" s="134">
        <v>30.5</v>
      </c>
      <c r="N93" s="134">
        <v>0</v>
      </c>
      <c r="O93" s="134">
        <v>0</v>
      </c>
      <c r="P93" s="134">
        <v>0.73</v>
      </c>
      <c r="Q93" s="134">
        <v>5.48</v>
      </c>
    </row>
    <row r="94" spans="1:17" customFormat="1">
      <c r="A94" s="112" t="s">
        <v>995</v>
      </c>
      <c r="B94" s="134">
        <v>7.35</v>
      </c>
      <c r="C94" s="134">
        <v>43.43</v>
      </c>
      <c r="D94" s="134">
        <v>27.54</v>
      </c>
      <c r="E94" s="134">
        <v>11.44</v>
      </c>
      <c r="F94" s="134">
        <v>24.66</v>
      </c>
      <c r="G94" s="134">
        <v>95.58</v>
      </c>
      <c r="H94" s="134">
        <v>36.049999999999997</v>
      </c>
      <c r="I94" s="134">
        <v>7.05</v>
      </c>
      <c r="J94" s="134">
        <v>0.14000000000000001</v>
      </c>
      <c r="K94" s="134">
        <v>202.53</v>
      </c>
      <c r="L94" s="134">
        <v>34.159999999999997</v>
      </c>
      <c r="M94" s="134">
        <v>31.58</v>
      </c>
      <c r="N94" s="134">
        <v>0</v>
      </c>
      <c r="O94" s="134">
        <v>0</v>
      </c>
      <c r="P94" s="134">
        <v>0.78</v>
      </c>
      <c r="Q94" s="134">
        <v>5.48</v>
      </c>
    </row>
    <row r="95" spans="1:17" customFormat="1">
      <c r="A95" s="112" t="s">
        <v>996</v>
      </c>
      <c r="B95" s="134">
        <v>7.98</v>
      </c>
      <c r="C95" s="134">
        <v>44.84</v>
      </c>
      <c r="D95" s="134">
        <v>28.79</v>
      </c>
      <c r="E95" s="134">
        <v>10.09</v>
      </c>
      <c r="F95" s="134">
        <v>23.79</v>
      </c>
      <c r="G95" s="134">
        <v>89.4</v>
      </c>
      <c r="H95" s="134">
        <v>34.19</v>
      </c>
      <c r="I95" s="134">
        <v>7.08</v>
      </c>
      <c r="J95" s="134">
        <v>0.18</v>
      </c>
      <c r="K95" s="134">
        <v>197</v>
      </c>
      <c r="L95" s="134">
        <v>33.94</v>
      </c>
      <c r="M95" s="134">
        <v>31.95</v>
      </c>
      <c r="N95" s="134">
        <v>0</v>
      </c>
      <c r="O95" s="134">
        <v>0</v>
      </c>
      <c r="P95" s="134">
        <v>0.81</v>
      </c>
      <c r="Q95" s="134">
        <v>5.45</v>
      </c>
    </row>
    <row r="96" spans="1:17" customFormat="1">
      <c r="A96" s="112" t="s">
        <v>997</v>
      </c>
      <c r="B96" s="134">
        <v>7.76</v>
      </c>
      <c r="C96" s="134">
        <v>43.56</v>
      </c>
      <c r="D96" s="134">
        <v>27.94</v>
      </c>
      <c r="E96" s="134">
        <v>9.9600000000000009</v>
      </c>
      <c r="F96" s="134">
        <v>19.32</v>
      </c>
      <c r="G96" s="134">
        <v>89.4</v>
      </c>
      <c r="H96" s="134">
        <v>34.19</v>
      </c>
      <c r="I96" s="134">
        <v>7.3</v>
      </c>
      <c r="J96" s="134">
        <v>0.2</v>
      </c>
      <c r="K96" s="134">
        <v>175.69</v>
      </c>
      <c r="L96" s="134">
        <v>33.35</v>
      </c>
      <c r="M96" s="134">
        <v>34.61</v>
      </c>
      <c r="N96" s="134">
        <v>0</v>
      </c>
      <c r="O96" s="134">
        <v>0</v>
      </c>
      <c r="P96" s="134">
        <v>0.88</v>
      </c>
      <c r="Q96" s="134">
        <v>5.44</v>
      </c>
    </row>
    <row r="97" spans="1:22" customFormat="1">
      <c r="A97" s="112" t="s">
        <v>998</v>
      </c>
      <c r="B97" s="134">
        <v>9.23</v>
      </c>
      <c r="C97" s="134">
        <v>48.78</v>
      </c>
      <c r="D97" s="134">
        <v>31.84</v>
      </c>
      <c r="E97" s="134">
        <v>8.2899999999999991</v>
      </c>
      <c r="F97" s="134">
        <v>12.43</v>
      </c>
      <c r="G97" s="134">
        <v>89.4</v>
      </c>
      <c r="H97" s="134">
        <v>34.19</v>
      </c>
      <c r="I97" s="134">
        <v>7.67</v>
      </c>
      <c r="J97" s="134">
        <v>0.14000000000000001</v>
      </c>
      <c r="K97" s="134">
        <v>175.55</v>
      </c>
      <c r="L97" s="134">
        <v>32.83</v>
      </c>
      <c r="M97" s="134">
        <v>36.74</v>
      </c>
      <c r="N97" s="134">
        <v>0</v>
      </c>
      <c r="O97" s="134">
        <v>0</v>
      </c>
      <c r="P97" s="134">
        <v>0.88</v>
      </c>
      <c r="Q97" s="134">
        <v>5.39</v>
      </c>
    </row>
    <row r="98" spans="1:22" customFormat="1">
      <c r="A98" s="112" t="s">
        <v>999</v>
      </c>
      <c r="B98" s="134">
        <v>16.52</v>
      </c>
      <c r="C98" s="134">
        <v>56.62</v>
      </c>
      <c r="D98" s="134">
        <v>41.79</v>
      </c>
      <c r="E98" s="134">
        <v>8.7200000000000006</v>
      </c>
      <c r="F98" s="134">
        <v>6.95</v>
      </c>
      <c r="G98" s="134">
        <v>90.01</v>
      </c>
      <c r="H98" s="134">
        <v>34.86</v>
      </c>
      <c r="I98" s="134">
        <v>7.87</v>
      </c>
      <c r="J98" s="134">
        <v>0.19</v>
      </c>
      <c r="K98" s="134">
        <v>134.78</v>
      </c>
      <c r="L98" s="134">
        <v>32.9</v>
      </c>
      <c r="M98" s="134">
        <v>36.78</v>
      </c>
      <c r="N98" s="134">
        <v>0</v>
      </c>
      <c r="O98" s="134">
        <v>0</v>
      </c>
      <c r="P98" s="134">
        <v>1.03</v>
      </c>
      <c r="Q98" s="134">
        <v>5.4</v>
      </c>
    </row>
    <row r="99" spans="1:22" customFormat="1">
      <c r="A99" s="112" t="s">
        <v>1000</v>
      </c>
      <c r="B99" s="134">
        <v>45.3</v>
      </c>
      <c r="C99" s="134">
        <v>65.459999999999994</v>
      </c>
      <c r="D99" s="134">
        <v>69.48</v>
      </c>
      <c r="E99" s="134">
        <v>9.3699999999999992</v>
      </c>
      <c r="F99" s="134">
        <v>4.8</v>
      </c>
      <c r="G99" s="134">
        <v>90.89</v>
      </c>
      <c r="H99" s="134">
        <v>35.44</v>
      </c>
      <c r="I99" s="134">
        <v>8.32</v>
      </c>
      <c r="J99" s="134">
        <v>0.2</v>
      </c>
      <c r="K99" s="134">
        <v>110.48</v>
      </c>
      <c r="L99" s="134">
        <v>33.049999999999997</v>
      </c>
      <c r="M99" s="134">
        <v>35.94</v>
      </c>
      <c r="N99" s="134">
        <v>0</v>
      </c>
      <c r="O99" s="134">
        <v>0</v>
      </c>
      <c r="P99" s="134">
        <v>1.26</v>
      </c>
      <c r="Q99" s="134">
        <v>5.41</v>
      </c>
    </row>
    <row r="100" spans="1:22" customFormat="1">
      <c r="A100" s="112" t="s">
        <v>1001</v>
      </c>
      <c r="B100" s="134">
        <v>39.29</v>
      </c>
      <c r="C100" s="134">
        <v>66</v>
      </c>
      <c r="D100" s="134">
        <v>64.94</v>
      </c>
      <c r="E100" s="134">
        <v>9.67</v>
      </c>
      <c r="F100" s="134">
        <v>3.99</v>
      </c>
      <c r="G100" s="134">
        <v>90.89</v>
      </c>
      <c r="H100" s="134">
        <v>35.44</v>
      </c>
      <c r="I100" s="134">
        <v>9.5500000000000007</v>
      </c>
      <c r="J100" s="134">
        <v>0.17</v>
      </c>
      <c r="K100" s="134">
        <v>175.52</v>
      </c>
      <c r="L100" s="134">
        <v>32.82</v>
      </c>
      <c r="M100" s="134">
        <v>37.25</v>
      </c>
      <c r="N100" s="134">
        <v>0</v>
      </c>
      <c r="O100" s="134">
        <v>0</v>
      </c>
      <c r="P100" s="134">
        <v>1.23</v>
      </c>
      <c r="Q100" s="134">
        <v>5.61</v>
      </c>
    </row>
    <row r="101" spans="1:22" customFormat="1">
      <c r="A101" s="112" t="s">
        <v>1002</v>
      </c>
      <c r="B101" s="134">
        <v>27.7</v>
      </c>
      <c r="C101" s="134">
        <v>63.64</v>
      </c>
      <c r="D101" s="134">
        <v>54.42</v>
      </c>
      <c r="E101" s="134">
        <v>8</v>
      </c>
      <c r="F101" s="134">
        <v>3.99</v>
      </c>
      <c r="G101" s="134">
        <v>90.89</v>
      </c>
      <c r="H101" s="134">
        <v>35.44</v>
      </c>
      <c r="I101" s="134">
        <v>10.86</v>
      </c>
      <c r="J101" s="134">
        <v>0.14000000000000001</v>
      </c>
      <c r="K101" s="134">
        <v>170.08</v>
      </c>
      <c r="L101" s="134">
        <v>32.130000000000003</v>
      </c>
      <c r="M101" s="134">
        <v>39.28</v>
      </c>
      <c r="N101" s="134">
        <v>0</v>
      </c>
      <c r="O101" s="134">
        <v>0</v>
      </c>
      <c r="P101" s="134">
        <v>1.1599999999999999</v>
      </c>
      <c r="Q101" s="134">
        <v>5.76</v>
      </c>
    </row>
    <row r="102" spans="1:22" customFormat="1">
      <c r="A102" s="112" t="s">
        <v>1003</v>
      </c>
      <c r="B102" s="134">
        <v>41.82</v>
      </c>
      <c r="C102" s="134">
        <v>65.77</v>
      </c>
      <c r="D102" s="134">
        <v>66.849999999999994</v>
      </c>
      <c r="E102" s="134">
        <v>7.99</v>
      </c>
      <c r="F102" s="134">
        <v>3.77</v>
      </c>
      <c r="G102" s="134">
        <v>97.07</v>
      </c>
      <c r="H102" s="134">
        <v>38.26</v>
      </c>
      <c r="I102" s="134">
        <v>11.21</v>
      </c>
      <c r="J102" s="134">
        <v>0.19</v>
      </c>
      <c r="K102" s="134">
        <v>152.72</v>
      </c>
      <c r="L102" s="134">
        <v>32</v>
      </c>
      <c r="M102" s="134">
        <v>40.340000000000003</v>
      </c>
      <c r="N102" s="134">
        <v>0</v>
      </c>
      <c r="O102" s="134">
        <v>0</v>
      </c>
      <c r="P102" s="134">
        <v>1.2</v>
      </c>
      <c r="Q102" s="134">
        <v>5.92</v>
      </c>
    </row>
    <row r="103" spans="1:22" customFormat="1">
      <c r="A103" s="112" t="s">
        <v>1004</v>
      </c>
      <c r="B103" s="134">
        <v>36.81</v>
      </c>
      <c r="C103" s="134">
        <v>62.86</v>
      </c>
      <c r="D103" s="134">
        <v>61.31</v>
      </c>
      <c r="E103" s="134">
        <v>7.52</v>
      </c>
      <c r="F103" s="134">
        <v>3.8</v>
      </c>
      <c r="G103" s="134">
        <v>105.93</v>
      </c>
      <c r="H103" s="134">
        <v>40.68</v>
      </c>
      <c r="I103" s="134">
        <v>10.92</v>
      </c>
      <c r="J103" s="134">
        <v>0.24</v>
      </c>
      <c r="K103" s="134">
        <v>170.66</v>
      </c>
      <c r="L103" s="134">
        <v>31.58</v>
      </c>
      <c r="M103" s="134">
        <v>41.87</v>
      </c>
      <c r="N103" s="134">
        <v>0</v>
      </c>
      <c r="O103" s="134">
        <v>0</v>
      </c>
      <c r="P103" s="134">
        <v>1.17</v>
      </c>
      <c r="Q103" s="134">
        <v>6.03</v>
      </c>
    </row>
    <row r="104" spans="1:22" customFormat="1">
      <c r="A104" s="112" t="s">
        <v>1005</v>
      </c>
      <c r="B104" s="134">
        <v>29.59</v>
      </c>
      <c r="C104" s="134">
        <v>63.41</v>
      </c>
      <c r="D104" s="134">
        <v>55.81</v>
      </c>
      <c r="E104" s="134">
        <v>6.1</v>
      </c>
      <c r="F104" s="134">
        <v>3.7</v>
      </c>
      <c r="G104" s="134">
        <v>105.93</v>
      </c>
      <c r="H104" s="134">
        <v>40.68</v>
      </c>
      <c r="I104" s="134">
        <v>11.18</v>
      </c>
      <c r="J104" s="134">
        <v>0.24</v>
      </c>
      <c r="K104" s="134">
        <v>190.43</v>
      </c>
      <c r="L104" s="134">
        <v>30.92</v>
      </c>
      <c r="M104" s="134">
        <v>43.65</v>
      </c>
      <c r="N104" s="134">
        <v>0</v>
      </c>
      <c r="O104" s="134">
        <v>0</v>
      </c>
      <c r="P104" s="134">
        <v>1.1299999999999999</v>
      </c>
      <c r="Q104" s="134">
        <v>6.14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3.89</v>
      </c>
      <c r="C106" s="183">
        <f>MIN(C9:C104)</f>
        <v>43.43</v>
      </c>
      <c r="D106" s="183">
        <f t="shared" ref="D106:Q106" si="0">MIN(D9:D104)</f>
        <v>27.54</v>
      </c>
      <c r="E106" s="183">
        <f t="shared" si="0"/>
        <v>6.1</v>
      </c>
      <c r="F106" s="183">
        <f t="shared" si="0"/>
        <v>3.7</v>
      </c>
      <c r="G106" s="183">
        <f t="shared" si="0"/>
        <v>51.78</v>
      </c>
      <c r="H106" s="183">
        <f t="shared" si="0"/>
        <v>29.54</v>
      </c>
      <c r="I106" s="183">
        <f t="shared" si="0"/>
        <v>4.59</v>
      </c>
      <c r="J106" s="183">
        <f t="shared" si="0"/>
        <v>0.09</v>
      </c>
      <c r="K106" s="183">
        <f t="shared" si="0"/>
        <v>6.41</v>
      </c>
      <c r="L106" s="183">
        <f t="shared" si="0"/>
        <v>27.92</v>
      </c>
      <c r="M106" s="183">
        <f t="shared" si="0"/>
        <v>13.5</v>
      </c>
      <c r="N106" s="183">
        <f t="shared" si="0"/>
        <v>0</v>
      </c>
      <c r="O106" s="183">
        <f t="shared" si="0"/>
        <v>0</v>
      </c>
      <c r="P106" s="183">
        <f t="shared" si="0"/>
        <v>0.55000000000000004</v>
      </c>
      <c r="Q106" s="183">
        <f t="shared" si="0"/>
        <v>5.19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45.3</v>
      </c>
      <c r="C107" s="184">
        <f t="shared" ref="C107:Q107" si="1">MAX(C9:C104)</f>
        <v>68.790000000000006</v>
      </c>
      <c r="D107" s="184">
        <f t="shared" si="1"/>
        <v>69.48</v>
      </c>
      <c r="E107" s="184">
        <f t="shared" si="1"/>
        <v>34.200000000000003</v>
      </c>
      <c r="F107" s="184">
        <f t="shared" si="1"/>
        <v>55.52</v>
      </c>
      <c r="G107" s="184">
        <f t="shared" si="1"/>
        <v>105.93</v>
      </c>
      <c r="H107" s="184">
        <f t="shared" si="1"/>
        <v>47.82</v>
      </c>
      <c r="I107" s="184">
        <f t="shared" si="1"/>
        <v>12.03</v>
      </c>
      <c r="J107" s="184">
        <f t="shared" si="1"/>
        <v>1.41</v>
      </c>
      <c r="K107" s="184">
        <f t="shared" si="1"/>
        <v>357.33</v>
      </c>
      <c r="L107" s="184">
        <f t="shared" si="1"/>
        <v>42.67</v>
      </c>
      <c r="M107" s="184">
        <f t="shared" si="1"/>
        <v>54.71</v>
      </c>
      <c r="N107" s="184">
        <f t="shared" si="1"/>
        <v>798.3</v>
      </c>
      <c r="O107" s="184">
        <f t="shared" si="1"/>
        <v>0</v>
      </c>
      <c r="P107" s="184">
        <f t="shared" si="1"/>
        <v>1.26</v>
      </c>
      <c r="Q107" s="184">
        <f t="shared" si="1"/>
        <v>6.17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14.492916666666666</v>
      </c>
      <c r="C108" s="183">
        <f t="shared" ref="C108:Q108" si="2">AVERAGE(C9:C104)</f>
        <v>57.820104166666681</v>
      </c>
      <c r="D108" s="183">
        <f t="shared" si="2"/>
        <v>40.794895833333349</v>
      </c>
      <c r="E108" s="183">
        <f t="shared" si="2"/>
        <v>14.932604166666666</v>
      </c>
      <c r="F108" s="183">
        <f t="shared" si="2"/>
        <v>23.293958333333322</v>
      </c>
      <c r="G108" s="183">
        <f t="shared" si="2"/>
        <v>77.440208333333331</v>
      </c>
      <c r="H108" s="183">
        <f t="shared" si="2"/>
        <v>35.961145833333326</v>
      </c>
      <c r="I108" s="183">
        <f t="shared" si="2"/>
        <v>7.1591666666666631</v>
      </c>
      <c r="J108" s="183">
        <f t="shared" si="2"/>
        <v>0.48468749999999999</v>
      </c>
      <c r="K108" s="183">
        <f t="shared" si="2"/>
        <v>166.59583333333342</v>
      </c>
      <c r="L108" s="183">
        <f t="shared" si="2"/>
        <v>35.35437499999999</v>
      </c>
      <c r="M108" s="183">
        <f t="shared" si="2"/>
        <v>30.786979166666672</v>
      </c>
      <c r="N108" s="183">
        <f t="shared" si="2"/>
        <v>145.87395833333338</v>
      </c>
      <c r="O108" s="183">
        <f t="shared" si="2"/>
        <v>0</v>
      </c>
      <c r="P108" s="183">
        <f t="shared" si="2"/>
        <v>0.76562499999999989</v>
      </c>
      <c r="Q108" s="183">
        <f t="shared" si="2"/>
        <v>5.6696874999999975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9.2742629631023501</v>
      </c>
      <c r="C109" s="183">
        <f t="shared" ref="C109:Q109" si="3">STDEV(C9:C104)</f>
        <v>5.6034364446324121</v>
      </c>
      <c r="D109" s="183">
        <f t="shared" si="3"/>
        <v>8.9538217650096552</v>
      </c>
      <c r="E109" s="183">
        <f t="shared" si="3"/>
        <v>6.6017884729569101</v>
      </c>
      <c r="F109" s="183">
        <f t="shared" si="3"/>
        <v>15.889734553058696</v>
      </c>
      <c r="G109" s="183">
        <f t="shared" si="3"/>
        <v>15.186689530753892</v>
      </c>
      <c r="H109" s="183">
        <f t="shared" si="3"/>
        <v>3.9187006089671184</v>
      </c>
      <c r="I109" s="183">
        <f t="shared" si="3"/>
        <v>1.4913883794121763</v>
      </c>
      <c r="J109" s="183">
        <f t="shared" si="3"/>
        <v>0.37107795499626567</v>
      </c>
      <c r="K109" s="183">
        <f t="shared" si="3"/>
        <v>104.14702597938575</v>
      </c>
      <c r="L109" s="183">
        <f t="shared" si="3"/>
        <v>4.859386968592573</v>
      </c>
      <c r="M109" s="183">
        <f t="shared" si="3"/>
        <v>13.429008594499438</v>
      </c>
      <c r="N109" s="183">
        <f t="shared" si="3"/>
        <v>233.50644722071453</v>
      </c>
      <c r="O109" s="183">
        <f t="shared" si="3"/>
        <v>0</v>
      </c>
      <c r="P109" s="183">
        <f t="shared" si="3"/>
        <v>0.14497776599044093</v>
      </c>
      <c r="Q109" s="183">
        <f t="shared" si="3"/>
        <v>0.31691092264982723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09/06/2023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1006</v>
      </c>
      <c r="B9" s="134">
        <v>24.81</v>
      </c>
      <c r="C9" s="134">
        <v>61.85</v>
      </c>
      <c r="D9" s="134">
        <v>51.16</v>
      </c>
      <c r="E9" s="134">
        <v>5.58</v>
      </c>
      <c r="F9" s="134">
        <v>3.95</v>
      </c>
      <c r="G9" s="134">
        <v>105.93</v>
      </c>
      <c r="H9" s="134">
        <v>40.68</v>
      </c>
      <c r="I9" s="134">
        <v>10.95</v>
      </c>
      <c r="J9" s="134">
        <v>0.25</v>
      </c>
      <c r="K9" s="134">
        <v>169.61</v>
      </c>
      <c r="L9" s="134">
        <v>30.73</v>
      </c>
      <c r="M9" s="134">
        <v>44.25</v>
      </c>
      <c r="N9" s="134">
        <v>0</v>
      </c>
      <c r="O9" s="134">
        <v>0</v>
      </c>
      <c r="P9" s="134">
        <v>1.06</v>
      </c>
      <c r="Q9" s="134">
        <v>6.19</v>
      </c>
    </row>
    <row r="10" spans="1:21" customFormat="1">
      <c r="A10" s="112" t="s">
        <v>1007</v>
      </c>
      <c r="B10" s="134">
        <v>32.020000000000003</v>
      </c>
      <c r="C10" s="134">
        <v>61.74</v>
      </c>
      <c r="D10" s="134">
        <v>56.88</v>
      </c>
      <c r="E10" s="134">
        <v>6.44</v>
      </c>
      <c r="F10" s="134">
        <v>3.77</v>
      </c>
      <c r="G10" s="134">
        <v>105.87</v>
      </c>
      <c r="H10" s="134">
        <v>40.22</v>
      </c>
      <c r="I10" s="134">
        <v>10.52</v>
      </c>
      <c r="J10" s="134">
        <v>0.13</v>
      </c>
      <c r="K10" s="134">
        <v>135.65</v>
      </c>
      <c r="L10" s="134">
        <v>30.75</v>
      </c>
      <c r="M10" s="134">
        <v>42.46</v>
      </c>
      <c r="N10" s="134">
        <v>0</v>
      </c>
      <c r="O10" s="134">
        <v>0</v>
      </c>
      <c r="P10" s="134">
        <v>1.1000000000000001</v>
      </c>
      <c r="Q10" s="134">
        <v>6.19</v>
      </c>
    </row>
    <row r="11" spans="1:21" customFormat="1">
      <c r="A11" s="112" t="s">
        <v>1008</v>
      </c>
      <c r="B11" s="134">
        <v>38.19</v>
      </c>
      <c r="C11" s="134">
        <v>63.84</v>
      </c>
      <c r="D11" s="134">
        <v>62.93</v>
      </c>
      <c r="E11" s="134">
        <v>6.87</v>
      </c>
      <c r="F11" s="134">
        <v>3.61</v>
      </c>
      <c r="G11" s="134">
        <v>105.78</v>
      </c>
      <c r="H11" s="134">
        <v>39.83</v>
      </c>
      <c r="I11" s="134">
        <v>10.38</v>
      </c>
      <c r="J11" s="134">
        <v>0.18</v>
      </c>
      <c r="K11" s="134">
        <v>225.59</v>
      </c>
      <c r="L11" s="134">
        <v>30.74</v>
      </c>
      <c r="M11" s="134">
        <v>42</v>
      </c>
      <c r="N11" s="134">
        <v>0</v>
      </c>
      <c r="O11" s="134">
        <v>0</v>
      </c>
      <c r="P11" s="134">
        <v>1.1000000000000001</v>
      </c>
      <c r="Q11" s="134">
        <v>6.25</v>
      </c>
    </row>
    <row r="12" spans="1:21" customFormat="1">
      <c r="A12" s="112" t="s">
        <v>1009</v>
      </c>
      <c r="B12" s="134">
        <v>35.14</v>
      </c>
      <c r="C12" s="134">
        <v>60.86</v>
      </c>
      <c r="D12" s="134">
        <v>58.93</v>
      </c>
      <c r="E12" s="134">
        <v>5.73</v>
      </c>
      <c r="F12" s="134">
        <v>3.82</v>
      </c>
      <c r="G12" s="134">
        <v>105.78</v>
      </c>
      <c r="H12" s="134">
        <v>39.83</v>
      </c>
      <c r="I12" s="134">
        <v>10.44</v>
      </c>
      <c r="J12" s="134">
        <v>0.21</v>
      </c>
      <c r="K12" s="134">
        <v>202.6</v>
      </c>
      <c r="L12" s="134">
        <v>30.2</v>
      </c>
      <c r="M12" s="134">
        <v>45.27</v>
      </c>
      <c r="N12" s="134">
        <v>0</v>
      </c>
      <c r="O12" s="134">
        <v>0</v>
      </c>
      <c r="P12" s="134">
        <v>1.1000000000000001</v>
      </c>
      <c r="Q12" s="134">
        <v>6.35</v>
      </c>
    </row>
    <row r="13" spans="1:21" customFormat="1">
      <c r="A13" s="112" t="s">
        <v>1010</v>
      </c>
      <c r="B13" s="134">
        <v>26.13</v>
      </c>
      <c r="C13" s="134">
        <v>58.73</v>
      </c>
      <c r="D13" s="134">
        <v>50.59</v>
      </c>
      <c r="E13" s="134">
        <v>4.75</v>
      </c>
      <c r="F13" s="134">
        <v>3.96</v>
      </c>
      <c r="G13" s="134">
        <v>105.78</v>
      </c>
      <c r="H13" s="134">
        <v>39.83</v>
      </c>
      <c r="I13" s="134">
        <v>10.56</v>
      </c>
      <c r="J13" s="134">
        <v>0.18</v>
      </c>
      <c r="K13" s="134">
        <v>173.34</v>
      </c>
      <c r="L13" s="134">
        <v>29.82</v>
      </c>
      <c r="M13" s="134">
        <v>47.31</v>
      </c>
      <c r="N13" s="134">
        <v>0</v>
      </c>
      <c r="O13" s="134">
        <v>0</v>
      </c>
      <c r="P13" s="134">
        <v>1.1100000000000001</v>
      </c>
      <c r="Q13" s="134">
        <v>6.4</v>
      </c>
    </row>
    <row r="14" spans="1:21" customFormat="1">
      <c r="A14" s="112" t="s">
        <v>1011</v>
      </c>
      <c r="B14" s="134">
        <v>28.33</v>
      </c>
      <c r="C14" s="134">
        <v>58.96</v>
      </c>
      <c r="D14" s="134">
        <v>52.48</v>
      </c>
      <c r="E14" s="134">
        <v>5.33</v>
      </c>
      <c r="F14" s="134">
        <v>3.81</v>
      </c>
      <c r="G14" s="134">
        <v>104.77</v>
      </c>
      <c r="H14" s="134">
        <v>39.450000000000003</v>
      </c>
      <c r="I14" s="134">
        <v>10.65</v>
      </c>
      <c r="J14" s="134">
        <v>0.13</v>
      </c>
      <c r="K14" s="134">
        <v>161.21</v>
      </c>
      <c r="L14" s="134">
        <v>29.75</v>
      </c>
      <c r="M14" s="134">
        <v>46.95</v>
      </c>
      <c r="N14" s="134">
        <v>0</v>
      </c>
      <c r="O14" s="134">
        <v>0</v>
      </c>
      <c r="P14" s="134">
        <v>1.1499999999999999</v>
      </c>
      <c r="Q14" s="134">
        <v>6.42</v>
      </c>
    </row>
    <row r="15" spans="1:21" customFormat="1">
      <c r="A15" s="112" t="s">
        <v>1012</v>
      </c>
      <c r="B15" s="134">
        <v>30.76</v>
      </c>
      <c r="C15" s="134">
        <v>58.93</v>
      </c>
      <c r="D15" s="134">
        <v>54.41</v>
      </c>
      <c r="E15" s="134">
        <v>5.37</v>
      </c>
      <c r="F15" s="134">
        <v>3.99</v>
      </c>
      <c r="G15" s="134">
        <v>103.32</v>
      </c>
      <c r="H15" s="134">
        <v>38.549999999999997</v>
      </c>
      <c r="I15" s="134">
        <v>10.74</v>
      </c>
      <c r="J15" s="134">
        <v>0.12</v>
      </c>
      <c r="K15" s="134">
        <v>185.43</v>
      </c>
      <c r="L15" s="134">
        <v>29.91</v>
      </c>
      <c r="M15" s="134">
        <v>45.1</v>
      </c>
      <c r="N15" s="134">
        <v>0</v>
      </c>
      <c r="O15" s="134">
        <v>0</v>
      </c>
      <c r="P15" s="134">
        <v>1.1499999999999999</v>
      </c>
      <c r="Q15" s="134">
        <v>6.41</v>
      </c>
    </row>
    <row r="16" spans="1:21" customFormat="1">
      <c r="A16" s="112" t="s">
        <v>1013</v>
      </c>
      <c r="B16" s="134">
        <v>30.55</v>
      </c>
      <c r="C16" s="134">
        <v>60.92</v>
      </c>
      <c r="D16" s="134">
        <v>55.28</v>
      </c>
      <c r="E16" s="134">
        <v>4.54</v>
      </c>
      <c r="F16" s="134">
        <v>3.83</v>
      </c>
      <c r="G16" s="134">
        <v>103.32</v>
      </c>
      <c r="H16" s="134">
        <v>38.549999999999997</v>
      </c>
      <c r="I16" s="134">
        <v>10.91</v>
      </c>
      <c r="J16" s="134">
        <v>0.19</v>
      </c>
      <c r="K16" s="134">
        <v>214.12</v>
      </c>
      <c r="L16" s="134">
        <v>29.56</v>
      </c>
      <c r="M16" s="134">
        <v>47.32</v>
      </c>
      <c r="N16" s="134">
        <v>0</v>
      </c>
      <c r="O16" s="134">
        <v>0</v>
      </c>
      <c r="P16" s="134">
        <v>1.1499999999999999</v>
      </c>
      <c r="Q16" s="134">
        <v>6.41</v>
      </c>
    </row>
    <row r="17" spans="1:17" customFormat="1">
      <c r="A17" s="112" t="s">
        <v>1014</v>
      </c>
      <c r="B17" s="134">
        <v>30.21</v>
      </c>
      <c r="C17" s="134">
        <v>60.19</v>
      </c>
      <c r="D17" s="134">
        <v>54.63</v>
      </c>
      <c r="E17" s="134">
        <v>5.0599999999999996</v>
      </c>
      <c r="F17" s="134">
        <v>3.85</v>
      </c>
      <c r="G17" s="134">
        <v>103.32</v>
      </c>
      <c r="H17" s="134">
        <v>38.549999999999997</v>
      </c>
      <c r="I17" s="134">
        <v>11.09</v>
      </c>
      <c r="J17" s="134">
        <v>0.19</v>
      </c>
      <c r="K17" s="134">
        <v>176.7</v>
      </c>
      <c r="L17" s="134">
        <v>29.3</v>
      </c>
      <c r="M17" s="134">
        <v>48.35</v>
      </c>
      <c r="N17" s="134">
        <v>0</v>
      </c>
      <c r="O17" s="134">
        <v>0</v>
      </c>
      <c r="P17" s="134">
        <v>1.18</v>
      </c>
      <c r="Q17" s="134">
        <v>6.47</v>
      </c>
    </row>
    <row r="18" spans="1:17" customFormat="1">
      <c r="A18" s="112" t="s">
        <v>1015</v>
      </c>
      <c r="B18" s="134">
        <v>28.31</v>
      </c>
      <c r="C18" s="134">
        <v>59.95</v>
      </c>
      <c r="D18" s="134">
        <v>52.98</v>
      </c>
      <c r="E18" s="134">
        <v>6.58</v>
      </c>
      <c r="F18" s="134">
        <v>3.79</v>
      </c>
      <c r="G18" s="134">
        <v>102.75</v>
      </c>
      <c r="H18" s="134">
        <v>36.4</v>
      </c>
      <c r="I18" s="134">
        <v>11.24</v>
      </c>
      <c r="J18" s="134">
        <v>0.15</v>
      </c>
      <c r="K18" s="134">
        <v>159.93</v>
      </c>
      <c r="L18" s="134">
        <v>29.01</v>
      </c>
      <c r="M18" s="134">
        <v>49.32</v>
      </c>
      <c r="N18" s="134">
        <v>0</v>
      </c>
      <c r="O18" s="134">
        <v>0</v>
      </c>
      <c r="P18" s="134">
        <v>1.17</v>
      </c>
      <c r="Q18" s="134">
        <v>6.45</v>
      </c>
    </row>
    <row r="19" spans="1:17" customFormat="1">
      <c r="A19" s="112" t="s">
        <v>1016</v>
      </c>
      <c r="B19" s="134">
        <v>30.09</v>
      </c>
      <c r="C19" s="134">
        <v>61.73</v>
      </c>
      <c r="D19" s="134">
        <v>55.34</v>
      </c>
      <c r="E19" s="134">
        <v>6.38</v>
      </c>
      <c r="F19" s="134">
        <v>3.75</v>
      </c>
      <c r="G19" s="134">
        <v>101.88</v>
      </c>
      <c r="H19" s="134">
        <v>34.549999999999997</v>
      </c>
      <c r="I19" s="134">
        <v>11.26</v>
      </c>
      <c r="J19" s="134">
        <v>0.17</v>
      </c>
      <c r="K19" s="134">
        <v>178</v>
      </c>
      <c r="L19" s="134">
        <v>28.65</v>
      </c>
      <c r="M19" s="134">
        <v>50.57</v>
      </c>
      <c r="N19" s="134">
        <v>0</v>
      </c>
      <c r="O19" s="134">
        <v>0</v>
      </c>
      <c r="P19" s="134">
        <v>1.1599999999999999</v>
      </c>
      <c r="Q19" s="134">
        <v>6.43</v>
      </c>
    </row>
    <row r="20" spans="1:17" customFormat="1">
      <c r="A20" s="112" t="s">
        <v>1017</v>
      </c>
      <c r="B20" s="134">
        <v>29.47</v>
      </c>
      <c r="C20" s="134">
        <v>61.54</v>
      </c>
      <c r="D20" s="134">
        <v>54.74</v>
      </c>
      <c r="E20" s="134">
        <v>6.6</v>
      </c>
      <c r="F20" s="134">
        <v>3.77</v>
      </c>
      <c r="G20" s="134">
        <v>101.88</v>
      </c>
      <c r="H20" s="134">
        <v>34.549999999999997</v>
      </c>
      <c r="I20" s="134">
        <v>11.21</v>
      </c>
      <c r="J20" s="134">
        <v>0.14000000000000001</v>
      </c>
      <c r="K20" s="134">
        <v>189.09</v>
      </c>
      <c r="L20" s="134">
        <v>28.54</v>
      </c>
      <c r="M20" s="134">
        <v>50.34</v>
      </c>
      <c r="N20" s="134">
        <v>0</v>
      </c>
      <c r="O20" s="134">
        <v>0</v>
      </c>
      <c r="P20" s="134">
        <v>1.17</v>
      </c>
      <c r="Q20" s="134">
        <v>6.46</v>
      </c>
    </row>
    <row r="21" spans="1:17" customFormat="1">
      <c r="A21" s="112" t="s">
        <v>1018</v>
      </c>
      <c r="B21" s="134">
        <v>29.07</v>
      </c>
      <c r="C21" s="134">
        <v>60.81</v>
      </c>
      <c r="D21" s="134">
        <v>54.04</v>
      </c>
      <c r="E21" s="134">
        <v>6.3</v>
      </c>
      <c r="F21" s="134">
        <v>3.92</v>
      </c>
      <c r="G21" s="134">
        <v>101.88</v>
      </c>
      <c r="H21" s="134">
        <v>34.549999999999997</v>
      </c>
      <c r="I21" s="134">
        <v>11.28</v>
      </c>
      <c r="J21" s="134">
        <v>0.14000000000000001</v>
      </c>
      <c r="K21" s="134">
        <v>169.51</v>
      </c>
      <c r="L21" s="134">
        <v>28.38</v>
      </c>
      <c r="M21" s="134">
        <v>50.66</v>
      </c>
      <c r="N21" s="134">
        <v>0</v>
      </c>
      <c r="O21" s="134">
        <v>0</v>
      </c>
      <c r="P21" s="134">
        <v>1.1599999999999999</v>
      </c>
      <c r="Q21" s="134">
        <v>6.45</v>
      </c>
    </row>
    <row r="22" spans="1:17" customFormat="1">
      <c r="A22" s="112" t="s">
        <v>1019</v>
      </c>
      <c r="B22" s="134">
        <v>30.36</v>
      </c>
      <c r="C22" s="134">
        <v>61.25</v>
      </c>
      <c r="D22" s="134">
        <v>55.31</v>
      </c>
      <c r="E22" s="134">
        <v>6.04</v>
      </c>
      <c r="F22" s="134">
        <v>3.94</v>
      </c>
      <c r="G22" s="134">
        <v>99.36</v>
      </c>
      <c r="H22" s="134">
        <v>35.35</v>
      </c>
      <c r="I22" s="134">
        <v>11.33</v>
      </c>
      <c r="J22" s="134">
        <v>0.17</v>
      </c>
      <c r="K22" s="134">
        <v>160.27000000000001</v>
      </c>
      <c r="L22" s="134">
        <v>28.31</v>
      </c>
      <c r="M22" s="134">
        <v>51.24</v>
      </c>
      <c r="N22" s="134">
        <v>0</v>
      </c>
      <c r="O22" s="134">
        <v>0</v>
      </c>
      <c r="P22" s="134">
        <v>1.1599999999999999</v>
      </c>
      <c r="Q22" s="134">
        <v>6.46</v>
      </c>
    </row>
    <row r="23" spans="1:17" customFormat="1">
      <c r="A23" s="112" t="s">
        <v>1020</v>
      </c>
      <c r="B23" s="134">
        <v>31.39</v>
      </c>
      <c r="C23" s="134">
        <v>61.57</v>
      </c>
      <c r="D23" s="134">
        <v>56.3</v>
      </c>
      <c r="E23" s="134">
        <v>6</v>
      </c>
      <c r="F23" s="134">
        <v>3.84</v>
      </c>
      <c r="G23" s="134">
        <v>95.58</v>
      </c>
      <c r="H23" s="134">
        <v>36.049999999999997</v>
      </c>
      <c r="I23" s="134">
        <v>11.3</v>
      </c>
      <c r="J23" s="134">
        <v>0.2</v>
      </c>
      <c r="K23" s="134">
        <v>176.31</v>
      </c>
      <c r="L23" s="134">
        <v>28.11</v>
      </c>
      <c r="M23" s="134">
        <v>52.09</v>
      </c>
      <c r="N23" s="134">
        <v>0</v>
      </c>
      <c r="O23" s="134">
        <v>0</v>
      </c>
      <c r="P23" s="134">
        <v>1.1599999999999999</v>
      </c>
      <c r="Q23" s="134">
        <v>6.49</v>
      </c>
    </row>
    <row r="24" spans="1:17" customFormat="1">
      <c r="A24" s="112" t="s">
        <v>1021</v>
      </c>
      <c r="B24" s="134">
        <v>31.77</v>
      </c>
      <c r="C24" s="134">
        <v>61.18</v>
      </c>
      <c r="D24" s="134">
        <v>56.4</v>
      </c>
      <c r="E24" s="134">
        <v>5.93</v>
      </c>
      <c r="F24" s="134">
        <v>3.82</v>
      </c>
      <c r="G24" s="134">
        <v>95.58</v>
      </c>
      <c r="H24" s="134">
        <v>36.049999999999997</v>
      </c>
      <c r="I24" s="134">
        <v>11.33</v>
      </c>
      <c r="J24" s="134">
        <v>0.19</v>
      </c>
      <c r="K24" s="134">
        <v>194.84</v>
      </c>
      <c r="L24" s="134">
        <v>27.74</v>
      </c>
      <c r="M24" s="134">
        <v>52.71</v>
      </c>
      <c r="N24" s="134">
        <v>0</v>
      </c>
      <c r="O24" s="134">
        <v>0</v>
      </c>
      <c r="P24" s="134">
        <v>1.1599999999999999</v>
      </c>
      <c r="Q24" s="134">
        <v>6.44</v>
      </c>
    </row>
    <row r="25" spans="1:17" customFormat="1">
      <c r="A25" s="112" t="s">
        <v>1022</v>
      </c>
      <c r="B25" s="134">
        <v>31.91</v>
      </c>
      <c r="C25" s="134">
        <v>60.41</v>
      </c>
      <c r="D25" s="134">
        <v>56.11</v>
      </c>
      <c r="E25" s="134">
        <v>5.72</v>
      </c>
      <c r="F25" s="134">
        <v>4.2</v>
      </c>
      <c r="G25" s="134">
        <v>95.58</v>
      </c>
      <c r="H25" s="134">
        <v>36.049999999999997</v>
      </c>
      <c r="I25" s="134">
        <v>11.36</v>
      </c>
      <c r="J25" s="134">
        <v>0.16</v>
      </c>
      <c r="K25" s="134">
        <v>198.37</v>
      </c>
      <c r="L25" s="134">
        <v>27.52</v>
      </c>
      <c r="M25" s="134">
        <v>53.29</v>
      </c>
      <c r="N25" s="134">
        <v>0</v>
      </c>
      <c r="O25" s="134">
        <v>0</v>
      </c>
      <c r="P25" s="134">
        <v>1.1599999999999999</v>
      </c>
      <c r="Q25" s="134">
        <v>6.4</v>
      </c>
    </row>
    <row r="26" spans="1:17" customFormat="1">
      <c r="A26" s="112" t="s">
        <v>1023</v>
      </c>
      <c r="B26" s="134">
        <v>32.9</v>
      </c>
      <c r="C26" s="134">
        <v>61.75</v>
      </c>
      <c r="D26" s="134">
        <v>57.6</v>
      </c>
      <c r="E26" s="134">
        <v>6.78</v>
      </c>
      <c r="F26" s="134">
        <v>4.0599999999999996</v>
      </c>
      <c r="G26" s="134">
        <v>95.43</v>
      </c>
      <c r="H26" s="134">
        <v>35.51</v>
      </c>
      <c r="I26" s="134">
        <v>11.31</v>
      </c>
      <c r="J26" s="134">
        <v>0.2</v>
      </c>
      <c r="K26" s="134">
        <v>304.91000000000003</v>
      </c>
      <c r="L26" s="134">
        <v>27.85</v>
      </c>
      <c r="M26" s="134">
        <v>48.69</v>
      </c>
      <c r="N26" s="134">
        <v>0</v>
      </c>
      <c r="O26" s="134">
        <v>0</v>
      </c>
      <c r="P26" s="134">
        <v>1.1499999999999999</v>
      </c>
      <c r="Q26" s="134">
        <v>6.43</v>
      </c>
    </row>
    <row r="27" spans="1:17" customFormat="1">
      <c r="A27" s="112" t="s">
        <v>1024</v>
      </c>
      <c r="B27" s="134">
        <v>40.22</v>
      </c>
      <c r="C27" s="134">
        <v>61.5</v>
      </c>
      <c r="D27" s="134">
        <v>63.34</v>
      </c>
      <c r="E27" s="134">
        <v>19.34</v>
      </c>
      <c r="F27" s="134">
        <v>4</v>
      </c>
      <c r="G27" s="134">
        <v>95.21</v>
      </c>
      <c r="H27" s="134">
        <v>35.049999999999997</v>
      </c>
      <c r="I27" s="134">
        <v>11.27</v>
      </c>
      <c r="J27" s="134">
        <v>0.39</v>
      </c>
      <c r="K27" s="134">
        <v>310.48</v>
      </c>
      <c r="L27" s="134">
        <v>29.14</v>
      </c>
      <c r="M27" s="134">
        <v>36.03</v>
      </c>
      <c r="N27" s="134">
        <v>0</v>
      </c>
      <c r="O27" s="134">
        <v>0</v>
      </c>
      <c r="P27" s="134">
        <v>1.1399999999999999</v>
      </c>
      <c r="Q27" s="134">
        <v>6.51</v>
      </c>
    </row>
    <row r="28" spans="1:17" customFormat="1">
      <c r="A28" s="112" t="s">
        <v>1025</v>
      </c>
      <c r="B28" s="134">
        <v>34.71</v>
      </c>
      <c r="C28" s="134">
        <v>62.44</v>
      </c>
      <c r="D28" s="134">
        <v>59.41</v>
      </c>
      <c r="E28" s="134">
        <v>25.69</v>
      </c>
      <c r="F28" s="134">
        <v>4.2300000000000004</v>
      </c>
      <c r="G28" s="134">
        <v>95.21</v>
      </c>
      <c r="H28" s="134">
        <v>35.049999999999997</v>
      </c>
      <c r="I28" s="134">
        <v>11.2</v>
      </c>
      <c r="J28" s="134">
        <v>0.1</v>
      </c>
      <c r="K28" s="134">
        <v>64.77</v>
      </c>
      <c r="L28" s="134">
        <v>29.43</v>
      </c>
      <c r="M28" s="134">
        <v>31.96</v>
      </c>
      <c r="N28" s="134">
        <v>0</v>
      </c>
      <c r="O28" s="134">
        <v>0</v>
      </c>
      <c r="P28" s="134">
        <v>1.1100000000000001</v>
      </c>
      <c r="Q28" s="134">
        <v>6.6</v>
      </c>
    </row>
    <row r="29" spans="1:17" customFormat="1">
      <c r="A29" s="112" t="s">
        <v>1026</v>
      </c>
      <c r="B29" s="134">
        <v>35.229999999999997</v>
      </c>
      <c r="C29" s="134">
        <v>62.67</v>
      </c>
      <c r="D29" s="134">
        <v>59.95</v>
      </c>
      <c r="E29" s="134">
        <v>19.55</v>
      </c>
      <c r="F29" s="134">
        <v>5.28</v>
      </c>
      <c r="G29" s="134">
        <v>95.21</v>
      </c>
      <c r="H29" s="134">
        <v>35.049999999999997</v>
      </c>
      <c r="I29" s="134">
        <v>11.02</v>
      </c>
      <c r="J29" s="134">
        <v>0.37</v>
      </c>
      <c r="K29" s="134">
        <v>63.92</v>
      </c>
      <c r="L29" s="134">
        <v>29.58</v>
      </c>
      <c r="M29" s="134">
        <v>30.03</v>
      </c>
      <c r="N29" s="134">
        <v>0</v>
      </c>
      <c r="O29" s="134">
        <v>0</v>
      </c>
      <c r="P29" s="134">
        <v>1.0900000000000001</v>
      </c>
      <c r="Q29" s="134">
        <v>6.59</v>
      </c>
    </row>
    <row r="30" spans="1:17" customFormat="1">
      <c r="A30" s="112" t="s">
        <v>1027</v>
      </c>
      <c r="B30" s="134">
        <v>37.54</v>
      </c>
      <c r="C30" s="134">
        <v>63.67</v>
      </c>
      <c r="D30" s="134">
        <v>62.33</v>
      </c>
      <c r="E30" s="134">
        <v>14.89</v>
      </c>
      <c r="F30" s="134">
        <v>5.4</v>
      </c>
      <c r="G30" s="134">
        <v>98.79</v>
      </c>
      <c r="H30" s="134">
        <v>37.28</v>
      </c>
      <c r="I30" s="134">
        <v>10.86</v>
      </c>
      <c r="J30" s="134">
        <v>0.46</v>
      </c>
      <c r="K30" s="134">
        <v>67.89</v>
      </c>
      <c r="L30" s="134">
        <v>29.49</v>
      </c>
      <c r="M30" s="134">
        <v>30.91</v>
      </c>
      <c r="N30" s="134">
        <v>1.4</v>
      </c>
      <c r="O30" s="134">
        <v>0</v>
      </c>
      <c r="P30" s="134">
        <v>1.1000000000000001</v>
      </c>
      <c r="Q30" s="134">
        <v>6.65</v>
      </c>
    </row>
    <row r="31" spans="1:17" customFormat="1">
      <c r="A31" s="112" t="s">
        <v>1028</v>
      </c>
      <c r="B31" s="134">
        <v>36.72</v>
      </c>
      <c r="C31" s="134">
        <v>63.34</v>
      </c>
      <c r="D31" s="134">
        <v>61.49</v>
      </c>
      <c r="E31" s="134">
        <v>12.69</v>
      </c>
      <c r="F31" s="134">
        <v>5.59</v>
      </c>
      <c r="G31" s="134">
        <v>103.93</v>
      </c>
      <c r="H31" s="134">
        <v>39.19</v>
      </c>
      <c r="I31" s="134">
        <v>10.74</v>
      </c>
      <c r="J31" s="134">
        <v>0.44</v>
      </c>
      <c r="K31" s="134">
        <v>68.42</v>
      </c>
      <c r="L31" s="134">
        <v>29.52</v>
      </c>
      <c r="M31" s="134">
        <v>30.8</v>
      </c>
      <c r="N31" s="134">
        <v>13.4</v>
      </c>
      <c r="O31" s="134">
        <v>0</v>
      </c>
      <c r="P31" s="134">
        <v>1.1100000000000001</v>
      </c>
      <c r="Q31" s="134">
        <v>6.7</v>
      </c>
    </row>
    <row r="32" spans="1:17" customFormat="1">
      <c r="A32" s="112" t="s">
        <v>1029</v>
      </c>
      <c r="B32" s="134">
        <v>42.72</v>
      </c>
      <c r="C32" s="134">
        <v>63.52</v>
      </c>
      <c r="D32" s="134">
        <v>66.400000000000006</v>
      </c>
      <c r="E32" s="134">
        <v>14.01</v>
      </c>
      <c r="F32" s="134">
        <v>5.0599999999999996</v>
      </c>
      <c r="G32" s="134">
        <v>103.93</v>
      </c>
      <c r="H32" s="134">
        <v>39.19</v>
      </c>
      <c r="I32" s="134">
        <v>10.8</v>
      </c>
      <c r="J32" s="134">
        <v>0.25</v>
      </c>
      <c r="K32" s="134">
        <v>59.27</v>
      </c>
      <c r="L32" s="134">
        <v>29.7</v>
      </c>
      <c r="M32" s="134">
        <v>30.94</v>
      </c>
      <c r="N32" s="134">
        <v>30.9</v>
      </c>
      <c r="O32" s="134">
        <v>0</v>
      </c>
      <c r="P32" s="134">
        <v>1.1000000000000001</v>
      </c>
      <c r="Q32" s="134">
        <v>6.71</v>
      </c>
    </row>
    <row r="33" spans="1:17" customFormat="1">
      <c r="A33" s="112" t="s">
        <v>1030</v>
      </c>
      <c r="B33" s="134">
        <v>45.24</v>
      </c>
      <c r="C33" s="134">
        <v>66.569999999999993</v>
      </c>
      <c r="D33" s="134">
        <v>70.02</v>
      </c>
      <c r="E33" s="134">
        <v>15.15</v>
      </c>
      <c r="F33" s="134">
        <v>4.55</v>
      </c>
      <c r="G33" s="134">
        <v>103.93</v>
      </c>
      <c r="H33" s="134">
        <v>39.19</v>
      </c>
      <c r="I33" s="134">
        <v>11.05</v>
      </c>
      <c r="J33" s="134">
        <v>0.33</v>
      </c>
      <c r="K33" s="134">
        <v>57.3</v>
      </c>
      <c r="L33" s="134">
        <v>29.96</v>
      </c>
      <c r="M33" s="134">
        <v>30.85</v>
      </c>
      <c r="N33" s="134">
        <v>38.200000000000003</v>
      </c>
      <c r="O33" s="134">
        <v>0</v>
      </c>
      <c r="P33" s="134">
        <v>1.1100000000000001</v>
      </c>
      <c r="Q33" s="134">
        <v>6.8</v>
      </c>
    </row>
    <row r="34" spans="1:17" customFormat="1">
      <c r="A34" s="112" t="s">
        <v>1031</v>
      </c>
      <c r="B34" s="134">
        <v>41.92</v>
      </c>
      <c r="C34" s="134">
        <v>63.17</v>
      </c>
      <c r="D34" s="134">
        <v>65.58</v>
      </c>
      <c r="E34" s="134">
        <v>24.78</v>
      </c>
      <c r="F34" s="134">
        <v>5.98</v>
      </c>
      <c r="G34" s="134">
        <v>108.52</v>
      </c>
      <c r="H34" s="134">
        <v>41.76</v>
      </c>
      <c r="I34" s="134">
        <v>11.17</v>
      </c>
      <c r="J34" s="134">
        <v>0.32</v>
      </c>
      <c r="K34" s="134">
        <v>49.24</v>
      </c>
      <c r="L34" s="134">
        <v>30.34</v>
      </c>
      <c r="M34" s="134">
        <v>30.07</v>
      </c>
      <c r="N34" s="134">
        <v>51</v>
      </c>
      <c r="O34" s="134">
        <v>0</v>
      </c>
      <c r="P34" s="134">
        <v>1.1399999999999999</v>
      </c>
      <c r="Q34" s="134">
        <v>6.88</v>
      </c>
    </row>
    <row r="35" spans="1:17" customFormat="1">
      <c r="A35" s="112" t="s">
        <v>1032</v>
      </c>
      <c r="B35" s="134">
        <v>39.479999999999997</v>
      </c>
      <c r="C35" s="134">
        <v>62.8</v>
      </c>
      <c r="D35" s="134">
        <v>63.42</v>
      </c>
      <c r="E35" s="134">
        <v>35.97</v>
      </c>
      <c r="F35" s="134">
        <v>7.7</v>
      </c>
      <c r="G35" s="134">
        <v>115.41</v>
      </c>
      <c r="H35" s="134">
        <v>43.97</v>
      </c>
      <c r="I35" s="134">
        <v>11.05</v>
      </c>
      <c r="J35" s="134">
        <v>0.32</v>
      </c>
      <c r="K35" s="134">
        <v>52.41</v>
      </c>
      <c r="L35" s="134">
        <v>31.04</v>
      </c>
      <c r="M35" s="134">
        <v>29.37</v>
      </c>
      <c r="N35" s="134">
        <v>70.400000000000006</v>
      </c>
      <c r="O35" s="134">
        <v>0</v>
      </c>
      <c r="P35" s="134">
        <v>1.1100000000000001</v>
      </c>
      <c r="Q35" s="134">
        <v>6.9</v>
      </c>
    </row>
    <row r="36" spans="1:17" customFormat="1">
      <c r="A36" s="112" t="s">
        <v>1033</v>
      </c>
      <c r="B36" s="134">
        <v>36.19</v>
      </c>
      <c r="C36" s="134">
        <v>61.43</v>
      </c>
      <c r="D36" s="134">
        <v>60.07</v>
      </c>
      <c r="E36" s="134">
        <v>45.75</v>
      </c>
      <c r="F36" s="134">
        <v>9.82</v>
      </c>
      <c r="G36" s="134">
        <v>115.41</v>
      </c>
      <c r="H36" s="134">
        <v>43.97</v>
      </c>
      <c r="I36" s="134">
        <v>10.87</v>
      </c>
      <c r="J36" s="134">
        <v>0.24</v>
      </c>
      <c r="K36" s="134">
        <v>22.91</v>
      </c>
      <c r="L36" s="134">
        <v>32.130000000000003</v>
      </c>
      <c r="M36" s="134">
        <v>27.16</v>
      </c>
      <c r="N36" s="134">
        <v>99.6</v>
      </c>
      <c r="O36" s="134">
        <v>0</v>
      </c>
      <c r="P36" s="134">
        <v>1.0900000000000001</v>
      </c>
      <c r="Q36" s="134">
        <v>6.93</v>
      </c>
    </row>
    <row r="37" spans="1:17" customFormat="1">
      <c r="A37" s="112" t="s">
        <v>1034</v>
      </c>
      <c r="B37" s="134">
        <v>35.799999999999997</v>
      </c>
      <c r="C37" s="134">
        <v>62.99</v>
      </c>
      <c r="D37" s="134">
        <v>60.58</v>
      </c>
      <c r="E37" s="134">
        <v>45.46</v>
      </c>
      <c r="F37" s="134">
        <v>10.77</v>
      </c>
      <c r="G37" s="134">
        <v>115.41</v>
      </c>
      <c r="H37" s="134">
        <v>43.97</v>
      </c>
      <c r="I37" s="134">
        <v>10.66</v>
      </c>
      <c r="J37" s="134">
        <v>0.33</v>
      </c>
      <c r="K37" s="134">
        <v>30.86</v>
      </c>
      <c r="L37" s="134">
        <v>33.090000000000003</v>
      </c>
      <c r="M37" s="134">
        <v>26.23</v>
      </c>
      <c r="N37" s="134">
        <v>86</v>
      </c>
      <c r="O37" s="134">
        <v>0</v>
      </c>
      <c r="P37" s="134">
        <v>1.0900000000000001</v>
      </c>
      <c r="Q37" s="134">
        <v>6.89</v>
      </c>
    </row>
    <row r="38" spans="1:17" customFormat="1">
      <c r="A38" s="112" t="s">
        <v>1035</v>
      </c>
      <c r="B38" s="134">
        <v>37.869999999999997</v>
      </c>
      <c r="C38" s="134">
        <v>66.02</v>
      </c>
      <c r="D38" s="134">
        <v>63.81</v>
      </c>
      <c r="E38" s="134">
        <v>53.31</v>
      </c>
      <c r="F38" s="134">
        <v>11.52</v>
      </c>
      <c r="G38" s="134">
        <v>124.16</v>
      </c>
      <c r="H38" s="134">
        <v>46.53</v>
      </c>
      <c r="I38" s="134">
        <v>10.35</v>
      </c>
      <c r="J38" s="134">
        <v>0.21</v>
      </c>
      <c r="K38" s="134">
        <v>52.44</v>
      </c>
      <c r="L38" s="134">
        <v>33.58</v>
      </c>
      <c r="M38" s="134">
        <v>26.16</v>
      </c>
      <c r="N38" s="134">
        <v>101.7</v>
      </c>
      <c r="O38" s="134">
        <v>0</v>
      </c>
      <c r="P38" s="134">
        <v>1.1299999999999999</v>
      </c>
      <c r="Q38" s="134">
        <v>6.89</v>
      </c>
    </row>
    <row r="39" spans="1:17" customFormat="1">
      <c r="A39" s="112" t="s">
        <v>1036</v>
      </c>
      <c r="B39" s="134">
        <v>34.69</v>
      </c>
      <c r="C39" s="134">
        <v>65.09</v>
      </c>
      <c r="D39" s="134">
        <v>60.78</v>
      </c>
      <c r="E39" s="134">
        <v>68.89</v>
      </c>
      <c r="F39" s="134">
        <v>12.55</v>
      </c>
      <c r="G39" s="134">
        <v>136.69</v>
      </c>
      <c r="H39" s="134">
        <v>52.63</v>
      </c>
      <c r="I39" s="134">
        <v>10.4</v>
      </c>
      <c r="J39" s="134">
        <v>0.18</v>
      </c>
      <c r="K39" s="134">
        <v>322.36</v>
      </c>
      <c r="L39" s="134">
        <v>34.47</v>
      </c>
      <c r="M39" s="134">
        <v>25.79</v>
      </c>
      <c r="N39" s="134">
        <v>111</v>
      </c>
      <c r="O39" s="134">
        <v>0</v>
      </c>
      <c r="P39" s="134">
        <v>1.1100000000000001</v>
      </c>
      <c r="Q39" s="134">
        <v>6.93</v>
      </c>
    </row>
    <row r="40" spans="1:17" customFormat="1">
      <c r="A40" s="112" t="s">
        <v>1037</v>
      </c>
      <c r="B40" s="134">
        <v>35.380000000000003</v>
      </c>
      <c r="C40" s="134">
        <v>62.69</v>
      </c>
      <c r="D40" s="134">
        <v>60.08</v>
      </c>
      <c r="E40" s="134">
        <v>51.51</v>
      </c>
      <c r="F40" s="134">
        <v>14.14</v>
      </c>
      <c r="G40" s="134">
        <v>136.69</v>
      </c>
      <c r="H40" s="134">
        <v>52.63</v>
      </c>
      <c r="I40" s="134">
        <v>10.76</v>
      </c>
      <c r="J40" s="134">
        <v>0.39</v>
      </c>
      <c r="K40" s="134">
        <v>12.21</v>
      </c>
      <c r="L40" s="134">
        <v>35.42</v>
      </c>
      <c r="M40" s="134">
        <v>25.22</v>
      </c>
      <c r="N40" s="134">
        <v>133.19999999999999</v>
      </c>
      <c r="O40" s="134">
        <v>0</v>
      </c>
      <c r="P40" s="134">
        <v>1.0900000000000001</v>
      </c>
      <c r="Q40" s="134">
        <v>6.91</v>
      </c>
    </row>
    <row r="41" spans="1:17" customFormat="1">
      <c r="A41" s="112" t="s">
        <v>1038</v>
      </c>
      <c r="B41" s="134">
        <v>31.52</v>
      </c>
      <c r="C41" s="134">
        <v>61.18</v>
      </c>
      <c r="D41" s="134">
        <v>56.19</v>
      </c>
      <c r="E41" s="134">
        <v>63.58</v>
      </c>
      <c r="F41" s="134">
        <v>17.36</v>
      </c>
      <c r="G41" s="134">
        <v>136.69</v>
      </c>
      <c r="H41" s="134">
        <v>52.63</v>
      </c>
      <c r="I41" s="134">
        <v>10.52</v>
      </c>
      <c r="J41" s="134">
        <v>0.55000000000000004</v>
      </c>
      <c r="K41" s="134">
        <v>346.39</v>
      </c>
      <c r="L41" s="134">
        <v>36.06</v>
      </c>
      <c r="M41" s="134">
        <v>25.01</v>
      </c>
      <c r="N41" s="134">
        <v>141.4</v>
      </c>
      <c r="O41" s="134">
        <v>0</v>
      </c>
      <c r="P41" s="134">
        <v>1.03</v>
      </c>
      <c r="Q41" s="134">
        <v>6.86</v>
      </c>
    </row>
    <row r="42" spans="1:17" customFormat="1">
      <c r="A42" s="112" t="s">
        <v>1039</v>
      </c>
      <c r="B42" s="134">
        <v>31.97</v>
      </c>
      <c r="C42" s="134">
        <v>60.64</v>
      </c>
      <c r="D42" s="134">
        <v>56.27</v>
      </c>
      <c r="E42" s="134">
        <v>48.5</v>
      </c>
      <c r="F42" s="134">
        <v>18.760000000000002</v>
      </c>
      <c r="G42" s="134">
        <v>149.76</v>
      </c>
      <c r="H42" s="134">
        <v>59.06</v>
      </c>
      <c r="I42" s="134">
        <v>10.06</v>
      </c>
      <c r="J42" s="134">
        <v>1.1100000000000001</v>
      </c>
      <c r="K42" s="134">
        <v>323.2</v>
      </c>
      <c r="L42" s="134">
        <v>36.659999999999997</v>
      </c>
      <c r="M42" s="134">
        <v>24.3</v>
      </c>
      <c r="N42" s="134">
        <v>137.5</v>
      </c>
      <c r="O42" s="134">
        <v>0</v>
      </c>
      <c r="P42" s="134">
        <v>1</v>
      </c>
      <c r="Q42" s="134">
        <v>6.81</v>
      </c>
    </row>
    <row r="43" spans="1:17" customFormat="1">
      <c r="A43" s="112" t="s">
        <v>1040</v>
      </c>
      <c r="B43" s="134">
        <v>28.85</v>
      </c>
      <c r="C43" s="134">
        <v>62.83</v>
      </c>
      <c r="D43" s="134">
        <v>55.02</v>
      </c>
      <c r="E43" s="134">
        <v>22.31</v>
      </c>
      <c r="F43" s="134">
        <v>21.91</v>
      </c>
      <c r="G43" s="134">
        <v>169.35</v>
      </c>
      <c r="H43" s="134">
        <v>64.59</v>
      </c>
      <c r="I43" s="134">
        <v>9.61</v>
      </c>
      <c r="J43" s="134">
        <v>0.76</v>
      </c>
      <c r="K43" s="134">
        <v>334.06</v>
      </c>
      <c r="L43" s="134">
        <v>36.9</v>
      </c>
      <c r="M43" s="134">
        <v>23.96</v>
      </c>
      <c r="N43" s="134">
        <v>145.6</v>
      </c>
      <c r="O43" s="134">
        <v>0</v>
      </c>
      <c r="P43" s="134">
        <v>0.99</v>
      </c>
      <c r="Q43" s="134">
        <v>6.71</v>
      </c>
    </row>
    <row r="44" spans="1:17" customFormat="1">
      <c r="A44" s="112" t="s">
        <v>1041</v>
      </c>
      <c r="B44" s="134">
        <v>25.1</v>
      </c>
      <c r="C44" s="134">
        <v>61.9</v>
      </c>
      <c r="D44" s="134">
        <v>51.42</v>
      </c>
      <c r="E44" s="134">
        <v>18.13</v>
      </c>
      <c r="F44" s="134">
        <v>22</v>
      </c>
      <c r="G44" s="134">
        <v>169.35</v>
      </c>
      <c r="H44" s="134">
        <v>64.59</v>
      </c>
      <c r="I44" s="134">
        <v>9.51</v>
      </c>
      <c r="J44" s="134">
        <v>0.62</v>
      </c>
      <c r="K44" s="134">
        <v>323.25</v>
      </c>
      <c r="L44" s="134">
        <v>37.020000000000003</v>
      </c>
      <c r="M44" s="134">
        <v>23.92</v>
      </c>
      <c r="N44" s="134">
        <v>145.19999999999999</v>
      </c>
      <c r="O44" s="134">
        <v>0</v>
      </c>
      <c r="P44" s="134">
        <v>0.97</v>
      </c>
      <c r="Q44" s="134">
        <v>6.58</v>
      </c>
    </row>
    <row r="45" spans="1:17" customFormat="1">
      <c r="A45" s="112" t="s">
        <v>1042</v>
      </c>
      <c r="B45" s="134">
        <v>21.88</v>
      </c>
      <c r="C45" s="134">
        <v>58.96</v>
      </c>
      <c r="D45" s="134">
        <v>47.3</v>
      </c>
      <c r="E45" s="134">
        <v>19.760000000000002</v>
      </c>
      <c r="F45" s="134">
        <v>28.5</v>
      </c>
      <c r="G45" s="134">
        <v>169.35</v>
      </c>
      <c r="H45" s="134">
        <v>64.59</v>
      </c>
      <c r="I45" s="134">
        <v>9.4499999999999993</v>
      </c>
      <c r="J45" s="134">
        <v>0.79</v>
      </c>
      <c r="K45" s="134">
        <v>31.01</v>
      </c>
      <c r="L45" s="134">
        <v>38.26</v>
      </c>
      <c r="M45" s="134">
        <v>21.57</v>
      </c>
      <c r="N45" s="134">
        <v>139.19999999999999</v>
      </c>
      <c r="O45" s="134">
        <v>0</v>
      </c>
      <c r="P45" s="134">
        <v>0.9</v>
      </c>
      <c r="Q45" s="134">
        <v>6.48</v>
      </c>
    </row>
    <row r="46" spans="1:17" customFormat="1">
      <c r="A46" s="112" t="s">
        <v>1043</v>
      </c>
      <c r="B46" s="134">
        <v>19.25</v>
      </c>
      <c r="C46" s="134">
        <v>57.97</v>
      </c>
      <c r="D46" s="134">
        <v>44.68</v>
      </c>
      <c r="E46" s="134">
        <v>24.07</v>
      </c>
      <c r="F46" s="134">
        <v>37.47</v>
      </c>
      <c r="G46" s="134">
        <v>130.03</v>
      </c>
      <c r="H46" s="134">
        <v>56.71</v>
      </c>
      <c r="I46" s="134">
        <v>8.81</v>
      </c>
      <c r="J46" s="134">
        <v>0.46</v>
      </c>
      <c r="K46" s="134">
        <v>9.15</v>
      </c>
      <c r="L46" s="134">
        <v>39.049999999999997</v>
      </c>
      <c r="M46" s="134">
        <v>20.02</v>
      </c>
      <c r="N46" s="134">
        <v>139.9</v>
      </c>
      <c r="O46" s="134">
        <v>0</v>
      </c>
      <c r="P46" s="134">
        <v>0.91</v>
      </c>
      <c r="Q46" s="134">
        <v>6.38</v>
      </c>
    </row>
    <row r="47" spans="1:17" customFormat="1">
      <c r="A47" s="112" t="s">
        <v>1044</v>
      </c>
      <c r="B47" s="134">
        <v>19.850000000000001</v>
      </c>
      <c r="C47" s="134">
        <v>59.76</v>
      </c>
      <c r="D47" s="134">
        <v>46.1</v>
      </c>
      <c r="E47" s="134">
        <v>28.79</v>
      </c>
      <c r="F47" s="134">
        <v>33.369999999999997</v>
      </c>
      <c r="G47" s="134">
        <v>73.709999999999994</v>
      </c>
      <c r="H47" s="134">
        <v>49.93</v>
      </c>
      <c r="I47" s="134">
        <v>8.16</v>
      </c>
      <c r="J47" s="134">
        <v>0.63</v>
      </c>
      <c r="K47" s="134">
        <v>14.77</v>
      </c>
      <c r="L47" s="134">
        <v>39.840000000000003</v>
      </c>
      <c r="M47" s="134">
        <v>17.98</v>
      </c>
      <c r="N47" s="134">
        <v>144.80000000000001</v>
      </c>
      <c r="O47" s="134">
        <v>0</v>
      </c>
      <c r="P47" s="134">
        <v>0.91</v>
      </c>
      <c r="Q47" s="134">
        <v>6.29</v>
      </c>
    </row>
    <row r="48" spans="1:17" customFormat="1">
      <c r="A48" s="112" t="s">
        <v>1045</v>
      </c>
      <c r="B48" s="134">
        <v>17.52</v>
      </c>
      <c r="C48" s="134">
        <v>62.29</v>
      </c>
      <c r="D48" s="134">
        <v>45.55</v>
      </c>
      <c r="E48" s="134">
        <v>32.07</v>
      </c>
      <c r="F48" s="134">
        <v>30.4</v>
      </c>
      <c r="G48" s="134">
        <v>73.709999999999994</v>
      </c>
      <c r="H48" s="134">
        <v>49.93</v>
      </c>
      <c r="I48" s="134">
        <v>8.1</v>
      </c>
      <c r="J48" s="134">
        <v>0.41</v>
      </c>
      <c r="K48" s="134">
        <v>0.49</v>
      </c>
      <c r="L48" s="134">
        <v>39.9</v>
      </c>
      <c r="M48" s="134">
        <v>16.399999999999999</v>
      </c>
      <c r="N48" s="134">
        <v>151.80000000000001</v>
      </c>
      <c r="O48" s="134">
        <v>0</v>
      </c>
      <c r="P48" s="134">
        <v>0.88</v>
      </c>
      <c r="Q48" s="134">
        <v>6.21</v>
      </c>
    </row>
    <row r="49" spans="1:17" customFormat="1">
      <c r="A49" s="112" t="s">
        <v>1046</v>
      </c>
      <c r="B49" s="134">
        <v>16.510000000000002</v>
      </c>
      <c r="C49" s="134">
        <v>61.66</v>
      </c>
      <c r="D49" s="134">
        <v>44.41</v>
      </c>
      <c r="E49" s="134">
        <v>37.49</v>
      </c>
      <c r="F49" s="134">
        <v>33.659999999999997</v>
      </c>
      <c r="G49" s="134">
        <v>73.709999999999994</v>
      </c>
      <c r="H49" s="134">
        <v>49.93</v>
      </c>
      <c r="I49" s="134">
        <v>8.0299999999999994</v>
      </c>
      <c r="J49" s="134">
        <v>0.63</v>
      </c>
      <c r="K49" s="134">
        <v>47.94</v>
      </c>
      <c r="L49" s="134">
        <v>40.56</v>
      </c>
      <c r="M49" s="134">
        <v>14.32</v>
      </c>
      <c r="N49" s="134">
        <v>152.80000000000001</v>
      </c>
      <c r="O49" s="134">
        <v>0</v>
      </c>
      <c r="P49" s="134">
        <v>0.83</v>
      </c>
      <c r="Q49" s="134">
        <v>6.1</v>
      </c>
    </row>
    <row r="50" spans="1:17" customFormat="1">
      <c r="A50" s="112" t="s">
        <v>1047</v>
      </c>
      <c r="B50" s="134">
        <v>15.72</v>
      </c>
      <c r="C50" s="134">
        <v>60.66</v>
      </c>
      <c r="D50" s="134">
        <v>43.26</v>
      </c>
      <c r="E50" s="134">
        <v>25.57</v>
      </c>
      <c r="F50" s="134">
        <v>27.78</v>
      </c>
      <c r="G50" s="134">
        <v>82.17</v>
      </c>
      <c r="H50" s="134">
        <v>48.4</v>
      </c>
      <c r="I50" s="134">
        <v>7.99</v>
      </c>
      <c r="J50" s="134">
        <v>0.62</v>
      </c>
      <c r="K50" s="134">
        <v>294.64</v>
      </c>
      <c r="L50" s="134">
        <v>40.659999999999997</v>
      </c>
      <c r="M50" s="134">
        <v>14.24</v>
      </c>
      <c r="N50" s="134">
        <v>160.9</v>
      </c>
      <c r="O50" s="134">
        <v>0</v>
      </c>
      <c r="P50" s="134">
        <v>0.86</v>
      </c>
      <c r="Q50" s="134">
        <v>6.02</v>
      </c>
    </row>
    <row r="51" spans="1:17" customFormat="1">
      <c r="A51" s="112" t="s">
        <v>1048</v>
      </c>
      <c r="B51" s="134">
        <v>12.36</v>
      </c>
      <c r="C51" s="134">
        <v>57.74</v>
      </c>
      <c r="D51" s="134">
        <v>39.03</v>
      </c>
      <c r="E51" s="134">
        <v>41.97</v>
      </c>
      <c r="F51" s="134">
        <v>42.08</v>
      </c>
      <c r="G51" s="134">
        <v>94.28</v>
      </c>
      <c r="H51" s="134">
        <v>47.09</v>
      </c>
      <c r="I51" s="134">
        <v>7.93</v>
      </c>
      <c r="J51" s="134">
        <v>0.33</v>
      </c>
      <c r="K51" s="134">
        <v>77.88</v>
      </c>
      <c r="L51" s="134">
        <v>41.37</v>
      </c>
      <c r="M51" s="134">
        <v>13.09</v>
      </c>
      <c r="N51" s="134">
        <v>163.1</v>
      </c>
      <c r="O51" s="134">
        <v>0</v>
      </c>
      <c r="P51" s="134">
        <v>0.75</v>
      </c>
      <c r="Q51" s="134">
        <v>5.9</v>
      </c>
    </row>
    <row r="52" spans="1:17" customFormat="1">
      <c r="A52" s="112" t="s">
        <v>1049</v>
      </c>
      <c r="B52" s="134">
        <v>12.8</v>
      </c>
      <c r="C52" s="134">
        <v>62.31</v>
      </c>
      <c r="D52" s="134">
        <v>41.78</v>
      </c>
      <c r="E52" s="134">
        <v>33.479999999999997</v>
      </c>
      <c r="F52" s="134">
        <v>30.29</v>
      </c>
      <c r="G52" s="134">
        <v>94.28</v>
      </c>
      <c r="H52" s="134">
        <v>47.09</v>
      </c>
      <c r="I52" s="134">
        <v>7.48</v>
      </c>
      <c r="J52" s="134">
        <v>0.36</v>
      </c>
      <c r="K52" s="134">
        <v>340.56</v>
      </c>
      <c r="L52" s="134">
        <v>41.49</v>
      </c>
      <c r="M52" s="134">
        <v>13.57</v>
      </c>
      <c r="N52" s="134">
        <v>179.4</v>
      </c>
      <c r="O52" s="134">
        <v>0</v>
      </c>
      <c r="P52" s="134">
        <v>0.8</v>
      </c>
      <c r="Q52" s="134">
        <v>5.83</v>
      </c>
    </row>
    <row r="53" spans="1:17" customFormat="1">
      <c r="A53" s="112" t="s">
        <v>1050</v>
      </c>
      <c r="B53" s="134">
        <v>9.9</v>
      </c>
      <c r="C53" s="134">
        <v>57.31</v>
      </c>
      <c r="D53" s="134">
        <v>36.83</v>
      </c>
      <c r="E53" s="134">
        <v>49.73</v>
      </c>
      <c r="F53" s="134">
        <v>48.52</v>
      </c>
      <c r="G53" s="134">
        <v>94.28</v>
      </c>
      <c r="H53" s="134">
        <v>47.09</v>
      </c>
      <c r="I53" s="134">
        <v>7.13</v>
      </c>
      <c r="J53" s="134">
        <v>0.54</v>
      </c>
      <c r="K53" s="134">
        <v>25.21</v>
      </c>
      <c r="L53" s="134">
        <v>41.98</v>
      </c>
      <c r="M53" s="134">
        <v>13.39</v>
      </c>
      <c r="N53" s="134">
        <v>198.8</v>
      </c>
      <c r="O53" s="134">
        <v>0</v>
      </c>
      <c r="P53" s="134">
        <v>0.74</v>
      </c>
      <c r="Q53" s="134">
        <v>5.76</v>
      </c>
    </row>
    <row r="54" spans="1:17" customFormat="1">
      <c r="A54" s="112" t="s">
        <v>1051</v>
      </c>
      <c r="B54" s="134">
        <v>9.73</v>
      </c>
      <c r="C54" s="134">
        <v>58.19</v>
      </c>
      <c r="D54" s="134">
        <v>37.159999999999997</v>
      </c>
      <c r="E54" s="134">
        <v>29.44</v>
      </c>
      <c r="F54" s="134">
        <v>45.75</v>
      </c>
      <c r="G54" s="134">
        <v>79.650000000000006</v>
      </c>
      <c r="H54" s="134">
        <v>44.59</v>
      </c>
      <c r="I54" s="134">
        <v>7.03</v>
      </c>
      <c r="J54" s="134">
        <v>1.1399999999999999</v>
      </c>
      <c r="K54" s="134">
        <v>52.06</v>
      </c>
      <c r="L54" s="134">
        <v>42</v>
      </c>
      <c r="M54" s="134">
        <v>13.83</v>
      </c>
      <c r="N54" s="134">
        <v>217.3</v>
      </c>
      <c r="O54" s="134">
        <v>0</v>
      </c>
      <c r="P54" s="134">
        <v>0.76</v>
      </c>
      <c r="Q54" s="134">
        <v>5.73</v>
      </c>
    </row>
    <row r="55" spans="1:17" customFormat="1">
      <c r="A55" s="112" t="s">
        <v>1052</v>
      </c>
      <c r="B55" s="134">
        <v>7.58</v>
      </c>
      <c r="C55" s="134">
        <v>55.52</v>
      </c>
      <c r="D55" s="134">
        <v>34.04</v>
      </c>
      <c r="E55" s="134">
        <v>24.64</v>
      </c>
      <c r="F55" s="134">
        <v>48.74</v>
      </c>
      <c r="G55" s="134">
        <v>58.7</v>
      </c>
      <c r="H55" s="134">
        <v>42.44</v>
      </c>
      <c r="I55" s="134">
        <v>6.88</v>
      </c>
      <c r="J55" s="134">
        <v>0.28999999999999998</v>
      </c>
      <c r="K55" s="134">
        <v>287.27</v>
      </c>
      <c r="L55" s="134">
        <v>41.93</v>
      </c>
      <c r="M55" s="134">
        <v>14.25</v>
      </c>
      <c r="N55" s="134">
        <v>277.3</v>
      </c>
      <c r="O55" s="134">
        <v>0</v>
      </c>
      <c r="P55" s="134">
        <v>0.71</v>
      </c>
      <c r="Q55" s="134">
        <v>5.67</v>
      </c>
    </row>
    <row r="56" spans="1:17" customFormat="1">
      <c r="A56" s="112" t="s">
        <v>1053</v>
      </c>
      <c r="B56" s="134">
        <v>7.66</v>
      </c>
      <c r="C56" s="134">
        <v>60.68</v>
      </c>
      <c r="D56" s="134">
        <v>36.799999999999997</v>
      </c>
      <c r="E56" s="134">
        <v>16.3</v>
      </c>
      <c r="F56" s="134">
        <v>35.950000000000003</v>
      </c>
      <c r="G56" s="134">
        <v>58.7</v>
      </c>
      <c r="H56" s="134">
        <v>42.44</v>
      </c>
      <c r="I56" s="134">
        <v>6.84</v>
      </c>
      <c r="J56" s="134">
        <v>0.74</v>
      </c>
      <c r="K56" s="134">
        <v>312.29000000000002</v>
      </c>
      <c r="L56" s="134">
        <v>42.37</v>
      </c>
      <c r="M56" s="134">
        <v>13.44</v>
      </c>
      <c r="N56" s="134">
        <v>747.6</v>
      </c>
      <c r="O56" s="134">
        <v>0</v>
      </c>
      <c r="P56" s="134">
        <v>0.75</v>
      </c>
      <c r="Q56" s="134">
        <v>5.57</v>
      </c>
    </row>
    <row r="57" spans="1:17" customFormat="1">
      <c r="A57" s="112" t="s">
        <v>1054</v>
      </c>
      <c r="B57" s="134">
        <v>6.37</v>
      </c>
      <c r="C57" s="134">
        <v>52.32</v>
      </c>
      <c r="D57" s="134">
        <v>31.39</v>
      </c>
      <c r="E57" s="134">
        <v>14.6</v>
      </c>
      <c r="F57" s="134">
        <v>45.34</v>
      </c>
      <c r="G57" s="134">
        <v>58.7</v>
      </c>
      <c r="H57" s="134">
        <v>42.44</v>
      </c>
      <c r="I57" s="134">
        <v>6.84</v>
      </c>
      <c r="J57" s="134">
        <v>0.39</v>
      </c>
      <c r="K57" s="134">
        <v>349.18</v>
      </c>
      <c r="L57" s="134">
        <v>42.37</v>
      </c>
      <c r="M57" s="134">
        <v>12.89</v>
      </c>
      <c r="N57" s="134">
        <v>795.2</v>
      </c>
      <c r="O57" s="134">
        <v>0</v>
      </c>
      <c r="P57" s="134">
        <v>0.69</v>
      </c>
      <c r="Q57" s="134">
        <v>5.5</v>
      </c>
    </row>
    <row r="58" spans="1:17" customFormat="1">
      <c r="A58" s="112" t="s">
        <v>1055</v>
      </c>
      <c r="B58" s="134">
        <v>6.07</v>
      </c>
      <c r="C58" s="134">
        <v>56.14</v>
      </c>
      <c r="D58" s="134">
        <v>33.15</v>
      </c>
      <c r="E58" s="134">
        <v>12.78</v>
      </c>
      <c r="F58" s="134">
        <v>34.4</v>
      </c>
      <c r="G58" s="134">
        <v>63.76</v>
      </c>
      <c r="H58" s="134">
        <v>40.56</v>
      </c>
      <c r="I58" s="134">
        <v>6.97</v>
      </c>
      <c r="J58" s="134">
        <v>0.65</v>
      </c>
      <c r="K58" s="134">
        <v>293.07</v>
      </c>
      <c r="L58" s="134">
        <v>43.07</v>
      </c>
      <c r="M58" s="134">
        <v>12.68</v>
      </c>
      <c r="N58" s="134">
        <v>753.1</v>
      </c>
      <c r="O58" s="134">
        <v>0</v>
      </c>
      <c r="P58" s="134">
        <v>0.71</v>
      </c>
      <c r="Q58" s="134">
        <v>5.46</v>
      </c>
    </row>
    <row r="59" spans="1:17" customFormat="1">
      <c r="A59" s="112" t="s">
        <v>1056</v>
      </c>
      <c r="B59" s="134">
        <v>5.72</v>
      </c>
      <c r="C59" s="134">
        <v>56.81</v>
      </c>
      <c r="D59" s="134">
        <v>33.22</v>
      </c>
      <c r="E59" s="134">
        <v>13.08</v>
      </c>
      <c r="F59" s="134">
        <v>32.200000000000003</v>
      </c>
      <c r="G59" s="134">
        <v>71.33</v>
      </c>
      <c r="H59" s="134">
        <v>38.950000000000003</v>
      </c>
      <c r="I59" s="134">
        <v>6.79</v>
      </c>
      <c r="J59" s="134">
        <v>0.59</v>
      </c>
      <c r="K59" s="134">
        <v>303.39999999999998</v>
      </c>
      <c r="L59" s="134">
        <v>43.2</v>
      </c>
      <c r="M59" s="134">
        <v>12.9</v>
      </c>
      <c r="N59" s="134">
        <v>746.1</v>
      </c>
      <c r="O59" s="134">
        <v>0</v>
      </c>
      <c r="P59" s="134">
        <v>0.71</v>
      </c>
      <c r="Q59" s="134">
        <v>5.41</v>
      </c>
    </row>
    <row r="60" spans="1:17" customFormat="1">
      <c r="A60" s="112" t="s">
        <v>1057</v>
      </c>
      <c r="B60" s="134">
        <v>5.41</v>
      </c>
      <c r="C60" s="134">
        <v>56.27</v>
      </c>
      <c r="D60" s="134">
        <v>32.69</v>
      </c>
      <c r="E60" s="134">
        <v>14.05</v>
      </c>
      <c r="F60" s="134">
        <v>38.450000000000003</v>
      </c>
      <c r="G60" s="134">
        <v>71.33</v>
      </c>
      <c r="H60" s="134">
        <v>38.950000000000003</v>
      </c>
      <c r="I60" s="134">
        <v>6.76</v>
      </c>
      <c r="J60" s="134">
        <v>0.4</v>
      </c>
      <c r="K60" s="134">
        <v>335.56</v>
      </c>
      <c r="L60" s="134">
        <v>42.92</v>
      </c>
      <c r="M60" s="134">
        <v>13.08</v>
      </c>
      <c r="N60" s="134">
        <v>495.6</v>
      </c>
      <c r="O60" s="134">
        <v>0</v>
      </c>
      <c r="P60" s="134">
        <v>0.67</v>
      </c>
      <c r="Q60" s="134">
        <v>5.37</v>
      </c>
    </row>
    <row r="61" spans="1:17" customFormat="1">
      <c r="A61" s="112" t="s">
        <v>1058</v>
      </c>
      <c r="B61" s="134">
        <v>5.47</v>
      </c>
      <c r="C61" s="134">
        <v>57.22</v>
      </c>
      <c r="D61" s="134">
        <v>33.229999999999997</v>
      </c>
      <c r="E61" s="134">
        <v>12.24</v>
      </c>
      <c r="F61" s="134">
        <v>36.770000000000003</v>
      </c>
      <c r="G61" s="134">
        <v>71.33</v>
      </c>
      <c r="H61" s="134">
        <v>38.950000000000003</v>
      </c>
      <c r="I61" s="134">
        <v>6.97</v>
      </c>
      <c r="J61" s="134">
        <v>0.73</v>
      </c>
      <c r="K61" s="134">
        <v>323.7</v>
      </c>
      <c r="L61" s="134">
        <v>42.08</v>
      </c>
      <c r="M61" s="134">
        <v>13.92</v>
      </c>
      <c r="N61" s="134">
        <v>549.1</v>
      </c>
      <c r="O61" s="134">
        <v>0</v>
      </c>
      <c r="P61" s="134">
        <v>0.68</v>
      </c>
      <c r="Q61" s="134">
        <v>5.38</v>
      </c>
    </row>
    <row r="62" spans="1:17" customFormat="1">
      <c r="A62" s="112" t="s">
        <v>1059</v>
      </c>
      <c r="B62" s="134">
        <v>5.23</v>
      </c>
      <c r="C62" s="134">
        <v>54.85</v>
      </c>
      <c r="D62" s="134">
        <v>31.8</v>
      </c>
      <c r="E62" s="134">
        <v>11.27</v>
      </c>
      <c r="F62" s="134">
        <v>29.94</v>
      </c>
      <c r="G62" s="134">
        <v>68.08</v>
      </c>
      <c r="H62" s="134">
        <v>37.729999999999997</v>
      </c>
      <c r="I62" s="134">
        <v>6.87</v>
      </c>
      <c r="J62" s="134">
        <v>1.29</v>
      </c>
      <c r="K62" s="134">
        <v>316.35000000000002</v>
      </c>
      <c r="L62" s="134">
        <v>42.12</v>
      </c>
      <c r="M62" s="134">
        <v>13.58</v>
      </c>
      <c r="N62" s="134">
        <v>350.5</v>
      </c>
      <c r="O62" s="134">
        <v>0</v>
      </c>
      <c r="P62" s="134">
        <v>0.68</v>
      </c>
      <c r="Q62" s="134">
        <v>5.36</v>
      </c>
    </row>
    <row r="63" spans="1:17" customFormat="1">
      <c r="A63" s="112" t="s">
        <v>1060</v>
      </c>
      <c r="B63" s="134">
        <v>5.17</v>
      </c>
      <c r="C63" s="134">
        <v>56.11</v>
      </c>
      <c r="D63" s="134">
        <v>32.42</v>
      </c>
      <c r="E63" s="134">
        <v>10.36</v>
      </c>
      <c r="F63" s="134">
        <v>29.15</v>
      </c>
      <c r="G63" s="134">
        <v>63.43</v>
      </c>
      <c r="H63" s="134">
        <v>33.96</v>
      </c>
      <c r="I63" s="134">
        <v>6.66</v>
      </c>
      <c r="J63" s="134">
        <v>1.1100000000000001</v>
      </c>
      <c r="K63" s="134">
        <v>310.3</v>
      </c>
      <c r="L63" s="134">
        <v>41.93</v>
      </c>
      <c r="M63" s="134">
        <v>14.13</v>
      </c>
      <c r="N63" s="134">
        <v>585.5</v>
      </c>
      <c r="O63" s="134">
        <v>0</v>
      </c>
      <c r="P63" s="134">
        <v>0.67</v>
      </c>
      <c r="Q63" s="134">
        <v>5.36</v>
      </c>
    </row>
    <row r="64" spans="1:17" customFormat="1">
      <c r="A64" s="112" t="s">
        <v>1061</v>
      </c>
      <c r="B64" s="134">
        <v>5.75</v>
      </c>
      <c r="C64" s="134">
        <v>55.32</v>
      </c>
      <c r="D64" s="134">
        <v>32.47</v>
      </c>
      <c r="E64" s="134">
        <v>10.27</v>
      </c>
      <c r="F64" s="134">
        <v>29.87</v>
      </c>
      <c r="G64" s="134">
        <v>63.43</v>
      </c>
      <c r="H64" s="134">
        <v>33.96</v>
      </c>
      <c r="I64" s="134">
        <v>6.55</v>
      </c>
      <c r="J64" s="134">
        <v>0.89</v>
      </c>
      <c r="K64" s="134">
        <v>325.81</v>
      </c>
      <c r="L64" s="134">
        <v>42.01</v>
      </c>
      <c r="M64" s="134">
        <v>14.29</v>
      </c>
      <c r="N64" s="134">
        <v>395.8</v>
      </c>
      <c r="O64" s="134">
        <v>0</v>
      </c>
      <c r="P64" s="134">
        <v>0.63</v>
      </c>
      <c r="Q64" s="134">
        <v>5.33</v>
      </c>
    </row>
    <row r="65" spans="1:17" customFormat="1">
      <c r="A65" s="112" t="s">
        <v>1062</v>
      </c>
      <c r="B65" s="134">
        <v>5.33</v>
      </c>
      <c r="C65" s="134">
        <v>54.8</v>
      </c>
      <c r="D65" s="134">
        <v>31.86</v>
      </c>
      <c r="E65" s="134">
        <v>10.79</v>
      </c>
      <c r="F65" s="134">
        <v>31.35</v>
      </c>
      <c r="G65" s="134">
        <v>63.43</v>
      </c>
      <c r="H65" s="134">
        <v>33.96</v>
      </c>
      <c r="I65" s="134">
        <v>6.6</v>
      </c>
      <c r="J65" s="134">
        <v>0.85</v>
      </c>
      <c r="K65" s="134">
        <v>302.52999999999997</v>
      </c>
      <c r="L65" s="134">
        <v>41.65</v>
      </c>
      <c r="M65" s="134">
        <v>14.87</v>
      </c>
      <c r="N65" s="134">
        <v>182.3</v>
      </c>
      <c r="O65" s="134">
        <v>0</v>
      </c>
      <c r="P65" s="134">
        <v>0.6</v>
      </c>
      <c r="Q65" s="134">
        <v>5.31</v>
      </c>
    </row>
    <row r="66" spans="1:17" customFormat="1">
      <c r="A66" s="112" t="s">
        <v>1063</v>
      </c>
      <c r="B66" s="134">
        <v>5.19</v>
      </c>
      <c r="C66" s="134">
        <v>55.21</v>
      </c>
      <c r="D66" s="134">
        <v>31.97</v>
      </c>
      <c r="E66" s="134">
        <v>9.7200000000000006</v>
      </c>
      <c r="F66" s="134">
        <v>28.93</v>
      </c>
      <c r="G66" s="134">
        <v>58.15</v>
      </c>
      <c r="H66" s="134">
        <v>32.67</v>
      </c>
      <c r="I66" s="134">
        <v>6.08</v>
      </c>
      <c r="J66" s="134">
        <v>1.05</v>
      </c>
      <c r="K66" s="134">
        <v>296.89999999999998</v>
      </c>
      <c r="L66" s="134">
        <v>40.98</v>
      </c>
      <c r="M66" s="134">
        <v>16.059999999999999</v>
      </c>
      <c r="N66" s="134">
        <v>209.8</v>
      </c>
      <c r="O66" s="134">
        <v>0</v>
      </c>
      <c r="P66" s="134">
        <v>0.62</v>
      </c>
      <c r="Q66" s="134">
        <v>5.31</v>
      </c>
    </row>
    <row r="67" spans="1:17" customFormat="1">
      <c r="A67" s="112" t="s">
        <v>1064</v>
      </c>
      <c r="B67" s="134">
        <v>5.86</v>
      </c>
      <c r="C67" s="134">
        <v>57.99</v>
      </c>
      <c r="D67" s="134">
        <v>33.950000000000003</v>
      </c>
      <c r="E67" s="134">
        <v>9.61</v>
      </c>
      <c r="F67" s="134">
        <v>22.5</v>
      </c>
      <c r="G67" s="134">
        <v>50.58</v>
      </c>
      <c r="H67" s="134">
        <v>31.55</v>
      </c>
      <c r="I67" s="134">
        <v>5.93</v>
      </c>
      <c r="J67" s="134">
        <v>1.2</v>
      </c>
      <c r="K67" s="134">
        <v>288.52999999999997</v>
      </c>
      <c r="L67" s="134">
        <v>41.54</v>
      </c>
      <c r="M67" s="134">
        <v>15.48</v>
      </c>
      <c r="N67" s="134">
        <v>378.7</v>
      </c>
      <c r="O67" s="134">
        <v>0</v>
      </c>
      <c r="P67" s="134">
        <v>0.63</v>
      </c>
      <c r="Q67" s="134">
        <v>5.31</v>
      </c>
    </row>
    <row r="68" spans="1:17" customFormat="1">
      <c r="A68" s="112" t="s">
        <v>1065</v>
      </c>
      <c r="B68" s="134">
        <v>5.88</v>
      </c>
      <c r="C68" s="134">
        <v>56.42</v>
      </c>
      <c r="D68" s="134">
        <v>33.15</v>
      </c>
      <c r="E68" s="134">
        <v>9.73</v>
      </c>
      <c r="F68" s="134">
        <v>25.19</v>
      </c>
      <c r="G68" s="134">
        <v>50.58</v>
      </c>
      <c r="H68" s="134">
        <v>31.55</v>
      </c>
      <c r="I68" s="134">
        <v>6.21</v>
      </c>
      <c r="J68" s="134">
        <v>1.1000000000000001</v>
      </c>
      <c r="K68" s="134">
        <v>295.39</v>
      </c>
      <c r="L68" s="134">
        <v>42</v>
      </c>
      <c r="M68" s="134">
        <v>15.1</v>
      </c>
      <c r="N68" s="134">
        <v>554.29999999999995</v>
      </c>
      <c r="O68" s="134">
        <v>0</v>
      </c>
      <c r="P68" s="134">
        <v>0.6</v>
      </c>
      <c r="Q68" s="134">
        <v>5.32</v>
      </c>
    </row>
    <row r="69" spans="1:17" customFormat="1">
      <c r="A69" s="112" t="s">
        <v>1066</v>
      </c>
      <c r="B69" s="134">
        <v>7.16</v>
      </c>
      <c r="C69" s="134">
        <v>55.7</v>
      </c>
      <c r="D69" s="134">
        <v>33.799999999999997</v>
      </c>
      <c r="E69" s="134">
        <v>9.5500000000000007</v>
      </c>
      <c r="F69" s="134">
        <v>24.68</v>
      </c>
      <c r="G69" s="134">
        <v>50.58</v>
      </c>
      <c r="H69" s="134">
        <v>31.55</v>
      </c>
      <c r="I69" s="134">
        <v>6.21</v>
      </c>
      <c r="J69" s="134">
        <v>0.94</v>
      </c>
      <c r="K69" s="134">
        <v>285.83</v>
      </c>
      <c r="L69" s="134">
        <v>42.74</v>
      </c>
      <c r="M69" s="134">
        <v>14.66</v>
      </c>
      <c r="N69" s="134">
        <v>388.8</v>
      </c>
      <c r="O69" s="134">
        <v>0</v>
      </c>
      <c r="P69" s="134">
        <v>0.59</v>
      </c>
      <c r="Q69" s="134">
        <v>5.31</v>
      </c>
    </row>
    <row r="70" spans="1:17" customFormat="1">
      <c r="A70" s="112" t="s">
        <v>1067</v>
      </c>
      <c r="B70" s="134">
        <v>6.08</v>
      </c>
      <c r="C70" s="134">
        <v>58.59</v>
      </c>
      <c r="D70" s="134">
        <v>34.44</v>
      </c>
      <c r="E70" s="134">
        <v>9.0399999999999991</v>
      </c>
      <c r="F70" s="134">
        <v>24.22</v>
      </c>
      <c r="G70" s="134">
        <v>52.64</v>
      </c>
      <c r="H70" s="134">
        <v>30.48</v>
      </c>
      <c r="I70" s="134">
        <v>5.79</v>
      </c>
      <c r="J70" s="134">
        <v>1.3</v>
      </c>
      <c r="K70" s="134">
        <v>303.25</v>
      </c>
      <c r="L70" s="134">
        <v>40.98</v>
      </c>
      <c r="M70" s="134">
        <v>15.99</v>
      </c>
      <c r="N70" s="134">
        <v>104.5</v>
      </c>
      <c r="O70" s="134">
        <v>0</v>
      </c>
      <c r="P70" s="134">
        <v>0.6</v>
      </c>
      <c r="Q70" s="134">
        <v>5.33</v>
      </c>
    </row>
    <row r="71" spans="1:17" customFormat="1">
      <c r="A71" s="112" t="s">
        <v>1068</v>
      </c>
      <c r="B71" s="134">
        <v>5.79</v>
      </c>
      <c r="C71" s="134">
        <v>55.9</v>
      </c>
      <c r="D71" s="134">
        <v>32.799999999999997</v>
      </c>
      <c r="E71" s="134">
        <v>9.9700000000000006</v>
      </c>
      <c r="F71" s="134">
        <v>26.47</v>
      </c>
      <c r="G71" s="134">
        <v>55.58</v>
      </c>
      <c r="H71" s="134">
        <v>29.55</v>
      </c>
      <c r="I71" s="134">
        <v>5.61</v>
      </c>
      <c r="J71" s="134">
        <v>1.46</v>
      </c>
      <c r="K71" s="134">
        <v>302.62</v>
      </c>
      <c r="L71" s="134">
        <v>40.47</v>
      </c>
      <c r="M71" s="134">
        <v>17.600000000000001</v>
      </c>
      <c r="N71" s="134">
        <v>55.6</v>
      </c>
      <c r="O71" s="134">
        <v>0</v>
      </c>
      <c r="P71" s="134">
        <v>0.55000000000000004</v>
      </c>
      <c r="Q71" s="134">
        <v>5.34</v>
      </c>
    </row>
    <row r="72" spans="1:17" customFormat="1">
      <c r="A72" s="112" t="s">
        <v>1069</v>
      </c>
      <c r="B72" s="134">
        <v>6.12</v>
      </c>
      <c r="C72" s="134">
        <v>62.09</v>
      </c>
      <c r="D72" s="134">
        <v>36.299999999999997</v>
      </c>
      <c r="E72" s="134">
        <v>8.7899999999999991</v>
      </c>
      <c r="F72" s="134">
        <v>11.2</v>
      </c>
      <c r="G72" s="134">
        <v>55.58</v>
      </c>
      <c r="H72" s="134">
        <v>29.55</v>
      </c>
      <c r="I72" s="134">
        <v>5.59</v>
      </c>
      <c r="J72" s="134">
        <v>1.81</v>
      </c>
      <c r="K72" s="134">
        <v>274.70999999999998</v>
      </c>
      <c r="L72" s="134">
        <v>33.96</v>
      </c>
      <c r="M72" s="134">
        <v>39.21</v>
      </c>
      <c r="N72" s="134">
        <v>75</v>
      </c>
      <c r="O72" s="134">
        <v>0</v>
      </c>
      <c r="P72" s="134">
        <v>0.59</v>
      </c>
      <c r="Q72" s="134">
        <v>5.33</v>
      </c>
    </row>
    <row r="73" spans="1:17" customFormat="1">
      <c r="A73" s="112" t="s">
        <v>1070</v>
      </c>
      <c r="B73" s="134">
        <v>4.47</v>
      </c>
      <c r="C73" s="134">
        <v>40.71</v>
      </c>
      <c r="D73" s="134">
        <v>23.81</v>
      </c>
      <c r="E73" s="134">
        <v>9.16</v>
      </c>
      <c r="F73" s="134">
        <v>41.18</v>
      </c>
      <c r="G73" s="134">
        <v>55.58</v>
      </c>
      <c r="H73" s="134">
        <v>29.55</v>
      </c>
      <c r="I73" s="134">
        <v>5.41</v>
      </c>
      <c r="J73" s="134">
        <v>0.22</v>
      </c>
      <c r="K73" s="134">
        <v>203.77</v>
      </c>
      <c r="L73" s="134">
        <v>34.36</v>
      </c>
      <c r="M73" s="134">
        <v>40.74</v>
      </c>
      <c r="N73" s="134">
        <v>292.2</v>
      </c>
      <c r="O73" s="134">
        <v>0</v>
      </c>
      <c r="P73" s="134">
        <v>0.46</v>
      </c>
      <c r="Q73" s="134">
        <v>5.2</v>
      </c>
    </row>
    <row r="74" spans="1:17" customFormat="1">
      <c r="A74" s="112" t="s">
        <v>1071</v>
      </c>
      <c r="B74" s="134">
        <v>3.95</v>
      </c>
      <c r="C74" s="134">
        <v>35.65</v>
      </c>
      <c r="D74" s="134">
        <v>20.75</v>
      </c>
      <c r="E74" s="134">
        <v>9.6999999999999993</v>
      </c>
      <c r="F74" s="134">
        <v>50.51</v>
      </c>
      <c r="G74" s="134">
        <v>71.790000000000006</v>
      </c>
      <c r="H74" s="134">
        <v>30.37</v>
      </c>
      <c r="I74" s="134">
        <v>5.5</v>
      </c>
      <c r="J74" s="134">
        <v>0.31</v>
      </c>
      <c r="K74" s="134">
        <v>161.38</v>
      </c>
      <c r="L74" s="134">
        <v>37.090000000000003</v>
      </c>
      <c r="M74" s="134">
        <v>33.020000000000003</v>
      </c>
      <c r="N74" s="134">
        <v>153.4</v>
      </c>
      <c r="O74" s="134">
        <v>0</v>
      </c>
      <c r="P74" s="134">
        <v>0.44</v>
      </c>
      <c r="Q74" s="134">
        <v>5.0599999999999996</v>
      </c>
    </row>
    <row r="75" spans="1:17" customFormat="1">
      <c r="A75" s="112" t="s">
        <v>1072</v>
      </c>
      <c r="B75" s="134">
        <v>3.88</v>
      </c>
      <c r="C75" s="134">
        <v>34.6</v>
      </c>
      <c r="D75" s="134">
        <v>20.149999999999999</v>
      </c>
      <c r="E75" s="134">
        <v>9.82</v>
      </c>
      <c r="F75" s="134">
        <v>45.13</v>
      </c>
      <c r="G75" s="134">
        <v>95.02</v>
      </c>
      <c r="H75" s="134">
        <v>31.07</v>
      </c>
      <c r="I75" s="134">
        <v>4.3499999999999996</v>
      </c>
      <c r="J75" s="134">
        <v>0.16</v>
      </c>
      <c r="K75" s="134">
        <v>176.93</v>
      </c>
      <c r="L75" s="134">
        <v>37.29</v>
      </c>
      <c r="M75" s="134">
        <v>34.18</v>
      </c>
      <c r="N75" s="134">
        <v>119.7</v>
      </c>
      <c r="O75" s="134">
        <v>0</v>
      </c>
      <c r="P75" s="134">
        <v>0.42</v>
      </c>
      <c r="Q75" s="134">
        <v>5</v>
      </c>
    </row>
    <row r="76" spans="1:17" customFormat="1">
      <c r="A76" s="112" t="s">
        <v>1073</v>
      </c>
      <c r="B76" s="134">
        <v>6.06</v>
      </c>
      <c r="C76" s="134">
        <v>39.99</v>
      </c>
      <c r="D76" s="134">
        <v>24.71</v>
      </c>
      <c r="E76" s="134">
        <v>10.62</v>
      </c>
      <c r="F76" s="134">
        <v>44.66</v>
      </c>
      <c r="G76" s="134">
        <v>95.02</v>
      </c>
      <c r="H76" s="134">
        <v>31.07</v>
      </c>
      <c r="I76" s="134">
        <v>3.58</v>
      </c>
      <c r="J76" s="134">
        <v>0.15</v>
      </c>
      <c r="K76" s="134">
        <v>96.46</v>
      </c>
      <c r="L76" s="134">
        <v>38.630000000000003</v>
      </c>
      <c r="M76" s="134">
        <v>27.67</v>
      </c>
      <c r="N76" s="134">
        <v>185.1</v>
      </c>
      <c r="O76" s="134">
        <v>0</v>
      </c>
      <c r="P76" s="134">
        <v>0.46</v>
      </c>
      <c r="Q76" s="134">
        <v>5</v>
      </c>
    </row>
    <row r="77" spans="1:17" customFormat="1">
      <c r="A77" s="112" t="s">
        <v>1074</v>
      </c>
      <c r="B77" s="134">
        <v>10.56</v>
      </c>
      <c r="C77" s="134">
        <v>57.7</v>
      </c>
      <c r="D77" s="134">
        <v>37.57</v>
      </c>
      <c r="E77" s="134">
        <v>11.28</v>
      </c>
      <c r="F77" s="134">
        <v>22.58</v>
      </c>
      <c r="G77" s="134">
        <v>95.02</v>
      </c>
      <c r="H77" s="134">
        <v>31.07</v>
      </c>
      <c r="I77" s="134">
        <v>3.38</v>
      </c>
      <c r="J77" s="134">
        <v>0.06</v>
      </c>
      <c r="K77" s="134">
        <v>349.56</v>
      </c>
      <c r="L77" s="134">
        <v>38.79</v>
      </c>
      <c r="M77" s="134">
        <v>26.76</v>
      </c>
      <c r="N77" s="134">
        <v>57.9</v>
      </c>
      <c r="O77" s="134">
        <v>0</v>
      </c>
      <c r="P77" s="134">
        <v>0.6</v>
      </c>
      <c r="Q77" s="134">
        <v>5.04</v>
      </c>
    </row>
    <row r="78" spans="1:17" customFormat="1">
      <c r="A78" s="112" t="s">
        <v>1075</v>
      </c>
      <c r="B78" s="134">
        <v>7.01</v>
      </c>
      <c r="C78" s="134">
        <v>52.19</v>
      </c>
      <c r="D78" s="134">
        <v>31.84</v>
      </c>
      <c r="E78" s="134">
        <v>11.89</v>
      </c>
      <c r="F78" s="134">
        <v>31.45</v>
      </c>
      <c r="G78" s="134">
        <v>77.28</v>
      </c>
      <c r="H78" s="134">
        <v>30.02</v>
      </c>
      <c r="I78" s="134">
        <v>3.54</v>
      </c>
      <c r="J78" s="134">
        <v>0.23</v>
      </c>
      <c r="K78" s="134">
        <v>171.42</v>
      </c>
      <c r="L78" s="134">
        <v>38.26</v>
      </c>
      <c r="M78" s="134">
        <v>29.39</v>
      </c>
      <c r="N78" s="134">
        <v>100.6</v>
      </c>
      <c r="O78" s="134">
        <v>0</v>
      </c>
      <c r="P78" s="134">
        <v>0.59</v>
      </c>
      <c r="Q78" s="134">
        <v>5.14</v>
      </c>
    </row>
    <row r="79" spans="1:17" customFormat="1">
      <c r="A79" s="112" t="s">
        <v>1076</v>
      </c>
      <c r="B79" s="134">
        <v>5.22</v>
      </c>
      <c r="C79" s="134">
        <v>45.02</v>
      </c>
      <c r="D79" s="134">
        <v>26.67</v>
      </c>
      <c r="E79" s="134">
        <v>11.32</v>
      </c>
      <c r="F79" s="134">
        <v>29.4</v>
      </c>
      <c r="G79" s="134">
        <v>51.86</v>
      </c>
      <c r="H79" s="134">
        <v>29.11</v>
      </c>
      <c r="I79" s="134">
        <v>4.05</v>
      </c>
      <c r="J79" s="134">
        <v>0.33</v>
      </c>
      <c r="K79" s="134">
        <v>220.74</v>
      </c>
      <c r="L79" s="134">
        <v>37.909999999999997</v>
      </c>
      <c r="M79" s="134">
        <v>37.74</v>
      </c>
      <c r="N79" s="134">
        <v>74.400000000000006</v>
      </c>
      <c r="O79" s="134">
        <v>0</v>
      </c>
      <c r="P79" s="134">
        <v>0.56999999999999995</v>
      </c>
      <c r="Q79" s="134">
        <v>5.2</v>
      </c>
    </row>
    <row r="80" spans="1:17" customFormat="1">
      <c r="A80" s="112" t="s">
        <v>1077</v>
      </c>
      <c r="B80" s="134">
        <v>5.91</v>
      </c>
      <c r="C80" s="134">
        <v>47.82</v>
      </c>
      <c r="D80" s="134">
        <v>28.68</v>
      </c>
      <c r="E80" s="134">
        <v>11.17</v>
      </c>
      <c r="F80" s="134">
        <v>29.47</v>
      </c>
      <c r="G80" s="134">
        <v>51.86</v>
      </c>
      <c r="H80" s="134">
        <v>29.11</v>
      </c>
      <c r="I80" s="134">
        <v>4.05</v>
      </c>
      <c r="J80" s="134">
        <v>0.61</v>
      </c>
      <c r="K80" s="134">
        <v>244.68</v>
      </c>
      <c r="L80" s="134">
        <v>37.01</v>
      </c>
      <c r="M80" s="134">
        <v>33.26</v>
      </c>
      <c r="N80" s="134">
        <v>39.6</v>
      </c>
      <c r="O80" s="134">
        <v>0</v>
      </c>
      <c r="P80" s="134">
        <v>0.53</v>
      </c>
      <c r="Q80" s="134">
        <v>5.18</v>
      </c>
    </row>
    <row r="81" spans="1:17" customFormat="1">
      <c r="A81" s="112" t="s">
        <v>1078</v>
      </c>
      <c r="B81" s="134">
        <v>6.06</v>
      </c>
      <c r="C81" s="134">
        <v>44.7</v>
      </c>
      <c r="D81" s="134">
        <v>27.17</v>
      </c>
      <c r="E81" s="134">
        <v>5.92</v>
      </c>
      <c r="F81" s="134">
        <v>36.450000000000003</v>
      </c>
      <c r="G81" s="134">
        <v>51.86</v>
      </c>
      <c r="H81" s="134">
        <v>29.11</v>
      </c>
      <c r="I81" s="134">
        <v>4.29</v>
      </c>
      <c r="J81" s="134">
        <v>0.28999999999999998</v>
      </c>
      <c r="K81" s="134">
        <v>235.18</v>
      </c>
      <c r="L81" s="134">
        <v>36.630000000000003</v>
      </c>
      <c r="M81" s="134">
        <v>28.53</v>
      </c>
      <c r="N81" s="134">
        <v>9.1</v>
      </c>
      <c r="O81" s="134">
        <v>0</v>
      </c>
      <c r="P81" s="134">
        <v>0.47</v>
      </c>
      <c r="Q81" s="134">
        <v>5.15</v>
      </c>
    </row>
    <row r="82" spans="1:17" customFormat="1">
      <c r="A82" s="112" t="s">
        <v>1079</v>
      </c>
      <c r="B82" s="134">
        <v>5.82</v>
      </c>
      <c r="C82" s="134">
        <v>38.49</v>
      </c>
      <c r="D82" s="134">
        <v>23.73</v>
      </c>
      <c r="E82" s="134">
        <v>7.3</v>
      </c>
      <c r="F82" s="134">
        <v>41.47</v>
      </c>
      <c r="G82" s="134">
        <v>50.88</v>
      </c>
      <c r="H82" s="134">
        <v>27.99</v>
      </c>
      <c r="I82" s="134">
        <v>4.54</v>
      </c>
      <c r="J82" s="134">
        <v>0.12</v>
      </c>
      <c r="K82" s="134">
        <v>205.34</v>
      </c>
      <c r="L82" s="134">
        <v>35.93</v>
      </c>
      <c r="M82" s="134">
        <v>29.91</v>
      </c>
      <c r="N82" s="134">
        <v>0.2</v>
      </c>
      <c r="O82" s="134">
        <v>0</v>
      </c>
      <c r="P82" s="134">
        <v>0.47</v>
      </c>
      <c r="Q82" s="134">
        <v>5.12</v>
      </c>
    </row>
    <row r="83" spans="1:17" customFormat="1">
      <c r="A83" s="112" t="s">
        <v>1080</v>
      </c>
      <c r="B83" s="134">
        <v>5.18</v>
      </c>
      <c r="C83" s="134">
        <v>35.24</v>
      </c>
      <c r="D83" s="134">
        <v>21.52</v>
      </c>
      <c r="E83" s="134">
        <v>7.61</v>
      </c>
      <c r="F83" s="134">
        <v>37.69</v>
      </c>
      <c r="G83" s="134">
        <v>49.48</v>
      </c>
      <c r="H83" s="134">
        <v>27.03</v>
      </c>
      <c r="I83" s="134">
        <v>4.24</v>
      </c>
      <c r="J83" s="134">
        <v>0.11</v>
      </c>
      <c r="K83" s="134">
        <v>209.11</v>
      </c>
      <c r="L83" s="134">
        <v>35.270000000000003</v>
      </c>
      <c r="M83" s="134">
        <v>31.65</v>
      </c>
      <c r="N83" s="134">
        <v>0</v>
      </c>
      <c r="O83" s="134">
        <v>0</v>
      </c>
      <c r="P83" s="134">
        <v>0.51</v>
      </c>
      <c r="Q83" s="134">
        <v>5.0999999999999996</v>
      </c>
    </row>
    <row r="84" spans="1:17" customFormat="1">
      <c r="A84" s="112" t="s">
        <v>1081</v>
      </c>
      <c r="B84" s="134">
        <v>5.26</v>
      </c>
      <c r="C84" s="134">
        <v>38.14</v>
      </c>
      <c r="D84" s="134">
        <v>23.1</v>
      </c>
      <c r="E84" s="134">
        <v>7.49</v>
      </c>
      <c r="F84" s="134">
        <v>32.93</v>
      </c>
      <c r="G84" s="134">
        <v>49.48</v>
      </c>
      <c r="H84" s="134">
        <v>27.03</v>
      </c>
      <c r="I84" s="134">
        <v>4.1900000000000004</v>
      </c>
      <c r="J84" s="134">
        <v>0.24</v>
      </c>
      <c r="K84" s="134">
        <v>215.18</v>
      </c>
      <c r="L84" s="134">
        <v>35.11</v>
      </c>
      <c r="M84" s="134">
        <v>32.01</v>
      </c>
      <c r="N84" s="134">
        <v>0</v>
      </c>
      <c r="O84" s="134">
        <v>0</v>
      </c>
      <c r="P84" s="134">
        <v>0.52</v>
      </c>
      <c r="Q84" s="134">
        <v>5.12</v>
      </c>
    </row>
    <row r="85" spans="1:17" customFormat="1">
      <c r="A85" s="112" t="s">
        <v>1082</v>
      </c>
      <c r="B85" s="134">
        <v>6.25</v>
      </c>
      <c r="C85" s="134">
        <v>42.13</v>
      </c>
      <c r="D85" s="134">
        <v>25.97</v>
      </c>
      <c r="E85" s="134">
        <v>6.9</v>
      </c>
      <c r="F85" s="134">
        <v>31.49</v>
      </c>
      <c r="G85" s="134">
        <v>49.48</v>
      </c>
      <c r="H85" s="134">
        <v>27.03</v>
      </c>
      <c r="I85" s="134">
        <v>4.3099999999999996</v>
      </c>
      <c r="J85" s="134">
        <v>0.54</v>
      </c>
      <c r="K85" s="134">
        <v>246.18</v>
      </c>
      <c r="L85" s="134">
        <v>35.78</v>
      </c>
      <c r="M85" s="134">
        <v>29.67</v>
      </c>
      <c r="N85" s="134">
        <v>0</v>
      </c>
      <c r="O85" s="134">
        <v>0</v>
      </c>
      <c r="P85" s="134">
        <v>0.51</v>
      </c>
      <c r="Q85" s="134">
        <v>5.0999999999999996</v>
      </c>
    </row>
    <row r="86" spans="1:17" customFormat="1">
      <c r="A86" s="112" t="s">
        <v>1083</v>
      </c>
      <c r="B86" s="134">
        <v>5.95</v>
      </c>
      <c r="C86" s="134">
        <v>43.53</v>
      </c>
      <c r="D86" s="134">
        <v>26.47</v>
      </c>
      <c r="E86" s="134">
        <v>6.75</v>
      </c>
      <c r="F86" s="134">
        <v>34.520000000000003</v>
      </c>
      <c r="G86" s="134">
        <v>45.39</v>
      </c>
      <c r="H86" s="134">
        <v>27</v>
      </c>
      <c r="I86" s="134">
        <v>4.4400000000000004</v>
      </c>
      <c r="J86" s="134">
        <v>0.56999999999999995</v>
      </c>
      <c r="K86" s="134">
        <v>232.23</v>
      </c>
      <c r="L86" s="134">
        <v>35.770000000000003</v>
      </c>
      <c r="M86" s="134">
        <v>31.45</v>
      </c>
      <c r="N86" s="134">
        <v>0</v>
      </c>
      <c r="O86" s="134">
        <v>0</v>
      </c>
      <c r="P86" s="134">
        <v>0.49</v>
      </c>
      <c r="Q86" s="134">
        <v>5.14</v>
      </c>
    </row>
    <row r="87" spans="1:17" customFormat="1">
      <c r="A87" s="112" t="s">
        <v>1084</v>
      </c>
      <c r="B87" s="134">
        <v>5.82</v>
      </c>
      <c r="C87" s="134">
        <v>44.03</v>
      </c>
      <c r="D87" s="134">
        <v>26.63</v>
      </c>
      <c r="E87" s="134">
        <v>7.48</v>
      </c>
      <c r="F87" s="134">
        <v>30.69</v>
      </c>
      <c r="G87" s="134">
        <v>39.549999999999997</v>
      </c>
      <c r="H87" s="134">
        <v>26.92</v>
      </c>
      <c r="I87" s="134">
        <v>4.68</v>
      </c>
      <c r="J87" s="134">
        <v>0.53</v>
      </c>
      <c r="K87" s="134">
        <v>258.12</v>
      </c>
      <c r="L87" s="134">
        <v>35.07</v>
      </c>
      <c r="M87" s="134">
        <v>33.840000000000003</v>
      </c>
      <c r="N87" s="134">
        <v>0</v>
      </c>
      <c r="O87" s="134">
        <v>0</v>
      </c>
      <c r="P87" s="134">
        <v>0.49</v>
      </c>
      <c r="Q87" s="134">
        <v>5.24</v>
      </c>
    </row>
    <row r="88" spans="1:17" customFormat="1">
      <c r="A88" s="112" t="s">
        <v>1085</v>
      </c>
      <c r="B88" s="134">
        <v>5.92</v>
      </c>
      <c r="C88" s="134">
        <v>45.84</v>
      </c>
      <c r="D88" s="134">
        <v>27.65</v>
      </c>
      <c r="E88" s="134">
        <v>8.69</v>
      </c>
      <c r="F88" s="134">
        <v>29.32</v>
      </c>
      <c r="G88" s="134">
        <v>39.549999999999997</v>
      </c>
      <c r="H88" s="134">
        <v>26.92</v>
      </c>
      <c r="I88" s="134">
        <v>4.4000000000000004</v>
      </c>
      <c r="J88" s="134">
        <v>0.51</v>
      </c>
      <c r="K88" s="134">
        <v>245.25</v>
      </c>
      <c r="L88" s="134">
        <v>35.39</v>
      </c>
      <c r="M88" s="134">
        <v>31.48</v>
      </c>
      <c r="N88" s="134">
        <v>0</v>
      </c>
      <c r="O88" s="134">
        <v>0</v>
      </c>
      <c r="P88" s="134">
        <v>0.56999999999999995</v>
      </c>
      <c r="Q88" s="134">
        <v>5.19</v>
      </c>
    </row>
    <row r="89" spans="1:17" customFormat="1">
      <c r="A89" s="112" t="s">
        <v>1086</v>
      </c>
      <c r="B89" s="134">
        <v>6.3</v>
      </c>
      <c r="C89" s="134">
        <v>47.03</v>
      </c>
      <c r="D89" s="134">
        <v>28.58</v>
      </c>
      <c r="E89" s="134">
        <v>8.8000000000000007</v>
      </c>
      <c r="F89" s="134">
        <v>21.75</v>
      </c>
      <c r="G89" s="134">
        <v>39.549999999999997</v>
      </c>
      <c r="H89" s="134">
        <v>26.92</v>
      </c>
      <c r="I89" s="134">
        <v>4.2699999999999996</v>
      </c>
      <c r="J89" s="134">
        <v>0.34</v>
      </c>
      <c r="K89" s="134">
        <v>228.18</v>
      </c>
      <c r="L89" s="134">
        <v>35.35</v>
      </c>
      <c r="M89" s="134">
        <v>31.02</v>
      </c>
      <c r="N89" s="134">
        <v>0</v>
      </c>
      <c r="O89" s="134">
        <v>0</v>
      </c>
      <c r="P89" s="134">
        <v>0.69</v>
      </c>
      <c r="Q89" s="134">
        <v>5.12</v>
      </c>
    </row>
    <row r="90" spans="1:17" customFormat="1">
      <c r="A90" s="112" t="s">
        <v>1087</v>
      </c>
      <c r="B90" s="134">
        <v>19.100000000000001</v>
      </c>
      <c r="C90" s="134">
        <v>62.57</v>
      </c>
      <c r="D90" s="134">
        <v>46.97</v>
      </c>
      <c r="E90" s="134">
        <v>7.81</v>
      </c>
      <c r="F90" s="134">
        <v>7.61</v>
      </c>
      <c r="G90" s="134">
        <v>42.96</v>
      </c>
      <c r="H90" s="134">
        <v>26.44</v>
      </c>
      <c r="I90" s="134">
        <v>5.0599999999999996</v>
      </c>
      <c r="J90" s="134">
        <v>0.34</v>
      </c>
      <c r="K90" s="134">
        <v>235.34</v>
      </c>
      <c r="L90" s="134">
        <v>34.71</v>
      </c>
      <c r="M90" s="134">
        <v>33.520000000000003</v>
      </c>
      <c r="N90" s="134">
        <v>0</v>
      </c>
      <c r="O90" s="134">
        <v>0</v>
      </c>
      <c r="P90" s="134">
        <v>0.9</v>
      </c>
      <c r="Q90" s="134">
        <v>5.13</v>
      </c>
    </row>
    <row r="91" spans="1:17" customFormat="1">
      <c r="A91" s="112" t="s">
        <v>1088</v>
      </c>
      <c r="B91" s="134">
        <v>8.07</v>
      </c>
      <c r="C91" s="134">
        <v>55.71</v>
      </c>
      <c r="D91" s="134">
        <v>34.53</v>
      </c>
      <c r="E91" s="134">
        <v>6.82</v>
      </c>
      <c r="F91" s="134">
        <v>19.45</v>
      </c>
      <c r="G91" s="134">
        <v>47.85</v>
      </c>
      <c r="H91" s="134">
        <v>26.03</v>
      </c>
      <c r="I91" s="134">
        <v>5.84</v>
      </c>
      <c r="J91" s="134">
        <v>0.49</v>
      </c>
      <c r="K91" s="134">
        <v>243.49</v>
      </c>
      <c r="L91" s="134">
        <v>35.31</v>
      </c>
      <c r="M91" s="134">
        <v>28.61</v>
      </c>
      <c r="N91" s="134">
        <v>0</v>
      </c>
      <c r="O91" s="134">
        <v>0</v>
      </c>
      <c r="P91" s="134">
        <v>0.62</v>
      </c>
      <c r="Q91" s="134">
        <v>5.3</v>
      </c>
    </row>
    <row r="92" spans="1:17" customFormat="1">
      <c r="A92" s="112" t="s">
        <v>1089</v>
      </c>
      <c r="B92" s="134">
        <v>6.78</v>
      </c>
      <c r="C92" s="134">
        <v>46.66</v>
      </c>
      <c r="D92" s="134">
        <v>28.77</v>
      </c>
      <c r="E92" s="134">
        <v>6.57</v>
      </c>
      <c r="F92" s="134">
        <v>28.81</v>
      </c>
      <c r="G92" s="134">
        <v>47.85</v>
      </c>
      <c r="H92" s="134">
        <v>26.03</v>
      </c>
      <c r="I92" s="134">
        <v>6.36</v>
      </c>
      <c r="J92" s="134">
        <v>0.44</v>
      </c>
      <c r="K92" s="134">
        <v>247.63</v>
      </c>
      <c r="L92" s="134">
        <v>35.33</v>
      </c>
      <c r="M92" s="134">
        <v>28.15</v>
      </c>
      <c r="N92" s="134">
        <v>0</v>
      </c>
      <c r="O92" s="134">
        <v>0</v>
      </c>
      <c r="P92" s="134">
        <v>0.63</v>
      </c>
      <c r="Q92" s="134">
        <v>5.4</v>
      </c>
    </row>
    <row r="93" spans="1:17" customFormat="1">
      <c r="A93" s="112" t="s">
        <v>1090</v>
      </c>
      <c r="B93" s="134">
        <v>6.84</v>
      </c>
      <c r="C93" s="134">
        <v>45.37</v>
      </c>
      <c r="D93" s="134">
        <v>28.15</v>
      </c>
      <c r="E93" s="134">
        <v>5.78</v>
      </c>
      <c r="F93" s="134">
        <v>24.36</v>
      </c>
      <c r="G93" s="134">
        <v>47.85</v>
      </c>
      <c r="H93" s="134">
        <v>26.03</v>
      </c>
      <c r="I93" s="134">
        <v>5.8</v>
      </c>
      <c r="J93" s="134">
        <v>0.34</v>
      </c>
      <c r="K93" s="134">
        <v>242.93</v>
      </c>
      <c r="L93" s="134">
        <v>35.17</v>
      </c>
      <c r="M93" s="134">
        <v>27.98</v>
      </c>
      <c r="N93" s="134">
        <v>0</v>
      </c>
      <c r="O93" s="134">
        <v>0</v>
      </c>
      <c r="P93" s="134">
        <v>0.66</v>
      </c>
      <c r="Q93" s="134">
        <v>5.28</v>
      </c>
    </row>
    <row r="94" spans="1:17" customFormat="1">
      <c r="A94" s="112" t="s">
        <v>1091</v>
      </c>
      <c r="B94" s="134">
        <v>15.04</v>
      </c>
      <c r="C94" s="134">
        <v>59.81</v>
      </c>
      <c r="D94" s="134">
        <v>42.26</v>
      </c>
      <c r="E94" s="134">
        <v>5.62</v>
      </c>
      <c r="F94" s="134">
        <v>8.3699999999999992</v>
      </c>
      <c r="G94" s="134">
        <v>54.01</v>
      </c>
      <c r="H94" s="134">
        <v>25.69</v>
      </c>
      <c r="I94" s="134">
        <v>5.34</v>
      </c>
      <c r="J94" s="134">
        <v>0.33</v>
      </c>
      <c r="K94" s="134">
        <v>227.16</v>
      </c>
      <c r="L94" s="134">
        <v>34.97</v>
      </c>
      <c r="M94" s="134">
        <v>28.84</v>
      </c>
      <c r="N94" s="134">
        <v>0</v>
      </c>
      <c r="O94" s="134">
        <v>0</v>
      </c>
      <c r="P94" s="134">
        <v>0.82</v>
      </c>
      <c r="Q94" s="134">
        <v>5.24</v>
      </c>
    </row>
    <row r="95" spans="1:17" customFormat="1">
      <c r="A95" s="112" t="s">
        <v>1092</v>
      </c>
      <c r="B95" s="134">
        <v>13.24</v>
      </c>
      <c r="C95" s="134">
        <v>59.98</v>
      </c>
      <c r="D95" s="134">
        <v>40.909999999999997</v>
      </c>
      <c r="E95" s="134">
        <v>5.85</v>
      </c>
      <c r="F95" s="134">
        <v>6.81</v>
      </c>
      <c r="G95" s="134">
        <v>62.83</v>
      </c>
      <c r="H95" s="134">
        <v>25.39</v>
      </c>
      <c r="I95" s="134">
        <v>5.56</v>
      </c>
      <c r="J95" s="134">
        <v>0.17</v>
      </c>
      <c r="K95" s="134">
        <v>193.66</v>
      </c>
      <c r="L95" s="134">
        <v>34.58</v>
      </c>
      <c r="M95" s="134">
        <v>31.23</v>
      </c>
      <c r="N95" s="134">
        <v>0</v>
      </c>
      <c r="O95" s="134">
        <v>0</v>
      </c>
      <c r="P95" s="134">
        <v>0.84</v>
      </c>
      <c r="Q95" s="134">
        <v>5.28</v>
      </c>
    </row>
    <row r="96" spans="1:17" customFormat="1">
      <c r="A96" s="112" t="s">
        <v>1093</v>
      </c>
      <c r="B96" s="134">
        <v>8.76</v>
      </c>
      <c r="C96" s="134">
        <v>55.01</v>
      </c>
      <c r="D96" s="134">
        <v>34.72</v>
      </c>
      <c r="E96" s="134">
        <v>5.38</v>
      </c>
      <c r="F96" s="134">
        <v>13.05</v>
      </c>
      <c r="G96" s="134">
        <v>62.83</v>
      </c>
      <c r="H96" s="134">
        <v>25.39</v>
      </c>
      <c r="I96" s="134">
        <v>6.11</v>
      </c>
      <c r="J96" s="134">
        <v>0.27</v>
      </c>
      <c r="K96" s="134">
        <v>171.85</v>
      </c>
      <c r="L96" s="134">
        <v>33.840000000000003</v>
      </c>
      <c r="M96" s="134">
        <v>34.43</v>
      </c>
      <c r="N96" s="134">
        <v>0</v>
      </c>
      <c r="O96" s="134">
        <v>0</v>
      </c>
      <c r="P96" s="134">
        <v>0.74</v>
      </c>
      <c r="Q96" s="134">
        <v>5.39</v>
      </c>
    </row>
    <row r="97" spans="1:22" customFormat="1">
      <c r="A97" s="112" t="s">
        <v>1094</v>
      </c>
      <c r="B97" s="134">
        <v>11.3</v>
      </c>
      <c r="C97" s="134">
        <v>52.31</v>
      </c>
      <c r="D97" s="134">
        <v>35.35</v>
      </c>
      <c r="E97" s="134">
        <v>5.97</v>
      </c>
      <c r="F97" s="134">
        <v>13.78</v>
      </c>
      <c r="G97" s="134">
        <v>62.83</v>
      </c>
      <c r="H97" s="134">
        <v>25.39</v>
      </c>
      <c r="I97" s="134">
        <v>6.37</v>
      </c>
      <c r="J97" s="134">
        <v>0.1</v>
      </c>
      <c r="K97" s="134">
        <v>145.29</v>
      </c>
      <c r="L97" s="134">
        <v>33.31</v>
      </c>
      <c r="M97" s="134">
        <v>35.65</v>
      </c>
      <c r="N97" s="134">
        <v>0</v>
      </c>
      <c r="O97" s="134">
        <v>0</v>
      </c>
      <c r="P97" s="134">
        <v>0.76</v>
      </c>
      <c r="Q97" s="134">
        <v>5.45</v>
      </c>
    </row>
    <row r="98" spans="1:22" customFormat="1">
      <c r="A98" s="112" t="s">
        <v>1095</v>
      </c>
      <c r="B98" s="134">
        <v>15.38</v>
      </c>
      <c r="C98" s="134">
        <v>54.37</v>
      </c>
      <c r="D98" s="134">
        <v>39.700000000000003</v>
      </c>
      <c r="E98" s="134">
        <v>6.13</v>
      </c>
      <c r="F98" s="134">
        <v>7.89</v>
      </c>
      <c r="G98" s="134">
        <v>62.88</v>
      </c>
      <c r="H98" s="134">
        <v>24.45</v>
      </c>
      <c r="I98" s="134">
        <v>6.25</v>
      </c>
      <c r="J98" s="134">
        <v>0.25</v>
      </c>
      <c r="K98" s="134">
        <v>179.66</v>
      </c>
      <c r="L98" s="134">
        <v>33.08</v>
      </c>
      <c r="M98" s="134">
        <v>38.5</v>
      </c>
      <c r="N98" s="134">
        <v>0</v>
      </c>
      <c r="O98" s="134">
        <v>0</v>
      </c>
      <c r="P98" s="134">
        <v>0.76</v>
      </c>
      <c r="Q98" s="134">
        <v>5.41</v>
      </c>
    </row>
    <row r="99" spans="1:22" customFormat="1">
      <c r="A99" s="112" t="s">
        <v>1096</v>
      </c>
      <c r="B99" s="134">
        <v>18.059999999999999</v>
      </c>
      <c r="C99" s="134">
        <v>54.85</v>
      </c>
      <c r="D99" s="134">
        <v>42.09</v>
      </c>
      <c r="E99" s="134">
        <v>6.98</v>
      </c>
      <c r="F99" s="134">
        <v>10.4</v>
      </c>
      <c r="G99" s="134">
        <v>62.95</v>
      </c>
      <c r="H99" s="134">
        <v>23.65</v>
      </c>
      <c r="I99" s="134">
        <v>6.49</v>
      </c>
      <c r="J99" s="134">
        <v>0.14000000000000001</v>
      </c>
      <c r="K99" s="134">
        <v>129.33000000000001</v>
      </c>
      <c r="L99" s="134">
        <v>32.76</v>
      </c>
      <c r="M99" s="134">
        <v>37.58</v>
      </c>
      <c r="N99" s="134">
        <v>0</v>
      </c>
      <c r="O99" s="134">
        <v>0</v>
      </c>
      <c r="P99" s="134">
        <v>0.77</v>
      </c>
      <c r="Q99" s="134">
        <v>5.47</v>
      </c>
    </row>
    <row r="100" spans="1:22" customFormat="1">
      <c r="A100" s="112" t="s">
        <v>1097</v>
      </c>
      <c r="B100" s="134">
        <v>27.84</v>
      </c>
      <c r="C100" s="134">
        <v>58.07</v>
      </c>
      <c r="D100" s="134">
        <v>51.62</v>
      </c>
      <c r="E100" s="134">
        <v>8.1199999999999992</v>
      </c>
      <c r="F100" s="134">
        <v>6.45</v>
      </c>
      <c r="G100" s="134">
        <v>62.95</v>
      </c>
      <c r="H100" s="134">
        <v>23.65</v>
      </c>
      <c r="I100" s="134">
        <v>6.72</v>
      </c>
      <c r="J100" s="134">
        <v>0.13</v>
      </c>
      <c r="K100" s="134">
        <v>162.94999999999999</v>
      </c>
      <c r="L100" s="134">
        <v>32.909999999999997</v>
      </c>
      <c r="M100" s="134">
        <v>37.9</v>
      </c>
      <c r="N100" s="134">
        <v>0</v>
      </c>
      <c r="O100" s="134">
        <v>0</v>
      </c>
      <c r="P100" s="134">
        <v>0.84</v>
      </c>
      <c r="Q100" s="134">
        <v>5.51</v>
      </c>
    </row>
    <row r="101" spans="1:22" customFormat="1">
      <c r="A101" s="112" t="s">
        <v>1098</v>
      </c>
      <c r="B101" s="134">
        <v>37.979999999999997</v>
      </c>
      <c r="C101" s="134">
        <v>66.55</v>
      </c>
      <c r="D101" s="134">
        <v>64.180000000000007</v>
      </c>
      <c r="E101" s="134">
        <v>8.9</v>
      </c>
      <c r="F101" s="134">
        <v>4.5199999999999996</v>
      </c>
      <c r="G101" s="134">
        <v>62.95</v>
      </c>
      <c r="H101" s="134">
        <v>23.65</v>
      </c>
      <c r="I101" s="134">
        <v>7.05</v>
      </c>
      <c r="J101" s="134">
        <v>0.02</v>
      </c>
      <c r="K101" s="134">
        <v>213.66</v>
      </c>
      <c r="L101" s="134">
        <v>32.799999999999997</v>
      </c>
      <c r="M101" s="134">
        <v>37.14</v>
      </c>
      <c r="N101" s="134">
        <v>0</v>
      </c>
      <c r="O101" s="134">
        <v>0</v>
      </c>
      <c r="P101" s="134">
        <v>0.92</v>
      </c>
      <c r="Q101" s="134">
        <v>5.59</v>
      </c>
    </row>
    <row r="102" spans="1:22" customFormat="1">
      <c r="A102" s="112" t="s">
        <v>1099</v>
      </c>
      <c r="B102" s="134">
        <v>40.67</v>
      </c>
      <c r="C102" s="134">
        <v>65.91</v>
      </c>
      <c r="D102" s="134">
        <v>66.010000000000005</v>
      </c>
      <c r="E102" s="134">
        <v>9.5500000000000007</v>
      </c>
      <c r="F102" s="134">
        <v>4.07</v>
      </c>
      <c r="G102" s="134">
        <v>65.430000000000007</v>
      </c>
      <c r="H102" s="134">
        <v>24.56</v>
      </c>
      <c r="I102" s="134">
        <v>7.71</v>
      </c>
      <c r="J102" s="134">
        <v>0.13</v>
      </c>
      <c r="K102" s="134">
        <v>328.47</v>
      </c>
      <c r="L102" s="134">
        <v>32.799999999999997</v>
      </c>
      <c r="M102" s="134">
        <v>35.82</v>
      </c>
      <c r="N102" s="134">
        <v>0</v>
      </c>
      <c r="O102" s="134">
        <v>0</v>
      </c>
      <c r="P102" s="134">
        <v>0.92</v>
      </c>
      <c r="Q102" s="134">
        <v>5.81</v>
      </c>
    </row>
    <row r="103" spans="1:22" customFormat="1">
      <c r="A103" s="112" t="s">
        <v>1100</v>
      </c>
      <c r="B103" s="134">
        <v>32.21</v>
      </c>
      <c r="C103" s="134">
        <v>62.01</v>
      </c>
      <c r="D103" s="134">
        <v>57.18</v>
      </c>
      <c r="E103" s="134">
        <v>9.01</v>
      </c>
      <c r="F103" s="134">
        <v>4.13</v>
      </c>
      <c r="G103" s="134">
        <v>68.98</v>
      </c>
      <c r="H103" s="134">
        <v>25.34</v>
      </c>
      <c r="I103" s="134">
        <v>8.84</v>
      </c>
      <c r="J103" s="134">
        <v>0.03</v>
      </c>
      <c r="K103" s="134">
        <v>82.6</v>
      </c>
      <c r="L103" s="134">
        <v>32.630000000000003</v>
      </c>
      <c r="M103" s="134">
        <v>37.21</v>
      </c>
      <c r="N103" s="134">
        <v>0</v>
      </c>
      <c r="O103" s="134">
        <v>0</v>
      </c>
      <c r="P103" s="134">
        <v>0.91</v>
      </c>
      <c r="Q103" s="134">
        <v>5.95</v>
      </c>
    </row>
    <row r="104" spans="1:22" customFormat="1">
      <c r="A104" s="112" t="s">
        <v>1101</v>
      </c>
      <c r="B104" s="134">
        <v>26.76</v>
      </c>
      <c r="C104" s="134">
        <v>59.52</v>
      </c>
      <c r="D104" s="134">
        <v>51.51</v>
      </c>
      <c r="E104" s="134">
        <v>6.92</v>
      </c>
      <c r="F104" s="134">
        <v>4.2300000000000004</v>
      </c>
      <c r="G104" s="134">
        <v>68.98</v>
      </c>
      <c r="H104" s="134">
        <v>25.34</v>
      </c>
      <c r="I104" s="134">
        <v>9.32</v>
      </c>
      <c r="J104" s="134">
        <v>0.26</v>
      </c>
      <c r="K104" s="134">
        <v>166.99</v>
      </c>
      <c r="L104" s="134">
        <v>31.81</v>
      </c>
      <c r="M104" s="134">
        <v>43.52</v>
      </c>
      <c r="N104" s="134">
        <v>0</v>
      </c>
      <c r="O104" s="134">
        <v>0</v>
      </c>
      <c r="P104" s="134">
        <v>0.83</v>
      </c>
      <c r="Q104" s="134">
        <v>6.01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3.88</v>
      </c>
      <c r="C106" s="183">
        <f>MIN(C9:C104)</f>
        <v>34.6</v>
      </c>
      <c r="D106" s="183">
        <f t="shared" ref="D106:Q106" si="0">MIN(D9:D104)</f>
        <v>20.149999999999999</v>
      </c>
      <c r="E106" s="183">
        <f t="shared" si="0"/>
        <v>4.54</v>
      </c>
      <c r="F106" s="183">
        <f t="shared" si="0"/>
        <v>3.61</v>
      </c>
      <c r="G106" s="183">
        <f t="shared" si="0"/>
        <v>39.549999999999997</v>
      </c>
      <c r="H106" s="183">
        <f t="shared" si="0"/>
        <v>23.65</v>
      </c>
      <c r="I106" s="183">
        <f t="shared" si="0"/>
        <v>3.38</v>
      </c>
      <c r="J106" s="183">
        <f t="shared" si="0"/>
        <v>0.02</v>
      </c>
      <c r="K106" s="183">
        <f t="shared" si="0"/>
        <v>0.49</v>
      </c>
      <c r="L106" s="183">
        <f t="shared" si="0"/>
        <v>27.52</v>
      </c>
      <c r="M106" s="183">
        <f t="shared" si="0"/>
        <v>12.68</v>
      </c>
      <c r="N106" s="183">
        <f t="shared" si="0"/>
        <v>0</v>
      </c>
      <c r="O106" s="183">
        <f t="shared" si="0"/>
        <v>0</v>
      </c>
      <c r="P106" s="183">
        <f t="shared" si="0"/>
        <v>0.42</v>
      </c>
      <c r="Q106" s="183">
        <f t="shared" si="0"/>
        <v>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45.24</v>
      </c>
      <c r="C107" s="184">
        <f t="shared" ref="C107:Q107" si="1">MAX(C9:C104)</f>
        <v>66.569999999999993</v>
      </c>
      <c r="D107" s="184">
        <f t="shared" si="1"/>
        <v>70.02</v>
      </c>
      <c r="E107" s="184">
        <f t="shared" si="1"/>
        <v>68.89</v>
      </c>
      <c r="F107" s="184">
        <f t="shared" si="1"/>
        <v>50.51</v>
      </c>
      <c r="G107" s="184">
        <f t="shared" si="1"/>
        <v>169.35</v>
      </c>
      <c r="H107" s="184">
        <f t="shared" si="1"/>
        <v>64.59</v>
      </c>
      <c r="I107" s="184">
        <f t="shared" si="1"/>
        <v>11.36</v>
      </c>
      <c r="J107" s="184">
        <f t="shared" si="1"/>
        <v>1.81</v>
      </c>
      <c r="K107" s="184">
        <f t="shared" si="1"/>
        <v>349.56</v>
      </c>
      <c r="L107" s="184">
        <f t="shared" si="1"/>
        <v>43.2</v>
      </c>
      <c r="M107" s="184">
        <f t="shared" si="1"/>
        <v>53.29</v>
      </c>
      <c r="N107" s="184">
        <f t="shared" si="1"/>
        <v>795.2</v>
      </c>
      <c r="O107" s="184">
        <f t="shared" si="1"/>
        <v>0</v>
      </c>
      <c r="P107" s="184">
        <f t="shared" si="1"/>
        <v>1.18</v>
      </c>
      <c r="Q107" s="184">
        <f t="shared" si="1"/>
        <v>6.93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19.30802083333333</v>
      </c>
      <c r="C108" s="183">
        <f t="shared" ref="C108:Q108" si="2">AVERAGE(C9:C104)</f>
        <v>56.634999999999991</v>
      </c>
      <c r="D108" s="183">
        <f t="shared" si="2"/>
        <v>44.029166666666676</v>
      </c>
      <c r="E108" s="183">
        <f t="shared" si="2"/>
        <v>15.645624999999995</v>
      </c>
      <c r="F108" s="183">
        <f t="shared" si="2"/>
        <v>20.042604166666674</v>
      </c>
      <c r="G108" s="183">
        <f t="shared" si="2"/>
        <v>82.82604166666664</v>
      </c>
      <c r="H108" s="183">
        <f t="shared" si="2"/>
        <v>36.581458333333359</v>
      </c>
      <c r="I108" s="183">
        <f t="shared" si="2"/>
        <v>7.8964583333333325</v>
      </c>
      <c r="J108" s="183">
        <f t="shared" si="2"/>
        <v>0.4367708333333335</v>
      </c>
      <c r="K108" s="183">
        <f t="shared" si="2"/>
        <v>197.99979166666674</v>
      </c>
      <c r="L108" s="183">
        <f t="shared" si="2"/>
        <v>35.28625000000001</v>
      </c>
      <c r="M108" s="183">
        <f t="shared" si="2"/>
        <v>29.974687500000012</v>
      </c>
      <c r="N108" s="183">
        <f t="shared" si="2"/>
        <v>121.16145833333336</v>
      </c>
      <c r="O108" s="183">
        <f t="shared" si="2"/>
        <v>0</v>
      </c>
      <c r="P108" s="183">
        <f t="shared" si="2"/>
        <v>0.8415625000000001</v>
      </c>
      <c r="Q108" s="183">
        <f t="shared" si="2"/>
        <v>5.8743749999999997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13.13807633277708</v>
      </c>
      <c r="C109" s="183">
        <f t="shared" ref="C109:Q109" si="3">STDEV(C9:C104)</f>
        <v>7.6717031664216613</v>
      </c>
      <c r="D109" s="183">
        <f t="shared" si="3"/>
        <v>13.692299923423423</v>
      </c>
      <c r="E109" s="183">
        <f t="shared" si="3"/>
        <v>14.15340575063491</v>
      </c>
      <c r="F109" s="183">
        <f t="shared" si="3"/>
        <v>14.553127371971437</v>
      </c>
      <c r="G109" s="183">
        <f t="shared" si="3"/>
        <v>30.444405431234916</v>
      </c>
      <c r="H109" s="183">
        <f t="shared" si="3"/>
        <v>9.7291861485960212</v>
      </c>
      <c r="I109" s="183">
        <f t="shared" si="3"/>
        <v>2.5818336931913781</v>
      </c>
      <c r="J109" s="183">
        <f t="shared" si="3"/>
        <v>0.35328084784791303</v>
      </c>
      <c r="K109" s="183">
        <f t="shared" si="3"/>
        <v>100.5687975570025</v>
      </c>
      <c r="L109" s="183">
        <f t="shared" si="3"/>
        <v>4.782358645117001</v>
      </c>
      <c r="M109" s="183">
        <f t="shared" si="3"/>
        <v>11.966189469819993</v>
      </c>
      <c r="N109" s="183">
        <f t="shared" si="3"/>
        <v>190.7266665702748</v>
      </c>
      <c r="O109" s="183">
        <f t="shared" si="3"/>
        <v>0</v>
      </c>
      <c r="P109" s="183">
        <f t="shared" si="3"/>
        <v>0.24158393169379433</v>
      </c>
      <c r="Q109" s="183">
        <f t="shared" si="3"/>
        <v>0.63360923122594603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10/06/2023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1102</v>
      </c>
      <c r="B9" s="134">
        <v>22.65</v>
      </c>
      <c r="C9" s="134">
        <v>59.78</v>
      </c>
      <c r="D9" s="134">
        <v>48.35</v>
      </c>
      <c r="E9" s="134">
        <v>6.33</v>
      </c>
      <c r="F9" s="134">
        <v>3.53</v>
      </c>
      <c r="G9" s="134">
        <v>68.98</v>
      </c>
      <c r="H9" s="134">
        <v>25.34</v>
      </c>
      <c r="I9" s="134">
        <v>8.31</v>
      </c>
      <c r="J9" s="134">
        <v>0.23</v>
      </c>
      <c r="K9" s="134">
        <v>164.88</v>
      </c>
      <c r="L9" s="134">
        <v>31.34</v>
      </c>
      <c r="M9" s="134">
        <v>45.5</v>
      </c>
      <c r="N9" s="134">
        <v>0</v>
      </c>
      <c r="O9" s="134">
        <v>0</v>
      </c>
      <c r="P9" s="134">
        <v>0.84</v>
      </c>
      <c r="Q9" s="134">
        <v>6.11</v>
      </c>
    </row>
    <row r="10" spans="1:21" customFormat="1">
      <c r="A10" s="112" t="s">
        <v>1103</v>
      </c>
      <c r="B10" s="134">
        <v>24.26</v>
      </c>
      <c r="C10" s="134">
        <v>59.41</v>
      </c>
      <c r="D10" s="134">
        <v>49.45</v>
      </c>
      <c r="E10" s="134">
        <v>6.81</v>
      </c>
      <c r="F10" s="134">
        <v>3.71</v>
      </c>
      <c r="G10" s="134">
        <v>75.83</v>
      </c>
      <c r="H10" s="134">
        <v>26.02</v>
      </c>
      <c r="I10" s="134">
        <v>7.99</v>
      </c>
      <c r="J10" s="134">
        <v>0.21</v>
      </c>
      <c r="K10" s="134">
        <v>159.37</v>
      </c>
      <c r="L10" s="134">
        <v>31.3</v>
      </c>
      <c r="M10" s="134">
        <v>45.22</v>
      </c>
      <c r="N10" s="134">
        <v>0</v>
      </c>
      <c r="O10" s="134">
        <v>0</v>
      </c>
      <c r="P10" s="134">
        <v>0.85</v>
      </c>
      <c r="Q10" s="134">
        <v>6.12</v>
      </c>
    </row>
    <row r="11" spans="1:21" customFormat="1">
      <c r="A11" s="112" t="s">
        <v>1104</v>
      </c>
      <c r="B11" s="134">
        <v>43.55</v>
      </c>
      <c r="C11" s="134">
        <v>61.99</v>
      </c>
      <c r="D11" s="134">
        <v>66.27</v>
      </c>
      <c r="E11" s="134">
        <v>11.18</v>
      </c>
      <c r="F11" s="134">
        <v>3.54</v>
      </c>
      <c r="G11" s="134">
        <v>85.65</v>
      </c>
      <c r="H11" s="134">
        <v>26.6</v>
      </c>
      <c r="I11" s="134">
        <v>8.17</v>
      </c>
      <c r="J11" s="134">
        <v>0.2</v>
      </c>
      <c r="K11" s="134">
        <v>68.510000000000005</v>
      </c>
      <c r="L11" s="134">
        <v>31.71</v>
      </c>
      <c r="M11" s="134">
        <v>40.69</v>
      </c>
      <c r="N11" s="134">
        <v>0</v>
      </c>
      <c r="O11" s="134">
        <v>0</v>
      </c>
      <c r="P11" s="134">
        <v>0.88</v>
      </c>
      <c r="Q11" s="134">
        <v>6.28</v>
      </c>
    </row>
    <row r="12" spans="1:21" customFormat="1">
      <c r="A12" s="112" t="s">
        <v>1105</v>
      </c>
      <c r="B12" s="134">
        <v>34.17</v>
      </c>
      <c r="C12" s="134">
        <v>59.14</v>
      </c>
      <c r="D12" s="134">
        <v>57.26</v>
      </c>
      <c r="E12" s="134">
        <v>17.809999999999999</v>
      </c>
      <c r="F12" s="134">
        <v>4.1399999999999997</v>
      </c>
      <c r="G12" s="134">
        <v>85.65</v>
      </c>
      <c r="H12" s="134">
        <v>26.6</v>
      </c>
      <c r="I12" s="134">
        <v>9.43</v>
      </c>
      <c r="J12" s="134">
        <v>0.14000000000000001</v>
      </c>
      <c r="K12" s="134">
        <v>222.12</v>
      </c>
      <c r="L12" s="134">
        <v>32.28</v>
      </c>
      <c r="M12" s="134">
        <v>36.869999999999997</v>
      </c>
      <c r="N12" s="134">
        <v>0</v>
      </c>
      <c r="O12" s="134">
        <v>0</v>
      </c>
      <c r="P12" s="134">
        <v>0.78</v>
      </c>
      <c r="Q12" s="134">
        <v>6.31</v>
      </c>
    </row>
    <row r="13" spans="1:21" customFormat="1">
      <c r="A13" s="112" t="s">
        <v>1106</v>
      </c>
      <c r="B13" s="134">
        <v>38.950000000000003</v>
      </c>
      <c r="C13" s="134">
        <v>61.73</v>
      </c>
      <c r="D13" s="134">
        <v>62.44</v>
      </c>
      <c r="E13" s="134">
        <v>15.89</v>
      </c>
      <c r="F13" s="134">
        <v>4.09</v>
      </c>
      <c r="G13" s="134">
        <v>85.65</v>
      </c>
      <c r="H13" s="134">
        <v>26.6</v>
      </c>
      <c r="I13" s="134">
        <v>9.6199999999999992</v>
      </c>
      <c r="J13" s="134">
        <v>0.1</v>
      </c>
      <c r="K13" s="134">
        <v>199.19</v>
      </c>
      <c r="L13" s="134">
        <v>32.24</v>
      </c>
      <c r="M13" s="134">
        <v>38.54</v>
      </c>
      <c r="N13" s="134">
        <v>0</v>
      </c>
      <c r="O13" s="134">
        <v>0</v>
      </c>
      <c r="P13" s="134">
        <v>0.79</v>
      </c>
      <c r="Q13" s="134">
        <v>6.46</v>
      </c>
    </row>
    <row r="14" spans="1:21" customFormat="1">
      <c r="A14" s="112" t="s">
        <v>1107</v>
      </c>
      <c r="B14" s="134">
        <v>29.67</v>
      </c>
      <c r="C14" s="134">
        <v>58.03</v>
      </c>
      <c r="D14" s="134">
        <v>53.06</v>
      </c>
      <c r="E14" s="134">
        <v>16.89</v>
      </c>
      <c r="F14" s="134">
        <v>5.33</v>
      </c>
      <c r="G14" s="134">
        <v>85.41</v>
      </c>
      <c r="H14" s="134">
        <v>27.41</v>
      </c>
      <c r="I14" s="134">
        <v>8.14</v>
      </c>
      <c r="J14" s="134">
        <v>0.19</v>
      </c>
      <c r="K14" s="134">
        <v>248.98</v>
      </c>
      <c r="L14" s="134">
        <v>32.31</v>
      </c>
      <c r="M14" s="134">
        <v>36.549999999999997</v>
      </c>
      <c r="N14" s="134">
        <v>0</v>
      </c>
      <c r="O14" s="134">
        <v>0</v>
      </c>
      <c r="P14" s="134">
        <v>0.77</v>
      </c>
      <c r="Q14" s="134">
        <v>6.45</v>
      </c>
    </row>
    <row r="15" spans="1:21" customFormat="1">
      <c r="A15" s="112" t="s">
        <v>1108</v>
      </c>
      <c r="B15" s="134">
        <v>25.03</v>
      </c>
      <c r="C15" s="134">
        <v>57.17</v>
      </c>
      <c r="D15" s="134">
        <v>48.9</v>
      </c>
      <c r="E15" s="134">
        <v>20.12</v>
      </c>
      <c r="F15" s="134">
        <v>7.04</v>
      </c>
      <c r="G15" s="134">
        <v>85.06</v>
      </c>
      <c r="H15" s="134">
        <v>29.35</v>
      </c>
      <c r="I15" s="134">
        <v>8</v>
      </c>
      <c r="J15" s="134">
        <v>0.36</v>
      </c>
      <c r="K15" s="134">
        <v>230.68</v>
      </c>
      <c r="L15" s="134">
        <v>32.15</v>
      </c>
      <c r="M15" s="134">
        <v>37.39</v>
      </c>
      <c r="N15" s="134">
        <v>0</v>
      </c>
      <c r="O15" s="134">
        <v>0</v>
      </c>
      <c r="P15" s="134">
        <v>0.74</v>
      </c>
      <c r="Q15" s="134">
        <v>6.55</v>
      </c>
    </row>
    <row r="16" spans="1:21" customFormat="1">
      <c r="A16" s="112" t="s">
        <v>1109</v>
      </c>
      <c r="B16" s="134">
        <v>23.26</v>
      </c>
      <c r="C16" s="134">
        <v>55.5</v>
      </c>
      <c r="D16" s="134">
        <v>46.61</v>
      </c>
      <c r="E16" s="134">
        <v>22.81</v>
      </c>
      <c r="F16" s="134">
        <v>7</v>
      </c>
      <c r="G16" s="134">
        <v>85.06</v>
      </c>
      <c r="H16" s="134">
        <v>29.35</v>
      </c>
      <c r="I16" s="134">
        <v>7.97</v>
      </c>
      <c r="J16" s="134">
        <v>0.4</v>
      </c>
      <c r="K16" s="134">
        <v>231.93</v>
      </c>
      <c r="L16" s="134">
        <v>31.79</v>
      </c>
      <c r="M16" s="134">
        <v>39.61</v>
      </c>
      <c r="N16" s="134">
        <v>0</v>
      </c>
      <c r="O16" s="134">
        <v>0</v>
      </c>
      <c r="P16" s="134">
        <v>0.73</v>
      </c>
      <c r="Q16" s="134">
        <v>6.49</v>
      </c>
    </row>
    <row r="17" spans="1:17" customFormat="1">
      <c r="A17" s="112" t="s">
        <v>1110</v>
      </c>
      <c r="B17" s="134">
        <v>27.08</v>
      </c>
      <c r="C17" s="134">
        <v>59.61</v>
      </c>
      <c r="D17" s="134">
        <v>51.81</v>
      </c>
      <c r="E17" s="134">
        <v>16.54</v>
      </c>
      <c r="F17" s="134">
        <v>5.09</v>
      </c>
      <c r="G17" s="134">
        <v>85.06</v>
      </c>
      <c r="H17" s="134">
        <v>29.35</v>
      </c>
      <c r="I17" s="134">
        <v>7.93</v>
      </c>
      <c r="J17" s="134">
        <v>0.53</v>
      </c>
      <c r="K17" s="134">
        <v>244.59</v>
      </c>
      <c r="L17" s="134">
        <v>31.76</v>
      </c>
      <c r="M17" s="134">
        <v>40.42</v>
      </c>
      <c r="N17" s="134">
        <v>0</v>
      </c>
      <c r="O17" s="134">
        <v>0</v>
      </c>
      <c r="P17" s="134">
        <v>0.78</v>
      </c>
      <c r="Q17" s="134">
        <v>6.43</v>
      </c>
    </row>
    <row r="18" spans="1:17" customFormat="1">
      <c r="A18" s="112" t="s">
        <v>1111</v>
      </c>
      <c r="B18" s="134">
        <v>24.04</v>
      </c>
      <c r="C18" s="134">
        <v>59.14</v>
      </c>
      <c r="D18" s="134">
        <v>49.13</v>
      </c>
      <c r="E18" s="134">
        <v>24.48</v>
      </c>
      <c r="F18" s="134">
        <v>7.37</v>
      </c>
      <c r="G18" s="134">
        <v>78.010000000000005</v>
      </c>
      <c r="H18" s="134">
        <v>29.36</v>
      </c>
      <c r="I18" s="134">
        <v>7.96</v>
      </c>
      <c r="J18" s="134">
        <v>0.42</v>
      </c>
      <c r="K18" s="134">
        <v>241.59</v>
      </c>
      <c r="L18" s="134">
        <v>32.090000000000003</v>
      </c>
      <c r="M18" s="134">
        <v>37.229999999999997</v>
      </c>
      <c r="N18" s="134">
        <v>0</v>
      </c>
      <c r="O18" s="134">
        <v>0</v>
      </c>
      <c r="P18" s="134">
        <v>0.75</v>
      </c>
      <c r="Q18" s="134">
        <v>6.51</v>
      </c>
    </row>
    <row r="19" spans="1:17" customFormat="1">
      <c r="A19" s="112" t="s">
        <v>1112</v>
      </c>
      <c r="B19" s="134">
        <v>22.97</v>
      </c>
      <c r="C19" s="134">
        <v>52.87</v>
      </c>
      <c r="D19" s="134">
        <v>45</v>
      </c>
      <c r="E19" s="134">
        <v>19.32</v>
      </c>
      <c r="F19" s="134">
        <v>13.12</v>
      </c>
      <c r="G19" s="134">
        <v>67.89</v>
      </c>
      <c r="H19" s="134">
        <v>29.36</v>
      </c>
      <c r="I19" s="134">
        <v>7.87</v>
      </c>
      <c r="J19" s="134">
        <v>0.44</v>
      </c>
      <c r="K19" s="134">
        <v>242.6</v>
      </c>
      <c r="L19" s="134">
        <v>32.35</v>
      </c>
      <c r="M19" s="134">
        <v>35.46</v>
      </c>
      <c r="N19" s="134">
        <v>0</v>
      </c>
      <c r="O19" s="134">
        <v>0</v>
      </c>
      <c r="P19" s="134">
        <v>0.67</v>
      </c>
      <c r="Q19" s="134">
        <v>6.51</v>
      </c>
    </row>
    <row r="20" spans="1:17" customFormat="1">
      <c r="A20" s="112" t="s">
        <v>1113</v>
      </c>
      <c r="B20" s="134">
        <v>24.14</v>
      </c>
      <c r="C20" s="134">
        <v>54.42</v>
      </c>
      <c r="D20" s="134">
        <v>46.75</v>
      </c>
      <c r="E20" s="134">
        <v>16.89</v>
      </c>
      <c r="F20" s="134">
        <v>11.22</v>
      </c>
      <c r="G20" s="134">
        <v>67.89</v>
      </c>
      <c r="H20" s="134">
        <v>29.36</v>
      </c>
      <c r="I20" s="134">
        <v>7.32</v>
      </c>
      <c r="J20" s="134">
        <v>0.42</v>
      </c>
      <c r="K20" s="134">
        <v>274.89999999999998</v>
      </c>
      <c r="L20" s="134">
        <v>32.56</v>
      </c>
      <c r="M20" s="134">
        <v>34.880000000000003</v>
      </c>
      <c r="N20" s="134">
        <v>0</v>
      </c>
      <c r="O20" s="134">
        <v>0</v>
      </c>
      <c r="P20" s="134">
        <v>0.67</v>
      </c>
      <c r="Q20" s="134">
        <v>6.4</v>
      </c>
    </row>
    <row r="21" spans="1:17" customFormat="1">
      <c r="A21" s="112" t="s">
        <v>1114</v>
      </c>
      <c r="B21" s="134">
        <v>23.96</v>
      </c>
      <c r="C21" s="134">
        <v>54.35</v>
      </c>
      <c r="D21" s="134">
        <v>46.57</v>
      </c>
      <c r="E21" s="134">
        <v>18.47</v>
      </c>
      <c r="F21" s="134">
        <v>9.9600000000000009</v>
      </c>
      <c r="G21" s="134">
        <v>67.89</v>
      </c>
      <c r="H21" s="134">
        <v>29.36</v>
      </c>
      <c r="I21" s="134">
        <v>6.97</v>
      </c>
      <c r="J21" s="134">
        <v>0.28000000000000003</v>
      </c>
      <c r="K21" s="134">
        <v>284.32</v>
      </c>
      <c r="L21" s="134">
        <v>32.54</v>
      </c>
      <c r="M21" s="134">
        <v>35.229999999999997</v>
      </c>
      <c r="N21" s="134">
        <v>0</v>
      </c>
      <c r="O21" s="134">
        <v>0</v>
      </c>
      <c r="P21" s="134">
        <v>0.62</v>
      </c>
      <c r="Q21" s="134">
        <v>6.39</v>
      </c>
    </row>
    <row r="22" spans="1:17" customFormat="1">
      <c r="A22" s="112" t="s">
        <v>1115</v>
      </c>
      <c r="B22" s="134">
        <v>23.81</v>
      </c>
      <c r="C22" s="134">
        <v>53.58</v>
      </c>
      <c r="D22" s="134">
        <v>46.05</v>
      </c>
      <c r="E22" s="134">
        <v>19.16</v>
      </c>
      <c r="F22" s="134">
        <v>11.08</v>
      </c>
      <c r="G22" s="134">
        <v>65.17</v>
      </c>
      <c r="H22" s="134">
        <v>28.99</v>
      </c>
      <c r="I22" s="134">
        <v>6.8</v>
      </c>
      <c r="J22" s="134">
        <v>0.37</v>
      </c>
      <c r="K22" s="134">
        <v>286.06</v>
      </c>
      <c r="L22" s="134">
        <v>32.56</v>
      </c>
      <c r="M22" s="134">
        <v>34.81</v>
      </c>
      <c r="N22" s="134">
        <v>0</v>
      </c>
      <c r="O22" s="134">
        <v>0</v>
      </c>
      <c r="P22" s="134">
        <v>0.63</v>
      </c>
      <c r="Q22" s="134">
        <v>6.34</v>
      </c>
    </row>
    <row r="23" spans="1:17" customFormat="1">
      <c r="A23" s="112" t="s">
        <v>1116</v>
      </c>
      <c r="B23" s="134">
        <v>22.34</v>
      </c>
      <c r="C23" s="134">
        <v>54.55</v>
      </c>
      <c r="D23" s="134">
        <v>45.37</v>
      </c>
      <c r="E23" s="134">
        <v>30.81</v>
      </c>
      <c r="F23" s="134">
        <v>12.71</v>
      </c>
      <c r="G23" s="134">
        <v>61.09</v>
      </c>
      <c r="H23" s="134">
        <v>28.67</v>
      </c>
      <c r="I23" s="134">
        <v>6.65</v>
      </c>
      <c r="J23" s="134">
        <v>0.33</v>
      </c>
      <c r="K23" s="134">
        <v>283.69</v>
      </c>
      <c r="L23" s="134">
        <v>32.74</v>
      </c>
      <c r="M23" s="134">
        <v>33.99</v>
      </c>
      <c r="N23" s="134">
        <v>0</v>
      </c>
      <c r="O23" s="134">
        <v>0</v>
      </c>
      <c r="P23" s="134">
        <v>0.64</v>
      </c>
      <c r="Q23" s="134">
        <v>6.36</v>
      </c>
    </row>
    <row r="24" spans="1:17" customFormat="1">
      <c r="A24" s="112" t="s">
        <v>1117</v>
      </c>
      <c r="B24" s="134">
        <v>22.71</v>
      </c>
      <c r="C24" s="134">
        <v>57.3</v>
      </c>
      <c r="D24" s="134">
        <v>47.11</v>
      </c>
      <c r="E24" s="134">
        <v>38.909999999999997</v>
      </c>
      <c r="F24" s="134">
        <v>8.76</v>
      </c>
      <c r="G24" s="134">
        <v>61.09</v>
      </c>
      <c r="H24" s="134">
        <v>28.67</v>
      </c>
      <c r="I24" s="134">
        <v>6.51</v>
      </c>
      <c r="J24" s="134">
        <v>0.14000000000000001</v>
      </c>
      <c r="K24" s="134">
        <v>219.91</v>
      </c>
      <c r="L24" s="134">
        <v>32.590000000000003</v>
      </c>
      <c r="M24" s="134">
        <v>34.950000000000003</v>
      </c>
      <c r="N24" s="134">
        <v>0</v>
      </c>
      <c r="O24" s="134">
        <v>0</v>
      </c>
      <c r="P24" s="134">
        <v>0.66</v>
      </c>
      <c r="Q24" s="134">
        <v>6.34</v>
      </c>
    </row>
    <row r="25" spans="1:17" customFormat="1">
      <c r="A25" s="112" t="s">
        <v>1118</v>
      </c>
      <c r="B25" s="134">
        <v>20.079999999999998</v>
      </c>
      <c r="C25" s="134">
        <v>53.75</v>
      </c>
      <c r="D25" s="134">
        <v>43.14</v>
      </c>
      <c r="E25" s="134">
        <v>36.799999999999997</v>
      </c>
      <c r="F25" s="134">
        <v>9.18</v>
      </c>
      <c r="G25" s="134">
        <v>61.09</v>
      </c>
      <c r="H25" s="134">
        <v>28.67</v>
      </c>
      <c r="I25" s="134">
        <v>6.6</v>
      </c>
      <c r="J25" s="134">
        <v>0.24</v>
      </c>
      <c r="K25" s="134">
        <v>177.05</v>
      </c>
      <c r="L25" s="134">
        <v>31.9</v>
      </c>
      <c r="M25" s="134">
        <v>39.01</v>
      </c>
      <c r="N25" s="134">
        <v>0</v>
      </c>
      <c r="O25" s="134">
        <v>0</v>
      </c>
      <c r="P25" s="134">
        <v>0.64</v>
      </c>
      <c r="Q25" s="134">
        <v>6.32</v>
      </c>
    </row>
    <row r="26" spans="1:17" customFormat="1">
      <c r="A26" s="112" t="s">
        <v>1119</v>
      </c>
      <c r="B26" s="134">
        <v>20.63</v>
      </c>
      <c r="C26" s="134">
        <v>51.79</v>
      </c>
      <c r="D26" s="134">
        <v>42.56</v>
      </c>
      <c r="E26" s="134">
        <v>24.89</v>
      </c>
      <c r="F26" s="134">
        <v>8.67</v>
      </c>
      <c r="G26" s="134">
        <v>60.01</v>
      </c>
      <c r="H26" s="134">
        <v>28.64</v>
      </c>
      <c r="I26" s="134">
        <v>6.42</v>
      </c>
      <c r="J26" s="134">
        <v>0.19</v>
      </c>
      <c r="K26" s="134">
        <v>184.21</v>
      </c>
      <c r="L26" s="134">
        <v>31.27</v>
      </c>
      <c r="M26" s="134">
        <v>42.42</v>
      </c>
      <c r="N26" s="134">
        <v>0</v>
      </c>
      <c r="O26" s="134">
        <v>0</v>
      </c>
      <c r="P26" s="134">
        <v>0.64</v>
      </c>
      <c r="Q26" s="134">
        <v>6.25</v>
      </c>
    </row>
    <row r="27" spans="1:17" customFormat="1">
      <c r="A27" s="112" t="s">
        <v>1120</v>
      </c>
      <c r="B27" s="134">
        <v>21.5</v>
      </c>
      <c r="C27" s="134">
        <v>53.05</v>
      </c>
      <c r="D27" s="134">
        <v>43.91</v>
      </c>
      <c r="E27" s="134">
        <v>23.16</v>
      </c>
      <c r="F27" s="134">
        <v>8.35</v>
      </c>
      <c r="G27" s="134">
        <v>58.46</v>
      </c>
      <c r="H27" s="134">
        <v>28.62</v>
      </c>
      <c r="I27" s="134">
        <v>6.42</v>
      </c>
      <c r="J27" s="134">
        <v>0.19</v>
      </c>
      <c r="K27" s="134">
        <v>178.81</v>
      </c>
      <c r="L27" s="134">
        <v>30.75</v>
      </c>
      <c r="M27" s="134">
        <v>45.07</v>
      </c>
      <c r="N27" s="134">
        <v>0</v>
      </c>
      <c r="O27" s="134">
        <v>0</v>
      </c>
      <c r="P27" s="134">
        <v>0.65</v>
      </c>
      <c r="Q27" s="134">
        <v>6.24</v>
      </c>
    </row>
    <row r="28" spans="1:17" customFormat="1">
      <c r="A28" s="112" t="s">
        <v>1121</v>
      </c>
      <c r="B28" s="134">
        <v>20.84</v>
      </c>
      <c r="C28" s="134">
        <v>52.72</v>
      </c>
      <c r="D28" s="134">
        <v>43.22</v>
      </c>
      <c r="E28" s="134">
        <v>23.46</v>
      </c>
      <c r="F28" s="134">
        <v>8.2200000000000006</v>
      </c>
      <c r="G28" s="134">
        <v>58.46</v>
      </c>
      <c r="H28" s="134">
        <v>28.62</v>
      </c>
      <c r="I28" s="134">
        <v>6.46</v>
      </c>
      <c r="J28" s="134">
        <v>0.2</v>
      </c>
      <c r="K28" s="134">
        <v>171.9</v>
      </c>
      <c r="L28" s="134">
        <v>30.64</v>
      </c>
      <c r="M28" s="134">
        <v>46.16</v>
      </c>
      <c r="N28" s="134">
        <v>0</v>
      </c>
      <c r="O28" s="134">
        <v>0</v>
      </c>
      <c r="P28" s="134">
        <v>0.64</v>
      </c>
      <c r="Q28" s="134">
        <v>6.25</v>
      </c>
    </row>
    <row r="29" spans="1:17" customFormat="1">
      <c r="A29" s="112" t="s">
        <v>1122</v>
      </c>
      <c r="B29" s="134">
        <v>21.04</v>
      </c>
      <c r="C29" s="134">
        <v>53.29</v>
      </c>
      <c r="D29" s="134">
        <v>43.67</v>
      </c>
      <c r="E29" s="134">
        <v>21.14</v>
      </c>
      <c r="F29" s="134">
        <v>7.16</v>
      </c>
      <c r="G29" s="134">
        <v>58.46</v>
      </c>
      <c r="H29" s="134">
        <v>28.62</v>
      </c>
      <c r="I29" s="134">
        <v>6.37</v>
      </c>
      <c r="J29" s="134">
        <v>0.24</v>
      </c>
      <c r="K29" s="134">
        <v>229.83</v>
      </c>
      <c r="L29" s="134">
        <v>30.62</v>
      </c>
      <c r="M29" s="134">
        <v>45.25</v>
      </c>
      <c r="N29" s="134">
        <v>0</v>
      </c>
      <c r="O29" s="134">
        <v>0</v>
      </c>
      <c r="P29" s="134">
        <v>0.65</v>
      </c>
      <c r="Q29" s="134">
        <v>6.23</v>
      </c>
    </row>
    <row r="30" spans="1:17" customFormat="1">
      <c r="A30" s="112" t="s">
        <v>1123</v>
      </c>
      <c r="B30" s="134">
        <v>29.04</v>
      </c>
      <c r="C30" s="134">
        <v>56.47</v>
      </c>
      <c r="D30" s="134">
        <v>51.75</v>
      </c>
      <c r="E30" s="134">
        <v>20.62</v>
      </c>
      <c r="F30" s="134">
        <v>5.39</v>
      </c>
      <c r="G30" s="134">
        <v>57.85</v>
      </c>
      <c r="H30" s="134">
        <v>27.3</v>
      </c>
      <c r="I30" s="134">
        <v>6.58</v>
      </c>
      <c r="J30" s="134">
        <v>0.37</v>
      </c>
      <c r="K30" s="134">
        <v>237.04</v>
      </c>
      <c r="L30" s="134">
        <v>31.08</v>
      </c>
      <c r="M30" s="134">
        <v>41.93</v>
      </c>
      <c r="N30" s="134">
        <v>0</v>
      </c>
      <c r="O30" s="134">
        <v>0</v>
      </c>
      <c r="P30" s="134">
        <v>0.65</v>
      </c>
      <c r="Q30" s="134">
        <v>6.14</v>
      </c>
    </row>
    <row r="31" spans="1:17" customFormat="1">
      <c r="A31" s="112" t="s">
        <v>1124</v>
      </c>
      <c r="B31" s="134">
        <v>33.119999999999997</v>
      </c>
      <c r="C31" s="134">
        <v>58.76</v>
      </c>
      <c r="D31" s="134">
        <v>56.21</v>
      </c>
      <c r="E31" s="134">
        <v>17.45</v>
      </c>
      <c r="F31" s="134">
        <v>4.1500000000000004</v>
      </c>
      <c r="G31" s="134">
        <v>56.94</v>
      </c>
      <c r="H31" s="134">
        <v>26.13</v>
      </c>
      <c r="I31" s="134">
        <v>6.4</v>
      </c>
      <c r="J31" s="134">
        <v>0.26</v>
      </c>
      <c r="K31" s="134">
        <v>223.2</v>
      </c>
      <c r="L31" s="134">
        <v>31.26</v>
      </c>
      <c r="M31" s="134">
        <v>41.82</v>
      </c>
      <c r="N31" s="134">
        <v>1.1000000000000001</v>
      </c>
      <c r="O31" s="134">
        <v>0</v>
      </c>
      <c r="P31" s="134">
        <v>0.64</v>
      </c>
      <c r="Q31" s="134">
        <v>6.24</v>
      </c>
    </row>
    <row r="32" spans="1:17" customFormat="1">
      <c r="A32" s="112" t="s">
        <v>1125</v>
      </c>
      <c r="B32" s="134">
        <v>29.86</v>
      </c>
      <c r="C32" s="134">
        <v>58.85</v>
      </c>
      <c r="D32" s="134">
        <v>53.65</v>
      </c>
      <c r="E32" s="134">
        <v>13.72</v>
      </c>
      <c r="F32" s="134">
        <v>5.03</v>
      </c>
      <c r="G32" s="134">
        <v>56.94</v>
      </c>
      <c r="H32" s="134">
        <v>26.13</v>
      </c>
      <c r="I32" s="134">
        <v>6.24</v>
      </c>
      <c r="J32" s="134">
        <v>0.42</v>
      </c>
      <c r="K32" s="134">
        <v>259.49</v>
      </c>
      <c r="L32" s="134">
        <v>31.39</v>
      </c>
      <c r="M32" s="134">
        <v>40.29</v>
      </c>
      <c r="N32" s="134">
        <v>12.5</v>
      </c>
      <c r="O32" s="134">
        <v>0</v>
      </c>
      <c r="P32" s="134">
        <v>0.65</v>
      </c>
      <c r="Q32" s="134">
        <v>6.34</v>
      </c>
    </row>
    <row r="33" spans="1:17" customFormat="1">
      <c r="A33" s="112" t="s">
        <v>1126</v>
      </c>
      <c r="B33" s="134">
        <v>25.49</v>
      </c>
      <c r="C33" s="134">
        <v>54.82</v>
      </c>
      <c r="D33" s="134">
        <v>48.03</v>
      </c>
      <c r="E33" s="134">
        <v>13.78</v>
      </c>
      <c r="F33" s="134">
        <v>7.67</v>
      </c>
      <c r="G33" s="134">
        <v>56.94</v>
      </c>
      <c r="H33" s="134">
        <v>26.13</v>
      </c>
      <c r="I33" s="134">
        <v>6.54</v>
      </c>
      <c r="J33" s="134">
        <v>0.25</v>
      </c>
      <c r="K33" s="134">
        <v>199.73</v>
      </c>
      <c r="L33" s="134">
        <v>31.79</v>
      </c>
      <c r="M33" s="134">
        <v>40.25</v>
      </c>
      <c r="N33" s="134">
        <v>25.9</v>
      </c>
      <c r="O33" s="134">
        <v>0</v>
      </c>
      <c r="P33" s="134">
        <v>0.62</v>
      </c>
      <c r="Q33" s="134">
        <v>6.28</v>
      </c>
    </row>
    <row r="34" spans="1:17" customFormat="1">
      <c r="A34" s="112" t="s">
        <v>1127</v>
      </c>
      <c r="B34" s="134">
        <v>23.84</v>
      </c>
      <c r="C34" s="134">
        <v>56.03</v>
      </c>
      <c r="D34" s="134">
        <v>47.35</v>
      </c>
      <c r="E34" s="134">
        <v>12.82</v>
      </c>
      <c r="F34" s="134">
        <v>7.76</v>
      </c>
      <c r="G34" s="134">
        <v>59.73</v>
      </c>
      <c r="H34" s="134">
        <v>25.55</v>
      </c>
      <c r="I34" s="134">
        <v>6.62</v>
      </c>
      <c r="J34" s="134">
        <v>0.24</v>
      </c>
      <c r="K34" s="134">
        <v>176.5</v>
      </c>
      <c r="L34" s="134">
        <v>31.6</v>
      </c>
      <c r="M34" s="134">
        <v>42.25</v>
      </c>
      <c r="N34" s="134">
        <v>36.6</v>
      </c>
      <c r="O34" s="134">
        <v>0</v>
      </c>
      <c r="P34" s="134">
        <v>0.65</v>
      </c>
      <c r="Q34" s="134">
        <v>6.33</v>
      </c>
    </row>
    <row r="35" spans="1:17" customFormat="1">
      <c r="A35" s="112" t="s">
        <v>1128</v>
      </c>
      <c r="B35" s="134">
        <v>23.49</v>
      </c>
      <c r="C35" s="134">
        <v>53.19</v>
      </c>
      <c r="D35" s="134">
        <v>45.58</v>
      </c>
      <c r="E35" s="134">
        <v>13.87</v>
      </c>
      <c r="F35" s="134">
        <v>10.119999999999999</v>
      </c>
      <c r="G35" s="134">
        <v>63.73</v>
      </c>
      <c r="H35" s="134">
        <v>25.05</v>
      </c>
      <c r="I35" s="134">
        <v>6.68</v>
      </c>
      <c r="J35" s="134">
        <v>0.24</v>
      </c>
      <c r="K35" s="134">
        <v>145.01</v>
      </c>
      <c r="L35" s="134">
        <v>31.61</v>
      </c>
      <c r="M35" s="134">
        <v>43.67</v>
      </c>
      <c r="N35" s="134">
        <v>30</v>
      </c>
      <c r="O35" s="134">
        <v>0</v>
      </c>
      <c r="P35" s="134">
        <v>0.65</v>
      </c>
      <c r="Q35" s="134">
        <v>6.3</v>
      </c>
    </row>
    <row r="36" spans="1:17" customFormat="1">
      <c r="A36" s="112" t="s">
        <v>1129</v>
      </c>
      <c r="B36" s="134">
        <v>31.35</v>
      </c>
      <c r="C36" s="134">
        <v>57.26</v>
      </c>
      <c r="D36" s="134">
        <v>54.01</v>
      </c>
      <c r="E36" s="134">
        <v>13.08</v>
      </c>
      <c r="F36" s="134">
        <v>7.65</v>
      </c>
      <c r="G36" s="134">
        <v>63.73</v>
      </c>
      <c r="H36" s="134">
        <v>25.05</v>
      </c>
      <c r="I36" s="134">
        <v>6.89</v>
      </c>
      <c r="J36" s="134">
        <v>0.12</v>
      </c>
      <c r="K36" s="134">
        <v>78.5</v>
      </c>
      <c r="L36" s="134">
        <v>31.5</v>
      </c>
      <c r="M36" s="134">
        <v>47.3</v>
      </c>
      <c r="N36" s="134">
        <v>24.6</v>
      </c>
      <c r="O36" s="134">
        <v>0</v>
      </c>
      <c r="P36" s="134">
        <v>0.73</v>
      </c>
      <c r="Q36" s="134">
        <v>6.24</v>
      </c>
    </row>
    <row r="37" spans="1:17" customFormat="1">
      <c r="A37" s="112" t="s">
        <v>1130</v>
      </c>
      <c r="B37" s="134">
        <v>28.49</v>
      </c>
      <c r="C37" s="134">
        <v>58.56</v>
      </c>
      <c r="D37" s="134">
        <v>52.4</v>
      </c>
      <c r="E37" s="134">
        <v>13.73</v>
      </c>
      <c r="F37" s="134">
        <v>6.09</v>
      </c>
      <c r="G37" s="134">
        <v>63.73</v>
      </c>
      <c r="H37" s="134">
        <v>25.05</v>
      </c>
      <c r="I37" s="134">
        <v>7.24</v>
      </c>
      <c r="J37" s="134">
        <v>0.24</v>
      </c>
      <c r="K37" s="134">
        <v>215.13</v>
      </c>
      <c r="L37" s="134">
        <v>30.66</v>
      </c>
      <c r="M37" s="134">
        <v>51.52</v>
      </c>
      <c r="N37" s="134">
        <v>36.200000000000003</v>
      </c>
      <c r="O37" s="134">
        <v>0</v>
      </c>
      <c r="P37" s="134">
        <v>0.73</v>
      </c>
      <c r="Q37" s="134">
        <v>6.36</v>
      </c>
    </row>
    <row r="38" spans="1:17" customFormat="1">
      <c r="A38" s="112" t="s">
        <v>1131</v>
      </c>
      <c r="B38" s="134">
        <v>24.3</v>
      </c>
      <c r="C38" s="134">
        <v>52.16</v>
      </c>
      <c r="D38" s="134">
        <v>45.7</v>
      </c>
      <c r="E38" s="134">
        <v>13.22</v>
      </c>
      <c r="F38" s="134">
        <v>8.4600000000000009</v>
      </c>
      <c r="G38" s="134">
        <v>66.61</v>
      </c>
      <c r="H38" s="134">
        <v>26.42</v>
      </c>
      <c r="I38" s="134">
        <v>7.97</v>
      </c>
      <c r="J38" s="134">
        <v>0.14000000000000001</v>
      </c>
      <c r="K38" s="134">
        <v>158.12</v>
      </c>
      <c r="L38" s="134">
        <v>30.85</v>
      </c>
      <c r="M38" s="134">
        <v>52.08</v>
      </c>
      <c r="N38" s="134">
        <v>61.8</v>
      </c>
      <c r="O38" s="134">
        <v>0</v>
      </c>
      <c r="P38" s="134">
        <v>0.67</v>
      </c>
      <c r="Q38" s="134">
        <v>6.29</v>
      </c>
    </row>
    <row r="39" spans="1:17" customFormat="1">
      <c r="A39" s="112" t="s">
        <v>1132</v>
      </c>
      <c r="B39" s="134">
        <v>22.83</v>
      </c>
      <c r="C39" s="134">
        <v>54.44</v>
      </c>
      <c r="D39" s="134">
        <v>45.7</v>
      </c>
      <c r="E39" s="134">
        <v>15.17</v>
      </c>
      <c r="F39" s="134">
        <v>8.1199999999999992</v>
      </c>
      <c r="G39" s="134">
        <v>70.73</v>
      </c>
      <c r="H39" s="134">
        <v>29.7</v>
      </c>
      <c r="I39" s="134">
        <v>7.87</v>
      </c>
      <c r="J39" s="134">
        <v>0.19</v>
      </c>
      <c r="K39" s="134">
        <v>179.16</v>
      </c>
      <c r="L39" s="134">
        <v>31.72</v>
      </c>
      <c r="M39" s="134">
        <v>47.54</v>
      </c>
      <c r="N39" s="134">
        <v>109.7</v>
      </c>
      <c r="O39" s="134">
        <v>0</v>
      </c>
      <c r="P39" s="134">
        <v>0.72</v>
      </c>
      <c r="Q39" s="134">
        <v>6.38</v>
      </c>
    </row>
    <row r="40" spans="1:17" customFormat="1">
      <c r="A40" s="112" t="s">
        <v>1133</v>
      </c>
      <c r="B40" s="134">
        <v>23.37</v>
      </c>
      <c r="C40" s="134">
        <v>53.16</v>
      </c>
      <c r="D40" s="134">
        <v>45.47</v>
      </c>
      <c r="E40" s="134">
        <v>15.6</v>
      </c>
      <c r="F40" s="134">
        <v>13.9</v>
      </c>
      <c r="G40" s="134">
        <v>70.73</v>
      </c>
      <c r="H40" s="134">
        <v>29.7</v>
      </c>
      <c r="I40" s="134">
        <v>7.55</v>
      </c>
      <c r="J40" s="134">
        <v>0.27</v>
      </c>
      <c r="K40" s="134">
        <v>228.01</v>
      </c>
      <c r="L40" s="134">
        <v>33.369999999999997</v>
      </c>
      <c r="M40" s="134">
        <v>40.64</v>
      </c>
      <c r="N40" s="134">
        <v>150.30000000000001</v>
      </c>
      <c r="O40" s="134">
        <v>0</v>
      </c>
      <c r="P40" s="134">
        <v>0.71</v>
      </c>
      <c r="Q40" s="134">
        <v>6.29</v>
      </c>
    </row>
    <row r="41" spans="1:17" customFormat="1">
      <c r="A41" s="112" t="s">
        <v>1134</v>
      </c>
      <c r="B41" s="134">
        <v>26.5</v>
      </c>
      <c r="C41" s="134">
        <v>58.24</v>
      </c>
      <c r="D41" s="134">
        <v>50.63</v>
      </c>
      <c r="E41" s="134">
        <v>12.87</v>
      </c>
      <c r="F41" s="134">
        <v>10.45</v>
      </c>
      <c r="G41" s="134">
        <v>70.73</v>
      </c>
      <c r="H41" s="134">
        <v>29.7</v>
      </c>
      <c r="I41" s="134">
        <v>7.69</v>
      </c>
      <c r="J41" s="134">
        <v>0.62</v>
      </c>
      <c r="K41" s="134">
        <v>268.32</v>
      </c>
      <c r="L41" s="134">
        <v>33.96</v>
      </c>
      <c r="M41" s="134">
        <v>36.14</v>
      </c>
      <c r="N41" s="134">
        <v>139</v>
      </c>
      <c r="O41" s="134">
        <v>0</v>
      </c>
      <c r="P41" s="134">
        <v>0.73</v>
      </c>
      <c r="Q41" s="134">
        <v>6.23</v>
      </c>
    </row>
    <row r="42" spans="1:17" customFormat="1">
      <c r="A42" s="112" t="s">
        <v>1135</v>
      </c>
      <c r="B42" s="134">
        <v>23.57</v>
      </c>
      <c r="C42" s="134">
        <v>55.96</v>
      </c>
      <c r="D42" s="134">
        <v>47.09</v>
      </c>
      <c r="E42" s="134">
        <v>13.31</v>
      </c>
      <c r="F42" s="134">
        <v>12.54</v>
      </c>
      <c r="G42" s="134">
        <v>65.989999999999995</v>
      </c>
      <c r="H42" s="134">
        <v>26.96</v>
      </c>
      <c r="I42" s="134">
        <v>7.96</v>
      </c>
      <c r="J42" s="134">
        <v>0.59</v>
      </c>
      <c r="K42" s="134">
        <v>263.05</v>
      </c>
      <c r="L42" s="134">
        <v>33.549999999999997</v>
      </c>
      <c r="M42" s="134">
        <v>34.93</v>
      </c>
      <c r="N42" s="134">
        <v>86.1</v>
      </c>
      <c r="O42" s="134">
        <v>0</v>
      </c>
      <c r="P42" s="134">
        <v>0.73</v>
      </c>
      <c r="Q42" s="134">
        <v>6.26</v>
      </c>
    </row>
    <row r="43" spans="1:17" customFormat="1">
      <c r="A43" s="112" t="s">
        <v>1136</v>
      </c>
      <c r="B43" s="134">
        <v>23.05</v>
      </c>
      <c r="C43" s="134">
        <v>53.28</v>
      </c>
      <c r="D43" s="134">
        <v>45.28</v>
      </c>
      <c r="E43" s="134">
        <v>13.49</v>
      </c>
      <c r="F43" s="134">
        <v>13</v>
      </c>
      <c r="G43" s="134">
        <v>59.2</v>
      </c>
      <c r="H43" s="134">
        <v>24.61</v>
      </c>
      <c r="I43" s="134">
        <v>8.11</v>
      </c>
      <c r="J43" s="134">
        <v>0.53</v>
      </c>
      <c r="K43" s="134">
        <v>250.08</v>
      </c>
      <c r="L43" s="134">
        <v>32.69</v>
      </c>
      <c r="M43" s="134">
        <v>42.35</v>
      </c>
      <c r="N43" s="134">
        <v>71.2</v>
      </c>
      <c r="O43" s="134">
        <v>0</v>
      </c>
      <c r="P43" s="134">
        <v>0.76</v>
      </c>
      <c r="Q43" s="134">
        <v>6.12</v>
      </c>
    </row>
    <row r="44" spans="1:17" customFormat="1">
      <c r="A44" s="112" t="s">
        <v>1137</v>
      </c>
      <c r="B44" s="134">
        <v>21.72</v>
      </c>
      <c r="C44" s="134">
        <v>57.89</v>
      </c>
      <c r="D44" s="134">
        <v>46.62</v>
      </c>
      <c r="E44" s="134">
        <v>13.62</v>
      </c>
      <c r="F44" s="134">
        <v>13.09</v>
      </c>
      <c r="G44" s="134">
        <v>59.2</v>
      </c>
      <c r="H44" s="134">
        <v>24.61</v>
      </c>
      <c r="I44" s="134">
        <v>8.02</v>
      </c>
      <c r="J44" s="134">
        <v>0.27</v>
      </c>
      <c r="K44" s="134">
        <v>212.99</v>
      </c>
      <c r="L44" s="134">
        <v>32.5</v>
      </c>
      <c r="M44" s="134">
        <v>44.34</v>
      </c>
      <c r="N44" s="134">
        <v>72.7</v>
      </c>
      <c r="O44" s="134">
        <v>0</v>
      </c>
      <c r="P44" s="134">
        <v>0.89</v>
      </c>
      <c r="Q44" s="134">
        <v>6.19</v>
      </c>
    </row>
    <row r="45" spans="1:17" customFormat="1">
      <c r="A45" s="112" t="s">
        <v>1138</v>
      </c>
      <c r="B45" s="134">
        <v>18.899999999999999</v>
      </c>
      <c r="C45" s="134">
        <v>53.81</v>
      </c>
      <c r="D45" s="134">
        <v>42.23</v>
      </c>
      <c r="E45" s="134">
        <v>18.059999999999999</v>
      </c>
      <c r="F45" s="134">
        <v>17.32</v>
      </c>
      <c r="G45" s="134">
        <v>59.2</v>
      </c>
      <c r="H45" s="134">
        <v>24.61</v>
      </c>
      <c r="I45" s="134">
        <v>9.0399999999999991</v>
      </c>
      <c r="J45" s="134">
        <v>0.18</v>
      </c>
      <c r="K45" s="134">
        <v>192.15</v>
      </c>
      <c r="L45" s="134">
        <v>32.89</v>
      </c>
      <c r="M45" s="134">
        <v>43.15</v>
      </c>
      <c r="N45" s="134">
        <v>136</v>
      </c>
      <c r="O45" s="134">
        <v>0</v>
      </c>
      <c r="P45" s="134">
        <v>0.99</v>
      </c>
      <c r="Q45" s="134">
        <v>6.15</v>
      </c>
    </row>
    <row r="46" spans="1:17" customFormat="1">
      <c r="A46" s="112" t="s">
        <v>1139</v>
      </c>
      <c r="B46" s="134">
        <v>15.13</v>
      </c>
      <c r="C46" s="134">
        <v>45.67</v>
      </c>
      <c r="D46" s="134">
        <v>34.950000000000003</v>
      </c>
      <c r="E46" s="134">
        <v>20.57</v>
      </c>
      <c r="F46" s="134">
        <v>25.75</v>
      </c>
      <c r="G46" s="134">
        <v>69.12</v>
      </c>
      <c r="H46" s="134">
        <v>29.46</v>
      </c>
      <c r="I46" s="134">
        <v>11.08</v>
      </c>
      <c r="J46" s="134">
        <v>0.24</v>
      </c>
      <c r="K46" s="134">
        <v>229.89</v>
      </c>
      <c r="L46" s="134">
        <v>33.79</v>
      </c>
      <c r="M46" s="134">
        <v>39.22</v>
      </c>
      <c r="N46" s="134">
        <v>229.1</v>
      </c>
      <c r="O46" s="134">
        <v>0</v>
      </c>
      <c r="P46" s="134">
        <v>1</v>
      </c>
      <c r="Q46" s="134">
        <v>6.01</v>
      </c>
    </row>
    <row r="47" spans="1:17" customFormat="1">
      <c r="A47" s="112" t="s">
        <v>1140</v>
      </c>
      <c r="B47" s="134">
        <v>17.7</v>
      </c>
      <c r="C47" s="134">
        <v>50.74</v>
      </c>
      <c r="D47" s="134">
        <v>39.659999999999997</v>
      </c>
      <c r="E47" s="134">
        <v>18.27</v>
      </c>
      <c r="F47" s="134">
        <v>24.55</v>
      </c>
      <c r="G47" s="134">
        <v>83.34</v>
      </c>
      <c r="H47" s="134">
        <v>33.65</v>
      </c>
      <c r="I47" s="134">
        <v>12.45</v>
      </c>
      <c r="J47" s="134">
        <v>0.34</v>
      </c>
      <c r="K47" s="134">
        <v>207.82</v>
      </c>
      <c r="L47" s="134">
        <v>34.700000000000003</v>
      </c>
      <c r="M47" s="134">
        <v>36.979999999999997</v>
      </c>
      <c r="N47" s="134">
        <v>248.3</v>
      </c>
      <c r="O47" s="134">
        <v>0</v>
      </c>
      <c r="P47" s="134">
        <v>0.93</v>
      </c>
      <c r="Q47" s="134">
        <v>5.87</v>
      </c>
    </row>
    <row r="48" spans="1:17" customFormat="1">
      <c r="A48" s="112" t="s">
        <v>1141</v>
      </c>
      <c r="B48" s="134">
        <v>16.61</v>
      </c>
      <c r="C48" s="134">
        <v>52.15</v>
      </c>
      <c r="D48" s="134">
        <v>39.520000000000003</v>
      </c>
      <c r="E48" s="134">
        <v>17.7</v>
      </c>
      <c r="F48" s="134">
        <v>25.76</v>
      </c>
      <c r="G48" s="134">
        <v>83.34</v>
      </c>
      <c r="H48" s="134">
        <v>33.65</v>
      </c>
      <c r="I48" s="134">
        <v>12.09</v>
      </c>
      <c r="J48" s="134">
        <v>0.28000000000000003</v>
      </c>
      <c r="K48" s="134">
        <v>253.29</v>
      </c>
      <c r="L48" s="134">
        <v>35.200000000000003</v>
      </c>
      <c r="M48" s="134">
        <v>35.42</v>
      </c>
      <c r="N48" s="134">
        <v>258.60000000000002</v>
      </c>
      <c r="O48" s="134">
        <v>0</v>
      </c>
      <c r="P48" s="134">
        <v>0.92</v>
      </c>
      <c r="Q48" s="134">
        <v>5.76</v>
      </c>
    </row>
    <row r="49" spans="1:17" customFormat="1">
      <c r="A49" s="112" t="s">
        <v>1142</v>
      </c>
      <c r="B49" s="134">
        <v>13.24</v>
      </c>
      <c r="C49" s="134">
        <v>54.7</v>
      </c>
      <c r="D49" s="134">
        <v>38.15</v>
      </c>
      <c r="E49" s="134">
        <v>12.74</v>
      </c>
      <c r="F49" s="134">
        <v>36.28</v>
      </c>
      <c r="G49" s="134">
        <v>83.34</v>
      </c>
      <c r="H49" s="134">
        <v>33.65</v>
      </c>
      <c r="I49" s="134">
        <v>11.46</v>
      </c>
      <c r="J49" s="134">
        <v>0.3</v>
      </c>
      <c r="K49" s="134">
        <v>251.96</v>
      </c>
      <c r="L49" s="134">
        <v>36.380000000000003</v>
      </c>
      <c r="M49" s="134">
        <v>32.17</v>
      </c>
      <c r="N49" s="134">
        <v>236.6</v>
      </c>
      <c r="O49" s="134">
        <v>0</v>
      </c>
      <c r="P49" s="134">
        <v>0.93</v>
      </c>
      <c r="Q49" s="134">
        <v>5.89</v>
      </c>
    </row>
    <row r="50" spans="1:17" customFormat="1">
      <c r="A50" s="112" t="s">
        <v>1143</v>
      </c>
      <c r="B50" s="134">
        <v>13.1</v>
      </c>
      <c r="C50" s="134">
        <v>56.89</v>
      </c>
      <c r="D50" s="134">
        <v>39.18</v>
      </c>
      <c r="E50" s="134">
        <v>13.39</v>
      </c>
      <c r="F50" s="134">
        <v>34.4</v>
      </c>
      <c r="G50" s="134">
        <v>84.41</v>
      </c>
      <c r="H50" s="134">
        <v>34.56</v>
      </c>
      <c r="I50" s="134">
        <v>11.16</v>
      </c>
      <c r="J50" s="134">
        <v>0.32</v>
      </c>
      <c r="K50" s="134">
        <v>231.73</v>
      </c>
      <c r="L50" s="134">
        <v>37.69</v>
      </c>
      <c r="M50" s="134">
        <v>27.78</v>
      </c>
      <c r="N50" s="134">
        <v>197.6</v>
      </c>
      <c r="O50" s="134">
        <v>0</v>
      </c>
      <c r="P50" s="134">
        <v>0.88</v>
      </c>
      <c r="Q50" s="134">
        <v>5.85</v>
      </c>
    </row>
    <row r="51" spans="1:17" customFormat="1">
      <c r="A51" s="112" t="s">
        <v>1144</v>
      </c>
      <c r="B51" s="134">
        <v>10.97</v>
      </c>
      <c r="C51" s="134">
        <v>56.38</v>
      </c>
      <c r="D51" s="134">
        <v>37.21</v>
      </c>
      <c r="E51" s="134">
        <v>12.28</v>
      </c>
      <c r="F51" s="134">
        <v>31.97</v>
      </c>
      <c r="G51" s="134">
        <v>85.96</v>
      </c>
      <c r="H51" s="134">
        <v>35.340000000000003</v>
      </c>
      <c r="I51" s="134">
        <v>10.66</v>
      </c>
      <c r="J51" s="134">
        <v>0.14000000000000001</v>
      </c>
      <c r="K51" s="134">
        <v>236.77</v>
      </c>
      <c r="L51" s="134">
        <v>39.08</v>
      </c>
      <c r="M51" s="134">
        <v>26.01</v>
      </c>
      <c r="N51" s="134">
        <v>224</v>
      </c>
      <c r="O51" s="134">
        <v>0</v>
      </c>
      <c r="P51" s="134">
        <v>0.88</v>
      </c>
      <c r="Q51" s="134">
        <v>5.69</v>
      </c>
    </row>
    <row r="52" spans="1:17" customFormat="1">
      <c r="A52" s="112" t="s">
        <v>1145</v>
      </c>
      <c r="B52" s="134">
        <v>9.16</v>
      </c>
      <c r="C52" s="134">
        <v>51.14</v>
      </c>
      <c r="D52" s="134">
        <v>33.020000000000003</v>
      </c>
      <c r="E52" s="134">
        <v>12.68</v>
      </c>
      <c r="F52" s="134">
        <v>37.31</v>
      </c>
      <c r="G52" s="134">
        <v>85.96</v>
      </c>
      <c r="H52" s="134">
        <v>35.340000000000003</v>
      </c>
      <c r="I52" s="134">
        <v>10.25</v>
      </c>
      <c r="J52" s="134">
        <v>0.64</v>
      </c>
      <c r="K52" s="134">
        <v>274.22000000000003</v>
      </c>
      <c r="L52" s="134">
        <v>39.54</v>
      </c>
      <c r="M52" s="134">
        <v>24.97</v>
      </c>
      <c r="N52" s="134">
        <v>235.4</v>
      </c>
      <c r="O52" s="134">
        <v>0</v>
      </c>
      <c r="P52" s="134">
        <v>0.87</v>
      </c>
      <c r="Q52" s="134">
        <v>5.56</v>
      </c>
    </row>
    <row r="53" spans="1:17" customFormat="1">
      <c r="A53" s="112" t="s">
        <v>1146</v>
      </c>
      <c r="B53" s="134">
        <v>8</v>
      </c>
      <c r="C53" s="134">
        <v>54.33</v>
      </c>
      <c r="D53" s="134">
        <v>33.75</v>
      </c>
      <c r="E53" s="134">
        <v>9.7799999999999994</v>
      </c>
      <c r="F53" s="134">
        <v>26.98</v>
      </c>
      <c r="G53" s="134">
        <v>85.96</v>
      </c>
      <c r="H53" s="134">
        <v>35.340000000000003</v>
      </c>
      <c r="I53" s="134">
        <v>10.09</v>
      </c>
      <c r="J53" s="134">
        <v>0.6</v>
      </c>
      <c r="K53" s="134">
        <v>255.52</v>
      </c>
      <c r="L53" s="134">
        <v>39.08</v>
      </c>
      <c r="M53" s="134">
        <v>24.49</v>
      </c>
      <c r="N53" s="134">
        <v>233.2</v>
      </c>
      <c r="O53" s="134">
        <v>0</v>
      </c>
      <c r="P53" s="134">
        <v>0.83</v>
      </c>
      <c r="Q53" s="134">
        <v>5.43</v>
      </c>
    </row>
    <row r="54" spans="1:17" customFormat="1">
      <c r="A54" s="112" t="s">
        <v>1147</v>
      </c>
      <c r="B54" s="134">
        <v>6.72</v>
      </c>
      <c r="C54" s="134">
        <v>55.14</v>
      </c>
      <c r="D54" s="134">
        <v>33.15</v>
      </c>
      <c r="E54" s="134">
        <v>9.57</v>
      </c>
      <c r="F54" s="134">
        <v>33.090000000000003</v>
      </c>
      <c r="G54" s="134">
        <v>81.61</v>
      </c>
      <c r="H54" s="134">
        <v>34.47</v>
      </c>
      <c r="I54" s="134">
        <v>10.029999999999999</v>
      </c>
      <c r="J54" s="134">
        <v>0.75</v>
      </c>
      <c r="K54" s="134">
        <v>271.99</v>
      </c>
      <c r="L54" s="134">
        <v>39.61</v>
      </c>
      <c r="M54" s="134">
        <v>23.31</v>
      </c>
      <c r="N54" s="134">
        <v>336.8</v>
      </c>
      <c r="O54" s="134">
        <v>0</v>
      </c>
      <c r="P54" s="134">
        <v>0.79</v>
      </c>
      <c r="Q54" s="134">
        <v>5.5</v>
      </c>
    </row>
    <row r="55" spans="1:17" customFormat="1">
      <c r="A55" s="112" t="s">
        <v>1148</v>
      </c>
      <c r="B55" s="134">
        <v>7.02</v>
      </c>
      <c r="C55" s="134">
        <v>57.74</v>
      </c>
      <c r="D55" s="134">
        <v>34.76</v>
      </c>
      <c r="E55" s="134">
        <v>8.02</v>
      </c>
      <c r="F55" s="134">
        <v>19.29</v>
      </c>
      <c r="G55" s="134">
        <v>75.38</v>
      </c>
      <c r="H55" s="134">
        <v>33.69</v>
      </c>
      <c r="I55" s="134">
        <v>9.36</v>
      </c>
      <c r="J55" s="134">
        <v>1.17</v>
      </c>
      <c r="K55" s="134">
        <v>284.05</v>
      </c>
      <c r="L55" s="134">
        <v>40.31</v>
      </c>
      <c r="M55" s="134">
        <v>21.48</v>
      </c>
      <c r="N55" s="134">
        <v>404</v>
      </c>
      <c r="O55" s="134">
        <v>0</v>
      </c>
      <c r="P55" s="134">
        <v>0.79</v>
      </c>
      <c r="Q55" s="134">
        <v>5.39</v>
      </c>
    </row>
    <row r="56" spans="1:17" customFormat="1">
      <c r="A56" s="112" t="s">
        <v>1149</v>
      </c>
      <c r="B56" s="134">
        <v>7.3</v>
      </c>
      <c r="C56" s="134">
        <v>58.35</v>
      </c>
      <c r="D56" s="134">
        <v>35.299999999999997</v>
      </c>
      <c r="E56" s="134">
        <v>7.76</v>
      </c>
      <c r="F56" s="134">
        <v>15.54</v>
      </c>
      <c r="G56" s="134">
        <v>75.38</v>
      </c>
      <c r="H56" s="134">
        <v>33.69</v>
      </c>
      <c r="I56" s="134">
        <v>8.61</v>
      </c>
      <c r="J56" s="134">
        <v>1.5</v>
      </c>
      <c r="K56" s="134">
        <v>295.67</v>
      </c>
      <c r="L56" s="134">
        <v>39.78</v>
      </c>
      <c r="M56" s="134">
        <v>22.01</v>
      </c>
      <c r="N56" s="134">
        <v>364.7</v>
      </c>
      <c r="O56" s="134">
        <v>0</v>
      </c>
      <c r="P56" s="134">
        <v>0.8</v>
      </c>
      <c r="Q56" s="134">
        <v>5.31</v>
      </c>
    </row>
    <row r="57" spans="1:17" customFormat="1">
      <c r="A57" s="112" t="s">
        <v>1150</v>
      </c>
      <c r="B57" s="134">
        <v>7.14</v>
      </c>
      <c r="C57" s="134">
        <v>55.94</v>
      </c>
      <c r="D57" s="134">
        <v>33.909999999999997</v>
      </c>
      <c r="E57" s="134">
        <v>7.26</v>
      </c>
      <c r="F57" s="134">
        <v>14.13</v>
      </c>
      <c r="G57" s="134">
        <v>75.38</v>
      </c>
      <c r="H57" s="134">
        <v>33.69</v>
      </c>
      <c r="I57" s="134">
        <v>8.99</v>
      </c>
      <c r="J57" s="134">
        <v>2.0499999999999998</v>
      </c>
      <c r="K57" s="134">
        <v>295.35000000000002</v>
      </c>
      <c r="L57" s="134">
        <v>39.630000000000003</v>
      </c>
      <c r="M57" s="134">
        <v>22.36</v>
      </c>
      <c r="N57" s="134">
        <v>562.9</v>
      </c>
      <c r="O57" s="134">
        <v>0</v>
      </c>
      <c r="P57" s="134">
        <v>0.78</v>
      </c>
      <c r="Q57" s="134">
        <v>5.2</v>
      </c>
    </row>
    <row r="58" spans="1:17" customFormat="1">
      <c r="A58" s="112" t="s">
        <v>1151</v>
      </c>
      <c r="B58" s="134">
        <v>6.25</v>
      </c>
      <c r="C58" s="134">
        <v>50.66</v>
      </c>
      <c r="D58" s="134">
        <v>30.43</v>
      </c>
      <c r="E58" s="134">
        <v>7.71</v>
      </c>
      <c r="F58" s="134">
        <v>18.7</v>
      </c>
      <c r="G58" s="134">
        <v>71.22</v>
      </c>
      <c r="H58" s="134">
        <v>34.520000000000003</v>
      </c>
      <c r="I58" s="134">
        <v>9.27</v>
      </c>
      <c r="J58" s="134">
        <v>1.51</v>
      </c>
      <c r="K58" s="134">
        <v>280.61</v>
      </c>
      <c r="L58" s="134">
        <v>40.24</v>
      </c>
      <c r="M58" s="134">
        <v>21.67</v>
      </c>
      <c r="N58" s="134">
        <v>629.6</v>
      </c>
      <c r="O58" s="134">
        <v>0</v>
      </c>
      <c r="P58" s="134">
        <v>0.73</v>
      </c>
      <c r="Q58" s="134">
        <v>5.13</v>
      </c>
    </row>
    <row r="59" spans="1:17" customFormat="1">
      <c r="A59" s="112" t="s">
        <v>1152</v>
      </c>
      <c r="B59" s="134">
        <v>5.99</v>
      </c>
      <c r="C59" s="134">
        <v>49.24</v>
      </c>
      <c r="D59" s="134">
        <v>29.48</v>
      </c>
      <c r="E59" s="134">
        <v>7.65</v>
      </c>
      <c r="F59" s="134">
        <v>19.760000000000002</v>
      </c>
      <c r="G59" s="134">
        <v>65.260000000000005</v>
      </c>
      <c r="H59" s="134">
        <v>35.24</v>
      </c>
      <c r="I59" s="134">
        <v>8.93</v>
      </c>
      <c r="J59" s="134">
        <v>1.36</v>
      </c>
      <c r="K59" s="134">
        <v>272.60000000000002</v>
      </c>
      <c r="L59" s="134">
        <v>40.909999999999997</v>
      </c>
      <c r="M59" s="134">
        <v>20.82</v>
      </c>
      <c r="N59" s="134">
        <v>860.3</v>
      </c>
      <c r="O59" s="134">
        <v>0</v>
      </c>
      <c r="P59" s="134">
        <v>0.72</v>
      </c>
      <c r="Q59" s="134">
        <v>5.08</v>
      </c>
    </row>
    <row r="60" spans="1:17" customFormat="1">
      <c r="A60" s="112" t="s">
        <v>1153</v>
      </c>
      <c r="B60" s="134">
        <v>5.95</v>
      </c>
      <c r="C60" s="134">
        <v>47.8</v>
      </c>
      <c r="D60" s="134">
        <v>28.7</v>
      </c>
      <c r="E60" s="134">
        <v>7.64</v>
      </c>
      <c r="F60" s="134">
        <v>16.899999999999999</v>
      </c>
      <c r="G60" s="134">
        <v>65.260000000000005</v>
      </c>
      <c r="H60" s="134">
        <v>35.24</v>
      </c>
      <c r="I60" s="134">
        <v>8.2899999999999991</v>
      </c>
      <c r="J60" s="134">
        <v>1.52</v>
      </c>
      <c r="K60" s="134">
        <v>284.56</v>
      </c>
      <c r="L60" s="134">
        <v>41.03</v>
      </c>
      <c r="M60" s="134">
        <v>20.45</v>
      </c>
      <c r="N60" s="134">
        <v>784.1</v>
      </c>
      <c r="O60" s="134">
        <v>0</v>
      </c>
      <c r="P60" s="134">
        <v>0.71</v>
      </c>
      <c r="Q60" s="134">
        <v>5.07</v>
      </c>
    </row>
    <row r="61" spans="1:17" customFormat="1">
      <c r="A61" s="112" t="s">
        <v>1154</v>
      </c>
      <c r="B61" s="134">
        <v>5.64</v>
      </c>
      <c r="C61" s="134">
        <v>48.36</v>
      </c>
      <c r="D61" s="134">
        <v>28.75</v>
      </c>
      <c r="E61" s="134">
        <v>7.6</v>
      </c>
      <c r="F61" s="134">
        <v>18.59</v>
      </c>
      <c r="G61" s="134">
        <v>65.260000000000005</v>
      </c>
      <c r="H61" s="134">
        <v>35.24</v>
      </c>
      <c r="I61" s="134">
        <v>8.06</v>
      </c>
      <c r="J61" s="134">
        <v>1.6</v>
      </c>
      <c r="K61" s="134">
        <v>287.18</v>
      </c>
      <c r="L61" s="134">
        <v>41.27</v>
      </c>
      <c r="M61" s="134">
        <v>20.059999999999999</v>
      </c>
      <c r="N61" s="134">
        <v>795</v>
      </c>
      <c r="O61" s="134">
        <v>0</v>
      </c>
      <c r="P61" s="134">
        <v>0.67</v>
      </c>
      <c r="Q61" s="134">
        <v>5.03</v>
      </c>
    </row>
    <row r="62" spans="1:17" customFormat="1">
      <c r="A62" s="112" t="s">
        <v>1155</v>
      </c>
      <c r="B62" s="134">
        <v>5.63</v>
      </c>
      <c r="C62" s="134">
        <v>48.57</v>
      </c>
      <c r="D62" s="134">
        <v>28.85</v>
      </c>
      <c r="E62" s="134">
        <v>7.54</v>
      </c>
      <c r="F62" s="134">
        <v>23.37</v>
      </c>
      <c r="G62" s="134">
        <v>65.53</v>
      </c>
      <c r="H62" s="134">
        <v>34.270000000000003</v>
      </c>
      <c r="I62" s="134">
        <v>7.92</v>
      </c>
      <c r="J62" s="134">
        <v>1.45</v>
      </c>
      <c r="K62" s="134">
        <v>295.35000000000002</v>
      </c>
      <c r="L62" s="134">
        <v>41.62</v>
      </c>
      <c r="M62" s="134">
        <v>19.03</v>
      </c>
      <c r="N62" s="134">
        <v>858.3</v>
      </c>
      <c r="O62" s="134">
        <v>0</v>
      </c>
      <c r="P62" s="134">
        <v>0.65</v>
      </c>
      <c r="Q62" s="134">
        <v>5.01</v>
      </c>
    </row>
    <row r="63" spans="1:17" customFormat="1">
      <c r="A63" s="112" t="s">
        <v>1156</v>
      </c>
      <c r="B63" s="134">
        <v>5.22</v>
      </c>
      <c r="C63" s="134">
        <v>46.04</v>
      </c>
      <c r="D63" s="134">
        <v>27.19</v>
      </c>
      <c r="E63" s="134">
        <v>7.42</v>
      </c>
      <c r="F63" s="134">
        <v>18.8</v>
      </c>
      <c r="G63" s="134">
        <v>65.91</v>
      </c>
      <c r="H63" s="134">
        <v>31.95</v>
      </c>
      <c r="I63" s="134">
        <v>7.67</v>
      </c>
      <c r="J63" s="134">
        <v>1.33</v>
      </c>
      <c r="K63" s="134">
        <v>281.91000000000003</v>
      </c>
      <c r="L63" s="134">
        <v>41.15</v>
      </c>
      <c r="M63" s="134">
        <v>18.329999999999998</v>
      </c>
      <c r="N63" s="134">
        <v>517.6</v>
      </c>
      <c r="O63" s="134">
        <v>0</v>
      </c>
      <c r="P63" s="134">
        <v>0.63</v>
      </c>
      <c r="Q63" s="134">
        <v>5</v>
      </c>
    </row>
    <row r="64" spans="1:17" customFormat="1">
      <c r="A64" s="112" t="s">
        <v>1157</v>
      </c>
      <c r="B64" s="134">
        <v>5.33</v>
      </c>
      <c r="C64" s="134">
        <v>47.28</v>
      </c>
      <c r="D64" s="134">
        <v>27.93</v>
      </c>
      <c r="E64" s="134">
        <v>7.32</v>
      </c>
      <c r="F64" s="134">
        <v>18.079999999999998</v>
      </c>
      <c r="G64" s="134">
        <v>65.91</v>
      </c>
      <c r="H64" s="134">
        <v>31.95</v>
      </c>
      <c r="I64" s="134">
        <v>7.48</v>
      </c>
      <c r="J64" s="134">
        <v>1.1299999999999999</v>
      </c>
      <c r="K64" s="134">
        <v>279.56</v>
      </c>
      <c r="L64" s="134">
        <v>41.39</v>
      </c>
      <c r="M64" s="134">
        <v>18.23</v>
      </c>
      <c r="N64" s="134">
        <v>458.5</v>
      </c>
      <c r="O64" s="134">
        <v>0</v>
      </c>
      <c r="P64" s="134">
        <v>0.62</v>
      </c>
      <c r="Q64" s="134">
        <v>4.95</v>
      </c>
    </row>
    <row r="65" spans="1:17" customFormat="1">
      <c r="A65" s="112" t="s">
        <v>1158</v>
      </c>
      <c r="B65" s="134">
        <v>4.9800000000000004</v>
      </c>
      <c r="C65" s="134">
        <v>47.08</v>
      </c>
      <c r="D65" s="134">
        <v>27.54</v>
      </c>
      <c r="E65" s="134">
        <v>7.05</v>
      </c>
      <c r="F65" s="134">
        <v>19.78</v>
      </c>
      <c r="G65" s="134">
        <v>65.91</v>
      </c>
      <c r="H65" s="134">
        <v>31.95</v>
      </c>
      <c r="I65" s="134">
        <v>7.07</v>
      </c>
      <c r="J65" s="134">
        <v>1.17</v>
      </c>
      <c r="K65" s="134">
        <v>259.48</v>
      </c>
      <c r="L65" s="134">
        <v>40.47</v>
      </c>
      <c r="M65" s="134">
        <v>19.809999999999999</v>
      </c>
      <c r="N65" s="134">
        <v>189.4</v>
      </c>
      <c r="O65" s="134">
        <v>0</v>
      </c>
      <c r="P65" s="134">
        <v>0.57999999999999996</v>
      </c>
      <c r="Q65" s="134">
        <v>4.93</v>
      </c>
    </row>
    <row r="66" spans="1:17" customFormat="1">
      <c r="A66" s="112" t="s">
        <v>1159</v>
      </c>
      <c r="B66" s="134">
        <v>5.19</v>
      </c>
      <c r="C66" s="134">
        <v>45.97</v>
      </c>
      <c r="D66" s="134">
        <v>27.13</v>
      </c>
      <c r="E66" s="134">
        <v>7.71</v>
      </c>
      <c r="F66" s="134">
        <v>23.45</v>
      </c>
      <c r="G66" s="134">
        <v>59.27</v>
      </c>
      <c r="H66" s="134">
        <v>29.97</v>
      </c>
      <c r="I66" s="134">
        <v>6.79</v>
      </c>
      <c r="J66" s="134">
        <v>1.1299999999999999</v>
      </c>
      <c r="K66" s="134">
        <v>290.11</v>
      </c>
      <c r="L66" s="134">
        <v>39.85</v>
      </c>
      <c r="M66" s="134">
        <v>20.62</v>
      </c>
      <c r="N66" s="134">
        <v>123.7</v>
      </c>
      <c r="O66" s="134">
        <v>0</v>
      </c>
      <c r="P66" s="134">
        <v>0.59</v>
      </c>
      <c r="Q66" s="134">
        <v>4.91</v>
      </c>
    </row>
    <row r="67" spans="1:17" customFormat="1">
      <c r="A67" s="112" t="s">
        <v>1160</v>
      </c>
      <c r="B67" s="134">
        <v>5.58</v>
      </c>
      <c r="C67" s="134">
        <v>46.49</v>
      </c>
      <c r="D67" s="134">
        <v>27.72</v>
      </c>
      <c r="E67" s="134">
        <v>7.8</v>
      </c>
      <c r="F67" s="134">
        <v>22.44</v>
      </c>
      <c r="G67" s="134">
        <v>49.76</v>
      </c>
      <c r="H67" s="134">
        <v>28.26</v>
      </c>
      <c r="I67" s="134">
        <v>6.76</v>
      </c>
      <c r="J67" s="134">
        <v>1.1100000000000001</v>
      </c>
      <c r="K67" s="134">
        <v>309.16000000000003</v>
      </c>
      <c r="L67" s="134">
        <v>39.74</v>
      </c>
      <c r="M67" s="134">
        <v>19.5</v>
      </c>
      <c r="N67" s="134">
        <v>97</v>
      </c>
      <c r="O67" s="134">
        <v>0</v>
      </c>
      <c r="P67" s="134">
        <v>0.56999999999999995</v>
      </c>
      <c r="Q67" s="134">
        <v>4.91</v>
      </c>
    </row>
    <row r="68" spans="1:17" customFormat="1">
      <c r="A68" s="112" t="s">
        <v>1161</v>
      </c>
      <c r="B68" s="134">
        <v>5.3</v>
      </c>
      <c r="C68" s="134">
        <v>44.4</v>
      </c>
      <c r="D68" s="134">
        <v>26.4</v>
      </c>
      <c r="E68" s="134">
        <v>8.52</v>
      </c>
      <c r="F68" s="134">
        <v>32.47</v>
      </c>
      <c r="G68" s="134">
        <v>49.76</v>
      </c>
      <c r="H68" s="134">
        <v>28.26</v>
      </c>
      <c r="I68" s="134">
        <v>6.48</v>
      </c>
      <c r="J68" s="134">
        <v>0.64</v>
      </c>
      <c r="K68" s="134">
        <v>276.42</v>
      </c>
      <c r="L68" s="134">
        <v>39.61</v>
      </c>
      <c r="M68" s="134">
        <v>21.13</v>
      </c>
      <c r="N68" s="134">
        <v>165.5</v>
      </c>
      <c r="O68" s="134">
        <v>0</v>
      </c>
      <c r="P68" s="134">
        <v>0.53</v>
      </c>
      <c r="Q68" s="134">
        <v>4.95</v>
      </c>
    </row>
    <row r="69" spans="1:17" customFormat="1">
      <c r="A69" s="112" t="s">
        <v>1162</v>
      </c>
      <c r="B69" s="134">
        <v>5.64</v>
      </c>
      <c r="C69" s="134">
        <v>43.94</v>
      </c>
      <c r="D69" s="134">
        <v>26.43</v>
      </c>
      <c r="E69" s="134">
        <v>11.07</v>
      </c>
      <c r="F69" s="134">
        <v>32.520000000000003</v>
      </c>
      <c r="G69" s="134">
        <v>49.76</v>
      </c>
      <c r="H69" s="134">
        <v>28.26</v>
      </c>
      <c r="I69" s="134">
        <v>5.74</v>
      </c>
      <c r="J69" s="134">
        <v>0.83</v>
      </c>
      <c r="K69" s="134">
        <v>293.18</v>
      </c>
      <c r="L69" s="134">
        <v>40.47</v>
      </c>
      <c r="M69" s="134">
        <v>20.47</v>
      </c>
      <c r="N69" s="134">
        <v>306.5</v>
      </c>
      <c r="O69" s="134">
        <v>0</v>
      </c>
      <c r="P69" s="134">
        <v>0.53</v>
      </c>
      <c r="Q69" s="134">
        <v>4.97</v>
      </c>
    </row>
    <row r="70" spans="1:17" customFormat="1">
      <c r="A70" s="112" t="s">
        <v>1163</v>
      </c>
      <c r="B70" s="134">
        <v>6.03</v>
      </c>
      <c r="C70" s="134">
        <v>47.85</v>
      </c>
      <c r="D70" s="134">
        <v>28.8</v>
      </c>
      <c r="E70" s="134">
        <v>10.97</v>
      </c>
      <c r="F70" s="134">
        <v>28.2</v>
      </c>
      <c r="G70" s="134">
        <v>51.04</v>
      </c>
      <c r="H70" s="134">
        <v>28.06</v>
      </c>
      <c r="I70" s="134">
        <v>5.21</v>
      </c>
      <c r="J70" s="134">
        <v>1.02</v>
      </c>
      <c r="K70" s="134">
        <v>302.10000000000002</v>
      </c>
      <c r="L70" s="134">
        <v>39.99</v>
      </c>
      <c r="M70" s="134">
        <v>20.5</v>
      </c>
      <c r="N70" s="134">
        <v>140.6</v>
      </c>
      <c r="O70" s="134">
        <v>0</v>
      </c>
      <c r="P70" s="134">
        <v>0.56000000000000005</v>
      </c>
      <c r="Q70" s="134">
        <v>4.9800000000000004</v>
      </c>
    </row>
    <row r="71" spans="1:17" customFormat="1">
      <c r="A71" s="112" t="s">
        <v>1164</v>
      </c>
      <c r="B71" s="134">
        <v>6.81</v>
      </c>
      <c r="C71" s="134">
        <v>50.38</v>
      </c>
      <c r="D71" s="134">
        <v>30.74</v>
      </c>
      <c r="E71" s="134">
        <v>10.35</v>
      </c>
      <c r="F71" s="134">
        <v>24.17</v>
      </c>
      <c r="G71" s="134">
        <v>52.89</v>
      </c>
      <c r="H71" s="134">
        <v>27.88</v>
      </c>
      <c r="I71" s="134">
        <v>5.16</v>
      </c>
      <c r="J71" s="134">
        <v>1.17</v>
      </c>
      <c r="K71" s="134">
        <v>286.17</v>
      </c>
      <c r="L71" s="134">
        <v>39.58</v>
      </c>
      <c r="M71" s="134">
        <v>21.42</v>
      </c>
      <c r="N71" s="134">
        <v>190</v>
      </c>
      <c r="O71" s="134">
        <v>0</v>
      </c>
      <c r="P71" s="134">
        <v>0.56999999999999995</v>
      </c>
      <c r="Q71" s="134">
        <v>5.0199999999999996</v>
      </c>
    </row>
    <row r="72" spans="1:17" customFormat="1">
      <c r="A72" s="112" t="s">
        <v>1165</v>
      </c>
      <c r="B72" s="134">
        <v>5.77</v>
      </c>
      <c r="C72" s="134">
        <v>50.32</v>
      </c>
      <c r="D72" s="134">
        <v>29.87</v>
      </c>
      <c r="E72" s="134">
        <v>8.66</v>
      </c>
      <c r="F72" s="134">
        <v>19.45</v>
      </c>
      <c r="G72" s="134">
        <v>52.89</v>
      </c>
      <c r="H72" s="134">
        <v>27.88</v>
      </c>
      <c r="I72" s="134">
        <v>5.23</v>
      </c>
      <c r="J72" s="134">
        <v>1.04</v>
      </c>
      <c r="K72" s="134">
        <v>264.5</v>
      </c>
      <c r="L72" s="134">
        <v>40.01</v>
      </c>
      <c r="M72" s="134">
        <v>21.19</v>
      </c>
      <c r="N72" s="134">
        <v>455.5</v>
      </c>
      <c r="O72" s="134">
        <v>0</v>
      </c>
      <c r="P72" s="134">
        <v>0.56000000000000005</v>
      </c>
      <c r="Q72" s="134">
        <v>5.05</v>
      </c>
    </row>
    <row r="73" spans="1:17" customFormat="1">
      <c r="A73" s="112" t="s">
        <v>1166</v>
      </c>
      <c r="B73" s="134">
        <v>5.16</v>
      </c>
      <c r="C73" s="134">
        <v>52.36</v>
      </c>
      <c r="D73" s="134">
        <v>30.45</v>
      </c>
      <c r="E73" s="134">
        <v>12.15</v>
      </c>
      <c r="F73" s="134">
        <v>34.799999999999997</v>
      </c>
      <c r="G73" s="134">
        <v>52.89</v>
      </c>
      <c r="H73" s="134">
        <v>27.88</v>
      </c>
      <c r="I73" s="134">
        <v>5.3</v>
      </c>
      <c r="J73" s="134">
        <v>0.69</v>
      </c>
      <c r="K73" s="134">
        <v>258.39</v>
      </c>
      <c r="L73" s="134">
        <v>40.94</v>
      </c>
      <c r="M73" s="134">
        <v>20.16</v>
      </c>
      <c r="N73" s="134">
        <v>413.1</v>
      </c>
      <c r="O73" s="134">
        <v>0</v>
      </c>
      <c r="P73" s="134">
        <v>0.55000000000000004</v>
      </c>
      <c r="Q73" s="134">
        <v>5.19</v>
      </c>
    </row>
    <row r="74" spans="1:17" customFormat="1">
      <c r="A74" s="112" t="s">
        <v>1167</v>
      </c>
      <c r="B74" s="134">
        <v>5.4</v>
      </c>
      <c r="C74" s="134">
        <v>49.8</v>
      </c>
      <c r="D74" s="134">
        <v>29.31</v>
      </c>
      <c r="E74" s="134">
        <v>16.309999999999999</v>
      </c>
      <c r="F74" s="134">
        <v>34.5</v>
      </c>
      <c r="G74" s="134">
        <v>52.6</v>
      </c>
      <c r="H74" s="134">
        <v>28.14</v>
      </c>
      <c r="I74" s="134">
        <v>5.76</v>
      </c>
      <c r="J74" s="134">
        <v>0.71</v>
      </c>
      <c r="K74" s="134">
        <v>249.49</v>
      </c>
      <c r="L74" s="134">
        <v>41.17</v>
      </c>
      <c r="M74" s="134">
        <v>19.97</v>
      </c>
      <c r="N74" s="134">
        <v>325.5</v>
      </c>
      <c r="O74" s="134">
        <v>0</v>
      </c>
      <c r="P74" s="134">
        <v>0.57999999999999996</v>
      </c>
      <c r="Q74" s="134">
        <v>5.24</v>
      </c>
    </row>
    <row r="75" spans="1:17" customFormat="1">
      <c r="A75" s="112" t="s">
        <v>1168</v>
      </c>
      <c r="B75" s="134">
        <v>4.5999999999999996</v>
      </c>
      <c r="C75" s="134">
        <v>47.5</v>
      </c>
      <c r="D75" s="134">
        <v>27.46</v>
      </c>
      <c r="E75" s="134">
        <v>21.11</v>
      </c>
      <c r="F75" s="134">
        <v>40.76</v>
      </c>
      <c r="G75" s="134">
        <v>52.18</v>
      </c>
      <c r="H75" s="134">
        <v>28.37</v>
      </c>
      <c r="I75" s="134">
        <v>5.58</v>
      </c>
      <c r="J75" s="134">
        <v>0.63</v>
      </c>
      <c r="K75" s="134">
        <v>248.24</v>
      </c>
      <c r="L75" s="134">
        <v>40.549999999999997</v>
      </c>
      <c r="M75" s="134">
        <v>20.309999999999999</v>
      </c>
      <c r="N75" s="134">
        <v>124.1</v>
      </c>
      <c r="O75" s="134">
        <v>0</v>
      </c>
      <c r="P75" s="134">
        <v>0.59</v>
      </c>
      <c r="Q75" s="134">
        <v>5.14</v>
      </c>
    </row>
    <row r="76" spans="1:17" customFormat="1">
      <c r="A76" s="112" t="s">
        <v>1169</v>
      </c>
      <c r="B76" s="134">
        <v>3.95</v>
      </c>
      <c r="C76" s="134">
        <v>41.61</v>
      </c>
      <c r="D76" s="134">
        <v>23.87</v>
      </c>
      <c r="E76" s="134">
        <v>28</v>
      </c>
      <c r="F76" s="134">
        <v>52.96</v>
      </c>
      <c r="G76" s="134">
        <v>52.18</v>
      </c>
      <c r="H76" s="134">
        <v>28.37</v>
      </c>
      <c r="I76" s="134">
        <v>5.65</v>
      </c>
      <c r="J76" s="134">
        <v>0.51</v>
      </c>
      <c r="K76" s="134">
        <v>259.95999999999998</v>
      </c>
      <c r="L76" s="134">
        <v>39.65</v>
      </c>
      <c r="M76" s="134">
        <v>20.97</v>
      </c>
      <c r="N76" s="134">
        <v>72.400000000000006</v>
      </c>
      <c r="O76" s="134">
        <v>0</v>
      </c>
      <c r="P76" s="134">
        <v>0.62</v>
      </c>
      <c r="Q76" s="134">
        <v>5.0199999999999996</v>
      </c>
    </row>
    <row r="77" spans="1:17" customFormat="1">
      <c r="A77" s="112" t="s">
        <v>1170</v>
      </c>
      <c r="B77" s="134">
        <v>3.68</v>
      </c>
      <c r="C77" s="134">
        <v>39.340000000000003</v>
      </c>
      <c r="D77" s="134">
        <v>22.46</v>
      </c>
      <c r="E77" s="134">
        <v>24.76</v>
      </c>
      <c r="F77" s="134">
        <v>51.03</v>
      </c>
      <c r="G77" s="134">
        <v>52.18</v>
      </c>
      <c r="H77" s="134">
        <v>28.37</v>
      </c>
      <c r="I77" s="134">
        <v>6.12</v>
      </c>
      <c r="J77" s="134">
        <v>0.32</v>
      </c>
      <c r="K77" s="134">
        <v>261.94</v>
      </c>
      <c r="L77" s="134">
        <v>39.51</v>
      </c>
      <c r="M77" s="134">
        <v>20.65</v>
      </c>
      <c r="N77" s="134">
        <v>87.3</v>
      </c>
      <c r="O77" s="134">
        <v>0</v>
      </c>
      <c r="P77" s="134">
        <v>0.63</v>
      </c>
      <c r="Q77" s="134">
        <v>4.96</v>
      </c>
    </row>
    <row r="78" spans="1:17" customFormat="1">
      <c r="A78" s="112" t="s">
        <v>1171</v>
      </c>
      <c r="B78" s="134">
        <v>5.61</v>
      </c>
      <c r="C78" s="134">
        <v>48.09</v>
      </c>
      <c r="D78" s="134">
        <v>28.58</v>
      </c>
      <c r="E78" s="134">
        <v>24.64</v>
      </c>
      <c r="F78" s="134">
        <v>39.76</v>
      </c>
      <c r="G78" s="134">
        <v>50.85</v>
      </c>
      <c r="H78" s="134">
        <v>26.77</v>
      </c>
      <c r="I78" s="134">
        <v>6.14</v>
      </c>
      <c r="J78" s="134">
        <v>0.32</v>
      </c>
      <c r="K78" s="134">
        <v>288.02</v>
      </c>
      <c r="L78" s="134">
        <v>39.99</v>
      </c>
      <c r="M78" s="134">
        <v>20.46</v>
      </c>
      <c r="N78" s="134">
        <v>116.5</v>
      </c>
      <c r="O78" s="134">
        <v>0</v>
      </c>
      <c r="P78" s="134">
        <v>0.78</v>
      </c>
      <c r="Q78" s="134">
        <v>4.92</v>
      </c>
    </row>
    <row r="79" spans="1:17" customFormat="1">
      <c r="A79" s="112" t="s">
        <v>1172</v>
      </c>
      <c r="B79" s="134">
        <v>5.73</v>
      </c>
      <c r="C79" s="134">
        <v>52.26</v>
      </c>
      <c r="D79" s="134">
        <v>30.85</v>
      </c>
      <c r="E79" s="134">
        <v>21.05</v>
      </c>
      <c r="F79" s="134">
        <v>34.15</v>
      </c>
      <c r="G79" s="134">
        <v>48.95</v>
      </c>
      <c r="H79" s="134">
        <v>25.4</v>
      </c>
      <c r="I79" s="134">
        <v>5.88</v>
      </c>
      <c r="J79" s="134">
        <v>0.35</v>
      </c>
      <c r="K79" s="134">
        <v>293.42</v>
      </c>
      <c r="L79" s="134">
        <v>39.96</v>
      </c>
      <c r="M79" s="134">
        <v>20.05</v>
      </c>
      <c r="N79" s="134">
        <v>54.8</v>
      </c>
      <c r="O79" s="134">
        <v>0</v>
      </c>
      <c r="P79" s="134">
        <v>0.75</v>
      </c>
      <c r="Q79" s="134">
        <v>4.96</v>
      </c>
    </row>
    <row r="80" spans="1:17" customFormat="1">
      <c r="A80" s="112" t="s">
        <v>1173</v>
      </c>
      <c r="B80" s="134">
        <v>7.37</v>
      </c>
      <c r="C80" s="134">
        <v>55.69</v>
      </c>
      <c r="D80" s="134">
        <v>33.96</v>
      </c>
      <c r="E80" s="134">
        <v>18.62</v>
      </c>
      <c r="F80" s="134">
        <v>28.55</v>
      </c>
      <c r="G80" s="134">
        <v>48.95</v>
      </c>
      <c r="H80" s="134">
        <v>25.4</v>
      </c>
      <c r="I80" s="134">
        <v>5.96</v>
      </c>
      <c r="J80" s="134">
        <v>0.28000000000000003</v>
      </c>
      <c r="K80" s="134">
        <v>259.02</v>
      </c>
      <c r="L80" s="134">
        <v>39.270000000000003</v>
      </c>
      <c r="M80" s="134">
        <v>21.26</v>
      </c>
      <c r="N80" s="134">
        <v>23.8</v>
      </c>
      <c r="O80" s="134">
        <v>0</v>
      </c>
      <c r="P80" s="134">
        <v>0.74</v>
      </c>
      <c r="Q80" s="134">
        <v>5.03</v>
      </c>
    </row>
    <row r="81" spans="1:17" customFormat="1">
      <c r="A81" s="112" t="s">
        <v>1174</v>
      </c>
      <c r="B81" s="134">
        <v>4.79</v>
      </c>
      <c r="C81" s="134">
        <v>44.39</v>
      </c>
      <c r="D81" s="134">
        <v>25.99</v>
      </c>
      <c r="E81" s="134">
        <v>11.06</v>
      </c>
      <c r="F81" s="134">
        <v>46.29</v>
      </c>
      <c r="G81" s="134">
        <v>48.95</v>
      </c>
      <c r="H81" s="134">
        <v>25.4</v>
      </c>
      <c r="I81" s="134">
        <v>5.96</v>
      </c>
      <c r="J81" s="134">
        <v>0.21</v>
      </c>
      <c r="K81" s="134">
        <v>198.96</v>
      </c>
      <c r="L81" s="134">
        <v>38.31</v>
      </c>
      <c r="M81" s="134">
        <v>23.81</v>
      </c>
      <c r="N81" s="134">
        <v>13.2</v>
      </c>
      <c r="O81" s="134">
        <v>0</v>
      </c>
      <c r="P81" s="134">
        <v>0.68</v>
      </c>
      <c r="Q81" s="134">
        <v>5.0599999999999996</v>
      </c>
    </row>
    <row r="82" spans="1:17" customFormat="1">
      <c r="A82" s="112" t="s">
        <v>1175</v>
      </c>
      <c r="B82" s="134">
        <v>3.99</v>
      </c>
      <c r="C82" s="134">
        <v>35.869999999999997</v>
      </c>
      <c r="D82" s="134">
        <v>20.9</v>
      </c>
      <c r="E82" s="134">
        <v>16.03</v>
      </c>
      <c r="F82" s="134">
        <v>47.78</v>
      </c>
      <c r="G82" s="134">
        <v>52.19</v>
      </c>
      <c r="H82" s="134">
        <v>25.43</v>
      </c>
      <c r="I82" s="134">
        <v>5.71</v>
      </c>
      <c r="J82" s="134">
        <v>0.11</v>
      </c>
      <c r="K82" s="134">
        <v>225.7</v>
      </c>
      <c r="L82" s="134">
        <v>37.69</v>
      </c>
      <c r="M82" s="134">
        <v>25.37</v>
      </c>
      <c r="N82" s="134">
        <v>5.4</v>
      </c>
      <c r="O82" s="134">
        <v>0</v>
      </c>
      <c r="P82" s="134">
        <v>0.7</v>
      </c>
      <c r="Q82" s="134">
        <v>5.0599999999999996</v>
      </c>
    </row>
    <row r="83" spans="1:17" customFormat="1">
      <c r="A83" s="112" t="s">
        <v>1176</v>
      </c>
      <c r="B83" s="134">
        <v>3.92</v>
      </c>
      <c r="C83" s="134">
        <v>34.76</v>
      </c>
      <c r="D83" s="134">
        <v>20.260000000000002</v>
      </c>
      <c r="E83" s="134">
        <v>16.579999999999998</v>
      </c>
      <c r="F83" s="134">
        <v>43.4</v>
      </c>
      <c r="G83" s="134">
        <v>56.84</v>
      </c>
      <c r="H83" s="134">
        <v>25.46</v>
      </c>
      <c r="I83" s="134">
        <v>5.98</v>
      </c>
      <c r="J83" s="134">
        <v>0.15</v>
      </c>
      <c r="K83" s="134">
        <v>145.22999999999999</v>
      </c>
      <c r="L83" s="134">
        <v>37.22</v>
      </c>
      <c r="M83" s="134">
        <v>26.57</v>
      </c>
      <c r="N83" s="134">
        <v>0</v>
      </c>
      <c r="O83" s="134">
        <v>0</v>
      </c>
      <c r="P83" s="134">
        <v>0.69</v>
      </c>
      <c r="Q83" s="134">
        <v>5.0199999999999996</v>
      </c>
    </row>
    <row r="84" spans="1:17" customFormat="1">
      <c r="A84" s="112" t="s">
        <v>1177</v>
      </c>
      <c r="B84" s="134">
        <v>4.12</v>
      </c>
      <c r="C84" s="134">
        <v>36.86</v>
      </c>
      <c r="D84" s="134">
        <v>21.52</v>
      </c>
      <c r="E84" s="134">
        <v>14.31</v>
      </c>
      <c r="F84" s="134">
        <v>36.909999999999997</v>
      </c>
      <c r="G84" s="134">
        <v>56.84</v>
      </c>
      <c r="H84" s="134">
        <v>25.46</v>
      </c>
      <c r="I84" s="134">
        <v>6.18</v>
      </c>
      <c r="J84" s="134">
        <v>0.26</v>
      </c>
      <c r="K84" s="134">
        <v>158.21</v>
      </c>
      <c r="L84" s="134">
        <v>36.65</v>
      </c>
      <c r="M84" s="134">
        <v>28.26</v>
      </c>
      <c r="N84" s="134">
        <v>0</v>
      </c>
      <c r="O84" s="134">
        <v>0</v>
      </c>
      <c r="P84" s="134">
        <v>0.7</v>
      </c>
      <c r="Q84" s="134">
        <v>5</v>
      </c>
    </row>
    <row r="85" spans="1:17" customFormat="1">
      <c r="A85" s="112" t="s">
        <v>1178</v>
      </c>
      <c r="B85" s="134">
        <v>4.34</v>
      </c>
      <c r="C85" s="134">
        <v>37.659999999999997</v>
      </c>
      <c r="D85" s="134">
        <v>22.11</v>
      </c>
      <c r="E85" s="134">
        <v>13.65</v>
      </c>
      <c r="F85" s="134">
        <v>32.71</v>
      </c>
      <c r="G85" s="134">
        <v>56.84</v>
      </c>
      <c r="H85" s="134">
        <v>25.46</v>
      </c>
      <c r="I85" s="134">
        <v>6.4</v>
      </c>
      <c r="J85" s="134">
        <v>0.17</v>
      </c>
      <c r="K85" s="134">
        <v>167.04</v>
      </c>
      <c r="L85" s="134">
        <v>35.979999999999997</v>
      </c>
      <c r="M85" s="134">
        <v>28.78</v>
      </c>
      <c r="N85" s="134">
        <v>0</v>
      </c>
      <c r="O85" s="134">
        <v>0</v>
      </c>
      <c r="P85" s="134">
        <v>0.71</v>
      </c>
      <c r="Q85" s="134">
        <v>4.99</v>
      </c>
    </row>
    <row r="86" spans="1:17" customFormat="1">
      <c r="A86" s="112" t="s">
        <v>1179</v>
      </c>
      <c r="B86" s="134">
        <v>7.05</v>
      </c>
      <c r="C86" s="134">
        <v>39.57</v>
      </c>
      <c r="D86" s="134">
        <v>25.28</v>
      </c>
      <c r="E86" s="134">
        <v>13.91</v>
      </c>
      <c r="F86" s="134">
        <v>38.4</v>
      </c>
      <c r="G86" s="134">
        <v>59.6</v>
      </c>
      <c r="H86" s="134">
        <v>25.85</v>
      </c>
      <c r="I86" s="134">
        <v>6.51</v>
      </c>
      <c r="J86" s="134">
        <v>0.19</v>
      </c>
      <c r="K86" s="134">
        <v>155.94</v>
      </c>
      <c r="L86" s="134">
        <v>35.659999999999997</v>
      </c>
      <c r="M86" s="134">
        <v>29.42</v>
      </c>
      <c r="N86" s="134">
        <v>0</v>
      </c>
      <c r="O86" s="134">
        <v>0</v>
      </c>
      <c r="P86" s="134">
        <v>0.72</v>
      </c>
      <c r="Q86" s="134">
        <v>4.9800000000000004</v>
      </c>
    </row>
    <row r="87" spans="1:17" customFormat="1">
      <c r="A87" s="112" t="s">
        <v>1180</v>
      </c>
      <c r="B87" s="134">
        <v>13.19</v>
      </c>
      <c r="C87" s="134">
        <v>51.28</v>
      </c>
      <c r="D87" s="134">
        <v>36.49</v>
      </c>
      <c r="E87" s="134">
        <v>12.42</v>
      </c>
      <c r="F87" s="134">
        <v>18.3</v>
      </c>
      <c r="G87" s="134">
        <v>63.55</v>
      </c>
      <c r="H87" s="134">
        <v>26.85</v>
      </c>
      <c r="I87" s="134">
        <v>6.31</v>
      </c>
      <c r="J87" s="134">
        <v>0.05</v>
      </c>
      <c r="K87" s="134">
        <v>153.78</v>
      </c>
      <c r="L87" s="134">
        <v>35.369999999999997</v>
      </c>
      <c r="M87" s="134">
        <v>30.3</v>
      </c>
      <c r="N87" s="134">
        <v>0</v>
      </c>
      <c r="O87" s="134">
        <v>0</v>
      </c>
      <c r="P87" s="134">
        <v>0.93</v>
      </c>
      <c r="Q87" s="134">
        <v>4.99</v>
      </c>
    </row>
    <row r="88" spans="1:17" customFormat="1">
      <c r="A88" s="112" t="s">
        <v>1181</v>
      </c>
      <c r="B88" s="134">
        <v>18.55</v>
      </c>
      <c r="C88" s="134">
        <v>57.08</v>
      </c>
      <c r="D88" s="134">
        <v>43.65</v>
      </c>
      <c r="E88" s="134">
        <v>12.49</v>
      </c>
      <c r="F88" s="134">
        <v>8.1199999999999992</v>
      </c>
      <c r="G88" s="134">
        <v>63.55</v>
      </c>
      <c r="H88" s="134">
        <v>26.85</v>
      </c>
      <c r="I88" s="134">
        <v>6.79</v>
      </c>
      <c r="J88" s="134">
        <v>0.27</v>
      </c>
      <c r="K88" s="134">
        <v>102.14</v>
      </c>
      <c r="L88" s="134">
        <v>35.31</v>
      </c>
      <c r="M88" s="134">
        <v>30.89</v>
      </c>
      <c r="N88" s="134">
        <v>0</v>
      </c>
      <c r="O88" s="134">
        <v>0</v>
      </c>
      <c r="P88" s="134">
        <v>1.1599999999999999</v>
      </c>
      <c r="Q88" s="134">
        <v>5.05</v>
      </c>
    </row>
    <row r="89" spans="1:17" customFormat="1">
      <c r="A89" s="112" t="s">
        <v>1182</v>
      </c>
      <c r="B89" s="134">
        <v>22.34</v>
      </c>
      <c r="C89" s="134">
        <v>62.17</v>
      </c>
      <c r="D89" s="134">
        <v>49.35</v>
      </c>
      <c r="E89" s="134">
        <v>12.63</v>
      </c>
      <c r="F89" s="134">
        <v>5.57</v>
      </c>
      <c r="G89" s="134">
        <v>63.55</v>
      </c>
      <c r="H89" s="134">
        <v>26.85</v>
      </c>
      <c r="I89" s="134">
        <v>8.36</v>
      </c>
      <c r="J89" s="134">
        <v>0.17</v>
      </c>
      <c r="K89" s="134">
        <v>153.44999999999999</v>
      </c>
      <c r="L89" s="134">
        <v>34.65</v>
      </c>
      <c r="M89" s="134">
        <v>32.82</v>
      </c>
      <c r="N89" s="134">
        <v>0</v>
      </c>
      <c r="O89" s="134">
        <v>0</v>
      </c>
      <c r="P89" s="134">
        <v>1.1399999999999999</v>
      </c>
      <c r="Q89" s="134">
        <v>5.14</v>
      </c>
    </row>
    <row r="90" spans="1:17" customFormat="1">
      <c r="A90" s="112" t="s">
        <v>1183</v>
      </c>
      <c r="B90" s="134">
        <v>11.64</v>
      </c>
      <c r="C90" s="134">
        <v>59.8</v>
      </c>
      <c r="D90" s="134">
        <v>39.54</v>
      </c>
      <c r="E90" s="134">
        <v>12.4</v>
      </c>
      <c r="F90" s="134">
        <v>6.09</v>
      </c>
      <c r="G90" s="134">
        <v>72.19</v>
      </c>
      <c r="H90" s="134">
        <v>30.22</v>
      </c>
      <c r="I90" s="134">
        <v>9.64</v>
      </c>
      <c r="J90" s="134">
        <v>0.17</v>
      </c>
      <c r="K90" s="134">
        <v>187.73</v>
      </c>
      <c r="L90" s="134">
        <v>34.22</v>
      </c>
      <c r="M90" s="134">
        <v>33.51</v>
      </c>
      <c r="N90" s="134">
        <v>0</v>
      </c>
      <c r="O90" s="134">
        <v>0</v>
      </c>
      <c r="P90" s="134">
        <v>1.04</v>
      </c>
      <c r="Q90" s="134">
        <v>5.36</v>
      </c>
    </row>
    <row r="91" spans="1:17" customFormat="1">
      <c r="A91" s="112" t="s">
        <v>1184</v>
      </c>
      <c r="B91" s="134">
        <v>9.43</v>
      </c>
      <c r="C91" s="134">
        <v>53.86</v>
      </c>
      <c r="D91" s="134">
        <v>34.65</v>
      </c>
      <c r="E91" s="134">
        <v>10.86</v>
      </c>
      <c r="F91" s="134">
        <v>13.99</v>
      </c>
      <c r="G91" s="134">
        <v>84.57</v>
      </c>
      <c r="H91" s="134">
        <v>33.119999999999997</v>
      </c>
      <c r="I91" s="134">
        <v>9.6</v>
      </c>
      <c r="J91" s="134">
        <v>0.35</v>
      </c>
      <c r="K91" s="134">
        <v>255.17</v>
      </c>
      <c r="L91" s="134">
        <v>33.82</v>
      </c>
      <c r="M91" s="134">
        <v>33.119999999999997</v>
      </c>
      <c r="N91" s="134">
        <v>0</v>
      </c>
      <c r="O91" s="134">
        <v>0</v>
      </c>
      <c r="P91" s="134">
        <v>0.87</v>
      </c>
      <c r="Q91" s="134">
        <v>5.42</v>
      </c>
    </row>
    <row r="92" spans="1:17" customFormat="1">
      <c r="A92" s="112" t="s">
        <v>1185</v>
      </c>
      <c r="B92" s="134">
        <v>10.050000000000001</v>
      </c>
      <c r="C92" s="134">
        <v>52.94</v>
      </c>
      <c r="D92" s="134">
        <v>34.68</v>
      </c>
      <c r="E92" s="134">
        <v>8.94</v>
      </c>
      <c r="F92" s="134">
        <v>19.38</v>
      </c>
      <c r="G92" s="134">
        <v>84.57</v>
      </c>
      <c r="H92" s="134">
        <v>33.119999999999997</v>
      </c>
      <c r="I92" s="134">
        <v>8.9600000000000009</v>
      </c>
      <c r="J92" s="134">
        <v>0.6</v>
      </c>
      <c r="K92" s="134">
        <v>263.66000000000003</v>
      </c>
      <c r="L92" s="134">
        <v>34.53</v>
      </c>
      <c r="M92" s="134">
        <v>30.37</v>
      </c>
      <c r="N92" s="134">
        <v>0</v>
      </c>
      <c r="O92" s="134">
        <v>0</v>
      </c>
      <c r="P92" s="134">
        <v>0.8</v>
      </c>
      <c r="Q92" s="134">
        <v>5.45</v>
      </c>
    </row>
    <row r="93" spans="1:17" customFormat="1">
      <c r="A93" s="112" t="s">
        <v>1186</v>
      </c>
      <c r="B93" s="134">
        <v>9.85</v>
      </c>
      <c r="C93" s="134">
        <v>52.58</v>
      </c>
      <c r="D93" s="134">
        <v>34.32</v>
      </c>
      <c r="E93" s="134">
        <v>8.69</v>
      </c>
      <c r="F93" s="134">
        <v>25.61</v>
      </c>
      <c r="G93" s="134">
        <v>84.57</v>
      </c>
      <c r="H93" s="134">
        <v>33.119999999999997</v>
      </c>
      <c r="I93" s="134">
        <v>8.17</v>
      </c>
      <c r="J93" s="134">
        <v>0.82</v>
      </c>
      <c r="K93" s="134">
        <v>260.57</v>
      </c>
      <c r="L93" s="134">
        <v>35.03</v>
      </c>
      <c r="M93" s="134">
        <v>29.7</v>
      </c>
      <c r="N93" s="134">
        <v>0</v>
      </c>
      <c r="O93" s="134">
        <v>0</v>
      </c>
      <c r="P93" s="134">
        <v>0.74</v>
      </c>
      <c r="Q93" s="134">
        <v>5.47</v>
      </c>
    </row>
    <row r="94" spans="1:17" customFormat="1">
      <c r="A94" s="112" t="s">
        <v>1187</v>
      </c>
      <c r="B94" s="134">
        <v>9.92</v>
      </c>
      <c r="C94" s="134">
        <v>48.98</v>
      </c>
      <c r="D94" s="134">
        <v>32.51</v>
      </c>
      <c r="E94" s="134">
        <v>8.19</v>
      </c>
      <c r="F94" s="134">
        <v>24.45</v>
      </c>
      <c r="G94" s="134">
        <v>82.98</v>
      </c>
      <c r="H94" s="134">
        <v>31.16</v>
      </c>
      <c r="I94" s="134">
        <v>7.33</v>
      </c>
      <c r="J94" s="134">
        <v>0.86</v>
      </c>
      <c r="K94" s="134">
        <v>260.31</v>
      </c>
      <c r="L94" s="134">
        <v>34.96</v>
      </c>
      <c r="M94" s="134">
        <v>30.56</v>
      </c>
      <c r="N94" s="134">
        <v>0</v>
      </c>
      <c r="O94" s="134">
        <v>0</v>
      </c>
      <c r="P94" s="134">
        <v>0.73</v>
      </c>
      <c r="Q94" s="134">
        <v>5.38</v>
      </c>
    </row>
    <row r="95" spans="1:17" customFormat="1">
      <c r="A95" s="112" t="s">
        <v>1188</v>
      </c>
      <c r="B95" s="134">
        <v>9.17</v>
      </c>
      <c r="C95" s="134">
        <v>46.3</v>
      </c>
      <c r="D95" s="134">
        <v>30.5</v>
      </c>
      <c r="E95" s="134">
        <v>7.82</v>
      </c>
      <c r="F95" s="134">
        <v>26.04</v>
      </c>
      <c r="G95" s="134">
        <v>80.7</v>
      </c>
      <c r="H95" s="134">
        <v>29.47</v>
      </c>
      <c r="I95" s="134">
        <v>6.74</v>
      </c>
      <c r="J95" s="134">
        <v>0.75</v>
      </c>
      <c r="K95" s="134">
        <v>259.77</v>
      </c>
      <c r="L95" s="134">
        <v>34.81</v>
      </c>
      <c r="M95" s="134">
        <v>31.52</v>
      </c>
      <c r="N95" s="134">
        <v>0</v>
      </c>
      <c r="O95" s="134">
        <v>0</v>
      </c>
      <c r="P95" s="134">
        <v>0.71</v>
      </c>
      <c r="Q95" s="134">
        <v>5.28</v>
      </c>
    </row>
    <row r="96" spans="1:17" customFormat="1">
      <c r="A96" s="112" t="s">
        <v>1189</v>
      </c>
      <c r="B96" s="134">
        <v>8.99</v>
      </c>
      <c r="C96" s="134">
        <v>44.97</v>
      </c>
      <c r="D96" s="134">
        <v>29.66</v>
      </c>
      <c r="E96" s="134">
        <v>7.59</v>
      </c>
      <c r="F96" s="134">
        <v>23.55</v>
      </c>
      <c r="G96" s="134">
        <v>80.7</v>
      </c>
      <c r="H96" s="134">
        <v>29.47</v>
      </c>
      <c r="I96" s="134">
        <v>6.53</v>
      </c>
      <c r="J96" s="134">
        <v>0.92</v>
      </c>
      <c r="K96" s="134">
        <v>263.8</v>
      </c>
      <c r="L96" s="134">
        <v>34.56</v>
      </c>
      <c r="M96" s="134">
        <v>32.26</v>
      </c>
      <c r="N96" s="134">
        <v>0</v>
      </c>
      <c r="O96" s="134">
        <v>0</v>
      </c>
      <c r="P96" s="134">
        <v>0.68</v>
      </c>
      <c r="Q96" s="134">
        <v>5.2</v>
      </c>
    </row>
    <row r="97" spans="1:22" customFormat="1">
      <c r="A97" s="112" t="s">
        <v>1190</v>
      </c>
      <c r="B97" s="134">
        <v>8.0299999999999994</v>
      </c>
      <c r="C97" s="134">
        <v>41.86</v>
      </c>
      <c r="D97" s="134">
        <v>27.26</v>
      </c>
      <c r="E97" s="134">
        <v>7.78</v>
      </c>
      <c r="F97" s="134">
        <v>26.78</v>
      </c>
      <c r="G97" s="134">
        <v>80.7</v>
      </c>
      <c r="H97" s="134">
        <v>29.47</v>
      </c>
      <c r="I97" s="134">
        <v>6.29</v>
      </c>
      <c r="J97" s="134">
        <v>0.71</v>
      </c>
      <c r="K97" s="134">
        <v>255.05</v>
      </c>
      <c r="L97" s="134">
        <v>34.39</v>
      </c>
      <c r="M97" s="134">
        <v>33.1</v>
      </c>
      <c r="N97" s="134">
        <v>0</v>
      </c>
      <c r="O97" s="134">
        <v>0</v>
      </c>
      <c r="P97" s="134">
        <v>0.65</v>
      </c>
      <c r="Q97" s="134">
        <v>5.0999999999999996</v>
      </c>
    </row>
    <row r="98" spans="1:22" customFormat="1">
      <c r="A98" s="112" t="s">
        <v>1191</v>
      </c>
      <c r="B98" s="134">
        <v>7.51</v>
      </c>
      <c r="C98" s="134">
        <v>45.06</v>
      </c>
      <c r="D98" s="134">
        <v>28.52</v>
      </c>
      <c r="E98" s="134">
        <v>8.1300000000000008</v>
      </c>
      <c r="F98" s="134">
        <v>24.61</v>
      </c>
      <c r="G98" s="134">
        <v>74.52</v>
      </c>
      <c r="H98" s="134">
        <v>27.9</v>
      </c>
      <c r="I98" s="134">
        <v>6.03</v>
      </c>
      <c r="J98" s="134">
        <v>0.55000000000000004</v>
      </c>
      <c r="K98" s="134">
        <v>253.72</v>
      </c>
      <c r="L98" s="134">
        <v>34.119999999999997</v>
      </c>
      <c r="M98" s="134">
        <v>34.06</v>
      </c>
      <c r="N98" s="134">
        <v>0</v>
      </c>
      <c r="O98" s="134">
        <v>0</v>
      </c>
      <c r="P98" s="134">
        <v>0.63</v>
      </c>
      <c r="Q98" s="134">
        <v>5.07</v>
      </c>
    </row>
    <row r="99" spans="1:22" customFormat="1">
      <c r="A99" s="112" t="s">
        <v>1192</v>
      </c>
      <c r="B99" s="134">
        <v>6.78</v>
      </c>
      <c r="C99" s="134">
        <v>45.19</v>
      </c>
      <c r="D99" s="134">
        <v>28.01</v>
      </c>
      <c r="E99" s="134">
        <v>8.4600000000000009</v>
      </c>
      <c r="F99" s="134">
        <v>28.93</v>
      </c>
      <c r="G99" s="134">
        <v>65.680000000000007</v>
      </c>
      <c r="H99" s="134">
        <v>26.55</v>
      </c>
      <c r="I99" s="134">
        <v>5.84</v>
      </c>
      <c r="J99" s="134">
        <v>0.28000000000000003</v>
      </c>
      <c r="K99" s="134">
        <v>231.48</v>
      </c>
      <c r="L99" s="134">
        <v>33.64</v>
      </c>
      <c r="M99" s="134">
        <v>35.81</v>
      </c>
      <c r="N99" s="134">
        <v>0</v>
      </c>
      <c r="O99" s="134">
        <v>0</v>
      </c>
      <c r="P99" s="134">
        <v>0.61</v>
      </c>
      <c r="Q99" s="134">
        <v>5.27</v>
      </c>
    </row>
    <row r="100" spans="1:22" customFormat="1">
      <c r="A100" s="112" t="s">
        <v>1193</v>
      </c>
      <c r="B100" s="134">
        <v>6.88</v>
      </c>
      <c r="C100" s="134">
        <v>43.03</v>
      </c>
      <c r="D100" s="134">
        <v>26.96</v>
      </c>
      <c r="E100" s="134">
        <v>7.68</v>
      </c>
      <c r="F100" s="134">
        <v>28.78</v>
      </c>
      <c r="G100" s="134">
        <v>65.680000000000007</v>
      </c>
      <c r="H100" s="134">
        <v>26.55</v>
      </c>
      <c r="I100" s="134">
        <v>5.6</v>
      </c>
      <c r="J100" s="134">
        <v>0.32</v>
      </c>
      <c r="K100" s="134">
        <v>241.4</v>
      </c>
      <c r="L100" s="134">
        <v>33.200000000000003</v>
      </c>
      <c r="M100" s="134">
        <v>37.119999999999997</v>
      </c>
      <c r="N100" s="134">
        <v>0</v>
      </c>
      <c r="O100" s="134">
        <v>0</v>
      </c>
      <c r="P100" s="134">
        <v>0.6</v>
      </c>
      <c r="Q100" s="134">
        <v>5.2</v>
      </c>
    </row>
    <row r="101" spans="1:22" customFormat="1">
      <c r="A101" s="112" t="s">
        <v>1194</v>
      </c>
      <c r="B101" s="134">
        <v>8</v>
      </c>
      <c r="C101" s="134">
        <v>51.93</v>
      </c>
      <c r="D101" s="134">
        <v>32.5</v>
      </c>
      <c r="E101" s="134">
        <v>8</v>
      </c>
      <c r="F101" s="134">
        <v>17.600000000000001</v>
      </c>
      <c r="G101" s="134">
        <v>65.680000000000007</v>
      </c>
      <c r="H101" s="134">
        <v>26.55</v>
      </c>
      <c r="I101" s="134">
        <v>5.31</v>
      </c>
      <c r="J101" s="134">
        <v>0.45</v>
      </c>
      <c r="K101" s="134">
        <v>262.24</v>
      </c>
      <c r="L101" s="134">
        <v>32.950000000000003</v>
      </c>
      <c r="M101" s="134">
        <v>37.82</v>
      </c>
      <c r="N101" s="134">
        <v>0</v>
      </c>
      <c r="O101" s="134">
        <v>0</v>
      </c>
      <c r="P101" s="134">
        <v>0.64</v>
      </c>
      <c r="Q101" s="134">
        <v>5.14</v>
      </c>
    </row>
    <row r="102" spans="1:22" customFormat="1">
      <c r="A102" s="112" t="s">
        <v>1195</v>
      </c>
      <c r="B102" s="134">
        <v>7.71</v>
      </c>
      <c r="C102" s="134">
        <v>46.44</v>
      </c>
      <c r="D102" s="134">
        <v>29.4</v>
      </c>
      <c r="E102" s="134">
        <v>7.95</v>
      </c>
      <c r="F102" s="134">
        <v>23.53</v>
      </c>
      <c r="G102" s="134">
        <v>60.46</v>
      </c>
      <c r="H102" s="134">
        <v>24.94</v>
      </c>
      <c r="I102" s="134">
        <v>5.21</v>
      </c>
      <c r="J102" s="134">
        <v>0.65</v>
      </c>
      <c r="K102" s="134">
        <v>251.33</v>
      </c>
      <c r="L102" s="134">
        <v>32.909999999999997</v>
      </c>
      <c r="M102" s="134">
        <v>37.83</v>
      </c>
      <c r="N102" s="134">
        <v>0</v>
      </c>
      <c r="O102" s="134">
        <v>0</v>
      </c>
      <c r="P102" s="134">
        <v>0.62</v>
      </c>
      <c r="Q102" s="134">
        <v>5.22</v>
      </c>
    </row>
    <row r="103" spans="1:22" customFormat="1">
      <c r="A103" s="112" t="s">
        <v>1196</v>
      </c>
      <c r="B103" s="134">
        <v>8.1300000000000008</v>
      </c>
      <c r="C103" s="134">
        <v>46.84</v>
      </c>
      <c r="D103" s="134">
        <v>29.95</v>
      </c>
      <c r="E103" s="134">
        <v>7.18</v>
      </c>
      <c r="F103" s="134">
        <v>18.059999999999999</v>
      </c>
      <c r="G103" s="134">
        <v>52.98</v>
      </c>
      <c r="H103" s="134">
        <v>23.56</v>
      </c>
      <c r="I103" s="134">
        <v>5.42</v>
      </c>
      <c r="J103" s="134">
        <v>0.66</v>
      </c>
      <c r="K103" s="134">
        <v>253.28</v>
      </c>
      <c r="L103" s="134">
        <v>32.65</v>
      </c>
      <c r="M103" s="134">
        <v>38.35</v>
      </c>
      <c r="N103" s="134">
        <v>0</v>
      </c>
      <c r="O103" s="134">
        <v>0</v>
      </c>
      <c r="P103" s="134">
        <v>0.61</v>
      </c>
      <c r="Q103" s="134">
        <v>5.12</v>
      </c>
    </row>
    <row r="104" spans="1:22" customFormat="1">
      <c r="A104" s="112" t="s">
        <v>1197</v>
      </c>
      <c r="B104" s="134">
        <v>8.5500000000000007</v>
      </c>
      <c r="C104" s="134">
        <v>53.62</v>
      </c>
      <c r="D104" s="134">
        <v>33.83</v>
      </c>
      <c r="E104" s="134">
        <v>7.76</v>
      </c>
      <c r="F104" s="134">
        <v>14.9</v>
      </c>
      <c r="G104" s="134">
        <v>52.98</v>
      </c>
      <c r="H104" s="134">
        <v>23.56</v>
      </c>
      <c r="I104" s="134">
        <v>5.31</v>
      </c>
      <c r="J104" s="134">
        <v>0.94</v>
      </c>
      <c r="K104" s="134">
        <v>258.48</v>
      </c>
      <c r="L104" s="134">
        <v>32.54</v>
      </c>
      <c r="M104" s="134">
        <v>38.22</v>
      </c>
      <c r="N104" s="134">
        <v>0</v>
      </c>
      <c r="O104" s="134">
        <v>0</v>
      </c>
      <c r="P104" s="134">
        <v>0.64</v>
      </c>
      <c r="Q104" s="134">
        <v>5.18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3.68</v>
      </c>
      <c r="C106" s="183">
        <f>MIN(C9:C104)</f>
        <v>34.76</v>
      </c>
      <c r="D106" s="183">
        <f t="shared" ref="D106:Q106" si="0">MIN(D9:D104)</f>
        <v>20.260000000000002</v>
      </c>
      <c r="E106" s="183">
        <f t="shared" si="0"/>
        <v>6.33</v>
      </c>
      <c r="F106" s="183">
        <f t="shared" si="0"/>
        <v>3.53</v>
      </c>
      <c r="G106" s="183">
        <f t="shared" si="0"/>
        <v>48.95</v>
      </c>
      <c r="H106" s="183">
        <f t="shared" si="0"/>
        <v>23.56</v>
      </c>
      <c r="I106" s="183">
        <f t="shared" si="0"/>
        <v>5.16</v>
      </c>
      <c r="J106" s="183">
        <f t="shared" si="0"/>
        <v>0.05</v>
      </c>
      <c r="K106" s="183">
        <f t="shared" si="0"/>
        <v>68.510000000000005</v>
      </c>
      <c r="L106" s="183">
        <f t="shared" si="0"/>
        <v>30.62</v>
      </c>
      <c r="M106" s="183">
        <f t="shared" si="0"/>
        <v>18.23</v>
      </c>
      <c r="N106" s="183">
        <f t="shared" si="0"/>
        <v>0</v>
      </c>
      <c r="O106" s="183">
        <f t="shared" si="0"/>
        <v>0</v>
      </c>
      <c r="P106" s="183">
        <f t="shared" si="0"/>
        <v>0.53</v>
      </c>
      <c r="Q106" s="183">
        <f t="shared" si="0"/>
        <v>4.91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43.55</v>
      </c>
      <c r="C107" s="184">
        <f t="shared" ref="C107:Q107" si="1">MAX(C9:C104)</f>
        <v>62.17</v>
      </c>
      <c r="D107" s="184">
        <f t="shared" si="1"/>
        <v>66.27</v>
      </c>
      <c r="E107" s="184">
        <f t="shared" si="1"/>
        <v>38.909999999999997</v>
      </c>
      <c r="F107" s="184">
        <f t="shared" si="1"/>
        <v>52.96</v>
      </c>
      <c r="G107" s="184">
        <f t="shared" si="1"/>
        <v>85.96</v>
      </c>
      <c r="H107" s="184">
        <f t="shared" si="1"/>
        <v>35.340000000000003</v>
      </c>
      <c r="I107" s="184">
        <f t="shared" si="1"/>
        <v>12.45</v>
      </c>
      <c r="J107" s="184">
        <f t="shared" si="1"/>
        <v>2.0499999999999998</v>
      </c>
      <c r="K107" s="184">
        <f t="shared" si="1"/>
        <v>309.16000000000003</v>
      </c>
      <c r="L107" s="184">
        <f t="shared" si="1"/>
        <v>41.62</v>
      </c>
      <c r="M107" s="184">
        <f t="shared" si="1"/>
        <v>52.08</v>
      </c>
      <c r="N107" s="184">
        <f t="shared" si="1"/>
        <v>860.3</v>
      </c>
      <c r="O107" s="184">
        <f t="shared" si="1"/>
        <v>0</v>
      </c>
      <c r="P107" s="184">
        <f t="shared" si="1"/>
        <v>1.1599999999999999</v>
      </c>
      <c r="Q107" s="184">
        <f t="shared" si="1"/>
        <v>6.55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14.764895833333336</v>
      </c>
      <c r="C108" s="183">
        <f t="shared" ref="C108:Q108" si="2">AVERAGE(C9:C104)</f>
        <v>51.659270833333323</v>
      </c>
      <c r="D108" s="183">
        <f t="shared" si="2"/>
        <v>37.787812500000001</v>
      </c>
      <c r="E108" s="183">
        <f t="shared" si="2"/>
        <v>14.150625000000003</v>
      </c>
      <c r="F108" s="183">
        <f t="shared" si="2"/>
        <v>19.666979166666664</v>
      </c>
      <c r="G108" s="183">
        <f t="shared" si="2"/>
        <v>66.628125000000026</v>
      </c>
      <c r="H108" s="183">
        <f t="shared" si="2"/>
        <v>28.883229166666663</v>
      </c>
      <c r="I108" s="183">
        <f t="shared" si="2"/>
        <v>7.4392708333333326</v>
      </c>
      <c r="J108" s="183">
        <f t="shared" si="2"/>
        <v>0.53656250000000005</v>
      </c>
      <c r="K108" s="183">
        <f t="shared" si="2"/>
        <v>234.57989583333327</v>
      </c>
      <c r="L108" s="183">
        <f t="shared" si="2"/>
        <v>35.419166666666662</v>
      </c>
      <c r="M108" s="183">
        <f t="shared" si="2"/>
        <v>32.169583333333335</v>
      </c>
      <c r="N108" s="183">
        <f t="shared" si="2"/>
        <v>128.46458333333334</v>
      </c>
      <c r="O108" s="183">
        <f t="shared" si="2"/>
        <v>0</v>
      </c>
      <c r="P108" s="183">
        <f t="shared" si="2"/>
        <v>0.72291666666666676</v>
      </c>
      <c r="Q108" s="183">
        <f t="shared" si="2"/>
        <v>5.6306249999999993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9.6706783079783705</v>
      </c>
      <c r="C109" s="183">
        <f t="shared" ref="C109:Q109" si="3">STDEV(C9:C104)</f>
        <v>6.1511729724016861</v>
      </c>
      <c r="D109" s="183">
        <f t="shared" si="3"/>
        <v>10.305741088102319</v>
      </c>
      <c r="E109" s="183">
        <f t="shared" si="3"/>
        <v>6.5803016748154368</v>
      </c>
      <c r="F109" s="183">
        <f t="shared" si="3"/>
        <v>12.3321200738296</v>
      </c>
      <c r="G109" s="183">
        <f t="shared" si="3"/>
        <v>11.728004390077562</v>
      </c>
      <c r="H109" s="183">
        <f t="shared" si="3"/>
        <v>3.2320589803085515</v>
      </c>
      <c r="I109" s="183">
        <f t="shared" si="3"/>
        <v>1.660002691685625</v>
      </c>
      <c r="J109" s="183">
        <f t="shared" si="3"/>
        <v>0.42284208356262165</v>
      </c>
      <c r="K109" s="183">
        <f t="shared" si="3"/>
        <v>50.547653566131757</v>
      </c>
      <c r="L109" s="183">
        <f t="shared" si="3"/>
        <v>3.6132859128112913</v>
      </c>
      <c r="M109" s="183">
        <f t="shared" si="3"/>
        <v>9.1465128145466927</v>
      </c>
      <c r="N109" s="183">
        <f t="shared" si="3"/>
        <v>206.2922954293465</v>
      </c>
      <c r="O109" s="183">
        <f t="shared" si="3"/>
        <v>0</v>
      </c>
      <c r="P109" s="183">
        <f t="shared" si="3"/>
        <v>0.1270384663392341</v>
      </c>
      <c r="Q109" s="183">
        <f t="shared" si="3"/>
        <v>0.58624372962645155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11/06/2023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1198</v>
      </c>
      <c r="B9" s="134">
        <v>8.17</v>
      </c>
      <c r="C9" s="134">
        <v>47.76</v>
      </c>
      <c r="D9" s="134">
        <v>30.46</v>
      </c>
      <c r="E9" s="134">
        <v>7.5</v>
      </c>
      <c r="F9" s="134">
        <v>18.510000000000002</v>
      </c>
      <c r="G9" s="134">
        <v>52.98</v>
      </c>
      <c r="H9" s="134">
        <v>23.56</v>
      </c>
      <c r="I9" s="134">
        <v>5.56</v>
      </c>
      <c r="J9" s="134">
        <v>0.72</v>
      </c>
      <c r="K9" s="134">
        <v>252.61</v>
      </c>
      <c r="L9" s="134">
        <v>32.43</v>
      </c>
      <c r="M9" s="134">
        <v>38.53</v>
      </c>
      <c r="N9" s="134">
        <v>0</v>
      </c>
      <c r="O9" s="134">
        <v>0</v>
      </c>
      <c r="P9" s="134">
        <v>0.59</v>
      </c>
      <c r="Q9" s="134">
        <v>5.13</v>
      </c>
    </row>
    <row r="10" spans="1:21" customFormat="1">
      <c r="A10" s="112" t="s">
        <v>1199</v>
      </c>
      <c r="B10" s="134">
        <v>7.87</v>
      </c>
      <c r="C10" s="134">
        <v>49.83</v>
      </c>
      <c r="D10" s="134">
        <v>31.3</v>
      </c>
      <c r="E10" s="134">
        <v>7.3</v>
      </c>
      <c r="F10" s="134">
        <v>17.37</v>
      </c>
      <c r="G10" s="134">
        <v>47.95</v>
      </c>
      <c r="H10" s="134">
        <v>21.42</v>
      </c>
      <c r="I10" s="134">
        <v>5.73</v>
      </c>
      <c r="J10" s="134">
        <v>0.6</v>
      </c>
      <c r="K10" s="134">
        <v>253.42</v>
      </c>
      <c r="L10" s="134">
        <v>32.159999999999997</v>
      </c>
      <c r="M10" s="134">
        <v>39.35</v>
      </c>
      <c r="N10" s="134">
        <v>0</v>
      </c>
      <c r="O10" s="134">
        <v>0</v>
      </c>
      <c r="P10" s="134">
        <v>0.6</v>
      </c>
      <c r="Q10" s="134">
        <v>5.13</v>
      </c>
    </row>
    <row r="11" spans="1:21" customFormat="1">
      <c r="A11" s="112" t="s">
        <v>1200</v>
      </c>
      <c r="B11" s="134">
        <v>7.72</v>
      </c>
      <c r="C11" s="134">
        <v>47.48</v>
      </c>
      <c r="D11" s="134">
        <v>29.95</v>
      </c>
      <c r="E11" s="134">
        <v>7.66</v>
      </c>
      <c r="F11" s="134">
        <v>18.78</v>
      </c>
      <c r="G11" s="134">
        <v>40.74</v>
      </c>
      <c r="H11" s="134">
        <v>19.579999999999998</v>
      </c>
      <c r="I11" s="134">
        <v>5.51</v>
      </c>
      <c r="J11" s="134">
        <v>0.68</v>
      </c>
      <c r="K11" s="134">
        <v>260.76</v>
      </c>
      <c r="L11" s="134">
        <v>31.94</v>
      </c>
      <c r="M11" s="134">
        <v>40.01</v>
      </c>
      <c r="N11" s="134">
        <v>0</v>
      </c>
      <c r="O11" s="134">
        <v>0</v>
      </c>
      <c r="P11" s="134">
        <v>0.56999999999999995</v>
      </c>
      <c r="Q11" s="134">
        <v>5.12</v>
      </c>
    </row>
    <row r="12" spans="1:21" customFormat="1">
      <c r="A12" s="112" t="s">
        <v>1201</v>
      </c>
      <c r="B12" s="134">
        <v>8.43</v>
      </c>
      <c r="C12" s="134">
        <v>54.6</v>
      </c>
      <c r="D12" s="134">
        <v>34.24</v>
      </c>
      <c r="E12" s="134">
        <v>7.7</v>
      </c>
      <c r="F12" s="134">
        <v>12.12</v>
      </c>
      <c r="G12" s="134">
        <v>40.74</v>
      </c>
      <c r="H12" s="134">
        <v>19.579999999999998</v>
      </c>
      <c r="I12" s="134">
        <v>5.22</v>
      </c>
      <c r="J12" s="134">
        <v>0.82</v>
      </c>
      <c r="K12" s="134">
        <v>263.11</v>
      </c>
      <c r="L12" s="134">
        <v>31.78</v>
      </c>
      <c r="M12" s="134">
        <v>40.35</v>
      </c>
      <c r="N12" s="134">
        <v>0</v>
      </c>
      <c r="O12" s="134">
        <v>0</v>
      </c>
      <c r="P12" s="134">
        <v>0.61</v>
      </c>
      <c r="Q12" s="134">
        <v>5.1100000000000003</v>
      </c>
    </row>
    <row r="13" spans="1:21" customFormat="1">
      <c r="A13" s="112" t="s">
        <v>1202</v>
      </c>
      <c r="B13" s="134">
        <v>8.0299999999999994</v>
      </c>
      <c r="C13" s="134">
        <v>51.04</v>
      </c>
      <c r="D13" s="134">
        <v>32.06</v>
      </c>
      <c r="E13" s="134">
        <v>7.98</v>
      </c>
      <c r="F13" s="134">
        <v>14.23</v>
      </c>
      <c r="G13" s="134">
        <v>40.74</v>
      </c>
      <c r="H13" s="134">
        <v>19.579999999999998</v>
      </c>
      <c r="I13" s="134">
        <v>5.24</v>
      </c>
      <c r="J13" s="134">
        <v>0.66</v>
      </c>
      <c r="K13" s="134">
        <v>258.22000000000003</v>
      </c>
      <c r="L13" s="134">
        <v>31.61</v>
      </c>
      <c r="M13" s="134">
        <v>40.85</v>
      </c>
      <c r="N13" s="134">
        <v>0</v>
      </c>
      <c r="O13" s="134">
        <v>0</v>
      </c>
      <c r="P13" s="134">
        <v>0.56999999999999995</v>
      </c>
      <c r="Q13" s="134">
        <v>5.09</v>
      </c>
    </row>
    <row r="14" spans="1:21" customFormat="1">
      <c r="A14" s="112" t="s">
        <v>1203</v>
      </c>
      <c r="B14" s="134">
        <v>7.83</v>
      </c>
      <c r="C14" s="134">
        <v>51.89</v>
      </c>
      <c r="D14" s="134">
        <v>32.340000000000003</v>
      </c>
      <c r="E14" s="134">
        <v>7.93</v>
      </c>
      <c r="F14" s="134">
        <v>14.22</v>
      </c>
      <c r="G14" s="134">
        <v>35.86</v>
      </c>
      <c r="H14" s="134">
        <v>18.87</v>
      </c>
      <c r="I14" s="134">
        <v>5.53</v>
      </c>
      <c r="J14" s="134">
        <v>0.66</v>
      </c>
      <c r="K14" s="134">
        <v>250.88</v>
      </c>
      <c r="L14" s="134">
        <v>31.48</v>
      </c>
      <c r="M14" s="134">
        <v>41.16</v>
      </c>
      <c r="N14" s="134">
        <v>0</v>
      </c>
      <c r="O14" s="134">
        <v>0</v>
      </c>
      <c r="P14" s="134">
        <v>0.57999999999999996</v>
      </c>
      <c r="Q14" s="134">
        <v>5.07</v>
      </c>
    </row>
    <row r="15" spans="1:21" customFormat="1">
      <c r="A15" s="112" t="s">
        <v>1204</v>
      </c>
      <c r="B15" s="134">
        <v>7.91</v>
      </c>
      <c r="C15" s="134">
        <v>50.94</v>
      </c>
      <c r="D15" s="134">
        <v>31.91</v>
      </c>
      <c r="E15" s="134">
        <v>7.68</v>
      </c>
      <c r="F15" s="134">
        <v>13.81</v>
      </c>
      <c r="G15" s="134">
        <v>28.87</v>
      </c>
      <c r="H15" s="134">
        <v>17.190000000000001</v>
      </c>
      <c r="I15" s="134">
        <v>5.44</v>
      </c>
      <c r="J15" s="134">
        <v>0.41</v>
      </c>
      <c r="K15" s="134">
        <v>256.7</v>
      </c>
      <c r="L15" s="134">
        <v>31.22</v>
      </c>
      <c r="M15" s="134">
        <v>42.09</v>
      </c>
      <c r="N15" s="134">
        <v>0</v>
      </c>
      <c r="O15" s="134">
        <v>0</v>
      </c>
      <c r="P15" s="134">
        <v>0.56000000000000005</v>
      </c>
      <c r="Q15" s="134">
        <v>5.1100000000000003</v>
      </c>
    </row>
    <row r="16" spans="1:21" customFormat="1">
      <c r="A16" s="112" t="s">
        <v>1205</v>
      </c>
      <c r="B16" s="134">
        <v>7.7</v>
      </c>
      <c r="C16" s="134">
        <v>49.54</v>
      </c>
      <c r="D16" s="134">
        <v>31.01</v>
      </c>
      <c r="E16" s="134">
        <v>7.76</v>
      </c>
      <c r="F16" s="134">
        <v>19.86</v>
      </c>
      <c r="G16" s="134">
        <v>28.87</v>
      </c>
      <c r="H16" s="134">
        <v>17.190000000000001</v>
      </c>
      <c r="I16" s="134">
        <v>5.25</v>
      </c>
      <c r="J16" s="134">
        <v>0.23</v>
      </c>
      <c r="K16" s="134">
        <v>250.9</v>
      </c>
      <c r="L16" s="134">
        <v>30.96</v>
      </c>
      <c r="M16" s="134">
        <v>42.92</v>
      </c>
      <c r="N16" s="134">
        <v>0</v>
      </c>
      <c r="O16" s="134">
        <v>0</v>
      </c>
      <c r="P16" s="134">
        <v>0.54</v>
      </c>
      <c r="Q16" s="134">
        <v>5.12</v>
      </c>
    </row>
    <row r="17" spans="1:17" customFormat="1">
      <c r="A17" s="112" t="s">
        <v>1206</v>
      </c>
      <c r="B17" s="134">
        <v>7.48</v>
      </c>
      <c r="C17" s="134">
        <v>44.04</v>
      </c>
      <c r="D17" s="134">
        <v>27.97</v>
      </c>
      <c r="E17" s="134">
        <v>3.99</v>
      </c>
      <c r="F17" s="134">
        <v>20.87</v>
      </c>
      <c r="G17" s="134">
        <v>28.87</v>
      </c>
      <c r="H17" s="134">
        <v>17.190000000000001</v>
      </c>
      <c r="I17" s="134">
        <v>4.9400000000000004</v>
      </c>
      <c r="J17" s="134">
        <v>0.36</v>
      </c>
      <c r="K17" s="134">
        <v>252.48</v>
      </c>
      <c r="L17" s="134">
        <v>30.89</v>
      </c>
      <c r="M17" s="134">
        <v>43.06</v>
      </c>
      <c r="N17" s="134">
        <v>0</v>
      </c>
      <c r="O17" s="134">
        <v>0</v>
      </c>
      <c r="P17" s="134">
        <v>0.5</v>
      </c>
      <c r="Q17" s="134">
        <v>5.0199999999999996</v>
      </c>
    </row>
    <row r="18" spans="1:17" customFormat="1">
      <c r="A18" s="112" t="s">
        <v>1207</v>
      </c>
      <c r="B18" s="134">
        <v>7.96</v>
      </c>
      <c r="C18" s="134">
        <v>51.49</v>
      </c>
      <c r="D18" s="134">
        <v>32.24</v>
      </c>
      <c r="E18" s="134">
        <v>4.8499999999999996</v>
      </c>
      <c r="F18" s="134">
        <v>16.45</v>
      </c>
      <c r="G18" s="134">
        <v>26.26</v>
      </c>
      <c r="H18" s="134">
        <v>15.75</v>
      </c>
      <c r="I18" s="134">
        <v>4.68</v>
      </c>
      <c r="J18" s="134">
        <v>0.46</v>
      </c>
      <c r="K18" s="134">
        <v>256.45</v>
      </c>
      <c r="L18" s="134">
        <v>30.84</v>
      </c>
      <c r="M18" s="134">
        <v>43.1</v>
      </c>
      <c r="N18" s="134">
        <v>0</v>
      </c>
      <c r="O18" s="134">
        <v>0</v>
      </c>
      <c r="P18" s="134">
        <v>0.53</v>
      </c>
      <c r="Q18" s="134">
        <v>5.03</v>
      </c>
    </row>
    <row r="19" spans="1:17" customFormat="1">
      <c r="A19" s="112" t="s">
        <v>1208</v>
      </c>
      <c r="B19" s="134">
        <v>8.0500000000000007</v>
      </c>
      <c r="C19" s="134">
        <v>51.49</v>
      </c>
      <c r="D19" s="134">
        <v>32.31</v>
      </c>
      <c r="E19" s="134">
        <v>5.4</v>
      </c>
      <c r="F19" s="134">
        <v>15.08</v>
      </c>
      <c r="G19" s="134">
        <v>22.52</v>
      </c>
      <c r="H19" s="134">
        <v>14.5</v>
      </c>
      <c r="I19" s="134">
        <v>4.67</v>
      </c>
      <c r="J19" s="134">
        <v>0.26</v>
      </c>
      <c r="K19" s="134">
        <v>237.6</v>
      </c>
      <c r="L19" s="134">
        <v>30.57</v>
      </c>
      <c r="M19" s="134">
        <v>44.03</v>
      </c>
      <c r="N19" s="134">
        <v>0</v>
      </c>
      <c r="O19" s="134">
        <v>0</v>
      </c>
      <c r="P19" s="134">
        <v>0.53</v>
      </c>
      <c r="Q19" s="134">
        <v>5.12</v>
      </c>
    </row>
    <row r="20" spans="1:17" customFormat="1">
      <c r="A20" s="112" t="s">
        <v>1209</v>
      </c>
      <c r="B20" s="134">
        <v>7.71</v>
      </c>
      <c r="C20" s="134">
        <v>46.76</v>
      </c>
      <c r="D20" s="134">
        <v>29.57</v>
      </c>
      <c r="E20" s="134">
        <v>6.23</v>
      </c>
      <c r="F20" s="134">
        <v>21.84</v>
      </c>
      <c r="G20" s="134">
        <v>22.52</v>
      </c>
      <c r="H20" s="134">
        <v>14.5</v>
      </c>
      <c r="I20" s="134">
        <v>4.74</v>
      </c>
      <c r="J20" s="134">
        <v>0.23</v>
      </c>
      <c r="K20" s="134">
        <v>239.65</v>
      </c>
      <c r="L20" s="134">
        <v>30.27</v>
      </c>
      <c r="M20" s="134">
        <v>44.89</v>
      </c>
      <c r="N20" s="134">
        <v>0</v>
      </c>
      <c r="O20" s="134">
        <v>0</v>
      </c>
      <c r="P20" s="134">
        <v>0.51</v>
      </c>
      <c r="Q20" s="134">
        <v>5.12</v>
      </c>
    </row>
    <row r="21" spans="1:17" customFormat="1">
      <c r="A21" s="112" t="s">
        <v>1210</v>
      </c>
      <c r="B21" s="134">
        <v>8.76</v>
      </c>
      <c r="C21" s="134">
        <v>53.53</v>
      </c>
      <c r="D21" s="134">
        <v>33.94</v>
      </c>
      <c r="E21" s="134">
        <v>6.01</v>
      </c>
      <c r="F21" s="134">
        <v>8.9499999999999993</v>
      </c>
      <c r="G21" s="134">
        <v>22.52</v>
      </c>
      <c r="H21" s="134">
        <v>14.5</v>
      </c>
      <c r="I21" s="134">
        <v>4.51</v>
      </c>
      <c r="J21" s="134">
        <v>0.6</v>
      </c>
      <c r="K21" s="134">
        <v>252.39</v>
      </c>
      <c r="L21" s="134">
        <v>30.32</v>
      </c>
      <c r="M21" s="134">
        <v>44.33</v>
      </c>
      <c r="N21" s="134">
        <v>0</v>
      </c>
      <c r="O21" s="134">
        <v>0</v>
      </c>
      <c r="P21" s="134">
        <v>0.55000000000000004</v>
      </c>
      <c r="Q21" s="134">
        <v>5.0599999999999996</v>
      </c>
    </row>
    <row r="22" spans="1:17" customFormat="1">
      <c r="A22" s="112" t="s">
        <v>1211</v>
      </c>
      <c r="B22" s="134">
        <v>8.85</v>
      </c>
      <c r="C22" s="134">
        <v>51.32</v>
      </c>
      <c r="D22" s="134">
        <v>32.869999999999997</v>
      </c>
      <c r="E22" s="134">
        <v>7.23</v>
      </c>
      <c r="F22" s="134">
        <v>10.3</v>
      </c>
      <c r="G22" s="134">
        <v>23.28</v>
      </c>
      <c r="H22" s="134">
        <v>13.97</v>
      </c>
      <c r="I22" s="134">
        <v>4.57</v>
      </c>
      <c r="J22" s="134">
        <v>1.01</v>
      </c>
      <c r="K22" s="134">
        <v>264.88</v>
      </c>
      <c r="L22" s="134">
        <v>30.68</v>
      </c>
      <c r="M22" s="134">
        <v>42.62</v>
      </c>
      <c r="N22" s="134">
        <v>0</v>
      </c>
      <c r="O22" s="134">
        <v>0</v>
      </c>
      <c r="P22" s="134">
        <v>0.54</v>
      </c>
      <c r="Q22" s="134">
        <v>5.08</v>
      </c>
    </row>
    <row r="23" spans="1:17" customFormat="1">
      <c r="A23" s="112" t="s">
        <v>1212</v>
      </c>
      <c r="B23" s="134">
        <v>9.27</v>
      </c>
      <c r="C23" s="134">
        <v>55.58</v>
      </c>
      <c r="D23" s="134">
        <v>35.43</v>
      </c>
      <c r="E23" s="134">
        <v>7.58</v>
      </c>
      <c r="F23" s="134">
        <v>9.9</v>
      </c>
      <c r="G23" s="134">
        <v>24.42</v>
      </c>
      <c r="H23" s="134">
        <v>13.51</v>
      </c>
      <c r="I23" s="134">
        <v>4.8499999999999996</v>
      </c>
      <c r="J23" s="134">
        <v>0.93</v>
      </c>
      <c r="K23" s="134">
        <v>266.38</v>
      </c>
      <c r="L23" s="134">
        <v>30.73</v>
      </c>
      <c r="M23" s="134">
        <v>42.31</v>
      </c>
      <c r="N23" s="134">
        <v>0</v>
      </c>
      <c r="O23" s="134">
        <v>0</v>
      </c>
      <c r="P23" s="134">
        <v>0.53</v>
      </c>
      <c r="Q23" s="134">
        <v>5.12</v>
      </c>
    </row>
    <row r="24" spans="1:17" customFormat="1">
      <c r="A24" s="112" t="s">
        <v>1213</v>
      </c>
      <c r="B24" s="134">
        <v>9.0299999999999994</v>
      </c>
      <c r="C24" s="134">
        <v>50.13</v>
      </c>
      <c r="D24" s="134">
        <v>32.39</v>
      </c>
      <c r="E24" s="134">
        <v>7.9</v>
      </c>
      <c r="F24" s="134">
        <v>10.97</v>
      </c>
      <c r="G24" s="134">
        <v>24.42</v>
      </c>
      <c r="H24" s="134">
        <v>13.51</v>
      </c>
      <c r="I24" s="134">
        <v>4.97</v>
      </c>
      <c r="J24" s="134">
        <v>0.93</v>
      </c>
      <c r="K24" s="134">
        <v>266.16000000000003</v>
      </c>
      <c r="L24" s="134">
        <v>30.66</v>
      </c>
      <c r="M24" s="134">
        <v>42.59</v>
      </c>
      <c r="N24" s="134">
        <v>0</v>
      </c>
      <c r="O24" s="134">
        <v>0</v>
      </c>
      <c r="P24" s="134">
        <v>0.51</v>
      </c>
      <c r="Q24" s="134">
        <v>5.0599999999999996</v>
      </c>
    </row>
    <row r="25" spans="1:17" customFormat="1">
      <c r="A25" s="112" t="s">
        <v>1214</v>
      </c>
      <c r="B25" s="134">
        <v>9.2100000000000009</v>
      </c>
      <c r="C25" s="134">
        <v>55.77</v>
      </c>
      <c r="D25" s="134">
        <v>35.479999999999997</v>
      </c>
      <c r="E25" s="134">
        <v>8.07</v>
      </c>
      <c r="F25" s="134">
        <v>7.21</v>
      </c>
      <c r="G25" s="134">
        <v>24.42</v>
      </c>
      <c r="H25" s="134">
        <v>13.51</v>
      </c>
      <c r="I25" s="134">
        <v>4.9000000000000004</v>
      </c>
      <c r="J25" s="134">
        <v>1.04</v>
      </c>
      <c r="K25" s="134">
        <v>271.52999999999997</v>
      </c>
      <c r="L25" s="134">
        <v>30.64</v>
      </c>
      <c r="M25" s="134">
        <v>42.92</v>
      </c>
      <c r="N25" s="134">
        <v>0</v>
      </c>
      <c r="O25" s="134">
        <v>0</v>
      </c>
      <c r="P25" s="134">
        <v>0.53</v>
      </c>
      <c r="Q25" s="134">
        <v>5.0999999999999996</v>
      </c>
    </row>
    <row r="26" spans="1:17" customFormat="1">
      <c r="A26" s="112" t="s">
        <v>1215</v>
      </c>
      <c r="B26" s="134">
        <v>9.3699999999999992</v>
      </c>
      <c r="C26" s="134">
        <v>54.6</v>
      </c>
      <c r="D26" s="134">
        <v>35</v>
      </c>
      <c r="E26" s="134">
        <v>8.51</v>
      </c>
      <c r="F26" s="134">
        <v>8.0500000000000007</v>
      </c>
      <c r="G26" s="134">
        <v>23.08</v>
      </c>
      <c r="H26" s="134">
        <v>14.33</v>
      </c>
      <c r="I26" s="134">
        <v>4.82</v>
      </c>
      <c r="J26" s="134">
        <v>0.99</v>
      </c>
      <c r="K26" s="134">
        <v>262.83</v>
      </c>
      <c r="L26" s="134">
        <v>30.58</v>
      </c>
      <c r="M26" s="134">
        <v>43.57</v>
      </c>
      <c r="N26" s="134">
        <v>0</v>
      </c>
      <c r="O26" s="134">
        <v>0</v>
      </c>
      <c r="P26" s="134">
        <v>0.52</v>
      </c>
      <c r="Q26" s="134">
        <v>5.0599999999999996</v>
      </c>
    </row>
    <row r="27" spans="1:17" customFormat="1">
      <c r="A27" s="112" t="s">
        <v>1216</v>
      </c>
      <c r="B27" s="134">
        <v>9.68</v>
      </c>
      <c r="C27" s="134">
        <v>57.54</v>
      </c>
      <c r="D27" s="134">
        <v>36.78</v>
      </c>
      <c r="E27" s="134">
        <v>7.06</v>
      </c>
      <c r="F27" s="134">
        <v>7.13</v>
      </c>
      <c r="G27" s="134">
        <v>21.06</v>
      </c>
      <c r="H27" s="134">
        <v>15.03</v>
      </c>
      <c r="I27" s="134">
        <v>4.91</v>
      </c>
      <c r="J27" s="134">
        <v>0.83</v>
      </c>
      <c r="K27" s="134">
        <v>251.18</v>
      </c>
      <c r="L27" s="134">
        <v>30.4</v>
      </c>
      <c r="M27" s="134">
        <v>44.33</v>
      </c>
      <c r="N27" s="134">
        <v>0</v>
      </c>
      <c r="O27" s="134">
        <v>0</v>
      </c>
      <c r="P27" s="134">
        <v>0.52</v>
      </c>
      <c r="Q27" s="134">
        <v>5.14</v>
      </c>
    </row>
    <row r="28" spans="1:17" customFormat="1">
      <c r="A28" s="112" t="s">
        <v>1217</v>
      </c>
      <c r="B28" s="134">
        <v>9.99</v>
      </c>
      <c r="C28" s="134">
        <v>57.31</v>
      </c>
      <c r="D28" s="134">
        <v>36.909999999999997</v>
      </c>
      <c r="E28" s="134">
        <v>5.66</v>
      </c>
      <c r="F28" s="134">
        <v>6.54</v>
      </c>
      <c r="G28" s="134">
        <v>21.06</v>
      </c>
      <c r="H28" s="134">
        <v>15.03</v>
      </c>
      <c r="I28" s="134">
        <v>4.84</v>
      </c>
      <c r="J28" s="134">
        <v>0.7</v>
      </c>
      <c r="K28" s="134">
        <v>259.41000000000003</v>
      </c>
      <c r="L28" s="134">
        <v>29.98</v>
      </c>
      <c r="M28" s="134">
        <v>45.33</v>
      </c>
      <c r="N28" s="134">
        <v>0</v>
      </c>
      <c r="O28" s="134">
        <v>0</v>
      </c>
      <c r="P28" s="134">
        <v>0.52</v>
      </c>
      <c r="Q28" s="134">
        <v>5.13</v>
      </c>
    </row>
    <row r="29" spans="1:17" customFormat="1">
      <c r="A29" s="112" t="s">
        <v>1218</v>
      </c>
      <c r="B29" s="134">
        <v>9.57</v>
      </c>
      <c r="C29" s="134">
        <v>50.96</v>
      </c>
      <c r="D29" s="134">
        <v>33.26</v>
      </c>
      <c r="E29" s="134">
        <v>6.45</v>
      </c>
      <c r="F29" s="134">
        <v>9.77</v>
      </c>
      <c r="G29" s="134">
        <v>21.06</v>
      </c>
      <c r="H29" s="134">
        <v>15.03</v>
      </c>
      <c r="I29" s="134">
        <v>4.87</v>
      </c>
      <c r="J29" s="134">
        <v>0.65</v>
      </c>
      <c r="K29" s="134">
        <v>260.64999999999998</v>
      </c>
      <c r="L29" s="134">
        <v>29.81</v>
      </c>
      <c r="M29" s="134">
        <v>45.7</v>
      </c>
      <c r="N29" s="134">
        <v>0</v>
      </c>
      <c r="O29" s="134">
        <v>0</v>
      </c>
      <c r="P29" s="134">
        <v>0.49</v>
      </c>
      <c r="Q29" s="134">
        <v>5.07</v>
      </c>
    </row>
    <row r="30" spans="1:17" customFormat="1">
      <c r="A30" s="112" t="s">
        <v>1219</v>
      </c>
      <c r="B30" s="134">
        <v>9.61</v>
      </c>
      <c r="C30" s="134">
        <v>53.84</v>
      </c>
      <c r="D30" s="134">
        <v>34.79</v>
      </c>
      <c r="E30" s="134">
        <v>6.67</v>
      </c>
      <c r="F30" s="134">
        <v>8.86</v>
      </c>
      <c r="G30" s="134">
        <v>20.65</v>
      </c>
      <c r="H30" s="134">
        <v>12.8</v>
      </c>
      <c r="I30" s="134">
        <v>4.75</v>
      </c>
      <c r="J30" s="134">
        <v>0.6</v>
      </c>
      <c r="K30" s="134">
        <v>244.7</v>
      </c>
      <c r="L30" s="134">
        <v>29.71</v>
      </c>
      <c r="M30" s="134">
        <v>46.35</v>
      </c>
      <c r="N30" s="134">
        <v>1.3</v>
      </c>
      <c r="O30" s="134">
        <v>0</v>
      </c>
      <c r="P30" s="134">
        <v>0.5</v>
      </c>
      <c r="Q30" s="134">
        <v>5.13</v>
      </c>
    </row>
    <row r="31" spans="1:17" customFormat="1">
      <c r="A31" s="112" t="s">
        <v>1220</v>
      </c>
      <c r="B31" s="134">
        <v>9.81</v>
      </c>
      <c r="C31" s="134">
        <v>52.14</v>
      </c>
      <c r="D31" s="134">
        <v>34.07</v>
      </c>
      <c r="E31" s="134">
        <v>6.16</v>
      </c>
      <c r="F31" s="134">
        <v>8.48</v>
      </c>
      <c r="G31" s="134">
        <v>20.02</v>
      </c>
      <c r="H31" s="134">
        <v>10.88</v>
      </c>
      <c r="I31" s="134">
        <v>4.59</v>
      </c>
      <c r="J31" s="134">
        <v>0.56999999999999995</v>
      </c>
      <c r="K31" s="134">
        <v>259.77</v>
      </c>
      <c r="L31" s="134">
        <v>29.76</v>
      </c>
      <c r="M31" s="134">
        <v>46.7</v>
      </c>
      <c r="N31" s="134">
        <v>10.1</v>
      </c>
      <c r="O31" s="134">
        <v>0</v>
      </c>
      <c r="P31" s="134">
        <v>0.49</v>
      </c>
      <c r="Q31" s="134">
        <v>5.0999999999999996</v>
      </c>
    </row>
    <row r="32" spans="1:17" customFormat="1">
      <c r="A32" s="112" t="s">
        <v>1221</v>
      </c>
      <c r="B32" s="134">
        <v>10.07</v>
      </c>
      <c r="C32" s="134">
        <v>55.14</v>
      </c>
      <c r="D32" s="134">
        <v>35.83</v>
      </c>
      <c r="E32" s="134">
        <v>6.3</v>
      </c>
      <c r="F32" s="134">
        <v>8.44</v>
      </c>
      <c r="G32" s="134">
        <v>20.02</v>
      </c>
      <c r="H32" s="134">
        <v>10.88</v>
      </c>
      <c r="I32" s="134">
        <v>4.5599999999999996</v>
      </c>
      <c r="J32" s="134">
        <v>0.75</v>
      </c>
      <c r="K32" s="134">
        <v>256.24</v>
      </c>
      <c r="L32" s="134">
        <v>29.91</v>
      </c>
      <c r="M32" s="134">
        <v>46.72</v>
      </c>
      <c r="N32" s="134">
        <v>25.9</v>
      </c>
      <c r="O32" s="134">
        <v>0</v>
      </c>
      <c r="P32" s="134">
        <v>0.49</v>
      </c>
      <c r="Q32" s="134">
        <v>5.14</v>
      </c>
    </row>
    <row r="33" spans="1:17" customFormat="1">
      <c r="A33" s="112" t="s">
        <v>1222</v>
      </c>
      <c r="B33" s="134">
        <v>10.58</v>
      </c>
      <c r="C33" s="134">
        <v>57.5</v>
      </c>
      <c r="D33" s="134">
        <v>37.479999999999997</v>
      </c>
      <c r="E33" s="134">
        <v>5.92</v>
      </c>
      <c r="F33" s="134">
        <v>6.59</v>
      </c>
      <c r="G33" s="134">
        <v>20.02</v>
      </c>
      <c r="H33" s="134">
        <v>10.88</v>
      </c>
      <c r="I33" s="134">
        <v>4.55</v>
      </c>
      <c r="J33" s="134">
        <v>1.04</v>
      </c>
      <c r="K33" s="134">
        <v>255.22</v>
      </c>
      <c r="L33" s="134">
        <v>30.11</v>
      </c>
      <c r="M33" s="134">
        <v>46.64</v>
      </c>
      <c r="N33" s="134">
        <v>35.5</v>
      </c>
      <c r="O33" s="134">
        <v>0</v>
      </c>
      <c r="P33" s="134">
        <v>0.5</v>
      </c>
      <c r="Q33" s="134">
        <v>5.12</v>
      </c>
    </row>
    <row r="34" spans="1:17" customFormat="1">
      <c r="A34" s="112" t="s">
        <v>1223</v>
      </c>
      <c r="B34" s="134">
        <v>10.42</v>
      </c>
      <c r="C34" s="134">
        <v>54</v>
      </c>
      <c r="D34" s="134">
        <v>35.520000000000003</v>
      </c>
      <c r="E34" s="134">
        <v>5.86</v>
      </c>
      <c r="F34" s="134">
        <v>7.05</v>
      </c>
      <c r="G34" s="134">
        <v>20.190000000000001</v>
      </c>
      <c r="H34" s="134">
        <v>9.83</v>
      </c>
      <c r="I34" s="134">
        <v>4.63</v>
      </c>
      <c r="J34" s="134">
        <v>0.94</v>
      </c>
      <c r="K34" s="134">
        <v>257.52999999999997</v>
      </c>
      <c r="L34" s="134">
        <v>30.3</v>
      </c>
      <c r="M34" s="134">
        <v>46.53</v>
      </c>
      <c r="N34" s="134">
        <v>39.5</v>
      </c>
      <c r="O34" s="134">
        <v>0</v>
      </c>
      <c r="P34" s="134">
        <v>0.49</v>
      </c>
      <c r="Q34" s="134">
        <v>5.12</v>
      </c>
    </row>
    <row r="35" spans="1:17" customFormat="1">
      <c r="A35" s="112" t="s">
        <v>1224</v>
      </c>
      <c r="B35" s="134">
        <v>10.29</v>
      </c>
      <c r="C35" s="134">
        <v>54.53</v>
      </c>
      <c r="D35" s="134">
        <v>35.700000000000003</v>
      </c>
      <c r="E35" s="134">
        <v>5.6</v>
      </c>
      <c r="F35" s="134">
        <v>7.13</v>
      </c>
      <c r="G35" s="134">
        <v>20.45</v>
      </c>
      <c r="H35" s="134">
        <v>8.93</v>
      </c>
      <c r="I35" s="134">
        <v>4.5999999999999996</v>
      </c>
      <c r="J35" s="134">
        <v>0.89</v>
      </c>
      <c r="K35" s="134">
        <v>256.86</v>
      </c>
      <c r="L35" s="134">
        <v>30.42</v>
      </c>
      <c r="M35" s="134">
        <v>46.63</v>
      </c>
      <c r="N35" s="134">
        <v>46.9</v>
      </c>
      <c r="O35" s="134">
        <v>0</v>
      </c>
      <c r="P35" s="134">
        <v>0.49</v>
      </c>
      <c r="Q35" s="134">
        <v>5.16</v>
      </c>
    </row>
    <row r="36" spans="1:17" customFormat="1">
      <c r="A36" s="112" t="s">
        <v>1225</v>
      </c>
      <c r="B36" s="134">
        <v>10.45</v>
      </c>
      <c r="C36" s="134">
        <v>50.36</v>
      </c>
      <c r="D36" s="134">
        <v>33.65</v>
      </c>
      <c r="E36" s="134">
        <v>4.82</v>
      </c>
      <c r="F36" s="134">
        <v>7.34</v>
      </c>
      <c r="G36" s="134">
        <v>20.45</v>
      </c>
      <c r="H36" s="134">
        <v>8.93</v>
      </c>
      <c r="I36" s="134">
        <v>4.55</v>
      </c>
      <c r="J36" s="134">
        <v>1.1000000000000001</v>
      </c>
      <c r="K36" s="134">
        <v>265.02999999999997</v>
      </c>
      <c r="L36" s="134">
        <v>30.54</v>
      </c>
      <c r="M36" s="134">
        <v>46.84</v>
      </c>
      <c r="N36" s="134">
        <v>71.900000000000006</v>
      </c>
      <c r="O36" s="134">
        <v>0</v>
      </c>
      <c r="P36" s="134">
        <v>0.48</v>
      </c>
      <c r="Q36" s="134">
        <v>5.08</v>
      </c>
    </row>
    <row r="37" spans="1:17" customFormat="1">
      <c r="A37" s="112" t="s">
        <v>1226</v>
      </c>
      <c r="B37" s="134">
        <v>10.42</v>
      </c>
      <c r="C37" s="134">
        <v>54.03</v>
      </c>
      <c r="D37" s="134">
        <v>35.54</v>
      </c>
      <c r="E37" s="134">
        <v>5.29</v>
      </c>
      <c r="F37" s="134">
        <v>6.57</v>
      </c>
      <c r="G37" s="134">
        <v>20.45</v>
      </c>
      <c r="H37" s="134">
        <v>8.93</v>
      </c>
      <c r="I37" s="134">
        <v>4.53</v>
      </c>
      <c r="J37" s="134">
        <v>1.06</v>
      </c>
      <c r="K37" s="134">
        <v>260.60000000000002</v>
      </c>
      <c r="L37" s="134">
        <v>30.77</v>
      </c>
      <c r="M37" s="134">
        <v>46.44</v>
      </c>
      <c r="N37" s="134">
        <v>80.400000000000006</v>
      </c>
      <c r="O37" s="134">
        <v>0</v>
      </c>
      <c r="P37" s="134">
        <v>0.48</v>
      </c>
      <c r="Q37" s="134">
        <v>5.13</v>
      </c>
    </row>
    <row r="38" spans="1:17" customFormat="1">
      <c r="A38" s="112" t="s">
        <v>1227</v>
      </c>
      <c r="B38" s="134">
        <v>10.65</v>
      </c>
      <c r="C38" s="134">
        <v>55.47</v>
      </c>
      <c r="D38" s="134">
        <v>36.47</v>
      </c>
      <c r="E38" s="134">
        <v>5.82</v>
      </c>
      <c r="F38" s="134">
        <v>6.7</v>
      </c>
      <c r="G38" s="134">
        <v>21.58</v>
      </c>
      <c r="H38" s="134">
        <v>9.9600000000000009</v>
      </c>
      <c r="I38" s="134">
        <v>4.4800000000000004</v>
      </c>
      <c r="J38" s="134">
        <v>1.17</v>
      </c>
      <c r="K38" s="134">
        <v>268.22000000000003</v>
      </c>
      <c r="L38" s="134">
        <v>31.39</v>
      </c>
      <c r="M38" s="134">
        <v>45.09</v>
      </c>
      <c r="N38" s="134">
        <v>97.8</v>
      </c>
      <c r="O38" s="134">
        <v>0</v>
      </c>
      <c r="P38" s="134">
        <v>0.49</v>
      </c>
      <c r="Q38" s="134">
        <v>5.12</v>
      </c>
    </row>
    <row r="39" spans="1:17" customFormat="1">
      <c r="A39" s="112" t="s">
        <v>1228</v>
      </c>
      <c r="B39" s="134">
        <v>10.38</v>
      </c>
      <c r="C39" s="134">
        <v>54.37</v>
      </c>
      <c r="D39" s="134">
        <v>35.68</v>
      </c>
      <c r="E39" s="134">
        <v>6.16</v>
      </c>
      <c r="F39" s="134">
        <v>7.56</v>
      </c>
      <c r="G39" s="134">
        <v>23.21</v>
      </c>
      <c r="H39" s="134">
        <v>12.4</v>
      </c>
      <c r="I39" s="134">
        <v>4.47</v>
      </c>
      <c r="J39" s="134">
        <v>1.51</v>
      </c>
      <c r="K39" s="134">
        <v>255.38</v>
      </c>
      <c r="L39" s="134">
        <v>32.14</v>
      </c>
      <c r="M39" s="134">
        <v>43.16</v>
      </c>
      <c r="N39" s="134">
        <v>115.1</v>
      </c>
      <c r="O39" s="134">
        <v>0</v>
      </c>
      <c r="P39" s="134">
        <v>0.49</v>
      </c>
      <c r="Q39" s="134">
        <v>5.1100000000000003</v>
      </c>
    </row>
    <row r="40" spans="1:17" customFormat="1">
      <c r="A40" s="112" t="s">
        <v>1229</v>
      </c>
      <c r="B40" s="134">
        <v>10.35</v>
      </c>
      <c r="C40" s="134">
        <v>55.43</v>
      </c>
      <c r="D40" s="134">
        <v>36.22</v>
      </c>
      <c r="E40" s="134">
        <v>7.82</v>
      </c>
      <c r="F40" s="134">
        <v>7.5</v>
      </c>
      <c r="G40" s="134">
        <v>23.21</v>
      </c>
      <c r="H40" s="134">
        <v>12.4</v>
      </c>
      <c r="I40" s="134">
        <v>4.43</v>
      </c>
      <c r="J40" s="134">
        <v>1.28</v>
      </c>
      <c r="K40" s="134">
        <v>266.76</v>
      </c>
      <c r="L40" s="134">
        <v>32.909999999999997</v>
      </c>
      <c r="M40" s="134">
        <v>41.39</v>
      </c>
      <c r="N40" s="134">
        <v>116.4</v>
      </c>
      <c r="O40" s="134">
        <v>0</v>
      </c>
      <c r="P40" s="134">
        <v>0.52</v>
      </c>
      <c r="Q40" s="134">
        <v>5.13</v>
      </c>
    </row>
    <row r="41" spans="1:17" customFormat="1">
      <c r="A41" s="112" t="s">
        <v>1230</v>
      </c>
      <c r="B41" s="134">
        <v>10.39</v>
      </c>
      <c r="C41" s="134">
        <v>53.9</v>
      </c>
      <c r="D41" s="134">
        <v>35.450000000000003</v>
      </c>
      <c r="E41" s="134">
        <v>7.44</v>
      </c>
      <c r="F41" s="134">
        <v>6.68</v>
      </c>
      <c r="G41" s="134">
        <v>23.21</v>
      </c>
      <c r="H41" s="134">
        <v>12.4</v>
      </c>
      <c r="I41" s="134">
        <v>4.4800000000000004</v>
      </c>
      <c r="J41" s="134">
        <v>1.0900000000000001</v>
      </c>
      <c r="K41" s="134">
        <v>261.32</v>
      </c>
      <c r="L41" s="134">
        <v>33.270000000000003</v>
      </c>
      <c r="M41" s="134">
        <v>40.590000000000003</v>
      </c>
      <c r="N41" s="134">
        <v>124.1</v>
      </c>
      <c r="O41" s="134">
        <v>0</v>
      </c>
      <c r="P41" s="134">
        <v>0.52</v>
      </c>
      <c r="Q41" s="134">
        <v>5.04</v>
      </c>
    </row>
    <row r="42" spans="1:17" customFormat="1">
      <c r="A42" s="112" t="s">
        <v>1231</v>
      </c>
      <c r="B42" s="134">
        <v>10.15</v>
      </c>
      <c r="C42" s="134">
        <v>54.46</v>
      </c>
      <c r="D42" s="134">
        <v>35.549999999999997</v>
      </c>
      <c r="E42" s="134">
        <v>8</v>
      </c>
      <c r="F42" s="134">
        <v>9.6300000000000008</v>
      </c>
      <c r="G42" s="134">
        <v>25.11</v>
      </c>
      <c r="H42" s="134">
        <v>12.8</v>
      </c>
      <c r="I42" s="134">
        <v>4.71</v>
      </c>
      <c r="J42" s="134">
        <v>1.61</v>
      </c>
      <c r="K42" s="134">
        <v>283.13</v>
      </c>
      <c r="L42" s="134">
        <v>34.159999999999997</v>
      </c>
      <c r="M42" s="134">
        <v>37.700000000000003</v>
      </c>
      <c r="N42" s="134">
        <v>131.6</v>
      </c>
      <c r="O42" s="134">
        <v>0</v>
      </c>
      <c r="P42" s="134">
        <v>0.56000000000000005</v>
      </c>
      <c r="Q42" s="134">
        <v>5.16</v>
      </c>
    </row>
    <row r="43" spans="1:17" customFormat="1">
      <c r="A43" s="112" t="s">
        <v>1232</v>
      </c>
      <c r="B43" s="134">
        <v>9.94</v>
      </c>
      <c r="C43" s="134">
        <v>51.68</v>
      </c>
      <c r="D43" s="134">
        <v>33.93</v>
      </c>
      <c r="E43" s="134">
        <v>6.32</v>
      </c>
      <c r="F43" s="134">
        <v>9.0500000000000007</v>
      </c>
      <c r="G43" s="134">
        <v>27.83</v>
      </c>
      <c r="H43" s="134">
        <v>13.14</v>
      </c>
      <c r="I43" s="134">
        <v>4.9000000000000004</v>
      </c>
      <c r="J43" s="134">
        <v>1.39</v>
      </c>
      <c r="K43" s="134">
        <v>273.45</v>
      </c>
      <c r="L43" s="134">
        <v>34.659999999999997</v>
      </c>
      <c r="M43" s="134">
        <v>36.54</v>
      </c>
      <c r="N43" s="134">
        <v>137</v>
      </c>
      <c r="O43" s="134">
        <v>0</v>
      </c>
      <c r="P43" s="134">
        <v>0.54</v>
      </c>
      <c r="Q43" s="134">
        <v>5.12</v>
      </c>
    </row>
    <row r="44" spans="1:17" customFormat="1">
      <c r="A44" s="112" t="s">
        <v>1233</v>
      </c>
      <c r="B44" s="134">
        <v>9.36</v>
      </c>
      <c r="C44" s="134">
        <v>48.81</v>
      </c>
      <c r="D44" s="134">
        <v>31.96</v>
      </c>
      <c r="E44" s="134">
        <v>6.31</v>
      </c>
      <c r="F44" s="134">
        <v>10.210000000000001</v>
      </c>
      <c r="G44" s="134">
        <v>27.83</v>
      </c>
      <c r="H44" s="134">
        <v>13.14</v>
      </c>
      <c r="I44" s="134">
        <v>4.92</v>
      </c>
      <c r="J44" s="134">
        <v>1.68</v>
      </c>
      <c r="K44" s="134">
        <v>291.32</v>
      </c>
      <c r="L44" s="134">
        <v>35.14</v>
      </c>
      <c r="M44" s="134">
        <v>35.29</v>
      </c>
      <c r="N44" s="134">
        <v>143.1</v>
      </c>
      <c r="O44" s="134">
        <v>0</v>
      </c>
      <c r="P44" s="134">
        <v>0.53</v>
      </c>
      <c r="Q44" s="134">
        <v>5.04</v>
      </c>
    </row>
    <row r="45" spans="1:17" customFormat="1">
      <c r="A45" s="112" t="s">
        <v>1234</v>
      </c>
      <c r="B45" s="134">
        <v>9.42</v>
      </c>
      <c r="C45" s="134">
        <v>49.12</v>
      </c>
      <c r="D45" s="134">
        <v>32.17</v>
      </c>
      <c r="E45" s="134">
        <v>6.46</v>
      </c>
      <c r="F45" s="134">
        <v>12.36</v>
      </c>
      <c r="G45" s="134">
        <v>27.83</v>
      </c>
      <c r="H45" s="134">
        <v>13.14</v>
      </c>
      <c r="I45" s="134">
        <v>4.8600000000000003</v>
      </c>
      <c r="J45" s="134">
        <v>1.37</v>
      </c>
      <c r="K45" s="134">
        <v>281.98</v>
      </c>
      <c r="L45" s="134">
        <v>35.880000000000003</v>
      </c>
      <c r="M45" s="134">
        <v>32.99</v>
      </c>
      <c r="N45" s="134">
        <v>149.5</v>
      </c>
      <c r="O45" s="134">
        <v>0</v>
      </c>
      <c r="P45" s="134">
        <v>0.53</v>
      </c>
      <c r="Q45" s="134">
        <v>4.95</v>
      </c>
    </row>
    <row r="46" spans="1:17" customFormat="1">
      <c r="A46" s="112" t="s">
        <v>1235</v>
      </c>
      <c r="B46" s="134">
        <v>9</v>
      </c>
      <c r="C46" s="134">
        <v>45.52</v>
      </c>
      <c r="D46" s="134">
        <v>29.95</v>
      </c>
      <c r="E46" s="134">
        <v>6.3</v>
      </c>
      <c r="F46" s="134">
        <v>14.82</v>
      </c>
      <c r="G46" s="134">
        <v>30.82</v>
      </c>
      <c r="H46" s="134">
        <v>13.54</v>
      </c>
      <c r="I46" s="134">
        <v>4.8600000000000003</v>
      </c>
      <c r="J46" s="134">
        <v>1.42</v>
      </c>
      <c r="K46" s="134">
        <v>293</v>
      </c>
      <c r="L46" s="134">
        <v>36.43</v>
      </c>
      <c r="M46" s="134">
        <v>31.66</v>
      </c>
      <c r="N46" s="134">
        <v>153.6</v>
      </c>
      <c r="O46" s="134">
        <v>0</v>
      </c>
      <c r="P46" s="134">
        <v>0.53</v>
      </c>
      <c r="Q46" s="134">
        <v>4.91</v>
      </c>
    </row>
    <row r="47" spans="1:17" customFormat="1">
      <c r="A47" s="112" t="s">
        <v>1236</v>
      </c>
      <c r="B47" s="134">
        <v>8.6</v>
      </c>
      <c r="C47" s="134">
        <v>47.49</v>
      </c>
      <c r="D47" s="134">
        <v>30.66</v>
      </c>
      <c r="E47" s="134">
        <v>5.48</v>
      </c>
      <c r="F47" s="134">
        <v>9.6999999999999993</v>
      </c>
      <c r="G47" s="134">
        <v>35.090000000000003</v>
      </c>
      <c r="H47" s="134">
        <v>13.89</v>
      </c>
      <c r="I47" s="134">
        <v>4.79</v>
      </c>
      <c r="J47" s="134">
        <v>1.6</v>
      </c>
      <c r="K47" s="134">
        <v>291.20999999999998</v>
      </c>
      <c r="L47" s="134">
        <v>36.4</v>
      </c>
      <c r="M47" s="134">
        <v>32</v>
      </c>
      <c r="N47" s="134">
        <v>164.4</v>
      </c>
      <c r="O47" s="134">
        <v>0</v>
      </c>
      <c r="P47" s="134">
        <v>0.54</v>
      </c>
      <c r="Q47" s="134">
        <v>4.88</v>
      </c>
    </row>
    <row r="48" spans="1:17" customFormat="1">
      <c r="A48" s="112" t="s">
        <v>1237</v>
      </c>
      <c r="B48" s="134">
        <v>7.94</v>
      </c>
      <c r="C48" s="134">
        <v>44.32</v>
      </c>
      <c r="D48" s="134">
        <v>28.48</v>
      </c>
      <c r="E48" s="134">
        <v>5.26</v>
      </c>
      <c r="F48" s="134">
        <v>11.69</v>
      </c>
      <c r="G48" s="134">
        <v>35.090000000000003</v>
      </c>
      <c r="H48" s="134">
        <v>13.89</v>
      </c>
      <c r="I48" s="134">
        <v>4.76</v>
      </c>
      <c r="J48" s="134">
        <v>1.45</v>
      </c>
      <c r="K48" s="134">
        <v>287.5</v>
      </c>
      <c r="L48" s="134">
        <v>36.78</v>
      </c>
      <c r="M48" s="134">
        <v>31.29</v>
      </c>
      <c r="N48" s="134">
        <v>186.4</v>
      </c>
      <c r="O48" s="134">
        <v>0</v>
      </c>
      <c r="P48" s="134">
        <v>0.54</v>
      </c>
      <c r="Q48" s="134">
        <v>4.82</v>
      </c>
    </row>
    <row r="49" spans="1:17" customFormat="1">
      <c r="A49" s="112" t="s">
        <v>1238</v>
      </c>
      <c r="B49" s="134">
        <v>7.42</v>
      </c>
      <c r="C49" s="134">
        <v>43.57</v>
      </c>
      <c r="D49" s="134">
        <v>27.67</v>
      </c>
      <c r="E49" s="134">
        <v>6.03</v>
      </c>
      <c r="F49" s="134">
        <v>17.989999999999998</v>
      </c>
      <c r="G49" s="134">
        <v>35.090000000000003</v>
      </c>
      <c r="H49" s="134">
        <v>13.89</v>
      </c>
      <c r="I49" s="134">
        <v>4.8600000000000003</v>
      </c>
      <c r="J49" s="134">
        <v>1.27</v>
      </c>
      <c r="K49" s="134">
        <v>298.64999999999998</v>
      </c>
      <c r="L49" s="134">
        <v>37.47</v>
      </c>
      <c r="M49" s="134">
        <v>30</v>
      </c>
      <c r="N49" s="134">
        <v>189.9</v>
      </c>
      <c r="O49" s="134">
        <v>0</v>
      </c>
      <c r="P49" s="134">
        <v>0.54</v>
      </c>
      <c r="Q49" s="134">
        <v>4.79</v>
      </c>
    </row>
    <row r="50" spans="1:17" customFormat="1">
      <c r="A50" s="112" t="s">
        <v>1239</v>
      </c>
      <c r="B50" s="134">
        <v>6.99</v>
      </c>
      <c r="C50" s="134">
        <v>42.03</v>
      </c>
      <c r="D50" s="134">
        <v>26.52</v>
      </c>
      <c r="E50" s="134">
        <v>7.43</v>
      </c>
      <c r="F50" s="134">
        <v>16.61</v>
      </c>
      <c r="G50" s="134">
        <v>36.14</v>
      </c>
      <c r="H50" s="134">
        <v>16.579999999999998</v>
      </c>
      <c r="I50" s="134">
        <v>4.8499999999999996</v>
      </c>
      <c r="J50" s="134">
        <v>1.37</v>
      </c>
      <c r="K50" s="134">
        <v>292.64999999999998</v>
      </c>
      <c r="L50" s="134">
        <v>37.85</v>
      </c>
      <c r="M50" s="134">
        <v>29.02</v>
      </c>
      <c r="N50" s="134">
        <v>185.8</v>
      </c>
      <c r="O50" s="134">
        <v>0</v>
      </c>
      <c r="P50" s="134">
        <v>0.55000000000000004</v>
      </c>
      <c r="Q50" s="134">
        <v>4.7699999999999996</v>
      </c>
    </row>
    <row r="51" spans="1:17" customFormat="1">
      <c r="A51" s="112" t="s">
        <v>1240</v>
      </c>
      <c r="B51" s="134">
        <v>6.58</v>
      </c>
      <c r="C51" s="134">
        <v>41.63</v>
      </c>
      <c r="D51" s="134">
        <v>25.99</v>
      </c>
      <c r="E51" s="134">
        <v>8.08</v>
      </c>
      <c r="F51" s="134">
        <v>21.86</v>
      </c>
      <c r="G51" s="134">
        <v>37.659999999999997</v>
      </c>
      <c r="H51" s="134">
        <v>18.899999999999999</v>
      </c>
      <c r="I51" s="134">
        <v>4.83</v>
      </c>
      <c r="J51" s="134">
        <v>1.1399999999999999</v>
      </c>
      <c r="K51" s="134">
        <v>299.75</v>
      </c>
      <c r="L51" s="134">
        <v>38.64</v>
      </c>
      <c r="M51" s="134">
        <v>27.27</v>
      </c>
      <c r="N51" s="134">
        <v>193.4</v>
      </c>
      <c r="O51" s="134">
        <v>0</v>
      </c>
      <c r="P51" s="134">
        <v>0.55000000000000004</v>
      </c>
      <c r="Q51" s="134">
        <v>4.79</v>
      </c>
    </row>
    <row r="52" spans="1:17" customFormat="1">
      <c r="A52" s="112" t="s">
        <v>1241</v>
      </c>
      <c r="B52" s="134">
        <v>6.56</v>
      </c>
      <c r="C52" s="134">
        <v>43.68</v>
      </c>
      <c r="D52" s="134">
        <v>27.04</v>
      </c>
      <c r="E52" s="134">
        <v>6.81</v>
      </c>
      <c r="F52" s="134">
        <v>18.940000000000001</v>
      </c>
      <c r="G52" s="134">
        <v>37.659999999999997</v>
      </c>
      <c r="H52" s="134">
        <v>18.899999999999999</v>
      </c>
      <c r="I52" s="134">
        <v>4.84</v>
      </c>
      <c r="J52" s="134">
        <v>1.21</v>
      </c>
      <c r="K52" s="134">
        <v>309.77999999999997</v>
      </c>
      <c r="L52" s="134">
        <v>39.42</v>
      </c>
      <c r="M52" s="134">
        <v>22.76</v>
      </c>
      <c r="N52" s="134">
        <v>202.2</v>
      </c>
      <c r="O52" s="134">
        <v>0</v>
      </c>
      <c r="P52" s="134">
        <v>0.54</v>
      </c>
      <c r="Q52" s="134">
        <v>4.78</v>
      </c>
    </row>
    <row r="53" spans="1:17" customFormat="1">
      <c r="A53" s="112" t="s">
        <v>1242</v>
      </c>
      <c r="B53" s="134">
        <v>5.78</v>
      </c>
      <c r="C53" s="134">
        <v>40.28</v>
      </c>
      <c r="D53" s="134">
        <v>24.63</v>
      </c>
      <c r="E53" s="134">
        <v>6.81</v>
      </c>
      <c r="F53" s="134">
        <v>22.05</v>
      </c>
      <c r="G53" s="134">
        <v>37.659999999999997</v>
      </c>
      <c r="H53" s="134">
        <v>18.899999999999999</v>
      </c>
      <c r="I53" s="134">
        <v>4.8499999999999996</v>
      </c>
      <c r="J53" s="134">
        <v>1.07</v>
      </c>
      <c r="K53" s="134">
        <v>343.54</v>
      </c>
      <c r="L53" s="134">
        <v>40.119999999999997</v>
      </c>
      <c r="M53" s="134">
        <v>21.18</v>
      </c>
      <c r="N53" s="134">
        <v>227.8</v>
      </c>
      <c r="O53" s="134">
        <v>0</v>
      </c>
      <c r="P53" s="134">
        <v>0.53</v>
      </c>
      <c r="Q53" s="134">
        <v>4.75</v>
      </c>
    </row>
    <row r="54" spans="1:17" customFormat="1">
      <c r="A54" s="112" t="s">
        <v>1243</v>
      </c>
      <c r="B54" s="134">
        <v>5.94</v>
      </c>
      <c r="C54" s="134">
        <v>45.17</v>
      </c>
      <c r="D54" s="134">
        <v>27.32</v>
      </c>
      <c r="E54" s="134">
        <v>5.74</v>
      </c>
      <c r="F54" s="134">
        <v>16.3</v>
      </c>
      <c r="G54" s="134">
        <v>39.4</v>
      </c>
      <c r="H54" s="134">
        <v>18.61</v>
      </c>
      <c r="I54" s="134">
        <v>4.66</v>
      </c>
      <c r="J54" s="134">
        <v>1.51</v>
      </c>
      <c r="K54" s="134">
        <v>308.95</v>
      </c>
      <c r="L54" s="134">
        <v>40.36</v>
      </c>
      <c r="M54" s="134">
        <v>20.82</v>
      </c>
      <c r="N54" s="134">
        <v>263.8</v>
      </c>
      <c r="O54" s="134">
        <v>0</v>
      </c>
      <c r="P54" s="134">
        <v>0.55000000000000004</v>
      </c>
      <c r="Q54" s="134">
        <v>4.79</v>
      </c>
    </row>
    <row r="55" spans="1:17" customFormat="1">
      <c r="A55" s="112" t="s">
        <v>1244</v>
      </c>
      <c r="B55" s="134">
        <v>6.61</v>
      </c>
      <c r="C55" s="134">
        <v>45.73</v>
      </c>
      <c r="D55" s="134">
        <v>28.15</v>
      </c>
      <c r="E55" s="134">
        <v>6.84</v>
      </c>
      <c r="F55" s="134">
        <v>28.77</v>
      </c>
      <c r="G55" s="134">
        <v>41.88</v>
      </c>
      <c r="H55" s="134">
        <v>18.36</v>
      </c>
      <c r="I55" s="134">
        <v>4.62</v>
      </c>
      <c r="J55" s="134">
        <v>0.89</v>
      </c>
      <c r="K55" s="134">
        <v>348.26</v>
      </c>
      <c r="L55" s="134">
        <v>41.11</v>
      </c>
      <c r="M55" s="134">
        <v>20.49</v>
      </c>
      <c r="N55" s="134">
        <v>318.60000000000002</v>
      </c>
      <c r="O55" s="134">
        <v>0</v>
      </c>
      <c r="P55" s="134">
        <v>0.54</v>
      </c>
      <c r="Q55" s="134">
        <v>4.9400000000000004</v>
      </c>
    </row>
    <row r="56" spans="1:17" customFormat="1">
      <c r="A56" s="112" t="s">
        <v>1245</v>
      </c>
      <c r="B56" s="134">
        <v>6.82</v>
      </c>
      <c r="C56" s="134">
        <v>47.12</v>
      </c>
      <c r="D56" s="134">
        <v>29.04</v>
      </c>
      <c r="E56" s="134">
        <v>7.04</v>
      </c>
      <c r="F56" s="134">
        <v>18.82</v>
      </c>
      <c r="G56" s="134">
        <v>41.88</v>
      </c>
      <c r="H56" s="134">
        <v>18.36</v>
      </c>
      <c r="I56" s="134">
        <v>4.7300000000000004</v>
      </c>
      <c r="J56" s="134">
        <v>1.34</v>
      </c>
      <c r="K56" s="134">
        <v>322.66000000000003</v>
      </c>
      <c r="L56" s="134">
        <v>40.86</v>
      </c>
      <c r="M56" s="134">
        <v>20.36</v>
      </c>
      <c r="N56" s="134">
        <v>672.2</v>
      </c>
      <c r="O56" s="134">
        <v>0</v>
      </c>
      <c r="P56" s="134">
        <v>0.54</v>
      </c>
      <c r="Q56" s="134">
        <v>4.97</v>
      </c>
    </row>
    <row r="57" spans="1:17" customFormat="1">
      <c r="A57" s="112" t="s">
        <v>1246</v>
      </c>
      <c r="B57" s="134">
        <v>6.27</v>
      </c>
      <c r="C57" s="134">
        <v>44.91</v>
      </c>
      <c r="D57" s="134">
        <v>27.44</v>
      </c>
      <c r="E57" s="134">
        <v>8.9499999999999993</v>
      </c>
      <c r="F57" s="134">
        <v>24.71</v>
      </c>
      <c r="G57" s="134">
        <v>41.88</v>
      </c>
      <c r="H57" s="134">
        <v>18.36</v>
      </c>
      <c r="I57" s="134">
        <v>4.4800000000000004</v>
      </c>
      <c r="J57" s="134">
        <v>1.18</v>
      </c>
      <c r="K57" s="134">
        <v>325.67</v>
      </c>
      <c r="L57" s="134">
        <v>41.1</v>
      </c>
      <c r="M57" s="134">
        <v>19.79</v>
      </c>
      <c r="N57" s="134">
        <v>746.7</v>
      </c>
      <c r="O57" s="134">
        <v>0</v>
      </c>
      <c r="P57" s="134">
        <v>0.52</v>
      </c>
      <c r="Q57" s="134">
        <v>4.91</v>
      </c>
    </row>
    <row r="58" spans="1:17" customFormat="1">
      <c r="A58" s="112" t="s">
        <v>1247</v>
      </c>
      <c r="B58" s="134">
        <v>6.21</v>
      </c>
      <c r="C58" s="134">
        <v>42.01</v>
      </c>
      <c r="D58" s="134">
        <v>25.89</v>
      </c>
      <c r="E58" s="134">
        <v>9.9</v>
      </c>
      <c r="F58" s="134">
        <v>33.909999999999997</v>
      </c>
      <c r="G58" s="134">
        <v>43.88</v>
      </c>
      <c r="H58" s="134">
        <v>18.63</v>
      </c>
      <c r="I58" s="134">
        <v>4.6100000000000003</v>
      </c>
      <c r="J58" s="134">
        <v>1.03</v>
      </c>
      <c r="K58" s="134">
        <v>353.79</v>
      </c>
      <c r="L58" s="134">
        <v>41.63</v>
      </c>
      <c r="M58" s="134">
        <v>19.52</v>
      </c>
      <c r="N58" s="134">
        <v>777.9</v>
      </c>
      <c r="O58" s="134">
        <v>0</v>
      </c>
      <c r="P58" s="134">
        <v>0.53</v>
      </c>
      <c r="Q58" s="134">
        <v>4.9000000000000004</v>
      </c>
    </row>
    <row r="59" spans="1:17" customFormat="1">
      <c r="A59" s="112" t="s">
        <v>1248</v>
      </c>
      <c r="B59" s="134">
        <v>5.82</v>
      </c>
      <c r="C59" s="134">
        <v>41.99</v>
      </c>
      <c r="D59" s="134">
        <v>25.56</v>
      </c>
      <c r="E59" s="134">
        <v>11.34</v>
      </c>
      <c r="F59" s="134">
        <v>24.01</v>
      </c>
      <c r="G59" s="134">
        <v>46.74</v>
      </c>
      <c r="H59" s="134">
        <v>18.87</v>
      </c>
      <c r="I59" s="134">
        <v>4.6399999999999997</v>
      </c>
      <c r="J59" s="134">
        <v>1.1399999999999999</v>
      </c>
      <c r="K59" s="134">
        <v>23.98</v>
      </c>
      <c r="L59" s="134">
        <v>41.82</v>
      </c>
      <c r="M59" s="134">
        <v>18.86</v>
      </c>
      <c r="N59" s="134">
        <v>502</v>
      </c>
      <c r="O59" s="134">
        <v>0</v>
      </c>
      <c r="P59" s="134">
        <v>0.52</v>
      </c>
      <c r="Q59" s="134">
        <v>4.9000000000000004</v>
      </c>
    </row>
    <row r="60" spans="1:17" customFormat="1">
      <c r="A60" s="112" t="s">
        <v>1249</v>
      </c>
      <c r="B60" s="134">
        <v>6.39</v>
      </c>
      <c r="C60" s="134">
        <v>42.3</v>
      </c>
      <c r="D60" s="134">
        <v>26.18</v>
      </c>
      <c r="E60" s="134">
        <v>7.67</v>
      </c>
      <c r="F60" s="134">
        <v>21.62</v>
      </c>
      <c r="G60" s="134">
        <v>46.74</v>
      </c>
      <c r="H60" s="134">
        <v>18.87</v>
      </c>
      <c r="I60" s="134">
        <v>4.38</v>
      </c>
      <c r="J60" s="134">
        <v>1.7</v>
      </c>
      <c r="K60" s="134">
        <v>36.409999999999997</v>
      </c>
      <c r="L60" s="134">
        <v>40.409999999999997</v>
      </c>
      <c r="M60" s="134">
        <v>19.57</v>
      </c>
      <c r="N60" s="134">
        <v>195.4</v>
      </c>
      <c r="O60" s="134">
        <v>0</v>
      </c>
      <c r="P60" s="134">
        <v>0.51</v>
      </c>
      <c r="Q60" s="134">
        <v>4.93</v>
      </c>
    </row>
    <row r="61" spans="1:17" customFormat="1">
      <c r="A61" s="112" t="s">
        <v>1250</v>
      </c>
      <c r="B61" s="134">
        <v>6.2</v>
      </c>
      <c r="C61" s="134">
        <v>44.19</v>
      </c>
      <c r="D61" s="134">
        <v>27.01</v>
      </c>
      <c r="E61" s="134">
        <v>7.96</v>
      </c>
      <c r="F61" s="134">
        <v>21.44</v>
      </c>
      <c r="G61" s="134">
        <v>46.74</v>
      </c>
      <c r="H61" s="134">
        <v>18.87</v>
      </c>
      <c r="I61" s="134">
        <v>4.43</v>
      </c>
      <c r="J61" s="134">
        <v>1.57</v>
      </c>
      <c r="K61" s="134">
        <v>38.6</v>
      </c>
      <c r="L61" s="134">
        <v>40.200000000000003</v>
      </c>
      <c r="M61" s="134">
        <v>19.989999999999998</v>
      </c>
      <c r="N61" s="134">
        <v>319.8</v>
      </c>
      <c r="O61" s="134">
        <v>0</v>
      </c>
      <c r="P61" s="134">
        <v>0.51</v>
      </c>
      <c r="Q61" s="134">
        <v>4.96</v>
      </c>
    </row>
    <row r="62" spans="1:17" customFormat="1">
      <c r="A62" s="112" t="s">
        <v>1251</v>
      </c>
      <c r="B62" s="134">
        <v>7.39</v>
      </c>
      <c r="C62" s="134">
        <v>40.340000000000003</v>
      </c>
      <c r="D62" s="134">
        <v>25.96</v>
      </c>
      <c r="E62" s="134">
        <v>9.0299999999999994</v>
      </c>
      <c r="F62" s="134">
        <v>29.36</v>
      </c>
      <c r="G62" s="134">
        <v>49.38</v>
      </c>
      <c r="H62" s="134">
        <v>19.62</v>
      </c>
      <c r="I62" s="134">
        <v>4.5199999999999996</v>
      </c>
      <c r="J62" s="134">
        <v>1.42</v>
      </c>
      <c r="K62" s="134">
        <v>36.43</v>
      </c>
      <c r="L62" s="134">
        <v>40.119999999999997</v>
      </c>
      <c r="M62" s="134">
        <v>20.09</v>
      </c>
      <c r="N62" s="134">
        <v>391.8</v>
      </c>
      <c r="O62" s="134">
        <v>0</v>
      </c>
      <c r="P62" s="134">
        <v>0.49</v>
      </c>
      <c r="Q62" s="134">
        <v>4.92</v>
      </c>
    </row>
    <row r="63" spans="1:17" customFormat="1">
      <c r="A63" s="112" t="s">
        <v>1252</v>
      </c>
      <c r="B63" s="134">
        <v>6.43</v>
      </c>
      <c r="C63" s="134">
        <v>40.22</v>
      </c>
      <c r="D63" s="134">
        <v>25.13</v>
      </c>
      <c r="E63" s="134">
        <v>7.23</v>
      </c>
      <c r="F63" s="134">
        <v>23.7</v>
      </c>
      <c r="G63" s="134">
        <v>53.16</v>
      </c>
      <c r="H63" s="134">
        <v>21.56</v>
      </c>
      <c r="I63" s="134">
        <v>4.41</v>
      </c>
      <c r="J63" s="134">
        <v>0.92</v>
      </c>
      <c r="K63" s="134">
        <v>353.72</v>
      </c>
      <c r="L63" s="134">
        <v>40.909999999999997</v>
      </c>
      <c r="M63" s="134">
        <v>18.7</v>
      </c>
      <c r="N63" s="134">
        <v>446.8</v>
      </c>
      <c r="O63" s="134">
        <v>0</v>
      </c>
      <c r="P63" s="134">
        <v>0.5</v>
      </c>
      <c r="Q63" s="134">
        <v>4.91</v>
      </c>
    </row>
    <row r="64" spans="1:17" customFormat="1">
      <c r="A64" s="112" t="s">
        <v>1253</v>
      </c>
      <c r="B64" s="134">
        <v>6.86</v>
      </c>
      <c r="C64" s="134">
        <v>42.43</v>
      </c>
      <c r="D64" s="134">
        <v>26.63</v>
      </c>
      <c r="E64" s="134">
        <v>9.2799999999999994</v>
      </c>
      <c r="F64" s="134">
        <v>23.82</v>
      </c>
      <c r="G64" s="134">
        <v>53.16</v>
      </c>
      <c r="H64" s="134">
        <v>21.56</v>
      </c>
      <c r="I64" s="134">
        <v>4.25</v>
      </c>
      <c r="J64" s="134">
        <v>1.0900000000000001</v>
      </c>
      <c r="K64" s="134">
        <v>8.08</v>
      </c>
      <c r="L64" s="134">
        <v>40.96</v>
      </c>
      <c r="M64" s="134">
        <v>18.5</v>
      </c>
      <c r="N64" s="134">
        <v>281.5</v>
      </c>
      <c r="O64" s="134">
        <v>0</v>
      </c>
      <c r="P64" s="134">
        <v>0.49</v>
      </c>
      <c r="Q64" s="134">
        <v>4.92</v>
      </c>
    </row>
    <row r="65" spans="1:17" customFormat="1">
      <c r="A65" s="112" t="s">
        <v>1254</v>
      </c>
      <c r="B65" s="134">
        <v>6.92</v>
      </c>
      <c r="C65" s="134">
        <v>41.61</v>
      </c>
      <c r="D65" s="134">
        <v>26.25</v>
      </c>
      <c r="E65" s="134">
        <v>8.34</v>
      </c>
      <c r="F65" s="134">
        <v>24.64</v>
      </c>
      <c r="G65" s="134">
        <v>53.16</v>
      </c>
      <c r="H65" s="134">
        <v>21.56</v>
      </c>
      <c r="I65" s="134">
        <v>4.16</v>
      </c>
      <c r="J65" s="134">
        <v>1.1000000000000001</v>
      </c>
      <c r="K65" s="134">
        <v>32.4</v>
      </c>
      <c r="L65" s="134">
        <v>40.340000000000003</v>
      </c>
      <c r="M65" s="134">
        <v>19.04</v>
      </c>
      <c r="N65" s="134">
        <v>356.9</v>
      </c>
      <c r="O65" s="134">
        <v>0</v>
      </c>
      <c r="P65" s="134">
        <v>0.48</v>
      </c>
      <c r="Q65" s="134">
        <v>4.91</v>
      </c>
    </row>
    <row r="66" spans="1:17" customFormat="1">
      <c r="A66" s="112" t="s">
        <v>1255</v>
      </c>
      <c r="B66" s="134">
        <v>6.6</v>
      </c>
      <c r="C66" s="134">
        <v>37.96</v>
      </c>
      <c r="D66" s="134">
        <v>24.08</v>
      </c>
      <c r="E66" s="134">
        <v>14.84</v>
      </c>
      <c r="F66" s="134">
        <v>31.23</v>
      </c>
      <c r="G66" s="134">
        <v>52.62</v>
      </c>
      <c r="H66" s="134">
        <v>20.78</v>
      </c>
      <c r="I66" s="134">
        <v>4.3</v>
      </c>
      <c r="J66" s="134">
        <v>0.88</v>
      </c>
      <c r="K66" s="134">
        <v>12.69</v>
      </c>
      <c r="L66" s="134">
        <v>41.32</v>
      </c>
      <c r="M66" s="134">
        <v>18.13</v>
      </c>
      <c r="N66" s="134">
        <v>449.3</v>
      </c>
      <c r="O66" s="134">
        <v>0</v>
      </c>
      <c r="P66" s="134">
        <v>0.47</v>
      </c>
      <c r="Q66" s="134">
        <v>4.93</v>
      </c>
    </row>
    <row r="67" spans="1:17" customFormat="1">
      <c r="A67" s="112" t="s">
        <v>1256</v>
      </c>
      <c r="B67" s="134">
        <v>6.97</v>
      </c>
      <c r="C67" s="134">
        <v>42.61</v>
      </c>
      <c r="D67" s="134">
        <v>26.8</v>
      </c>
      <c r="E67" s="134">
        <v>9.07</v>
      </c>
      <c r="F67" s="134">
        <v>20.62</v>
      </c>
      <c r="G67" s="134">
        <v>51.86</v>
      </c>
      <c r="H67" s="134">
        <v>20.11</v>
      </c>
      <c r="I67" s="134">
        <v>4.1900000000000004</v>
      </c>
      <c r="J67" s="134">
        <v>1.28</v>
      </c>
      <c r="K67" s="134">
        <v>304.95999999999998</v>
      </c>
      <c r="L67" s="134">
        <v>41.38</v>
      </c>
      <c r="M67" s="134">
        <v>16.760000000000002</v>
      </c>
      <c r="N67" s="134">
        <v>590.79999999999995</v>
      </c>
      <c r="O67" s="134">
        <v>0</v>
      </c>
      <c r="P67" s="134">
        <v>0.48</v>
      </c>
      <c r="Q67" s="134">
        <v>4.96</v>
      </c>
    </row>
    <row r="68" spans="1:17" customFormat="1">
      <c r="A68" s="112" t="s">
        <v>1257</v>
      </c>
      <c r="B68" s="134">
        <v>7.1</v>
      </c>
      <c r="C68" s="134">
        <v>42.4</v>
      </c>
      <c r="D68" s="134">
        <v>26.8</v>
      </c>
      <c r="E68" s="134">
        <v>8.36</v>
      </c>
      <c r="F68" s="134">
        <v>21.52</v>
      </c>
      <c r="G68" s="134">
        <v>51.86</v>
      </c>
      <c r="H68" s="134">
        <v>20.11</v>
      </c>
      <c r="I68" s="134">
        <v>4.09</v>
      </c>
      <c r="J68" s="134">
        <v>1</v>
      </c>
      <c r="K68" s="134">
        <v>321.26</v>
      </c>
      <c r="L68" s="134">
        <v>42.08</v>
      </c>
      <c r="M68" s="134">
        <v>15.43</v>
      </c>
      <c r="N68" s="134">
        <v>629.79999999999995</v>
      </c>
      <c r="O68" s="134">
        <v>0</v>
      </c>
      <c r="P68" s="134">
        <v>0.48</v>
      </c>
      <c r="Q68" s="134">
        <v>4.91</v>
      </c>
    </row>
    <row r="69" spans="1:17" customFormat="1">
      <c r="A69" s="112" t="s">
        <v>1258</v>
      </c>
      <c r="B69" s="134">
        <v>7.33</v>
      </c>
      <c r="C69" s="134">
        <v>45.41</v>
      </c>
      <c r="D69" s="134">
        <v>28.56</v>
      </c>
      <c r="E69" s="134">
        <v>8.58</v>
      </c>
      <c r="F69" s="134">
        <v>17.52</v>
      </c>
      <c r="G69" s="134">
        <v>51.86</v>
      </c>
      <c r="H69" s="134">
        <v>20.11</v>
      </c>
      <c r="I69" s="134">
        <v>4.22</v>
      </c>
      <c r="J69" s="134">
        <v>1.33</v>
      </c>
      <c r="K69" s="134">
        <v>315.87</v>
      </c>
      <c r="L69" s="134">
        <v>42.34</v>
      </c>
      <c r="M69" s="134">
        <v>15.86</v>
      </c>
      <c r="N69" s="134">
        <v>591.5</v>
      </c>
      <c r="O69" s="134">
        <v>0</v>
      </c>
      <c r="P69" s="134">
        <v>0.48</v>
      </c>
      <c r="Q69" s="134">
        <v>4.95</v>
      </c>
    </row>
    <row r="70" spans="1:17" customFormat="1">
      <c r="A70" s="112" t="s">
        <v>1259</v>
      </c>
      <c r="B70" s="134">
        <v>6.98</v>
      </c>
      <c r="C70" s="134">
        <v>46.25</v>
      </c>
      <c r="D70" s="134">
        <v>28.72</v>
      </c>
      <c r="E70" s="134">
        <v>8.69</v>
      </c>
      <c r="F70" s="134">
        <v>18.46</v>
      </c>
      <c r="G70" s="134">
        <v>52.25</v>
      </c>
      <c r="H70" s="134">
        <v>19.48</v>
      </c>
      <c r="I70" s="134">
        <v>4.37</v>
      </c>
      <c r="J70" s="134">
        <v>1.46</v>
      </c>
      <c r="K70" s="134">
        <v>306.32</v>
      </c>
      <c r="L70" s="134">
        <v>42.15</v>
      </c>
      <c r="M70" s="134">
        <v>16.2</v>
      </c>
      <c r="N70" s="134">
        <v>531.79999999999995</v>
      </c>
      <c r="O70" s="134">
        <v>0</v>
      </c>
      <c r="P70" s="134">
        <v>0.48</v>
      </c>
      <c r="Q70" s="134">
        <v>4.99</v>
      </c>
    </row>
    <row r="71" spans="1:17" customFormat="1">
      <c r="A71" s="112" t="s">
        <v>1260</v>
      </c>
      <c r="B71" s="134">
        <v>6.87</v>
      </c>
      <c r="C71" s="134">
        <v>44.61</v>
      </c>
      <c r="D71" s="134">
        <v>27.77</v>
      </c>
      <c r="E71" s="134">
        <v>10.19</v>
      </c>
      <c r="F71" s="134">
        <v>25.67</v>
      </c>
      <c r="G71" s="134">
        <v>52.81</v>
      </c>
      <c r="H71" s="134">
        <v>18.940000000000001</v>
      </c>
      <c r="I71" s="134">
        <v>4.49</v>
      </c>
      <c r="J71" s="134">
        <v>0.86</v>
      </c>
      <c r="K71" s="134">
        <v>347.89</v>
      </c>
      <c r="L71" s="134">
        <v>42.22</v>
      </c>
      <c r="M71" s="134">
        <v>15.91</v>
      </c>
      <c r="N71" s="134">
        <v>421.6</v>
      </c>
      <c r="O71" s="134">
        <v>0</v>
      </c>
      <c r="P71" s="134">
        <v>0.47</v>
      </c>
      <c r="Q71" s="134">
        <v>5.01</v>
      </c>
    </row>
    <row r="72" spans="1:17" customFormat="1">
      <c r="A72" s="112" t="s">
        <v>1261</v>
      </c>
      <c r="B72" s="134">
        <v>6.93</v>
      </c>
      <c r="C72" s="134">
        <v>45.01</v>
      </c>
      <c r="D72" s="134">
        <v>28.03</v>
      </c>
      <c r="E72" s="134">
        <v>11.73</v>
      </c>
      <c r="F72" s="134">
        <v>24.75</v>
      </c>
      <c r="G72" s="134">
        <v>52.81</v>
      </c>
      <c r="H72" s="134">
        <v>18.940000000000001</v>
      </c>
      <c r="I72" s="134">
        <v>4.25</v>
      </c>
      <c r="J72" s="134">
        <v>0.68</v>
      </c>
      <c r="K72" s="134">
        <v>339.28</v>
      </c>
      <c r="L72" s="134">
        <v>42.2</v>
      </c>
      <c r="M72" s="134">
        <v>15.87</v>
      </c>
      <c r="N72" s="134">
        <v>444.5</v>
      </c>
      <c r="O72" s="134">
        <v>0</v>
      </c>
      <c r="P72" s="134">
        <v>0.46</v>
      </c>
      <c r="Q72" s="134">
        <v>5</v>
      </c>
    </row>
    <row r="73" spans="1:17" customFormat="1">
      <c r="A73" s="112" t="s">
        <v>1262</v>
      </c>
      <c r="B73" s="134">
        <v>7.54</v>
      </c>
      <c r="C73" s="134">
        <v>51.5</v>
      </c>
      <c r="D73" s="134">
        <v>31.91</v>
      </c>
      <c r="E73" s="134">
        <v>11.29</v>
      </c>
      <c r="F73" s="134">
        <v>20.329999999999998</v>
      </c>
      <c r="G73" s="134">
        <v>52.81</v>
      </c>
      <c r="H73" s="134">
        <v>18.940000000000001</v>
      </c>
      <c r="I73" s="134">
        <v>3.95</v>
      </c>
      <c r="J73" s="134">
        <v>0.75</v>
      </c>
      <c r="K73" s="134">
        <v>343.47</v>
      </c>
      <c r="L73" s="134">
        <v>42.42</v>
      </c>
      <c r="M73" s="134">
        <v>15.4</v>
      </c>
      <c r="N73" s="134">
        <v>383.3</v>
      </c>
      <c r="O73" s="134">
        <v>0</v>
      </c>
      <c r="P73" s="134">
        <v>0.49</v>
      </c>
      <c r="Q73" s="134">
        <v>5.09</v>
      </c>
    </row>
    <row r="74" spans="1:17" customFormat="1">
      <c r="A74" s="112" t="s">
        <v>1263</v>
      </c>
      <c r="B74" s="134">
        <v>7.14</v>
      </c>
      <c r="C74" s="134">
        <v>57.36</v>
      </c>
      <c r="D74" s="134">
        <v>34.65</v>
      </c>
      <c r="E74" s="134">
        <v>10.57</v>
      </c>
      <c r="F74" s="134">
        <v>24.18</v>
      </c>
      <c r="G74" s="134">
        <v>53.14</v>
      </c>
      <c r="H74" s="134">
        <v>20.399999999999999</v>
      </c>
      <c r="I74" s="134">
        <v>4.0199999999999996</v>
      </c>
      <c r="J74" s="134">
        <v>0.75</v>
      </c>
      <c r="K74" s="134">
        <v>310.82</v>
      </c>
      <c r="L74" s="134">
        <v>41.95</v>
      </c>
      <c r="M74" s="134">
        <v>15.63</v>
      </c>
      <c r="N74" s="134">
        <v>339.7</v>
      </c>
      <c r="O74" s="134">
        <v>0</v>
      </c>
      <c r="P74" s="134">
        <v>0.49</v>
      </c>
      <c r="Q74" s="134">
        <v>5.33</v>
      </c>
    </row>
    <row r="75" spans="1:17" customFormat="1">
      <c r="A75" s="112" t="s">
        <v>1264</v>
      </c>
      <c r="B75" s="134">
        <v>7.5</v>
      </c>
      <c r="C75" s="134">
        <v>53.38</v>
      </c>
      <c r="D75" s="134">
        <v>32.86</v>
      </c>
      <c r="E75" s="134">
        <v>12.65</v>
      </c>
      <c r="F75" s="134">
        <v>26.53</v>
      </c>
      <c r="G75" s="134">
        <v>53.65</v>
      </c>
      <c r="H75" s="134">
        <v>21.65</v>
      </c>
      <c r="I75" s="134">
        <v>4.24</v>
      </c>
      <c r="J75" s="134">
        <v>0.7</v>
      </c>
      <c r="K75" s="134">
        <v>13.73</v>
      </c>
      <c r="L75" s="134">
        <v>41.58</v>
      </c>
      <c r="M75" s="134">
        <v>16.239999999999998</v>
      </c>
      <c r="N75" s="134">
        <v>181.6</v>
      </c>
      <c r="O75" s="134">
        <v>0</v>
      </c>
      <c r="P75" s="134">
        <v>0.48</v>
      </c>
      <c r="Q75" s="134">
        <v>5.4</v>
      </c>
    </row>
    <row r="76" spans="1:17" customFormat="1">
      <c r="A76" s="112" t="s">
        <v>1265</v>
      </c>
      <c r="B76" s="134">
        <v>7.96</v>
      </c>
      <c r="C76" s="134">
        <v>49.64</v>
      </c>
      <c r="D76" s="134">
        <v>31.28</v>
      </c>
      <c r="E76" s="134">
        <v>15.47</v>
      </c>
      <c r="F76" s="134">
        <v>34.659999999999997</v>
      </c>
      <c r="G76" s="134">
        <v>53.65</v>
      </c>
      <c r="H76" s="134">
        <v>21.65</v>
      </c>
      <c r="I76" s="134">
        <v>4.04</v>
      </c>
      <c r="J76" s="134">
        <v>0.34</v>
      </c>
      <c r="K76" s="134">
        <v>22.21</v>
      </c>
      <c r="L76" s="134">
        <v>41.17</v>
      </c>
      <c r="M76" s="134">
        <v>16.75</v>
      </c>
      <c r="N76" s="134">
        <v>156.6</v>
      </c>
      <c r="O76" s="134">
        <v>0</v>
      </c>
      <c r="P76" s="134">
        <v>0.49</v>
      </c>
      <c r="Q76" s="134">
        <v>5.37</v>
      </c>
    </row>
    <row r="77" spans="1:17" customFormat="1">
      <c r="A77" s="112" t="s">
        <v>1266</v>
      </c>
      <c r="B77" s="134">
        <v>8.82</v>
      </c>
      <c r="C77" s="134">
        <v>47.02</v>
      </c>
      <c r="D77" s="134">
        <v>30.59</v>
      </c>
      <c r="E77" s="134">
        <v>12.2</v>
      </c>
      <c r="F77" s="134">
        <v>31.76</v>
      </c>
      <c r="G77" s="134">
        <v>53.65</v>
      </c>
      <c r="H77" s="134">
        <v>21.65</v>
      </c>
      <c r="I77" s="134">
        <v>3.66</v>
      </c>
      <c r="J77" s="134">
        <v>0.44</v>
      </c>
      <c r="K77" s="134">
        <v>320.10000000000002</v>
      </c>
      <c r="L77" s="134">
        <v>40.65</v>
      </c>
      <c r="M77" s="134">
        <v>17.7</v>
      </c>
      <c r="N77" s="134">
        <v>75.3</v>
      </c>
      <c r="O77" s="134">
        <v>0</v>
      </c>
      <c r="P77" s="134">
        <v>0.51</v>
      </c>
      <c r="Q77" s="134">
        <v>5.27</v>
      </c>
    </row>
    <row r="78" spans="1:17" customFormat="1">
      <c r="A78" s="112" t="s">
        <v>1267</v>
      </c>
      <c r="B78" s="134">
        <v>8.33</v>
      </c>
      <c r="C78" s="134">
        <v>45.43</v>
      </c>
      <c r="D78" s="134">
        <v>29.37</v>
      </c>
      <c r="E78" s="134">
        <v>16.670000000000002</v>
      </c>
      <c r="F78" s="134">
        <v>32.32</v>
      </c>
      <c r="G78" s="134">
        <v>53.95</v>
      </c>
      <c r="H78" s="134">
        <v>21.66</v>
      </c>
      <c r="I78" s="134">
        <v>3.69</v>
      </c>
      <c r="J78" s="134">
        <v>0.44</v>
      </c>
      <c r="K78" s="134">
        <v>269.3</v>
      </c>
      <c r="L78" s="134">
        <v>40.54</v>
      </c>
      <c r="M78" s="134">
        <v>18.04</v>
      </c>
      <c r="N78" s="134">
        <v>93.2</v>
      </c>
      <c r="O78" s="134">
        <v>0</v>
      </c>
      <c r="P78" s="134">
        <v>0.49</v>
      </c>
      <c r="Q78" s="134">
        <v>5.22</v>
      </c>
    </row>
    <row r="79" spans="1:17" customFormat="1">
      <c r="A79" s="112" t="s">
        <v>1268</v>
      </c>
      <c r="B79" s="134">
        <v>8.6300000000000008</v>
      </c>
      <c r="C79" s="134">
        <v>45.28</v>
      </c>
      <c r="D79" s="134">
        <v>29.54</v>
      </c>
      <c r="E79" s="134">
        <v>13.68</v>
      </c>
      <c r="F79" s="134">
        <v>32.99</v>
      </c>
      <c r="G79" s="134">
        <v>54.39</v>
      </c>
      <c r="H79" s="134">
        <v>21.67</v>
      </c>
      <c r="I79" s="134">
        <v>3.62</v>
      </c>
      <c r="J79" s="134">
        <v>0.16</v>
      </c>
      <c r="K79" s="134">
        <v>16.010000000000002</v>
      </c>
      <c r="L79" s="134">
        <v>40.01</v>
      </c>
      <c r="M79" s="134">
        <v>19.18</v>
      </c>
      <c r="N79" s="134">
        <v>35.1</v>
      </c>
      <c r="O79" s="134">
        <v>0</v>
      </c>
      <c r="P79" s="134">
        <v>0.55000000000000004</v>
      </c>
      <c r="Q79" s="134">
        <v>5.2</v>
      </c>
    </row>
    <row r="80" spans="1:17" customFormat="1">
      <c r="A80" s="112" t="s">
        <v>1269</v>
      </c>
      <c r="B80" s="134">
        <v>6.86</v>
      </c>
      <c r="C80" s="134">
        <v>38.97</v>
      </c>
      <c r="D80" s="134">
        <v>24.82</v>
      </c>
      <c r="E80" s="134">
        <v>15.02</v>
      </c>
      <c r="F80" s="134">
        <v>40.81</v>
      </c>
      <c r="G80" s="134">
        <v>54.39</v>
      </c>
      <c r="H80" s="134">
        <v>21.67</v>
      </c>
      <c r="I80" s="134">
        <v>3.34</v>
      </c>
      <c r="J80" s="134">
        <v>0.18</v>
      </c>
      <c r="K80" s="134">
        <v>224.62</v>
      </c>
      <c r="L80" s="134">
        <v>39.340000000000003</v>
      </c>
      <c r="M80" s="134">
        <v>20.65</v>
      </c>
      <c r="N80" s="134">
        <v>14.7</v>
      </c>
      <c r="O80" s="134">
        <v>0</v>
      </c>
      <c r="P80" s="134">
        <v>0.46</v>
      </c>
      <c r="Q80" s="134">
        <v>5.22</v>
      </c>
    </row>
    <row r="81" spans="1:17" customFormat="1">
      <c r="A81" s="112" t="s">
        <v>1270</v>
      </c>
      <c r="B81" s="134">
        <v>6.14</v>
      </c>
      <c r="C81" s="134">
        <v>39.29</v>
      </c>
      <c r="D81" s="134">
        <v>24.4</v>
      </c>
      <c r="E81" s="134">
        <v>9.99</v>
      </c>
      <c r="F81" s="134">
        <v>35.15</v>
      </c>
      <c r="G81" s="134">
        <v>54.39</v>
      </c>
      <c r="H81" s="134">
        <v>21.67</v>
      </c>
      <c r="I81" s="134">
        <v>3.32</v>
      </c>
      <c r="J81" s="134">
        <v>0.23</v>
      </c>
      <c r="K81" s="134">
        <v>228.03</v>
      </c>
      <c r="L81" s="134">
        <v>38.79</v>
      </c>
      <c r="M81" s="134">
        <v>22.75</v>
      </c>
      <c r="N81" s="134">
        <v>12.6</v>
      </c>
      <c r="O81" s="134">
        <v>0</v>
      </c>
      <c r="P81" s="134">
        <v>0.5</v>
      </c>
      <c r="Q81" s="134">
        <v>5.15</v>
      </c>
    </row>
    <row r="82" spans="1:17" customFormat="1">
      <c r="A82" s="112" t="s">
        <v>1271</v>
      </c>
      <c r="B82" s="134">
        <v>5.18</v>
      </c>
      <c r="C82" s="134">
        <v>31.37</v>
      </c>
      <c r="D82" s="134">
        <v>19.5</v>
      </c>
      <c r="E82" s="134">
        <v>9.09</v>
      </c>
      <c r="F82" s="134">
        <v>45.39</v>
      </c>
      <c r="G82" s="134">
        <v>55.21</v>
      </c>
      <c r="H82" s="134">
        <v>21.77</v>
      </c>
      <c r="I82" s="134">
        <v>3.23</v>
      </c>
      <c r="J82" s="134">
        <v>0.2</v>
      </c>
      <c r="K82" s="134">
        <v>217.69</v>
      </c>
      <c r="L82" s="134">
        <v>38.049999999999997</v>
      </c>
      <c r="M82" s="134">
        <v>24.68</v>
      </c>
      <c r="N82" s="134">
        <v>1.1000000000000001</v>
      </c>
      <c r="O82" s="134">
        <v>0</v>
      </c>
      <c r="P82" s="134">
        <v>0.44</v>
      </c>
      <c r="Q82" s="134">
        <v>5.0599999999999996</v>
      </c>
    </row>
    <row r="83" spans="1:17" customFormat="1">
      <c r="A83" s="112" t="s">
        <v>1272</v>
      </c>
      <c r="B83" s="134">
        <v>4.8</v>
      </c>
      <c r="C83" s="134">
        <v>29.45</v>
      </c>
      <c r="D83" s="134">
        <v>18.190000000000001</v>
      </c>
      <c r="E83" s="134">
        <v>11.51</v>
      </c>
      <c r="F83" s="134">
        <v>42.68</v>
      </c>
      <c r="G83" s="134">
        <v>56.39</v>
      </c>
      <c r="H83" s="134">
        <v>21.86</v>
      </c>
      <c r="I83" s="134">
        <v>3.21</v>
      </c>
      <c r="J83" s="134">
        <v>0.18</v>
      </c>
      <c r="K83" s="134">
        <v>236.54</v>
      </c>
      <c r="L83" s="134">
        <v>37.380000000000003</v>
      </c>
      <c r="M83" s="134">
        <v>26</v>
      </c>
      <c r="N83" s="134">
        <v>0</v>
      </c>
      <c r="O83" s="134">
        <v>0</v>
      </c>
      <c r="P83" s="134">
        <v>0.47</v>
      </c>
      <c r="Q83" s="134">
        <v>5</v>
      </c>
    </row>
    <row r="84" spans="1:17" customFormat="1">
      <c r="A84" s="112" t="s">
        <v>1273</v>
      </c>
      <c r="B84" s="134">
        <v>4.78</v>
      </c>
      <c r="C84" s="134">
        <v>31.8</v>
      </c>
      <c r="D84" s="134">
        <v>19.399999999999999</v>
      </c>
      <c r="E84" s="134">
        <v>10.41</v>
      </c>
      <c r="F84" s="134">
        <v>36.85</v>
      </c>
      <c r="G84" s="134">
        <v>56.39</v>
      </c>
      <c r="H84" s="134">
        <v>21.86</v>
      </c>
      <c r="I84" s="134">
        <v>3.25</v>
      </c>
      <c r="J84" s="134">
        <v>0.15</v>
      </c>
      <c r="K84" s="134">
        <v>230.61</v>
      </c>
      <c r="L84" s="134">
        <v>36.880000000000003</v>
      </c>
      <c r="M84" s="134">
        <v>27.07</v>
      </c>
      <c r="N84" s="134">
        <v>0</v>
      </c>
      <c r="O84" s="134">
        <v>0</v>
      </c>
      <c r="P84" s="134">
        <v>0.56999999999999995</v>
      </c>
      <c r="Q84" s="134">
        <v>4.95</v>
      </c>
    </row>
    <row r="85" spans="1:17" customFormat="1">
      <c r="A85" s="112" t="s">
        <v>1274</v>
      </c>
      <c r="B85" s="134">
        <v>5.12</v>
      </c>
      <c r="C85" s="134">
        <v>33.549999999999997</v>
      </c>
      <c r="D85" s="134">
        <v>20.59</v>
      </c>
      <c r="E85" s="134">
        <v>8.7799999999999994</v>
      </c>
      <c r="F85" s="134">
        <v>32.369999999999997</v>
      </c>
      <c r="G85" s="134">
        <v>56.39</v>
      </c>
      <c r="H85" s="134">
        <v>21.86</v>
      </c>
      <c r="I85" s="134">
        <v>3.62</v>
      </c>
      <c r="J85" s="134">
        <v>0.41</v>
      </c>
      <c r="K85" s="134">
        <v>257.73</v>
      </c>
      <c r="L85" s="134">
        <v>36.61</v>
      </c>
      <c r="M85" s="134">
        <v>27.08</v>
      </c>
      <c r="N85" s="134">
        <v>0</v>
      </c>
      <c r="O85" s="134">
        <v>0</v>
      </c>
      <c r="P85" s="134">
        <v>0.56000000000000005</v>
      </c>
      <c r="Q85" s="134">
        <v>4.9800000000000004</v>
      </c>
    </row>
    <row r="86" spans="1:17" customFormat="1">
      <c r="A86" s="112" t="s">
        <v>1275</v>
      </c>
      <c r="B86" s="134">
        <v>5.36</v>
      </c>
      <c r="C86" s="134">
        <v>35.58</v>
      </c>
      <c r="D86" s="134">
        <v>21.85</v>
      </c>
      <c r="E86" s="134">
        <v>8.42</v>
      </c>
      <c r="F86" s="134">
        <v>32.950000000000003</v>
      </c>
      <c r="G86" s="134">
        <v>56.03</v>
      </c>
      <c r="H86" s="134">
        <v>22.52</v>
      </c>
      <c r="I86" s="134">
        <v>4.13</v>
      </c>
      <c r="J86" s="134">
        <v>0.41</v>
      </c>
      <c r="K86" s="134">
        <v>256.72000000000003</v>
      </c>
      <c r="L86" s="134">
        <v>36.58</v>
      </c>
      <c r="M86" s="134">
        <v>26.51</v>
      </c>
      <c r="N86" s="134">
        <v>0</v>
      </c>
      <c r="O86" s="134">
        <v>0</v>
      </c>
      <c r="P86" s="134">
        <v>0.52</v>
      </c>
      <c r="Q86" s="134">
        <v>5</v>
      </c>
    </row>
    <row r="87" spans="1:17" customFormat="1">
      <c r="A87" s="112" t="s">
        <v>1276</v>
      </c>
      <c r="B87" s="134">
        <v>6.48</v>
      </c>
      <c r="C87" s="134">
        <v>40.159999999999997</v>
      </c>
      <c r="D87" s="134">
        <v>25.13</v>
      </c>
      <c r="E87" s="134">
        <v>7.64</v>
      </c>
      <c r="F87" s="134">
        <v>29.25</v>
      </c>
      <c r="G87" s="134">
        <v>55.5</v>
      </c>
      <c r="H87" s="134">
        <v>24.23</v>
      </c>
      <c r="I87" s="134">
        <v>4.2</v>
      </c>
      <c r="J87" s="134">
        <v>0.83</v>
      </c>
      <c r="K87" s="134">
        <v>262.75</v>
      </c>
      <c r="L87" s="134">
        <v>36.75</v>
      </c>
      <c r="M87" s="134">
        <v>25.38</v>
      </c>
      <c r="N87" s="134">
        <v>0</v>
      </c>
      <c r="O87" s="134">
        <v>0</v>
      </c>
      <c r="P87" s="134">
        <v>0.5</v>
      </c>
      <c r="Q87" s="134">
        <v>4.99</v>
      </c>
    </row>
    <row r="88" spans="1:17" customFormat="1">
      <c r="A88" s="112" t="s">
        <v>1277</v>
      </c>
      <c r="B88" s="134">
        <v>6.6</v>
      </c>
      <c r="C88" s="134">
        <v>42.56</v>
      </c>
      <c r="D88" s="134">
        <v>26.49</v>
      </c>
      <c r="E88" s="134">
        <v>7.05</v>
      </c>
      <c r="F88" s="134">
        <v>26.57</v>
      </c>
      <c r="G88" s="134">
        <v>55.5</v>
      </c>
      <c r="H88" s="134">
        <v>24.23</v>
      </c>
      <c r="I88" s="134">
        <v>4.0999999999999996</v>
      </c>
      <c r="J88" s="134">
        <v>0.8</v>
      </c>
      <c r="K88" s="134">
        <v>264.63</v>
      </c>
      <c r="L88" s="134">
        <v>36.61</v>
      </c>
      <c r="M88" s="134">
        <v>26.07</v>
      </c>
      <c r="N88" s="134">
        <v>0</v>
      </c>
      <c r="O88" s="134">
        <v>0</v>
      </c>
      <c r="P88" s="134">
        <v>0.49</v>
      </c>
      <c r="Q88" s="134">
        <v>4.96</v>
      </c>
    </row>
    <row r="89" spans="1:17" customFormat="1">
      <c r="A89" s="112" t="s">
        <v>1278</v>
      </c>
      <c r="B89" s="134">
        <v>7.32</v>
      </c>
      <c r="C89" s="134">
        <v>45.2</v>
      </c>
      <c r="D89" s="134">
        <v>28.44</v>
      </c>
      <c r="E89" s="134">
        <v>9.66</v>
      </c>
      <c r="F89" s="134">
        <v>19.079999999999998</v>
      </c>
      <c r="G89" s="134">
        <v>55.5</v>
      </c>
      <c r="H89" s="134">
        <v>24.23</v>
      </c>
      <c r="I89" s="134">
        <v>4.1399999999999997</v>
      </c>
      <c r="J89" s="134">
        <v>1.1499999999999999</v>
      </c>
      <c r="K89" s="134">
        <v>265.58999999999997</v>
      </c>
      <c r="L89" s="134">
        <v>36.33</v>
      </c>
      <c r="M89" s="134">
        <v>27.52</v>
      </c>
      <c r="N89" s="134">
        <v>0</v>
      </c>
      <c r="O89" s="134">
        <v>0</v>
      </c>
      <c r="P89" s="134">
        <v>0.6</v>
      </c>
      <c r="Q89" s="134">
        <v>4.96</v>
      </c>
    </row>
    <row r="90" spans="1:17" customFormat="1">
      <c r="A90" s="112" t="s">
        <v>1279</v>
      </c>
      <c r="B90" s="134">
        <v>6.99</v>
      </c>
      <c r="C90" s="134">
        <v>46.8</v>
      </c>
      <c r="D90" s="134">
        <v>29.01</v>
      </c>
      <c r="E90" s="134">
        <v>13.71</v>
      </c>
      <c r="F90" s="134">
        <v>18.260000000000002</v>
      </c>
      <c r="G90" s="134">
        <v>54.63</v>
      </c>
      <c r="H90" s="134">
        <v>22.65</v>
      </c>
      <c r="I90" s="134">
        <v>4.3</v>
      </c>
      <c r="J90" s="134">
        <v>0.9</v>
      </c>
      <c r="K90" s="134">
        <v>262.01</v>
      </c>
      <c r="L90" s="134">
        <v>36.01</v>
      </c>
      <c r="M90" s="134">
        <v>28.85</v>
      </c>
      <c r="N90" s="134">
        <v>0</v>
      </c>
      <c r="O90" s="134">
        <v>0</v>
      </c>
      <c r="P90" s="134">
        <v>0.69</v>
      </c>
      <c r="Q90" s="134">
        <v>4.95</v>
      </c>
    </row>
    <row r="91" spans="1:17" customFormat="1">
      <c r="A91" s="112" t="s">
        <v>1280</v>
      </c>
      <c r="B91" s="134">
        <v>7.2</v>
      </c>
      <c r="C91" s="134">
        <v>51.77</v>
      </c>
      <c r="D91" s="134">
        <v>31.78</v>
      </c>
      <c r="E91" s="134">
        <v>9.93</v>
      </c>
      <c r="F91" s="134">
        <v>16.43</v>
      </c>
      <c r="G91" s="134">
        <v>53.38</v>
      </c>
      <c r="H91" s="134">
        <v>21.29</v>
      </c>
      <c r="I91" s="134">
        <v>4.97</v>
      </c>
      <c r="J91" s="134">
        <v>0.99</v>
      </c>
      <c r="K91" s="134">
        <v>264.27999999999997</v>
      </c>
      <c r="L91" s="134">
        <v>35.799999999999997</v>
      </c>
      <c r="M91" s="134">
        <v>29.17</v>
      </c>
      <c r="N91" s="134">
        <v>0</v>
      </c>
      <c r="O91" s="134">
        <v>0</v>
      </c>
      <c r="P91" s="134">
        <v>0.6</v>
      </c>
      <c r="Q91" s="134">
        <v>5.07</v>
      </c>
    </row>
    <row r="92" spans="1:17" customFormat="1">
      <c r="A92" s="112" t="s">
        <v>1281</v>
      </c>
      <c r="B92" s="134">
        <v>7.78</v>
      </c>
      <c r="C92" s="134">
        <v>54.02</v>
      </c>
      <c r="D92" s="134">
        <v>33.42</v>
      </c>
      <c r="E92" s="134">
        <v>7.85</v>
      </c>
      <c r="F92" s="134">
        <v>11.18</v>
      </c>
      <c r="G92" s="134">
        <v>53.38</v>
      </c>
      <c r="H92" s="134">
        <v>21.29</v>
      </c>
      <c r="I92" s="134">
        <v>5.36</v>
      </c>
      <c r="J92" s="134">
        <v>1.0900000000000001</v>
      </c>
      <c r="K92" s="134">
        <v>289.72000000000003</v>
      </c>
      <c r="L92" s="134">
        <v>35.85</v>
      </c>
      <c r="M92" s="134">
        <v>29.06</v>
      </c>
      <c r="N92" s="134">
        <v>0</v>
      </c>
      <c r="O92" s="134">
        <v>0</v>
      </c>
      <c r="P92" s="134">
        <v>0.63</v>
      </c>
      <c r="Q92" s="134">
        <v>5.07</v>
      </c>
    </row>
    <row r="93" spans="1:17" customFormat="1">
      <c r="A93" s="112" t="s">
        <v>1282</v>
      </c>
      <c r="B93" s="134">
        <v>8.3000000000000007</v>
      </c>
      <c r="C93" s="134">
        <v>57.43</v>
      </c>
      <c r="D93" s="134">
        <v>35.61</v>
      </c>
      <c r="E93" s="134">
        <v>9.18</v>
      </c>
      <c r="F93" s="134">
        <v>15.61</v>
      </c>
      <c r="G93" s="134">
        <v>53.38</v>
      </c>
      <c r="H93" s="134">
        <v>21.29</v>
      </c>
      <c r="I93" s="134">
        <v>5.01</v>
      </c>
      <c r="J93" s="134">
        <v>1.1000000000000001</v>
      </c>
      <c r="K93" s="134">
        <v>289.52</v>
      </c>
      <c r="L93" s="134">
        <v>35.909999999999997</v>
      </c>
      <c r="M93" s="134">
        <v>28.68</v>
      </c>
      <c r="N93" s="134">
        <v>0</v>
      </c>
      <c r="O93" s="134">
        <v>0</v>
      </c>
      <c r="P93" s="134">
        <v>0.64</v>
      </c>
      <c r="Q93" s="134">
        <v>5.18</v>
      </c>
    </row>
    <row r="94" spans="1:17" customFormat="1">
      <c r="A94" s="112" t="s">
        <v>1283</v>
      </c>
      <c r="B94" s="134">
        <v>8.2100000000000009</v>
      </c>
      <c r="C94" s="134">
        <v>55.58</v>
      </c>
      <c r="D94" s="134">
        <v>34.57</v>
      </c>
      <c r="E94" s="134">
        <v>9.2200000000000006</v>
      </c>
      <c r="F94" s="134">
        <v>16.059999999999999</v>
      </c>
      <c r="G94" s="134">
        <v>53.24</v>
      </c>
      <c r="H94" s="134">
        <v>20.59</v>
      </c>
      <c r="I94" s="134">
        <v>4.99</v>
      </c>
      <c r="J94" s="134">
        <v>1.1399999999999999</v>
      </c>
      <c r="K94" s="134">
        <v>295.95</v>
      </c>
      <c r="L94" s="134">
        <v>35.96</v>
      </c>
      <c r="M94" s="134">
        <v>28.2</v>
      </c>
      <c r="N94" s="134">
        <v>0</v>
      </c>
      <c r="O94" s="134">
        <v>0</v>
      </c>
      <c r="P94" s="134">
        <v>0.64</v>
      </c>
      <c r="Q94" s="134">
        <v>5.22</v>
      </c>
    </row>
    <row r="95" spans="1:17" customFormat="1">
      <c r="A95" s="112" t="s">
        <v>1284</v>
      </c>
      <c r="B95" s="134">
        <v>9.06</v>
      </c>
      <c r="C95" s="134">
        <v>55.81</v>
      </c>
      <c r="D95" s="134">
        <v>35.369999999999997</v>
      </c>
      <c r="E95" s="134">
        <v>8.44</v>
      </c>
      <c r="F95" s="134">
        <v>12.93</v>
      </c>
      <c r="G95" s="134">
        <v>53.03</v>
      </c>
      <c r="H95" s="134">
        <v>19.989999999999998</v>
      </c>
      <c r="I95" s="134">
        <v>4.99</v>
      </c>
      <c r="J95" s="134">
        <v>1.07</v>
      </c>
      <c r="K95" s="134">
        <v>301.5</v>
      </c>
      <c r="L95" s="134">
        <v>35.94</v>
      </c>
      <c r="M95" s="134">
        <v>27.83</v>
      </c>
      <c r="N95" s="134">
        <v>0</v>
      </c>
      <c r="O95" s="134">
        <v>0</v>
      </c>
      <c r="P95" s="134">
        <v>0.63</v>
      </c>
      <c r="Q95" s="134">
        <v>5.17</v>
      </c>
    </row>
    <row r="96" spans="1:17" customFormat="1">
      <c r="A96" s="112" t="s">
        <v>1285</v>
      </c>
      <c r="B96" s="134">
        <v>9.52</v>
      </c>
      <c r="C96" s="134">
        <v>54.19</v>
      </c>
      <c r="D96" s="134">
        <v>34.9</v>
      </c>
      <c r="E96" s="134">
        <v>7.93</v>
      </c>
      <c r="F96" s="134">
        <v>16.87</v>
      </c>
      <c r="G96" s="134">
        <v>53.03</v>
      </c>
      <c r="H96" s="134">
        <v>19.989999999999998</v>
      </c>
      <c r="I96" s="134">
        <v>4.91</v>
      </c>
      <c r="J96" s="134">
        <v>0.95</v>
      </c>
      <c r="K96" s="134">
        <v>300.39999999999998</v>
      </c>
      <c r="L96" s="134">
        <v>35.799999999999997</v>
      </c>
      <c r="M96" s="134">
        <v>27.72</v>
      </c>
      <c r="N96" s="134">
        <v>0</v>
      </c>
      <c r="O96" s="134">
        <v>0</v>
      </c>
      <c r="P96" s="134">
        <v>0.63</v>
      </c>
      <c r="Q96" s="134">
        <v>5.17</v>
      </c>
    </row>
    <row r="97" spans="1:22" customFormat="1">
      <c r="A97" s="112" t="s">
        <v>1286</v>
      </c>
      <c r="B97" s="134">
        <v>14.49</v>
      </c>
      <c r="C97" s="134">
        <v>54.7</v>
      </c>
      <c r="D97" s="134">
        <v>39.15</v>
      </c>
      <c r="E97" s="134">
        <v>7.87</v>
      </c>
      <c r="F97" s="134">
        <v>15.58</v>
      </c>
      <c r="G97" s="134">
        <v>53.03</v>
      </c>
      <c r="H97" s="134">
        <v>19.989999999999998</v>
      </c>
      <c r="I97" s="134">
        <v>4.87</v>
      </c>
      <c r="J97" s="134">
        <v>0.72</v>
      </c>
      <c r="K97" s="134">
        <v>315.83999999999997</v>
      </c>
      <c r="L97" s="134">
        <v>35.799999999999997</v>
      </c>
      <c r="M97" s="134">
        <v>27.09</v>
      </c>
      <c r="N97" s="134">
        <v>0</v>
      </c>
      <c r="O97" s="134">
        <v>0</v>
      </c>
      <c r="P97" s="134">
        <v>0.65</v>
      </c>
      <c r="Q97" s="134">
        <v>5.15</v>
      </c>
    </row>
    <row r="98" spans="1:22" customFormat="1">
      <c r="A98" s="112" t="s">
        <v>1287</v>
      </c>
      <c r="B98" s="134">
        <v>14.87</v>
      </c>
      <c r="C98" s="134">
        <v>55.11</v>
      </c>
      <c r="D98" s="134">
        <v>39.67</v>
      </c>
      <c r="E98" s="134">
        <v>9.11</v>
      </c>
      <c r="F98" s="134">
        <v>15.95</v>
      </c>
      <c r="G98" s="134">
        <v>51.35</v>
      </c>
      <c r="H98" s="134">
        <v>19.61</v>
      </c>
      <c r="I98" s="134">
        <v>4.76</v>
      </c>
      <c r="J98" s="134">
        <v>0.13</v>
      </c>
      <c r="K98" s="134">
        <v>313.83999999999997</v>
      </c>
      <c r="L98" s="134">
        <v>35.47</v>
      </c>
      <c r="M98" s="134">
        <v>28.13</v>
      </c>
      <c r="N98" s="134">
        <v>0</v>
      </c>
      <c r="O98" s="134">
        <v>0</v>
      </c>
      <c r="P98" s="134">
        <v>0.64</v>
      </c>
      <c r="Q98" s="134">
        <v>5.19</v>
      </c>
    </row>
    <row r="99" spans="1:22" customFormat="1">
      <c r="A99" s="112" t="s">
        <v>1288</v>
      </c>
      <c r="B99" s="134">
        <v>19.71</v>
      </c>
      <c r="C99" s="134">
        <v>60.57</v>
      </c>
      <c r="D99" s="134">
        <v>46.41</v>
      </c>
      <c r="E99" s="134">
        <v>9.77</v>
      </c>
      <c r="F99" s="134">
        <v>8.84</v>
      </c>
      <c r="G99" s="134">
        <v>48.96</v>
      </c>
      <c r="H99" s="134">
        <v>19.28</v>
      </c>
      <c r="I99" s="134">
        <v>4.54</v>
      </c>
      <c r="J99" s="134">
        <v>0.16</v>
      </c>
      <c r="K99" s="134">
        <v>108.18</v>
      </c>
      <c r="L99" s="134">
        <v>34.979999999999997</v>
      </c>
      <c r="M99" s="134">
        <v>29.72</v>
      </c>
      <c r="N99" s="134">
        <v>0</v>
      </c>
      <c r="O99" s="134">
        <v>0</v>
      </c>
      <c r="P99" s="134">
        <v>0.64</v>
      </c>
      <c r="Q99" s="134">
        <v>5.26</v>
      </c>
    </row>
    <row r="100" spans="1:22" customFormat="1">
      <c r="A100" s="112" t="s">
        <v>1289</v>
      </c>
      <c r="B100" s="134">
        <v>11.39</v>
      </c>
      <c r="C100" s="134">
        <v>57.54</v>
      </c>
      <c r="D100" s="134">
        <v>38.15</v>
      </c>
      <c r="E100" s="134">
        <v>8.74</v>
      </c>
      <c r="F100" s="134">
        <v>12.09</v>
      </c>
      <c r="G100" s="134">
        <v>48.96</v>
      </c>
      <c r="H100" s="134">
        <v>19.28</v>
      </c>
      <c r="I100" s="134">
        <v>4.32</v>
      </c>
      <c r="J100" s="134">
        <v>0.28000000000000003</v>
      </c>
      <c r="K100" s="134">
        <v>172.49</v>
      </c>
      <c r="L100" s="134">
        <v>34.17</v>
      </c>
      <c r="M100" s="134">
        <v>32.32</v>
      </c>
      <c r="N100" s="134">
        <v>0</v>
      </c>
      <c r="O100" s="134">
        <v>0</v>
      </c>
      <c r="P100" s="134">
        <v>0.62</v>
      </c>
      <c r="Q100" s="134">
        <v>5.42</v>
      </c>
    </row>
    <row r="101" spans="1:22" customFormat="1">
      <c r="A101" s="112" t="s">
        <v>1290</v>
      </c>
      <c r="B101" s="134">
        <v>9.8000000000000007</v>
      </c>
      <c r="C101" s="134">
        <v>51.58</v>
      </c>
      <c r="D101" s="134">
        <v>33.76</v>
      </c>
      <c r="E101" s="134">
        <v>9.4</v>
      </c>
      <c r="F101" s="134">
        <v>19.809999999999999</v>
      </c>
      <c r="G101" s="134">
        <v>48.96</v>
      </c>
      <c r="H101" s="134">
        <v>19.28</v>
      </c>
      <c r="I101" s="134">
        <v>4.34</v>
      </c>
      <c r="J101" s="134">
        <v>0.22</v>
      </c>
      <c r="K101" s="134">
        <v>176.88</v>
      </c>
      <c r="L101" s="134">
        <v>33.369999999999997</v>
      </c>
      <c r="M101" s="134">
        <v>34.33</v>
      </c>
      <c r="N101" s="134">
        <v>0</v>
      </c>
      <c r="O101" s="134">
        <v>0</v>
      </c>
      <c r="P101" s="134">
        <v>0.61</v>
      </c>
      <c r="Q101" s="134">
        <v>5.51</v>
      </c>
    </row>
    <row r="102" spans="1:22" customFormat="1">
      <c r="A102" s="112" t="s">
        <v>1291</v>
      </c>
      <c r="B102" s="134">
        <v>10.15</v>
      </c>
      <c r="C102" s="134">
        <v>48.31</v>
      </c>
      <c r="D102" s="134">
        <v>32.340000000000003</v>
      </c>
      <c r="E102" s="134">
        <v>12.25</v>
      </c>
      <c r="F102" s="134">
        <v>20.79</v>
      </c>
      <c r="G102" s="134">
        <v>47.89</v>
      </c>
      <c r="H102" s="134">
        <v>19.03</v>
      </c>
      <c r="I102" s="134">
        <v>4.3899999999999997</v>
      </c>
      <c r="J102" s="134">
        <v>0.2</v>
      </c>
      <c r="K102" s="134">
        <v>243.15</v>
      </c>
      <c r="L102" s="134">
        <v>32.97</v>
      </c>
      <c r="M102" s="134">
        <v>35.17</v>
      </c>
      <c r="N102" s="134">
        <v>0</v>
      </c>
      <c r="O102" s="134">
        <v>0</v>
      </c>
      <c r="P102" s="134">
        <v>0.71</v>
      </c>
      <c r="Q102" s="134">
        <v>5.48</v>
      </c>
    </row>
    <row r="103" spans="1:22" customFormat="1">
      <c r="A103" s="112" t="s">
        <v>1292</v>
      </c>
      <c r="B103" s="134">
        <v>10.69</v>
      </c>
      <c r="C103" s="134">
        <v>51.17</v>
      </c>
      <c r="D103" s="134">
        <v>34.26</v>
      </c>
      <c r="E103" s="134">
        <v>15.18</v>
      </c>
      <c r="F103" s="134">
        <v>17.66</v>
      </c>
      <c r="G103" s="134">
        <v>46.37</v>
      </c>
      <c r="H103" s="134">
        <v>18.82</v>
      </c>
      <c r="I103" s="134">
        <v>4.53</v>
      </c>
      <c r="J103" s="134">
        <v>0.54</v>
      </c>
      <c r="K103" s="134">
        <v>263.64</v>
      </c>
      <c r="L103" s="134">
        <v>33.450000000000003</v>
      </c>
      <c r="M103" s="134">
        <v>34.14</v>
      </c>
      <c r="N103" s="134">
        <v>0</v>
      </c>
      <c r="O103" s="134">
        <v>0</v>
      </c>
      <c r="P103" s="134">
        <v>0.84</v>
      </c>
      <c r="Q103" s="134">
        <v>5.52</v>
      </c>
    </row>
    <row r="104" spans="1:22" customFormat="1">
      <c r="A104" s="112" t="s">
        <v>1293</v>
      </c>
      <c r="B104" s="134">
        <v>11.72</v>
      </c>
      <c r="C104" s="134">
        <v>50.9</v>
      </c>
      <c r="D104" s="134">
        <v>34.94</v>
      </c>
      <c r="E104" s="134">
        <v>9.7899999999999991</v>
      </c>
      <c r="F104" s="134">
        <v>16.64</v>
      </c>
      <c r="G104" s="134">
        <v>46.37</v>
      </c>
      <c r="H104" s="134">
        <v>18.82</v>
      </c>
      <c r="I104" s="134">
        <v>5.78</v>
      </c>
      <c r="J104" s="134">
        <v>0.73</v>
      </c>
      <c r="K104" s="134">
        <v>261.02999999999997</v>
      </c>
      <c r="L104" s="134">
        <v>33.450000000000003</v>
      </c>
      <c r="M104" s="134">
        <v>34.04</v>
      </c>
      <c r="N104" s="134">
        <v>0</v>
      </c>
      <c r="O104" s="134">
        <v>0</v>
      </c>
      <c r="P104" s="134">
        <v>0.68</v>
      </c>
      <c r="Q104" s="134">
        <v>5.45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4.78</v>
      </c>
      <c r="C106" s="183">
        <f>MIN(C9:C104)</f>
        <v>29.45</v>
      </c>
      <c r="D106" s="183">
        <f t="shared" ref="D106:Q106" si="0">MIN(D9:D104)</f>
        <v>18.190000000000001</v>
      </c>
      <c r="E106" s="183">
        <f t="shared" si="0"/>
        <v>3.99</v>
      </c>
      <c r="F106" s="183">
        <f t="shared" si="0"/>
        <v>6.54</v>
      </c>
      <c r="G106" s="183">
        <f t="shared" si="0"/>
        <v>20.02</v>
      </c>
      <c r="H106" s="183">
        <f t="shared" si="0"/>
        <v>8.93</v>
      </c>
      <c r="I106" s="183">
        <f t="shared" si="0"/>
        <v>3.21</v>
      </c>
      <c r="J106" s="183">
        <f t="shared" si="0"/>
        <v>0.13</v>
      </c>
      <c r="K106" s="183">
        <f t="shared" si="0"/>
        <v>8.08</v>
      </c>
      <c r="L106" s="183">
        <f t="shared" si="0"/>
        <v>29.71</v>
      </c>
      <c r="M106" s="183">
        <f t="shared" si="0"/>
        <v>15.4</v>
      </c>
      <c r="N106" s="183">
        <f t="shared" si="0"/>
        <v>0</v>
      </c>
      <c r="O106" s="183">
        <f t="shared" si="0"/>
        <v>0</v>
      </c>
      <c r="P106" s="183">
        <f t="shared" si="0"/>
        <v>0.44</v>
      </c>
      <c r="Q106" s="183">
        <f t="shared" si="0"/>
        <v>4.75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19.71</v>
      </c>
      <c r="C107" s="184">
        <f t="shared" ref="C107:Q107" si="1">MAX(C9:C104)</f>
        <v>60.57</v>
      </c>
      <c r="D107" s="184">
        <f t="shared" si="1"/>
        <v>46.41</v>
      </c>
      <c r="E107" s="184">
        <f t="shared" si="1"/>
        <v>16.670000000000002</v>
      </c>
      <c r="F107" s="184">
        <f t="shared" si="1"/>
        <v>45.39</v>
      </c>
      <c r="G107" s="184">
        <f t="shared" si="1"/>
        <v>56.39</v>
      </c>
      <c r="H107" s="184">
        <f t="shared" si="1"/>
        <v>24.23</v>
      </c>
      <c r="I107" s="184">
        <f t="shared" si="1"/>
        <v>5.78</v>
      </c>
      <c r="J107" s="184">
        <f t="shared" si="1"/>
        <v>1.7</v>
      </c>
      <c r="K107" s="184">
        <f t="shared" si="1"/>
        <v>353.79</v>
      </c>
      <c r="L107" s="184">
        <f t="shared" si="1"/>
        <v>42.42</v>
      </c>
      <c r="M107" s="184">
        <f t="shared" si="1"/>
        <v>46.84</v>
      </c>
      <c r="N107" s="184">
        <f t="shared" si="1"/>
        <v>777.9</v>
      </c>
      <c r="O107" s="184">
        <f t="shared" si="1"/>
        <v>0</v>
      </c>
      <c r="P107" s="184">
        <f t="shared" si="1"/>
        <v>0.84</v>
      </c>
      <c r="Q107" s="184">
        <f t="shared" si="1"/>
        <v>5.52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8.3419791666666665</v>
      </c>
      <c r="C108" s="183">
        <f t="shared" ref="C108:Q108" si="2">AVERAGE(C9:C104)</f>
        <v>48.251979166666665</v>
      </c>
      <c r="D108" s="183">
        <f t="shared" si="2"/>
        <v>30.854583333333366</v>
      </c>
      <c r="E108" s="183">
        <f t="shared" si="2"/>
        <v>8.4255208333333282</v>
      </c>
      <c r="F108" s="183">
        <f t="shared" si="2"/>
        <v>18.49177083333333</v>
      </c>
      <c r="G108" s="183">
        <f t="shared" si="2"/>
        <v>40.525729166666672</v>
      </c>
      <c r="H108" s="183">
        <f t="shared" si="2"/>
        <v>17.746666666666663</v>
      </c>
      <c r="I108" s="183">
        <f t="shared" si="2"/>
        <v>4.562708333333334</v>
      </c>
      <c r="J108" s="183">
        <f t="shared" si="2"/>
        <v>0.86531250000000048</v>
      </c>
      <c r="K108" s="183">
        <f t="shared" si="2"/>
        <v>247.68729166666665</v>
      </c>
      <c r="L108" s="183">
        <f t="shared" si="2"/>
        <v>35.773020833333341</v>
      </c>
      <c r="M108" s="183">
        <f t="shared" si="2"/>
        <v>31.060520833333328</v>
      </c>
      <c r="N108" s="183">
        <f t="shared" si="2"/>
        <v>135.99479166666666</v>
      </c>
      <c r="O108" s="183">
        <f t="shared" si="2"/>
        <v>0</v>
      </c>
      <c r="P108" s="183">
        <f t="shared" si="2"/>
        <v>0.53937500000000016</v>
      </c>
      <c r="Q108" s="183">
        <f t="shared" si="2"/>
        <v>5.070833333333332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2.1982072215865176</v>
      </c>
      <c r="C109" s="183">
        <f t="shared" ref="C109:Q109" si="3">STDEV(C9:C104)</f>
        <v>6.5775320311355934</v>
      </c>
      <c r="D109" s="183">
        <f t="shared" si="3"/>
        <v>4.8801859146349731</v>
      </c>
      <c r="E109" s="183">
        <f t="shared" si="3"/>
        <v>2.563341926302547</v>
      </c>
      <c r="F109" s="183">
        <f t="shared" si="3"/>
        <v>9.2062653717073832</v>
      </c>
      <c r="G109" s="183">
        <f t="shared" si="3"/>
        <v>13.268847706666865</v>
      </c>
      <c r="H109" s="183">
        <f t="shared" si="3"/>
        <v>3.9434643243210656</v>
      </c>
      <c r="I109" s="183">
        <f t="shared" si="3"/>
        <v>0.52449570600150786</v>
      </c>
      <c r="J109" s="183">
        <f t="shared" si="3"/>
        <v>0.41956858325264396</v>
      </c>
      <c r="K109" s="183">
        <f t="shared" si="3"/>
        <v>85.483735744281958</v>
      </c>
      <c r="L109" s="183">
        <f t="shared" si="3"/>
        <v>4.2285329345421987</v>
      </c>
      <c r="M109" s="183">
        <f t="shared" si="3"/>
        <v>10.563125670766405</v>
      </c>
      <c r="N109" s="183">
        <f t="shared" si="3"/>
        <v>197.02964370597508</v>
      </c>
      <c r="O109" s="183">
        <f t="shared" si="3"/>
        <v>0</v>
      </c>
      <c r="P109" s="183">
        <f t="shared" si="3"/>
        <v>6.4266099764551041E-2</v>
      </c>
      <c r="Q109" s="183">
        <f t="shared" si="3"/>
        <v>0.16071332219154422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12/06/2023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1294</v>
      </c>
      <c r="B9" s="134">
        <v>12.24</v>
      </c>
      <c r="C9" s="134">
        <v>57.52</v>
      </c>
      <c r="D9" s="134">
        <v>38.82</v>
      </c>
      <c r="E9" s="134">
        <v>7.56</v>
      </c>
      <c r="F9" s="134">
        <v>11.4</v>
      </c>
      <c r="G9" s="134">
        <v>46.37</v>
      </c>
      <c r="H9" s="134">
        <v>18.82</v>
      </c>
      <c r="I9" s="134">
        <v>6.85</v>
      </c>
      <c r="J9" s="134">
        <v>0.97</v>
      </c>
      <c r="K9" s="134">
        <v>258.22000000000003</v>
      </c>
      <c r="L9" s="134">
        <v>33.29</v>
      </c>
      <c r="M9" s="134">
        <v>34.6</v>
      </c>
      <c r="N9" s="134">
        <v>0</v>
      </c>
      <c r="O9" s="134">
        <v>0</v>
      </c>
      <c r="P9" s="134">
        <v>0.66</v>
      </c>
      <c r="Q9" s="134">
        <v>5.43</v>
      </c>
    </row>
    <row r="10" spans="1:21" customFormat="1">
      <c r="A10" s="112" t="s">
        <v>1295</v>
      </c>
      <c r="B10" s="134">
        <v>12.59</v>
      </c>
      <c r="C10" s="134">
        <v>54.63</v>
      </c>
      <c r="D10" s="134">
        <v>37.590000000000003</v>
      </c>
      <c r="E10" s="134">
        <v>6.99</v>
      </c>
      <c r="F10" s="134">
        <v>12.06</v>
      </c>
      <c r="G10" s="134">
        <v>45.62</v>
      </c>
      <c r="H10" s="134">
        <v>19.27</v>
      </c>
      <c r="I10" s="134">
        <v>6</v>
      </c>
      <c r="J10" s="134">
        <v>1.08</v>
      </c>
      <c r="K10" s="134">
        <v>266.58999999999997</v>
      </c>
      <c r="L10" s="134">
        <v>33.229999999999997</v>
      </c>
      <c r="M10" s="134">
        <v>36.020000000000003</v>
      </c>
      <c r="N10" s="134">
        <v>0</v>
      </c>
      <c r="O10" s="134">
        <v>0</v>
      </c>
      <c r="P10" s="134">
        <v>0.65</v>
      </c>
      <c r="Q10" s="134">
        <v>5.42</v>
      </c>
    </row>
    <row r="11" spans="1:21" customFormat="1">
      <c r="A11" s="112" t="s">
        <v>1296</v>
      </c>
      <c r="B11" s="134">
        <v>11.41</v>
      </c>
      <c r="C11" s="134">
        <v>53.68</v>
      </c>
      <c r="D11" s="134">
        <v>36.15</v>
      </c>
      <c r="E11" s="134">
        <v>11.39</v>
      </c>
      <c r="F11" s="134">
        <v>14.24</v>
      </c>
      <c r="G11" s="134">
        <v>44.54</v>
      </c>
      <c r="H11" s="134">
        <v>19.649999999999999</v>
      </c>
      <c r="I11" s="134">
        <v>5.39</v>
      </c>
      <c r="J11" s="134">
        <v>0.82</v>
      </c>
      <c r="K11" s="134">
        <v>266.26</v>
      </c>
      <c r="L11" s="134">
        <v>33.01</v>
      </c>
      <c r="M11" s="134">
        <v>37.409999999999997</v>
      </c>
      <c r="N11" s="134">
        <v>0</v>
      </c>
      <c r="O11" s="134">
        <v>0</v>
      </c>
      <c r="P11" s="134">
        <v>0.66</v>
      </c>
      <c r="Q11" s="134">
        <v>5.41</v>
      </c>
    </row>
    <row r="12" spans="1:21" customFormat="1">
      <c r="A12" s="112" t="s">
        <v>1297</v>
      </c>
      <c r="B12" s="134">
        <v>10.78</v>
      </c>
      <c r="C12" s="134">
        <v>51.82</v>
      </c>
      <c r="D12" s="134">
        <v>34.67</v>
      </c>
      <c r="E12" s="134">
        <v>14.2</v>
      </c>
      <c r="F12" s="134">
        <v>15.03</v>
      </c>
      <c r="G12" s="134">
        <v>44.54</v>
      </c>
      <c r="H12" s="134">
        <v>19.649999999999999</v>
      </c>
      <c r="I12" s="134">
        <v>5.33</v>
      </c>
      <c r="J12" s="134">
        <v>0.73</v>
      </c>
      <c r="K12" s="134">
        <v>271.33</v>
      </c>
      <c r="L12" s="134">
        <v>32.83</v>
      </c>
      <c r="M12" s="134">
        <v>38.06</v>
      </c>
      <c r="N12" s="134">
        <v>0</v>
      </c>
      <c r="O12" s="134">
        <v>0</v>
      </c>
      <c r="P12" s="134">
        <v>0.68</v>
      </c>
      <c r="Q12" s="134">
        <v>5.34</v>
      </c>
    </row>
    <row r="13" spans="1:21" customFormat="1">
      <c r="A13" s="112" t="s">
        <v>1298</v>
      </c>
      <c r="B13" s="134">
        <v>10.02</v>
      </c>
      <c r="C13" s="134">
        <v>51.93</v>
      </c>
      <c r="D13" s="134">
        <v>34.119999999999997</v>
      </c>
      <c r="E13" s="134">
        <v>16.760000000000002</v>
      </c>
      <c r="F13" s="134">
        <v>16.98</v>
      </c>
      <c r="G13" s="134">
        <v>44.54</v>
      </c>
      <c r="H13" s="134">
        <v>19.649999999999999</v>
      </c>
      <c r="I13" s="134">
        <v>5.29</v>
      </c>
      <c r="J13" s="134">
        <v>0.49</v>
      </c>
      <c r="K13" s="134">
        <v>267.95999999999998</v>
      </c>
      <c r="L13" s="134">
        <v>32.68</v>
      </c>
      <c r="M13" s="134">
        <v>38.35</v>
      </c>
      <c r="N13" s="134">
        <v>0</v>
      </c>
      <c r="O13" s="134">
        <v>0</v>
      </c>
      <c r="P13" s="134">
        <v>0.75</v>
      </c>
      <c r="Q13" s="134">
        <v>5.38</v>
      </c>
    </row>
    <row r="14" spans="1:21" customFormat="1">
      <c r="A14" s="112" t="s">
        <v>1299</v>
      </c>
      <c r="B14" s="134">
        <v>9.2200000000000006</v>
      </c>
      <c r="C14" s="134">
        <v>48.27</v>
      </c>
      <c r="D14" s="134">
        <v>31.57</v>
      </c>
      <c r="E14" s="134">
        <v>24.84</v>
      </c>
      <c r="F14" s="134">
        <v>19.2</v>
      </c>
      <c r="G14" s="134">
        <v>45.89</v>
      </c>
      <c r="H14" s="134">
        <v>19.41</v>
      </c>
      <c r="I14" s="134">
        <v>5.66</v>
      </c>
      <c r="J14" s="134">
        <v>0.37</v>
      </c>
      <c r="K14" s="134">
        <v>268.45999999999998</v>
      </c>
      <c r="L14" s="134">
        <v>32.590000000000003</v>
      </c>
      <c r="M14" s="134">
        <v>38.47</v>
      </c>
      <c r="N14" s="134">
        <v>0</v>
      </c>
      <c r="O14" s="134">
        <v>0</v>
      </c>
      <c r="P14" s="134">
        <v>0.84</v>
      </c>
      <c r="Q14" s="134">
        <v>5.33</v>
      </c>
    </row>
    <row r="15" spans="1:21" customFormat="1">
      <c r="A15" s="112" t="s">
        <v>1300</v>
      </c>
      <c r="B15" s="134">
        <v>12.28</v>
      </c>
      <c r="C15" s="134">
        <v>57.76</v>
      </c>
      <c r="D15" s="134">
        <v>38.979999999999997</v>
      </c>
      <c r="E15" s="134">
        <v>25.51</v>
      </c>
      <c r="F15" s="134">
        <v>10.93</v>
      </c>
      <c r="G15" s="134">
        <v>47.91</v>
      </c>
      <c r="H15" s="134">
        <v>18.84</v>
      </c>
      <c r="I15" s="134">
        <v>6.49</v>
      </c>
      <c r="J15" s="134">
        <v>0.1</v>
      </c>
      <c r="K15" s="134">
        <v>47.23</v>
      </c>
      <c r="L15" s="134">
        <v>32.44</v>
      </c>
      <c r="M15" s="134">
        <v>38.81</v>
      </c>
      <c r="N15" s="134">
        <v>0</v>
      </c>
      <c r="O15" s="134">
        <v>0</v>
      </c>
      <c r="P15" s="134">
        <v>0.93</v>
      </c>
      <c r="Q15" s="134">
        <v>5.39</v>
      </c>
    </row>
    <row r="16" spans="1:21" customFormat="1">
      <c r="A16" s="112" t="s">
        <v>1301</v>
      </c>
      <c r="B16" s="134">
        <v>11.55</v>
      </c>
      <c r="C16" s="134">
        <v>58</v>
      </c>
      <c r="D16" s="134">
        <v>38.53</v>
      </c>
      <c r="E16" s="134">
        <v>16.45</v>
      </c>
      <c r="F16" s="134">
        <v>9.32</v>
      </c>
      <c r="G16" s="134">
        <v>47.91</v>
      </c>
      <c r="H16" s="134">
        <v>18.84</v>
      </c>
      <c r="I16" s="134">
        <v>7.2</v>
      </c>
      <c r="J16" s="134">
        <v>0.09</v>
      </c>
      <c r="K16" s="134">
        <v>179.67</v>
      </c>
      <c r="L16" s="134">
        <v>32.19</v>
      </c>
      <c r="M16" s="134">
        <v>40.22</v>
      </c>
      <c r="N16" s="134">
        <v>0</v>
      </c>
      <c r="O16" s="134">
        <v>0</v>
      </c>
      <c r="P16" s="134">
        <v>0.88</v>
      </c>
      <c r="Q16" s="134">
        <v>5.48</v>
      </c>
    </row>
    <row r="17" spans="1:17" customFormat="1">
      <c r="A17" s="112" t="s">
        <v>1302</v>
      </c>
      <c r="B17" s="134">
        <v>10.67</v>
      </c>
      <c r="C17" s="134">
        <v>52.99</v>
      </c>
      <c r="D17" s="134">
        <v>35.19</v>
      </c>
      <c r="E17" s="134">
        <v>10.5</v>
      </c>
      <c r="F17" s="134">
        <v>12.28</v>
      </c>
      <c r="G17" s="134">
        <v>47.91</v>
      </c>
      <c r="H17" s="134">
        <v>18.84</v>
      </c>
      <c r="I17" s="134">
        <v>6.87</v>
      </c>
      <c r="J17" s="134">
        <v>0.22</v>
      </c>
      <c r="K17" s="134">
        <v>181.08</v>
      </c>
      <c r="L17" s="134">
        <v>31.7</v>
      </c>
      <c r="M17" s="134">
        <v>42.25</v>
      </c>
      <c r="N17" s="134">
        <v>0</v>
      </c>
      <c r="O17" s="134">
        <v>0</v>
      </c>
      <c r="P17" s="134">
        <v>0.96</v>
      </c>
      <c r="Q17" s="134">
        <v>5.48</v>
      </c>
    </row>
    <row r="18" spans="1:17" customFormat="1">
      <c r="A18" s="112" t="s">
        <v>1303</v>
      </c>
      <c r="B18" s="134">
        <v>11.69</v>
      </c>
      <c r="C18" s="134">
        <v>51.65</v>
      </c>
      <c r="D18" s="134">
        <v>35.31</v>
      </c>
      <c r="E18" s="134">
        <v>16.57</v>
      </c>
      <c r="F18" s="134">
        <v>14.22</v>
      </c>
      <c r="G18" s="134">
        <v>47.34</v>
      </c>
      <c r="H18" s="134">
        <v>17.55</v>
      </c>
      <c r="I18" s="134">
        <v>6.16</v>
      </c>
      <c r="J18" s="134">
        <v>0.12</v>
      </c>
      <c r="K18" s="134">
        <v>323.93</v>
      </c>
      <c r="L18" s="134">
        <v>31.81</v>
      </c>
      <c r="M18" s="134">
        <v>41.48</v>
      </c>
      <c r="N18" s="134">
        <v>0</v>
      </c>
      <c r="O18" s="134">
        <v>0</v>
      </c>
      <c r="P18" s="134">
        <v>0.97</v>
      </c>
      <c r="Q18" s="134">
        <v>5.38</v>
      </c>
    </row>
    <row r="19" spans="1:17" customFormat="1">
      <c r="A19" s="112" t="s">
        <v>1304</v>
      </c>
      <c r="B19" s="134">
        <v>12.07</v>
      </c>
      <c r="C19" s="134">
        <v>53.33</v>
      </c>
      <c r="D19" s="134">
        <v>36.5</v>
      </c>
      <c r="E19" s="134">
        <v>11.22</v>
      </c>
      <c r="F19" s="134">
        <v>16.5</v>
      </c>
      <c r="G19" s="134">
        <v>46.51</v>
      </c>
      <c r="H19" s="134">
        <v>16.45</v>
      </c>
      <c r="I19" s="134">
        <v>6</v>
      </c>
      <c r="J19" s="134">
        <v>0.44</v>
      </c>
      <c r="K19" s="134">
        <v>264.5</v>
      </c>
      <c r="L19" s="134">
        <v>32.049999999999997</v>
      </c>
      <c r="M19" s="134">
        <v>40.93</v>
      </c>
      <c r="N19" s="134">
        <v>0</v>
      </c>
      <c r="O19" s="134">
        <v>0</v>
      </c>
      <c r="P19" s="134">
        <v>0.74</v>
      </c>
      <c r="Q19" s="134">
        <v>5.52</v>
      </c>
    </row>
    <row r="20" spans="1:17" customFormat="1">
      <c r="A20" s="112" t="s">
        <v>1305</v>
      </c>
      <c r="B20" s="134">
        <v>10.51</v>
      </c>
      <c r="C20" s="134">
        <v>46.33</v>
      </c>
      <c r="D20" s="134">
        <v>31.59</v>
      </c>
      <c r="E20" s="134">
        <v>16.440000000000001</v>
      </c>
      <c r="F20" s="134">
        <v>18.690000000000001</v>
      </c>
      <c r="G20" s="134">
        <v>46.51</v>
      </c>
      <c r="H20" s="134">
        <v>16.45</v>
      </c>
      <c r="I20" s="134">
        <v>5.64</v>
      </c>
      <c r="J20" s="134">
        <v>0.28999999999999998</v>
      </c>
      <c r="K20" s="134">
        <v>224.25</v>
      </c>
      <c r="L20" s="134">
        <v>31.51</v>
      </c>
      <c r="M20" s="134">
        <v>42.84</v>
      </c>
      <c r="N20" s="134">
        <v>0</v>
      </c>
      <c r="O20" s="134">
        <v>0</v>
      </c>
      <c r="P20" s="134">
        <v>0.78</v>
      </c>
      <c r="Q20" s="134">
        <v>5.43</v>
      </c>
    </row>
    <row r="21" spans="1:17" customFormat="1">
      <c r="A21" s="112" t="s">
        <v>1306</v>
      </c>
      <c r="B21" s="134">
        <v>12.37</v>
      </c>
      <c r="C21" s="134">
        <v>53.15</v>
      </c>
      <c r="D21" s="134">
        <v>36.64</v>
      </c>
      <c r="E21" s="134">
        <v>11.23</v>
      </c>
      <c r="F21" s="134">
        <v>11.58</v>
      </c>
      <c r="G21" s="134">
        <v>46.51</v>
      </c>
      <c r="H21" s="134">
        <v>16.45</v>
      </c>
      <c r="I21" s="134">
        <v>5.63</v>
      </c>
      <c r="J21" s="134">
        <v>0.25</v>
      </c>
      <c r="K21" s="134">
        <v>191.32</v>
      </c>
      <c r="L21" s="134">
        <v>31.13</v>
      </c>
      <c r="M21" s="134">
        <v>44.5</v>
      </c>
      <c r="N21" s="134">
        <v>0</v>
      </c>
      <c r="O21" s="134">
        <v>0</v>
      </c>
      <c r="P21" s="134">
        <v>0.78</v>
      </c>
      <c r="Q21" s="134">
        <v>5.39</v>
      </c>
    </row>
    <row r="22" spans="1:17" customFormat="1">
      <c r="A22" s="112" t="s">
        <v>1307</v>
      </c>
      <c r="B22" s="134">
        <v>12.06</v>
      </c>
      <c r="C22" s="134">
        <v>50.83</v>
      </c>
      <c r="D22" s="134">
        <v>35.19</v>
      </c>
      <c r="E22" s="134">
        <v>14.72</v>
      </c>
      <c r="F22" s="134">
        <v>12.01</v>
      </c>
      <c r="G22" s="134">
        <v>44.34</v>
      </c>
      <c r="H22" s="134">
        <v>15.92</v>
      </c>
      <c r="I22" s="134">
        <v>5.92</v>
      </c>
      <c r="J22" s="134">
        <v>0.39</v>
      </c>
      <c r="K22" s="134">
        <v>63.14</v>
      </c>
      <c r="L22" s="134">
        <v>30.78</v>
      </c>
      <c r="M22" s="134">
        <v>45.84</v>
      </c>
      <c r="N22" s="134">
        <v>0</v>
      </c>
      <c r="O22" s="134">
        <v>0</v>
      </c>
      <c r="P22" s="134">
        <v>0.79</v>
      </c>
      <c r="Q22" s="134">
        <v>5.47</v>
      </c>
    </row>
    <row r="23" spans="1:17" customFormat="1">
      <c r="A23" s="112" t="s">
        <v>1308</v>
      </c>
      <c r="B23" s="134">
        <v>12.46</v>
      </c>
      <c r="C23" s="134">
        <v>54.24</v>
      </c>
      <c r="D23" s="134">
        <v>37.28</v>
      </c>
      <c r="E23" s="134">
        <v>14.31</v>
      </c>
      <c r="F23" s="134">
        <v>9.1</v>
      </c>
      <c r="G23" s="134">
        <v>41.07</v>
      </c>
      <c r="H23" s="134">
        <v>15.47</v>
      </c>
      <c r="I23" s="134">
        <v>6.31</v>
      </c>
      <c r="J23" s="134">
        <v>0.17</v>
      </c>
      <c r="K23" s="134">
        <v>196.96</v>
      </c>
      <c r="L23" s="134">
        <v>30.71</v>
      </c>
      <c r="M23" s="134">
        <v>46.35</v>
      </c>
      <c r="N23" s="134">
        <v>0</v>
      </c>
      <c r="O23" s="134">
        <v>0</v>
      </c>
      <c r="P23" s="134">
        <v>0.74</v>
      </c>
      <c r="Q23" s="134">
        <v>5.52</v>
      </c>
    </row>
    <row r="24" spans="1:17" customFormat="1">
      <c r="A24" s="112" t="s">
        <v>1309</v>
      </c>
      <c r="B24" s="134">
        <v>16.12</v>
      </c>
      <c r="C24" s="134">
        <v>53.43</v>
      </c>
      <c r="D24" s="134">
        <v>39.799999999999997</v>
      </c>
      <c r="E24" s="134">
        <v>15.14</v>
      </c>
      <c r="F24" s="134">
        <v>9.31</v>
      </c>
      <c r="G24" s="134">
        <v>41.07</v>
      </c>
      <c r="H24" s="134">
        <v>15.47</v>
      </c>
      <c r="I24" s="134">
        <v>6.64</v>
      </c>
      <c r="J24" s="134">
        <v>0.31</v>
      </c>
      <c r="K24" s="134">
        <v>218.16</v>
      </c>
      <c r="L24" s="134">
        <v>30.62</v>
      </c>
      <c r="M24" s="134">
        <v>46.26</v>
      </c>
      <c r="N24" s="134">
        <v>0</v>
      </c>
      <c r="O24" s="134">
        <v>0</v>
      </c>
      <c r="P24" s="134">
        <v>0.73</v>
      </c>
      <c r="Q24" s="134">
        <v>5.47</v>
      </c>
    </row>
    <row r="25" spans="1:17" customFormat="1">
      <c r="A25" s="112" t="s">
        <v>1310</v>
      </c>
      <c r="B25" s="134">
        <v>13.13</v>
      </c>
      <c r="C25" s="134">
        <v>52.06</v>
      </c>
      <c r="D25" s="134">
        <v>36.68</v>
      </c>
      <c r="E25" s="134">
        <v>15.28</v>
      </c>
      <c r="F25" s="134">
        <v>13.63</v>
      </c>
      <c r="G25" s="134">
        <v>41.07</v>
      </c>
      <c r="H25" s="134">
        <v>15.47</v>
      </c>
      <c r="I25" s="134">
        <v>6.36</v>
      </c>
      <c r="J25" s="134">
        <v>0.37</v>
      </c>
      <c r="K25" s="134">
        <v>242.07</v>
      </c>
      <c r="L25" s="134">
        <v>30.64</v>
      </c>
      <c r="M25" s="134">
        <v>45.61</v>
      </c>
      <c r="N25" s="134">
        <v>0</v>
      </c>
      <c r="O25" s="134">
        <v>0</v>
      </c>
      <c r="P25" s="134">
        <v>0.7</v>
      </c>
      <c r="Q25" s="134">
        <v>5.54</v>
      </c>
    </row>
    <row r="26" spans="1:17" customFormat="1">
      <c r="A26" s="112" t="s">
        <v>1311</v>
      </c>
      <c r="B26" s="134">
        <v>13.56</v>
      </c>
      <c r="C26" s="134">
        <v>52.09</v>
      </c>
      <c r="D26" s="134">
        <v>37.04</v>
      </c>
      <c r="E26" s="134">
        <v>14.14</v>
      </c>
      <c r="F26" s="134">
        <v>14.52</v>
      </c>
      <c r="G26" s="134">
        <v>41.82</v>
      </c>
      <c r="H26" s="134">
        <v>17.329999999999998</v>
      </c>
      <c r="I26" s="134">
        <v>6.15</v>
      </c>
      <c r="J26" s="134">
        <v>0.33</v>
      </c>
      <c r="K26" s="134">
        <v>242.9</v>
      </c>
      <c r="L26" s="134">
        <v>30.81</v>
      </c>
      <c r="M26" s="134">
        <v>44.74</v>
      </c>
      <c r="N26" s="134">
        <v>0</v>
      </c>
      <c r="O26" s="134">
        <v>0</v>
      </c>
      <c r="P26" s="134">
        <v>0.7</v>
      </c>
      <c r="Q26" s="134">
        <v>5.5</v>
      </c>
    </row>
    <row r="27" spans="1:17" customFormat="1">
      <c r="A27" s="112" t="s">
        <v>1312</v>
      </c>
      <c r="B27" s="134">
        <v>12.24</v>
      </c>
      <c r="C27" s="134">
        <v>47.05</v>
      </c>
      <c r="D27" s="134">
        <v>33.36</v>
      </c>
      <c r="E27" s="134">
        <v>14.62</v>
      </c>
      <c r="F27" s="134">
        <v>19</v>
      </c>
      <c r="G27" s="134">
        <v>42.9</v>
      </c>
      <c r="H27" s="134">
        <v>18.940000000000001</v>
      </c>
      <c r="I27" s="134">
        <v>5.94</v>
      </c>
      <c r="J27" s="134">
        <v>0.27</v>
      </c>
      <c r="K27" s="134">
        <v>214.88</v>
      </c>
      <c r="L27" s="134">
        <v>30.76</v>
      </c>
      <c r="M27" s="134">
        <v>44.92</v>
      </c>
      <c r="N27" s="134">
        <v>0</v>
      </c>
      <c r="O27" s="134">
        <v>0</v>
      </c>
      <c r="P27" s="134">
        <v>0.66</v>
      </c>
      <c r="Q27" s="134">
        <v>5.57</v>
      </c>
    </row>
    <row r="28" spans="1:17" customFormat="1">
      <c r="A28" s="112" t="s">
        <v>1313</v>
      </c>
      <c r="B28" s="134">
        <v>13.67</v>
      </c>
      <c r="C28" s="134">
        <v>54.71</v>
      </c>
      <c r="D28" s="134">
        <v>38.5</v>
      </c>
      <c r="E28" s="134">
        <v>10.5</v>
      </c>
      <c r="F28" s="134">
        <v>11.83</v>
      </c>
      <c r="G28" s="134">
        <v>42.9</v>
      </c>
      <c r="H28" s="134">
        <v>18.940000000000001</v>
      </c>
      <c r="I28" s="134">
        <v>5.55</v>
      </c>
      <c r="J28" s="134">
        <v>0.27</v>
      </c>
      <c r="K28" s="134">
        <v>219.93</v>
      </c>
      <c r="L28" s="134">
        <v>30.82</v>
      </c>
      <c r="M28" s="134">
        <v>44.69</v>
      </c>
      <c r="N28" s="134">
        <v>0</v>
      </c>
      <c r="O28" s="134">
        <v>0</v>
      </c>
      <c r="P28" s="134">
        <v>0.69</v>
      </c>
      <c r="Q28" s="134">
        <v>5.52</v>
      </c>
    </row>
    <row r="29" spans="1:17" customFormat="1">
      <c r="A29" s="112" t="s">
        <v>1314</v>
      </c>
      <c r="B29" s="134">
        <v>12.46</v>
      </c>
      <c r="C29" s="134">
        <v>49.94</v>
      </c>
      <c r="D29" s="134">
        <v>35.04</v>
      </c>
      <c r="E29" s="134">
        <v>13.78</v>
      </c>
      <c r="F29" s="134">
        <v>13.51</v>
      </c>
      <c r="G29" s="134">
        <v>42.9</v>
      </c>
      <c r="H29" s="134">
        <v>18.940000000000001</v>
      </c>
      <c r="I29" s="134">
        <v>5.56</v>
      </c>
      <c r="J29" s="134">
        <v>0.31</v>
      </c>
      <c r="K29" s="134">
        <v>255.34</v>
      </c>
      <c r="L29" s="134">
        <v>30.7</v>
      </c>
      <c r="M29" s="134">
        <v>45.48</v>
      </c>
      <c r="N29" s="134">
        <v>0</v>
      </c>
      <c r="O29" s="134">
        <v>0</v>
      </c>
      <c r="P29" s="134">
        <v>0.63</v>
      </c>
      <c r="Q29" s="134">
        <v>5.52</v>
      </c>
    </row>
    <row r="30" spans="1:17" customFormat="1">
      <c r="A30" s="112" t="s">
        <v>1315</v>
      </c>
      <c r="B30" s="134">
        <v>12.94</v>
      </c>
      <c r="C30" s="134">
        <v>52.46</v>
      </c>
      <c r="D30" s="134">
        <v>36.74</v>
      </c>
      <c r="E30" s="134">
        <v>12.26</v>
      </c>
      <c r="F30" s="134">
        <v>12.18</v>
      </c>
      <c r="G30" s="134">
        <v>41.38</v>
      </c>
      <c r="H30" s="134">
        <v>17.61</v>
      </c>
      <c r="I30" s="134">
        <v>5.56</v>
      </c>
      <c r="J30" s="134">
        <v>0.27</v>
      </c>
      <c r="K30" s="134">
        <v>246.6</v>
      </c>
      <c r="L30" s="134">
        <v>30.8</v>
      </c>
      <c r="M30" s="134">
        <v>45.1</v>
      </c>
      <c r="N30" s="134">
        <v>0</v>
      </c>
      <c r="O30" s="134">
        <v>0</v>
      </c>
      <c r="P30" s="134">
        <v>0.65</v>
      </c>
      <c r="Q30" s="134">
        <v>5.52</v>
      </c>
    </row>
    <row r="31" spans="1:17" customFormat="1">
      <c r="A31" s="112" t="s">
        <v>1316</v>
      </c>
      <c r="B31" s="134">
        <v>11.93</v>
      </c>
      <c r="C31" s="134">
        <v>46.93</v>
      </c>
      <c r="D31" s="134">
        <v>33.04</v>
      </c>
      <c r="E31" s="134">
        <v>13.46</v>
      </c>
      <c r="F31" s="134">
        <v>16.100000000000001</v>
      </c>
      <c r="G31" s="134">
        <v>39.1</v>
      </c>
      <c r="H31" s="134">
        <v>16.47</v>
      </c>
      <c r="I31" s="134">
        <v>5.42</v>
      </c>
      <c r="J31" s="134">
        <v>0.23</v>
      </c>
      <c r="K31" s="134">
        <v>216.88</v>
      </c>
      <c r="L31" s="134">
        <v>30.94</v>
      </c>
      <c r="M31" s="134">
        <v>45.03</v>
      </c>
      <c r="N31" s="134">
        <v>7.1</v>
      </c>
      <c r="O31" s="134">
        <v>0</v>
      </c>
      <c r="P31" s="134">
        <v>0.6</v>
      </c>
      <c r="Q31" s="134">
        <v>5.51</v>
      </c>
    </row>
    <row r="32" spans="1:17" customFormat="1">
      <c r="A32" s="112" t="s">
        <v>1317</v>
      </c>
      <c r="B32" s="134">
        <v>14.3</v>
      </c>
      <c r="C32" s="134">
        <v>54.45</v>
      </c>
      <c r="D32" s="134">
        <v>38.869999999999997</v>
      </c>
      <c r="E32" s="134">
        <v>10.119999999999999</v>
      </c>
      <c r="F32" s="134">
        <v>9.41</v>
      </c>
      <c r="G32" s="134">
        <v>39.1</v>
      </c>
      <c r="H32" s="134">
        <v>16.47</v>
      </c>
      <c r="I32" s="134">
        <v>5.35</v>
      </c>
      <c r="J32" s="134">
        <v>0.27</v>
      </c>
      <c r="K32" s="134">
        <v>255.85</v>
      </c>
      <c r="L32" s="134">
        <v>31.06</v>
      </c>
      <c r="M32" s="134">
        <v>45.44</v>
      </c>
      <c r="N32" s="134">
        <v>8.6999999999999993</v>
      </c>
      <c r="O32" s="134">
        <v>0</v>
      </c>
      <c r="P32" s="134">
        <v>0.64</v>
      </c>
      <c r="Q32" s="134">
        <v>5.49</v>
      </c>
    </row>
    <row r="33" spans="1:17" customFormat="1">
      <c r="A33" s="112" t="s">
        <v>1318</v>
      </c>
      <c r="B33" s="134">
        <v>14.04</v>
      </c>
      <c r="C33" s="134">
        <v>53.94</v>
      </c>
      <c r="D33" s="134">
        <v>38.39</v>
      </c>
      <c r="E33" s="134">
        <v>13.29</v>
      </c>
      <c r="F33" s="134">
        <v>7.33</v>
      </c>
      <c r="G33" s="134">
        <v>39.1</v>
      </c>
      <c r="H33" s="134">
        <v>16.47</v>
      </c>
      <c r="I33" s="134">
        <v>5.22</v>
      </c>
      <c r="J33" s="134">
        <v>0.37</v>
      </c>
      <c r="K33" s="134">
        <v>244.34</v>
      </c>
      <c r="L33" s="134">
        <v>31.18</v>
      </c>
      <c r="M33" s="134">
        <v>45.28</v>
      </c>
      <c r="N33" s="134">
        <v>15.3</v>
      </c>
      <c r="O33" s="134">
        <v>0</v>
      </c>
      <c r="P33" s="134">
        <v>0.61</v>
      </c>
      <c r="Q33" s="134">
        <v>5.54</v>
      </c>
    </row>
    <row r="34" spans="1:17" customFormat="1">
      <c r="A34" s="112" t="s">
        <v>1319</v>
      </c>
      <c r="B34" s="134">
        <v>14.25</v>
      </c>
      <c r="C34" s="134">
        <v>54.87</v>
      </c>
      <c r="D34" s="134">
        <v>39.049999999999997</v>
      </c>
      <c r="E34" s="134">
        <v>10.76</v>
      </c>
      <c r="F34" s="134">
        <v>8.76</v>
      </c>
      <c r="G34" s="134">
        <v>37</v>
      </c>
      <c r="H34" s="134">
        <v>15.28</v>
      </c>
      <c r="I34" s="134">
        <v>5.35</v>
      </c>
      <c r="J34" s="134">
        <v>0.3</v>
      </c>
      <c r="K34" s="134">
        <v>221.02</v>
      </c>
      <c r="L34" s="134">
        <v>31.3</v>
      </c>
      <c r="M34" s="134">
        <v>45.55</v>
      </c>
      <c r="N34" s="134">
        <v>16.600000000000001</v>
      </c>
      <c r="O34" s="134">
        <v>0</v>
      </c>
      <c r="P34" s="134">
        <v>0.63</v>
      </c>
      <c r="Q34" s="134">
        <v>5.57</v>
      </c>
    </row>
    <row r="35" spans="1:17" customFormat="1">
      <c r="A35" s="112" t="s">
        <v>1320</v>
      </c>
      <c r="B35" s="134">
        <v>15.67</v>
      </c>
      <c r="C35" s="134">
        <v>55.84</v>
      </c>
      <c r="D35" s="134">
        <v>40.700000000000003</v>
      </c>
      <c r="E35" s="134">
        <v>10.43</v>
      </c>
      <c r="F35" s="134">
        <v>7.81</v>
      </c>
      <c r="G35" s="134">
        <v>33.99</v>
      </c>
      <c r="H35" s="134">
        <v>14.27</v>
      </c>
      <c r="I35" s="134">
        <v>5.38</v>
      </c>
      <c r="J35" s="134">
        <v>0.63</v>
      </c>
      <c r="K35" s="134">
        <v>249.68</v>
      </c>
      <c r="L35" s="134">
        <v>31.39</v>
      </c>
      <c r="M35" s="134">
        <v>44.98</v>
      </c>
      <c r="N35" s="134">
        <v>31.7</v>
      </c>
      <c r="O35" s="134">
        <v>0</v>
      </c>
      <c r="P35" s="134">
        <v>0.66</v>
      </c>
      <c r="Q35" s="134">
        <v>5.61</v>
      </c>
    </row>
    <row r="36" spans="1:17" customFormat="1">
      <c r="A36" s="112" t="s">
        <v>1321</v>
      </c>
      <c r="B36" s="134">
        <v>16.63</v>
      </c>
      <c r="C36" s="134">
        <v>54.75</v>
      </c>
      <c r="D36" s="134">
        <v>40.9</v>
      </c>
      <c r="E36" s="134">
        <v>9.3699999999999992</v>
      </c>
      <c r="F36" s="134">
        <v>7.82</v>
      </c>
      <c r="G36" s="134">
        <v>33.99</v>
      </c>
      <c r="H36" s="134">
        <v>14.27</v>
      </c>
      <c r="I36" s="134">
        <v>5.61</v>
      </c>
      <c r="J36" s="134">
        <v>1.17</v>
      </c>
      <c r="K36" s="134">
        <v>260.10000000000002</v>
      </c>
      <c r="L36" s="134">
        <v>31.81</v>
      </c>
      <c r="M36" s="134">
        <v>43.37</v>
      </c>
      <c r="N36" s="134">
        <v>44</v>
      </c>
      <c r="O36" s="134">
        <v>0</v>
      </c>
      <c r="P36" s="134">
        <v>0.67</v>
      </c>
      <c r="Q36" s="134">
        <v>5.66</v>
      </c>
    </row>
    <row r="37" spans="1:17" customFormat="1">
      <c r="A37" s="112" t="s">
        <v>1322</v>
      </c>
      <c r="B37" s="134">
        <v>16.57</v>
      </c>
      <c r="C37" s="134">
        <v>53.18</v>
      </c>
      <c r="D37" s="134">
        <v>40.03</v>
      </c>
      <c r="E37" s="134">
        <v>10.7</v>
      </c>
      <c r="F37" s="134">
        <v>7.51</v>
      </c>
      <c r="G37" s="134">
        <v>33.99</v>
      </c>
      <c r="H37" s="134">
        <v>14.27</v>
      </c>
      <c r="I37" s="134">
        <v>5.71</v>
      </c>
      <c r="J37" s="134">
        <v>1.19</v>
      </c>
      <c r="K37" s="134">
        <v>259.92</v>
      </c>
      <c r="L37" s="134">
        <v>32.01</v>
      </c>
      <c r="M37" s="134">
        <v>42.95</v>
      </c>
      <c r="N37" s="134">
        <v>64.599999999999994</v>
      </c>
      <c r="O37" s="134">
        <v>0</v>
      </c>
      <c r="P37" s="134">
        <v>0.72</v>
      </c>
      <c r="Q37" s="134">
        <v>5.56</v>
      </c>
    </row>
    <row r="38" spans="1:17" customFormat="1">
      <c r="A38" s="112" t="s">
        <v>1323</v>
      </c>
      <c r="B38" s="134">
        <v>16.61</v>
      </c>
      <c r="C38" s="134">
        <v>59.5</v>
      </c>
      <c r="D38" s="134">
        <v>43.37</v>
      </c>
      <c r="E38" s="134">
        <v>10.6</v>
      </c>
      <c r="F38" s="134">
        <v>7.49</v>
      </c>
      <c r="G38" s="134">
        <v>34.78</v>
      </c>
      <c r="H38" s="134">
        <v>13.77</v>
      </c>
      <c r="I38" s="134">
        <v>5.86</v>
      </c>
      <c r="J38" s="134">
        <v>1.29</v>
      </c>
      <c r="K38" s="134">
        <v>261.39</v>
      </c>
      <c r="L38" s="134">
        <v>32.11</v>
      </c>
      <c r="M38" s="134">
        <v>42.32</v>
      </c>
      <c r="N38" s="134">
        <v>72.3</v>
      </c>
      <c r="O38" s="134">
        <v>0</v>
      </c>
      <c r="P38" s="134">
        <v>0.83</v>
      </c>
      <c r="Q38" s="134">
        <v>5.64</v>
      </c>
    </row>
    <row r="39" spans="1:17" customFormat="1">
      <c r="A39" s="112" t="s">
        <v>1324</v>
      </c>
      <c r="B39" s="134">
        <v>16.46</v>
      </c>
      <c r="C39" s="134">
        <v>60.13</v>
      </c>
      <c r="D39" s="134">
        <v>43.57</v>
      </c>
      <c r="E39" s="134">
        <v>8.26</v>
      </c>
      <c r="F39" s="134">
        <v>7.21</v>
      </c>
      <c r="G39" s="134">
        <v>35.950000000000003</v>
      </c>
      <c r="H39" s="134">
        <v>12.58</v>
      </c>
      <c r="I39" s="134">
        <v>6.38</v>
      </c>
      <c r="J39" s="134">
        <v>1.21</v>
      </c>
      <c r="K39" s="134">
        <v>259.35000000000002</v>
      </c>
      <c r="L39" s="134">
        <v>32.26</v>
      </c>
      <c r="M39" s="134">
        <v>41.73</v>
      </c>
      <c r="N39" s="134">
        <v>100.9</v>
      </c>
      <c r="O39" s="134">
        <v>0</v>
      </c>
      <c r="P39" s="134">
        <v>0.8</v>
      </c>
      <c r="Q39" s="134">
        <v>5.6</v>
      </c>
    </row>
    <row r="40" spans="1:17" customFormat="1">
      <c r="A40" s="112" t="s">
        <v>1325</v>
      </c>
      <c r="B40" s="134">
        <v>15.05</v>
      </c>
      <c r="C40" s="134">
        <v>52</v>
      </c>
      <c r="D40" s="134">
        <v>38.19</v>
      </c>
      <c r="E40" s="134">
        <v>11.31</v>
      </c>
      <c r="F40" s="134">
        <v>10.31</v>
      </c>
      <c r="G40" s="134">
        <v>35.950000000000003</v>
      </c>
      <c r="H40" s="134">
        <v>12.58</v>
      </c>
      <c r="I40" s="134">
        <v>7.01</v>
      </c>
      <c r="J40" s="134">
        <v>1.1000000000000001</v>
      </c>
      <c r="K40" s="134">
        <v>262.68</v>
      </c>
      <c r="L40" s="134">
        <v>33.21</v>
      </c>
      <c r="M40" s="134">
        <v>40.07</v>
      </c>
      <c r="N40" s="134">
        <v>124.9</v>
      </c>
      <c r="O40" s="134">
        <v>0</v>
      </c>
      <c r="P40" s="134">
        <v>0.8</v>
      </c>
      <c r="Q40" s="134">
        <v>5.57</v>
      </c>
    </row>
    <row r="41" spans="1:17" customFormat="1">
      <c r="A41" s="112" t="s">
        <v>1326</v>
      </c>
      <c r="B41" s="134">
        <v>14.74</v>
      </c>
      <c r="C41" s="134">
        <v>50.3</v>
      </c>
      <c r="D41" s="134">
        <v>37.049999999999997</v>
      </c>
      <c r="E41" s="134">
        <v>9.24</v>
      </c>
      <c r="F41" s="134">
        <v>9.35</v>
      </c>
      <c r="G41" s="134">
        <v>35.950000000000003</v>
      </c>
      <c r="H41" s="134">
        <v>12.58</v>
      </c>
      <c r="I41" s="134">
        <v>6.94</v>
      </c>
      <c r="J41" s="134">
        <v>1.25</v>
      </c>
      <c r="K41" s="134">
        <v>268.10000000000002</v>
      </c>
      <c r="L41" s="134">
        <v>33.49</v>
      </c>
      <c r="M41" s="134">
        <v>39.090000000000003</v>
      </c>
      <c r="N41" s="134">
        <v>121.7</v>
      </c>
      <c r="O41" s="134">
        <v>0</v>
      </c>
      <c r="P41" s="134">
        <v>0.77</v>
      </c>
      <c r="Q41" s="134">
        <v>5.43</v>
      </c>
    </row>
    <row r="42" spans="1:17" customFormat="1">
      <c r="A42" s="112" t="s">
        <v>1327</v>
      </c>
      <c r="B42" s="134">
        <v>13.82</v>
      </c>
      <c r="C42" s="134">
        <v>55.18</v>
      </c>
      <c r="D42" s="134">
        <v>38.869999999999997</v>
      </c>
      <c r="E42" s="134">
        <v>9.2799999999999994</v>
      </c>
      <c r="F42" s="134">
        <v>9.48</v>
      </c>
      <c r="G42" s="134">
        <v>35.619999999999997</v>
      </c>
      <c r="H42" s="134">
        <v>11.09</v>
      </c>
      <c r="I42" s="134">
        <v>6.72</v>
      </c>
      <c r="J42" s="134">
        <v>1.33</v>
      </c>
      <c r="K42" s="134">
        <v>274.01</v>
      </c>
      <c r="L42" s="134">
        <v>34</v>
      </c>
      <c r="M42" s="134">
        <v>37.74</v>
      </c>
      <c r="N42" s="134">
        <v>119.9</v>
      </c>
      <c r="O42" s="134">
        <v>0</v>
      </c>
      <c r="P42" s="134">
        <v>0.79</v>
      </c>
      <c r="Q42" s="134">
        <v>5.45</v>
      </c>
    </row>
    <row r="43" spans="1:17" customFormat="1">
      <c r="A43" s="112" t="s">
        <v>1328</v>
      </c>
      <c r="B43" s="134">
        <v>13.22</v>
      </c>
      <c r="C43" s="134">
        <v>51.83</v>
      </c>
      <c r="D43" s="134">
        <v>36.64</v>
      </c>
      <c r="E43" s="134">
        <v>11.1</v>
      </c>
      <c r="F43" s="134">
        <v>11.31</v>
      </c>
      <c r="G43" s="134">
        <v>35.15</v>
      </c>
      <c r="H43" s="134">
        <v>9.8000000000000007</v>
      </c>
      <c r="I43" s="134">
        <v>6.67</v>
      </c>
      <c r="J43" s="134">
        <v>1.28</v>
      </c>
      <c r="K43" s="134">
        <v>261</v>
      </c>
      <c r="L43" s="134">
        <v>34.75</v>
      </c>
      <c r="M43" s="134">
        <v>36.49</v>
      </c>
      <c r="N43" s="134">
        <v>110.2</v>
      </c>
      <c r="O43" s="134">
        <v>0</v>
      </c>
      <c r="P43" s="134">
        <v>0.79</v>
      </c>
      <c r="Q43" s="134">
        <v>5.41</v>
      </c>
    </row>
    <row r="44" spans="1:17" customFormat="1">
      <c r="A44" s="112" t="s">
        <v>1329</v>
      </c>
      <c r="B44" s="134">
        <v>12.39</v>
      </c>
      <c r="C44" s="134">
        <v>48.22</v>
      </c>
      <c r="D44" s="134">
        <v>34.090000000000003</v>
      </c>
      <c r="E44" s="134">
        <v>16.38</v>
      </c>
      <c r="F44" s="134">
        <v>13.87</v>
      </c>
      <c r="G44" s="134">
        <v>35.15</v>
      </c>
      <c r="H44" s="134">
        <v>9.8000000000000007</v>
      </c>
      <c r="I44" s="134">
        <v>6.84</v>
      </c>
      <c r="J44" s="134">
        <v>1.0900000000000001</v>
      </c>
      <c r="K44" s="134">
        <v>276.02999999999997</v>
      </c>
      <c r="L44" s="134">
        <v>35.9</v>
      </c>
      <c r="M44" s="134">
        <v>34.799999999999997</v>
      </c>
      <c r="N44" s="134">
        <v>111.8</v>
      </c>
      <c r="O44" s="134">
        <v>0</v>
      </c>
      <c r="P44" s="134">
        <v>0.79</v>
      </c>
      <c r="Q44" s="134">
        <v>5.33</v>
      </c>
    </row>
    <row r="45" spans="1:17" customFormat="1">
      <c r="A45" s="112" t="s">
        <v>1330</v>
      </c>
      <c r="B45" s="134">
        <v>11.82</v>
      </c>
      <c r="C45" s="134">
        <v>49.06</v>
      </c>
      <c r="D45" s="134">
        <v>34.06</v>
      </c>
      <c r="E45" s="134">
        <v>18.010000000000002</v>
      </c>
      <c r="F45" s="134">
        <v>13.14</v>
      </c>
      <c r="G45" s="134">
        <v>35.15</v>
      </c>
      <c r="H45" s="134">
        <v>9.8000000000000007</v>
      </c>
      <c r="I45" s="134">
        <v>7.18</v>
      </c>
      <c r="J45" s="134">
        <v>1.08</v>
      </c>
      <c r="K45" s="134">
        <v>257.88</v>
      </c>
      <c r="L45" s="134">
        <v>36.51</v>
      </c>
      <c r="M45" s="134">
        <v>33.69</v>
      </c>
      <c r="N45" s="134">
        <v>112.9</v>
      </c>
      <c r="O45" s="134">
        <v>0</v>
      </c>
      <c r="P45" s="134">
        <v>0.84</v>
      </c>
      <c r="Q45" s="134">
        <v>5.28</v>
      </c>
    </row>
    <row r="46" spans="1:17" customFormat="1">
      <c r="A46" s="112" t="s">
        <v>1331</v>
      </c>
      <c r="B46" s="134">
        <v>11.06</v>
      </c>
      <c r="C46" s="134">
        <v>47.52</v>
      </c>
      <c r="D46" s="134">
        <v>32.65</v>
      </c>
      <c r="E46" s="134">
        <v>16.71</v>
      </c>
      <c r="F46" s="134">
        <v>14.25</v>
      </c>
      <c r="G46" s="134">
        <v>36.79</v>
      </c>
      <c r="H46" s="134">
        <v>13.48</v>
      </c>
      <c r="I46" s="134">
        <v>7.56</v>
      </c>
      <c r="J46" s="134">
        <v>1.32</v>
      </c>
      <c r="K46" s="134">
        <v>263.52999999999997</v>
      </c>
      <c r="L46" s="134">
        <v>36.92</v>
      </c>
      <c r="M46" s="134">
        <v>32.57</v>
      </c>
      <c r="N46" s="134">
        <v>117.5</v>
      </c>
      <c r="O46" s="134">
        <v>0</v>
      </c>
      <c r="P46" s="134">
        <v>0.87</v>
      </c>
      <c r="Q46" s="134">
        <v>5.22</v>
      </c>
    </row>
    <row r="47" spans="1:17" customFormat="1">
      <c r="A47" s="112" t="s">
        <v>1332</v>
      </c>
      <c r="B47" s="134">
        <v>10.15</v>
      </c>
      <c r="C47" s="134">
        <v>47.26</v>
      </c>
      <c r="D47" s="134">
        <v>31.79</v>
      </c>
      <c r="E47" s="134">
        <v>15.02</v>
      </c>
      <c r="F47" s="134">
        <v>19.18</v>
      </c>
      <c r="G47" s="134">
        <v>39.15</v>
      </c>
      <c r="H47" s="134">
        <v>16.739999999999998</v>
      </c>
      <c r="I47" s="134">
        <v>7.78</v>
      </c>
      <c r="J47" s="134">
        <v>1.1299999999999999</v>
      </c>
      <c r="K47" s="134">
        <v>294.94</v>
      </c>
      <c r="L47" s="134">
        <v>37.75</v>
      </c>
      <c r="M47" s="134">
        <v>30.38</v>
      </c>
      <c r="N47" s="134">
        <v>118.2</v>
      </c>
      <c r="O47" s="134">
        <v>0</v>
      </c>
      <c r="P47" s="134">
        <v>0.86</v>
      </c>
      <c r="Q47" s="134">
        <v>5.17</v>
      </c>
    </row>
    <row r="48" spans="1:17" customFormat="1">
      <c r="A48" s="112" t="s">
        <v>1333</v>
      </c>
      <c r="B48" s="134">
        <v>9.94</v>
      </c>
      <c r="C48" s="134">
        <v>44.91</v>
      </c>
      <c r="D48" s="134">
        <v>30.39</v>
      </c>
      <c r="E48" s="134">
        <v>13.43</v>
      </c>
      <c r="F48" s="134">
        <v>15.4</v>
      </c>
      <c r="G48" s="134">
        <v>39.15</v>
      </c>
      <c r="H48" s="134">
        <v>16.739999999999998</v>
      </c>
      <c r="I48" s="134">
        <v>8</v>
      </c>
      <c r="J48" s="134">
        <v>1.26</v>
      </c>
      <c r="K48" s="134">
        <v>272.45</v>
      </c>
      <c r="L48" s="134">
        <v>37.869999999999997</v>
      </c>
      <c r="M48" s="134">
        <v>30.45</v>
      </c>
      <c r="N48" s="134">
        <v>125.6</v>
      </c>
      <c r="O48" s="134">
        <v>0</v>
      </c>
      <c r="P48" s="134">
        <v>0.85</v>
      </c>
      <c r="Q48" s="134">
        <v>5.12</v>
      </c>
    </row>
    <row r="49" spans="1:17" customFormat="1">
      <c r="A49" s="112" t="s">
        <v>1334</v>
      </c>
      <c r="B49" s="134">
        <v>9.17</v>
      </c>
      <c r="C49" s="134">
        <v>46.64</v>
      </c>
      <c r="D49" s="134">
        <v>30.67</v>
      </c>
      <c r="E49" s="134">
        <v>12.55</v>
      </c>
      <c r="F49" s="134">
        <v>17.63</v>
      </c>
      <c r="G49" s="134">
        <v>39.15</v>
      </c>
      <c r="H49" s="134">
        <v>16.739999999999998</v>
      </c>
      <c r="I49" s="134">
        <v>7.93</v>
      </c>
      <c r="J49" s="134">
        <v>0.98</v>
      </c>
      <c r="K49" s="134">
        <v>274.18</v>
      </c>
      <c r="L49" s="134">
        <v>38.29</v>
      </c>
      <c r="M49" s="134">
        <v>30.15</v>
      </c>
      <c r="N49" s="134">
        <v>126.3</v>
      </c>
      <c r="O49" s="134">
        <v>0</v>
      </c>
      <c r="P49" s="134">
        <v>0.91</v>
      </c>
      <c r="Q49" s="134">
        <v>5.07</v>
      </c>
    </row>
    <row r="50" spans="1:17" customFormat="1">
      <c r="A50" s="112" t="s">
        <v>1335</v>
      </c>
      <c r="B50" s="134">
        <v>8.1199999999999992</v>
      </c>
      <c r="C50" s="134">
        <v>44.4</v>
      </c>
      <c r="D50" s="134">
        <v>28.66</v>
      </c>
      <c r="E50" s="134">
        <v>13.81</v>
      </c>
      <c r="F50" s="134">
        <v>22.87</v>
      </c>
      <c r="G50" s="134">
        <v>41.11</v>
      </c>
      <c r="H50" s="134">
        <v>17.53</v>
      </c>
      <c r="I50" s="134">
        <v>7.91</v>
      </c>
      <c r="J50" s="134">
        <v>1.22</v>
      </c>
      <c r="K50" s="134">
        <v>254.05</v>
      </c>
      <c r="L50" s="134">
        <v>38.54</v>
      </c>
      <c r="M50" s="134">
        <v>29.49</v>
      </c>
      <c r="N50" s="134">
        <v>127.2</v>
      </c>
      <c r="O50" s="134">
        <v>0</v>
      </c>
      <c r="P50" s="134">
        <v>0.85</v>
      </c>
      <c r="Q50" s="134">
        <v>5.04</v>
      </c>
    </row>
    <row r="51" spans="1:17" customFormat="1">
      <c r="A51" s="112" t="s">
        <v>1336</v>
      </c>
      <c r="B51" s="134">
        <v>7.1</v>
      </c>
      <c r="C51" s="134">
        <v>41.94</v>
      </c>
      <c r="D51" s="134">
        <v>26.56</v>
      </c>
      <c r="E51" s="134">
        <v>13.42</v>
      </c>
      <c r="F51" s="134">
        <v>24.19</v>
      </c>
      <c r="G51" s="134">
        <v>43.93</v>
      </c>
      <c r="H51" s="134">
        <v>18.22</v>
      </c>
      <c r="I51" s="134">
        <v>8.1</v>
      </c>
      <c r="J51" s="134">
        <v>1.21</v>
      </c>
      <c r="K51" s="134">
        <v>273.08999999999997</v>
      </c>
      <c r="L51" s="134">
        <v>38.83</v>
      </c>
      <c r="M51" s="134">
        <v>28.64</v>
      </c>
      <c r="N51" s="134">
        <v>129</v>
      </c>
      <c r="O51" s="134">
        <v>0</v>
      </c>
      <c r="P51" s="134">
        <v>0.81</v>
      </c>
      <c r="Q51" s="134">
        <v>4.97</v>
      </c>
    </row>
    <row r="52" spans="1:17" customFormat="1">
      <c r="A52" s="112" t="s">
        <v>1337</v>
      </c>
      <c r="B52" s="134">
        <v>6.69</v>
      </c>
      <c r="C52" s="134">
        <v>43.22</v>
      </c>
      <c r="D52" s="134">
        <v>26.9</v>
      </c>
      <c r="E52" s="134">
        <v>10.86</v>
      </c>
      <c r="F52" s="134">
        <v>24.26</v>
      </c>
      <c r="G52" s="134">
        <v>43.93</v>
      </c>
      <c r="H52" s="134">
        <v>18.22</v>
      </c>
      <c r="I52" s="134">
        <v>7.87</v>
      </c>
      <c r="J52" s="134">
        <v>1.22</v>
      </c>
      <c r="K52" s="134">
        <v>285.91000000000003</v>
      </c>
      <c r="L52" s="134">
        <v>39.590000000000003</v>
      </c>
      <c r="M52" s="134">
        <v>27.78</v>
      </c>
      <c r="N52" s="134">
        <v>132.19999999999999</v>
      </c>
      <c r="O52" s="134">
        <v>0</v>
      </c>
      <c r="P52" s="134">
        <v>0.82</v>
      </c>
      <c r="Q52" s="134">
        <v>4.91</v>
      </c>
    </row>
    <row r="53" spans="1:17" customFormat="1">
      <c r="A53" s="112" t="s">
        <v>1338</v>
      </c>
      <c r="B53" s="134">
        <v>5.73</v>
      </c>
      <c r="C53" s="134">
        <v>41.81</v>
      </c>
      <c r="D53" s="134">
        <v>25.39</v>
      </c>
      <c r="E53" s="134">
        <v>10.24</v>
      </c>
      <c r="F53" s="134">
        <v>23.19</v>
      </c>
      <c r="G53" s="134">
        <v>43.93</v>
      </c>
      <c r="H53" s="134">
        <v>18.22</v>
      </c>
      <c r="I53" s="134">
        <v>7.68</v>
      </c>
      <c r="J53" s="134">
        <v>1.28</v>
      </c>
      <c r="K53" s="134">
        <v>266.44</v>
      </c>
      <c r="L53" s="134">
        <v>39.99</v>
      </c>
      <c r="M53" s="134">
        <v>26.75</v>
      </c>
      <c r="N53" s="134">
        <v>140.5</v>
      </c>
      <c r="O53" s="134">
        <v>0</v>
      </c>
      <c r="P53" s="134">
        <v>0.79</v>
      </c>
      <c r="Q53" s="134">
        <v>4.8600000000000003</v>
      </c>
    </row>
    <row r="54" spans="1:17" customFormat="1">
      <c r="A54" s="112" t="s">
        <v>1339</v>
      </c>
      <c r="B54" s="134">
        <v>5.16</v>
      </c>
      <c r="C54" s="134">
        <v>41.27</v>
      </c>
      <c r="D54" s="134">
        <v>24.65</v>
      </c>
      <c r="E54" s="134">
        <v>9.4499999999999993</v>
      </c>
      <c r="F54" s="134">
        <v>21.82</v>
      </c>
      <c r="G54" s="134">
        <v>43.84</v>
      </c>
      <c r="H54" s="134">
        <v>18.98</v>
      </c>
      <c r="I54" s="134">
        <v>7.55</v>
      </c>
      <c r="J54" s="134">
        <v>1.1499999999999999</v>
      </c>
      <c r="K54" s="134">
        <v>267.27999999999997</v>
      </c>
      <c r="L54" s="134">
        <v>40.6</v>
      </c>
      <c r="M54" s="134">
        <v>25.79</v>
      </c>
      <c r="N54" s="134">
        <v>150.5</v>
      </c>
      <c r="O54" s="134">
        <v>0</v>
      </c>
      <c r="P54" s="134">
        <v>0.77</v>
      </c>
      <c r="Q54" s="134">
        <v>4.7699999999999996</v>
      </c>
    </row>
    <row r="55" spans="1:17" customFormat="1">
      <c r="A55" s="112" t="s">
        <v>1340</v>
      </c>
      <c r="B55" s="134">
        <v>4.62</v>
      </c>
      <c r="C55" s="134">
        <v>45.85</v>
      </c>
      <c r="D55" s="134">
        <v>26.61</v>
      </c>
      <c r="E55" s="134">
        <v>8.76</v>
      </c>
      <c r="F55" s="134">
        <v>20.16</v>
      </c>
      <c r="G55" s="134">
        <v>43.7</v>
      </c>
      <c r="H55" s="134">
        <v>19.63</v>
      </c>
      <c r="I55" s="134">
        <v>7.24</v>
      </c>
      <c r="J55" s="134">
        <v>1.54</v>
      </c>
      <c r="K55" s="134">
        <v>268.92</v>
      </c>
      <c r="L55" s="134">
        <v>40.200000000000003</v>
      </c>
      <c r="M55" s="134">
        <v>25.58</v>
      </c>
      <c r="N55" s="134">
        <v>266.89999999999998</v>
      </c>
      <c r="O55" s="134">
        <v>0</v>
      </c>
      <c r="P55" s="134">
        <v>0.77</v>
      </c>
      <c r="Q55" s="134">
        <v>4.8499999999999996</v>
      </c>
    </row>
    <row r="56" spans="1:17" customFormat="1">
      <c r="A56" s="112" t="s">
        <v>1341</v>
      </c>
      <c r="B56" s="134">
        <v>4.45</v>
      </c>
      <c r="C56" s="134">
        <v>47.5</v>
      </c>
      <c r="D56" s="134">
        <v>27.34</v>
      </c>
      <c r="E56" s="134">
        <v>9.9</v>
      </c>
      <c r="F56" s="134">
        <v>26.5</v>
      </c>
      <c r="G56" s="134">
        <v>43.7</v>
      </c>
      <c r="H56" s="134">
        <v>19.63</v>
      </c>
      <c r="I56" s="134">
        <v>7.19</v>
      </c>
      <c r="J56" s="134">
        <v>1.31</v>
      </c>
      <c r="K56" s="134">
        <v>281.83999999999997</v>
      </c>
      <c r="L56" s="134">
        <v>40.909999999999997</v>
      </c>
      <c r="M56" s="134">
        <v>24.31</v>
      </c>
      <c r="N56" s="134">
        <v>778.2</v>
      </c>
      <c r="O56" s="134">
        <v>0</v>
      </c>
      <c r="P56" s="134">
        <v>0.75</v>
      </c>
      <c r="Q56" s="134">
        <v>4.9000000000000004</v>
      </c>
    </row>
    <row r="57" spans="1:17" customFormat="1">
      <c r="A57" s="112" t="s">
        <v>1342</v>
      </c>
      <c r="B57" s="134">
        <v>4.4000000000000004</v>
      </c>
      <c r="C57" s="134">
        <v>47.08</v>
      </c>
      <c r="D57" s="134">
        <v>27.08</v>
      </c>
      <c r="E57" s="134">
        <v>8.6</v>
      </c>
      <c r="F57" s="134">
        <v>16.98</v>
      </c>
      <c r="G57" s="134">
        <v>43.7</v>
      </c>
      <c r="H57" s="134">
        <v>19.63</v>
      </c>
      <c r="I57" s="134">
        <v>7.19</v>
      </c>
      <c r="J57" s="134">
        <v>1.4</v>
      </c>
      <c r="K57" s="134">
        <v>273.75</v>
      </c>
      <c r="L57" s="134">
        <v>41.21</v>
      </c>
      <c r="M57" s="134">
        <v>23.3</v>
      </c>
      <c r="N57" s="134">
        <v>824.3</v>
      </c>
      <c r="O57" s="134">
        <v>0</v>
      </c>
      <c r="P57" s="134">
        <v>0.73</v>
      </c>
      <c r="Q57" s="134">
        <v>4.93</v>
      </c>
    </row>
    <row r="58" spans="1:17" customFormat="1">
      <c r="A58" s="112" t="s">
        <v>1343</v>
      </c>
      <c r="B58" s="134">
        <v>4.04</v>
      </c>
      <c r="C58" s="134">
        <v>42.47</v>
      </c>
      <c r="D58" s="134">
        <v>24.38</v>
      </c>
      <c r="E58" s="134">
        <v>8.61</v>
      </c>
      <c r="F58" s="134">
        <v>30.43</v>
      </c>
      <c r="G58" s="134">
        <v>43.2</v>
      </c>
      <c r="H58" s="134">
        <v>19.89</v>
      </c>
      <c r="I58" s="134">
        <v>6.98</v>
      </c>
      <c r="J58" s="134">
        <v>0.94</v>
      </c>
      <c r="K58" s="134">
        <v>256.69</v>
      </c>
      <c r="L58" s="134">
        <v>41.84</v>
      </c>
      <c r="M58" s="134">
        <v>22.47</v>
      </c>
      <c r="N58" s="134">
        <v>810.1</v>
      </c>
      <c r="O58" s="134">
        <v>0</v>
      </c>
      <c r="P58" s="134">
        <v>0.69</v>
      </c>
      <c r="Q58" s="134">
        <v>4.87</v>
      </c>
    </row>
    <row r="59" spans="1:17" customFormat="1">
      <c r="A59" s="112" t="s">
        <v>1344</v>
      </c>
      <c r="B59" s="134">
        <v>4.38</v>
      </c>
      <c r="C59" s="134">
        <v>42.82</v>
      </c>
      <c r="D59" s="134">
        <v>24.84</v>
      </c>
      <c r="E59" s="134">
        <v>10.17</v>
      </c>
      <c r="F59" s="134">
        <v>23.45</v>
      </c>
      <c r="G59" s="134">
        <v>42.49</v>
      </c>
      <c r="H59" s="134">
        <v>20.11</v>
      </c>
      <c r="I59" s="134">
        <v>6.85</v>
      </c>
      <c r="J59" s="134">
        <v>1.21</v>
      </c>
      <c r="K59" s="134">
        <v>277.01</v>
      </c>
      <c r="L59" s="134">
        <v>42.26</v>
      </c>
      <c r="M59" s="134">
        <v>21.42</v>
      </c>
      <c r="N59" s="134">
        <v>796.3</v>
      </c>
      <c r="O59" s="134">
        <v>0</v>
      </c>
      <c r="P59" s="134">
        <v>0.67</v>
      </c>
      <c r="Q59" s="134">
        <v>4.8099999999999996</v>
      </c>
    </row>
    <row r="60" spans="1:17" customFormat="1">
      <c r="A60" s="112" t="s">
        <v>1345</v>
      </c>
      <c r="B60" s="134">
        <v>4.29</v>
      </c>
      <c r="C60" s="134">
        <v>43.53</v>
      </c>
      <c r="D60" s="134">
        <v>25.14</v>
      </c>
      <c r="E60" s="134">
        <v>8.18</v>
      </c>
      <c r="F60" s="134">
        <v>21.81</v>
      </c>
      <c r="G60" s="134">
        <v>42.49</v>
      </c>
      <c r="H60" s="134">
        <v>20.11</v>
      </c>
      <c r="I60" s="134">
        <v>6.43</v>
      </c>
      <c r="J60" s="134">
        <v>1.43</v>
      </c>
      <c r="K60" s="134">
        <v>263.54000000000002</v>
      </c>
      <c r="L60" s="134">
        <v>42.17</v>
      </c>
      <c r="M60" s="134">
        <v>20.09</v>
      </c>
      <c r="N60" s="134">
        <v>736.1</v>
      </c>
      <c r="O60" s="134">
        <v>0</v>
      </c>
      <c r="P60" s="134">
        <v>0.65</v>
      </c>
      <c r="Q60" s="134">
        <v>4.79</v>
      </c>
    </row>
    <row r="61" spans="1:17" customFormat="1">
      <c r="A61" s="112" t="s">
        <v>1346</v>
      </c>
      <c r="B61" s="134">
        <v>4.32</v>
      </c>
      <c r="C61" s="134">
        <v>44</v>
      </c>
      <c r="D61" s="134">
        <v>25.4</v>
      </c>
      <c r="E61" s="134">
        <v>7.54</v>
      </c>
      <c r="F61" s="134">
        <v>25.8</v>
      </c>
      <c r="G61" s="134">
        <v>42.49</v>
      </c>
      <c r="H61" s="134">
        <v>20.11</v>
      </c>
      <c r="I61" s="134">
        <v>6.22</v>
      </c>
      <c r="J61" s="134">
        <v>0.83</v>
      </c>
      <c r="K61" s="134">
        <v>284.63</v>
      </c>
      <c r="L61" s="134">
        <v>42.76</v>
      </c>
      <c r="M61" s="134">
        <v>18.54</v>
      </c>
      <c r="N61" s="134">
        <v>710.8</v>
      </c>
      <c r="O61" s="134">
        <v>0</v>
      </c>
      <c r="P61" s="134">
        <v>0.63</v>
      </c>
      <c r="Q61" s="134">
        <v>4.8</v>
      </c>
    </row>
    <row r="62" spans="1:17" customFormat="1">
      <c r="A62" s="112" t="s">
        <v>1347</v>
      </c>
      <c r="B62" s="134">
        <v>4.3099999999999996</v>
      </c>
      <c r="C62" s="134">
        <v>46.39</v>
      </c>
      <c r="D62" s="134">
        <v>26.65</v>
      </c>
      <c r="E62" s="134">
        <v>7.7</v>
      </c>
      <c r="F62" s="134">
        <v>27.22</v>
      </c>
      <c r="G62" s="134">
        <v>41</v>
      </c>
      <c r="H62" s="134">
        <v>19.420000000000002</v>
      </c>
      <c r="I62" s="134">
        <v>6.3</v>
      </c>
      <c r="J62" s="134">
        <v>0.94</v>
      </c>
      <c r="K62" s="134">
        <v>273.31</v>
      </c>
      <c r="L62" s="134">
        <v>43.21</v>
      </c>
      <c r="M62" s="134">
        <v>17.940000000000001</v>
      </c>
      <c r="N62" s="134">
        <v>769</v>
      </c>
      <c r="O62" s="134">
        <v>0</v>
      </c>
      <c r="P62" s="134">
        <v>0.61</v>
      </c>
      <c r="Q62" s="134">
        <v>4.96</v>
      </c>
    </row>
    <row r="63" spans="1:17" customFormat="1">
      <c r="A63" s="112" t="s">
        <v>1348</v>
      </c>
      <c r="B63" s="134">
        <v>4.53</v>
      </c>
      <c r="C63" s="134">
        <v>51.37</v>
      </c>
      <c r="D63" s="134">
        <v>29.43</v>
      </c>
      <c r="E63" s="134">
        <v>7.88</v>
      </c>
      <c r="F63" s="134">
        <v>25.26</v>
      </c>
      <c r="G63" s="134">
        <v>38.869999999999997</v>
      </c>
      <c r="H63" s="134">
        <v>17.760000000000002</v>
      </c>
      <c r="I63" s="134">
        <v>6.06</v>
      </c>
      <c r="J63" s="134">
        <v>1</v>
      </c>
      <c r="K63" s="134">
        <v>270.24</v>
      </c>
      <c r="L63" s="134">
        <v>43.54</v>
      </c>
      <c r="M63" s="134">
        <v>17.079999999999998</v>
      </c>
      <c r="N63" s="134">
        <v>745.3</v>
      </c>
      <c r="O63" s="134">
        <v>0</v>
      </c>
      <c r="P63" s="134">
        <v>0.62</v>
      </c>
      <c r="Q63" s="134">
        <v>5.15</v>
      </c>
    </row>
    <row r="64" spans="1:17" customFormat="1">
      <c r="A64" s="112" t="s">
        <v>1349</v>
      </c>
      <c r="B64" s="134">
        <v>4.8899999999999997</v>
      </c>
      <c r="C64" s="134">
        <v>57.24</v>
      </c>
      <c r="D64" s="134">
        <v>32.79</v>
      </c>
      <c r="E64" s="134">
        <v>7.36</v>
      </c>
      <c r="F64" s="134">
        <v>20.16</v>
      </c>
      <c r="G64" s="134">
        <v>38.869999999999997</v>
      </c>
      <c r="H64" s="134">
        <v>17.760000000000002</v>
      </c>
      <c r="I64" s="134">
        <v>5.92</v>
      </c>
      <c r="J64" s="134">
        <v>0.8</v>
      </c>
      <c r="K64" s="134">
        <v>246.36</v>
      </c>
      <c r="L64" s="134">
        <v>43.61</v>
      </c>
      <c r="M64" s="134">
        <v>16.75</v>
      </c>
      <c r="N64" s="134">
        <v>727.3</v>
      </c>
      <c r="O64" s="134">
        <v>0</v>
      </c>
      <c r="P64" s="134">
        <v>0.63</v>
      </c>
      <c r="Q64" s="134">
        <v>5.28</v>
      </c>
    </row>
    <row r="65" spans="1:17" customFormat="1">
      <c r="A65" s="112" t="s">
        <v>1350</v>
      </c>
      <c r="B65" s="134">
        <v>5.23</v>
      </c>
      <c r="C65" s="134">
        <v>61.6</v>
      </c>
      <c r="D65" s="134">
        <v>35.33</v>
      </c>
      <c r="E65" s="134">
        <v>7.17</v>
      </c>
      <c r="F65" s="134">
        <v>20.38</v>
      </c>
      <c r="G65" s="134">
        <v>38.869999999999997</v>
      </c>
      <c r="H65" s="134">
        <v>17.760000000000002</v>
      </c>
      <c r="I65" s="134">
        <v>6.01</v>
      </c>
      <c r="J65" s="134">
        <v>1.08</v>
      </c>
      <c r="K65" s="134">
        <v>283.81</v>
      </c>
      <c r="L65" s="134">
        <v>43.26</v>
      </c>
      <c r="M65" s="134">
        <v>16.71</v>
      </c>
      <c r="N65" s="134">
        <v>642.9</v>
      </c>
      <c r="O65" s="134">
        <v>0</v>
      </c>
      <c r="P65" s="134">
        <v>0.54</v>
      </c>
      <c r="Q65" s="134">
        <v>5.4</v>
      </c>
    </row>
    <row r="66" spans="1:17" customFormat="1">
      <c r="A66" s="112" t="s">
        <v>1351</v>
      </c>
      <c r="B66" s="134">
        <v>5.58</v>
      </c>
      <c r="C66" s="134">
        <v>60.52</v>
      </c>
      <c r="D66" s="134">
        <v>35.049999999999997</v>
      </c>
      <c r="E66" s="134">
        <v>8.08</v>
      </c>
      <c r="F66" s="134">
        <v>27.7</v>
      </c>
      <c r="G66" s="134">
        <v>39.15</v>
      </c>
      <c r="H66" s="134">
        <v>16.48</v>
      </c>
      <c r="I66" s="134">
        <v>6.18</v>
      </c>
      <c r="J66" s="134">
        <v>0.61</v>
      </c>
      <c r="K66" s="134">
        <v>313.86</v>
      </c>
      <c r="L66" s="134">
        <v>43.44</v>
      </c>
      <c r="M66" s="134">
        <v>16.77</v>
      </c>
      <c r="N66" s="134">
        <v>674.1</v>
      </c>
      <c r="O66" s="134">
        <v>0</v>
      </c>
      <c r="P66" s="134">
        <v>0.54</v>
      </c>
      <c r="Q66" s="134">
        <v>5.53</v>
      </c>
    </row>
    <row r="67" spans="1:17" customFormat="1">
      <c r="A67" s="112" t="s">
        <v>1352</v>
      </c>
      <c r="B67" s="134">
        <v>5.48</v>
      </c>
      <c r="C67" s="134">
        <v>66.58</v>
      </c>
      <c r="D67" s="134">
        <v>38.130000000000003</v>
      </c>
      <c r="E67" s="134">
        <v>7.4</v>
      </c>
      <c r="F67" s="134">
        <v>20.32</v>
      </c>
      <c r="G67" s="134">
        <v>39.54</v>
      </c>
      <c r="H67" s="134">
        <v>15.37</v>
      </c>
      <c r="I67" s="134">
        <v>6.04</v>
      </c>
      <c r="J67" s="134">
        <v>0.72</v>
      </c>
      <c r="K67" s="134">
        <v>241.83</v>
      </c>
      <c r="L67" s="134">
        <v>44.09</v>
      </c>
      <c r="M67" s="134">
        <v>16.3</v>
      </c>
      <c r="N67" s="134">
        <v>657.4</v>
      </c>
      <c r="O67" s="134">
        <v>0</v>
      </c>
      <c r="P67" s="134">
        <v>0.55000000000000004</v>
      </c>
      <c r="Q67" s="134">
        <v>5.61</v>
      </c>
    </row>
    <row r="68" spans="1:17" customFormat="1">
      <c r="A68" s="112" t="s">
        <v>1353</v>
      </c>
      <c r="B68" s="134">
        <v>5.77</v>
      </c>
      <c r="C68" s="134">
        <v>64.89</v>
      </c>
      <c r="D68" s="134">
        <v>37.479999999999997</v>
      </c>
      <c r="E68" s="134">
        <v>7.74</v>
      </c>
      <c r="F68" s="134">
        <v>20.190000000000001</v>
      </c>
      <c r="G68" s="134">
        <v>39.54</v>
      </c>
      <c r="H68" s="134">
        <v>15.37</v>
      </c>
      <c r="I68" s="134">
        <v>5.78</v>
      </c>
      <c r="J68" s="134">
        <v>0.87</v>
      </c>
      <c r="K68" s="134">
        <v>247.97</v>
      </c>
      <c r="L68" s="134">
        <v>43.03</v>
      </c>
      <c r="M68" s="134">
        <v>17.8</v>
      </c>
      <c r="N68" s="134">
        <v>219.5</v>
      </c>
      <c r="O68" s="134">
        <v>0</v>
      </c>
      <c r="P68" s="134">
        <v>0.54</v>
      </c>
      <c r="Q68" s="134">
        <v>5.62</v>
      </c>
    </row>
    <row r="69" spans="1:17" customFormat="1">
      <c r="A69" s="112" t="s">
        <v>1354</v>
      </c>
      <c r="B69" s="134">
        <v>5.33</v>
      </c>
      <c r="C69" s="134">
        <v>54.93</v>
      </c>
      <c r="D69" s="134">
        <v>31.93</v>
      </c>
      <c r="E69" s="134">
        <v>8.83</v>
      </c>
      <c r="F69" s="134">
        <v>35.229999999999997</v>
      </c>
      <c r="G69" s="134">
        <v>39.54</v>
      </c>
      <c r="H69" s="134">
        <v>15.37</v>
      </c>
      <c r="I69" s="134">
        <v>5.94</v>
      </c>
      <c r="J69" s="134">
        <v>0.62</v>
      </c>
      <c r="K69" s="134">
        <v>257.64999999999998</v>
      </c>
      <c r="L69" s="134">
        <v>41.82</v>
      </c>
      <c r="M69" s="134">
        <v>19.03</v>
      </c>
      <c r="N69" s="134">
        <v>117.2</v>
      </c>
      <c r="O69" s="134">
        <v>0</v>
      </c>
      <c r="P69" s="134">
        <v>0.5</v>
      </c>
      <c r="Q69" s="134">
        <v>5.61</v>
      </c>
    </row>
    <row r="70" spans="1:17" customFormat="1">
      <c r="A70" s="112" t="s">
        <v>1355</v>
      </c>
      <c r="B70" s="134">
        <v>6.45</v>
      </c>
      <c r="C70" s="134">
        <v>55.55</v>
      </c>
      <c r="D70" s="134">
        <v>33.15</v>
      </c>
      <c r="E70" s="134">
        <v>9.32</v>
      </c>
      <c r="F70" s="134">
        <v>33.9</v>
      </c>
      <c r="G70" s="134">
        <v>37.03</v>
      </c>
      <c r="H70" s="134">
        <v>15.18</v>
      </c>
      <c r="I70" s="134">
        <v>5.88</v>
      </c>
      <c r="J70" s="134">
        <v>0.7</v>
      </c>
      <c r="K70" s="134">
        <v>303.95</v>
      </c>
      <c r="L70" s="134">
        <v>42.04</v>
      </c>
      <c r="M70" s="134">
        <v>18.600000000000001</v>
      </c>
      <c r="N70" s="134">
        <v>229.1</v>
      </c>
      <c r="O70" s="134">
        <v>0</v>
      </c>
      <c r="P70" s="134">
        <v>0.51</v>
      </c>
      <c r="Q70" s="134">
        <v>5.64</v>
      </c>
    </row>
    <row r="71" spans="1:17" customFormat="1">
      <c r="A71" s="112" t="s">
        <v>1356</v>
      </c>
      <c r="B71" s="134">
        <v>7.08</v>
      </c>
      <c r="C71" s="134">
        <v>56.5</v>
      </c>
      <c r="D71" s="134">
        <v>34.15</v>
      </c>
      <c r="E71" s="134">
        <v>9.7899999999999991</v>
      </c>
      <c r="F71" s="134">
        <v>37.880000000000003</v>
      </c>
      <c r="G71" s="134">
        <v>33.44</v>
      </c>
      <c r="H71" s="134">
        <v>15.01</v>
      </c>
      <c r="I71" s="134">
        <v>5.5</v>
      </c>
      <c r="J71" s="134">
        <v>0.38</v>
      </c>
      <c r="K71" s="134">
        <v>288.10000000000002</v>
      </c>
      <c r="L71" s="134">
        <v>42.02</v>
      </c>
      <c r="M71" s="134">
        <v>19.309999999999999</v>
      </c>
      <c r="N71" s="134">
        <v>227.2</v>
      </c>
      <c r="O71" s="134">
        <v>0</v>
      </c>
      <c r="P71" s="134">
        <v>0.5</v>
      </c>
      <c r="Q71" s="134">
        <v>5.67</v>
      </c>
    </row>
    <row r="72" spans="1:17" customFormat="1">
      <c r="A72" s="112" t="s">
        <v>1357</v>
      </c>
      <c r="B72" s="134">
        <v>5.93</v>
      </c>
      <c r="C72" s="134">
        <v>50.83</v>
      </c>
      <c r="D72" s="134">
        <v>30.26</v>
      </c>
      <c r="E72" s="134">
        <v>10.98</v>
      </c>
      <c r="F72" s="134">
        <v>46.83</v>
      </c>
      <c r="G72" s="134">
        <v>33.44</v>
      </c>
      <c r="H72" s="134">
        <v>15.01</v>
      </c>
      <c r="I72" s="134">
        <v>5.35</v>
      </c>
      <c r="J72" s="134">
        <v>0.1</v>
      </c>
      <c r="K72" s="134">
        <v>18.899999999999999</v>
      </c>
      <c r="L72" s="134">
        <v>41.68</v>
      </c>
      <c r="M72" s="134">
        <v>19.670000000000002</v>
      </c>
      <c r="N72" s="134">
        <v>94.7</v>
      </c>
      <c r="O72" s="134">
        <v>0</v>
      </c>
      <c r="P72" s="134">
        <v>0.48</v>
      </c>
      <c r="Q72" s="134">
        <v>5.71</v>
      </c>
    </row>
    <row r="73" spans="1:17" customFormat="1">
      <c r="A73" s="112" t="s">
        <v>1358</v>
      </c>
      <c r="B73" s="134">
        <v>5.44</v>
      </c>
      <c r="C73" s="134">
        <v>47.49</v>
      </c>
      <c r="D73" s="134">
        <v>28.13</v>
      </c>
      <c r="E73" s="134">
        <v>11.84</v>
      </c>
      <c r="F73" s="134">
        <v>48.47</v>
      </c>
      <c r="G73" s="134">
        <v>33.44</v>
      </c>
      <c r="H73" s="134">
        <v>15.01</v>
      </c>
      <c r="I73" s="134">
        <v>4.9800000000000004</v>
      </c>
      <c r="J73" s="134">
        <v>0.2</v>
      </c>
      <c r="K73" s="134">
        <v>279.70999999999998</v>
      </c>
      <c r="L73" s="134">
        <v>41.25</v>
      </c>
      <c r="M73" s="134">
        <v>20.46</v>
      </c>
      <c r="N73" s="134">
        <v>113</v>
      </c>
      <c r="O73" s="134">
        <v>0</v>
      </c>
      <c r="P73" s="134">
        <v>0.47</v>
      </c>
      <c r="Q73" s="134">
        <v>5.68</v>
      </c>
    </row>
    <row r="74" spans="1:17" customFormat="1">
      <c r="A74" s="112" t="s">
        <v>1359</v>
      </c>
      <c r="B74" s="134">
        <v>5.48</v>
      </c>
      <c r="C74" s="134">
        <v>52.97</v>
      </c>
      <c r="D74" s="134">
        <v>31.02</v>
      </c>
      <c r="E74" s="134">
        <v>11.71</v>
      </c>
      <c r="F74" s="134">
        <v>41.57</v>
      </c>
      <c r="G74" s="134">
        <v>33.03</v>
      </c>
      <c r="H74" s="134">
        <v>16.329999999999998</v>
      </c>
      <c r="I74" s="134">
        <v>4.74</v>
      </c>
      <c r="J74" s="134">
        <v>0.47</v>
      </c>
      <c r="K74" s="134">
        <v>224.76</v>
      </c>
      <c r="L74" s="134">
        <v>42.18</v>
      </c>
      <c r="M74" s="134">
        <v>19.309999999999999</v>
      </c>
      <c r="N74" s="134">
        <v>293.39999999999998</v>
      </c>
      <c r="O74" s="134">
        <v>0</v>
      </c>
      <c r="P74" s="134">
        <v>0.5</v>
      </c>
      <c r="Q74" s="134">
        <v>5.72</v>
      </c>
    </row>
    <row r="75" spans="1:17" customFormat="1">
      <c r="A75" s="112" t="s">
        <v>1360</v>
      </c>
      <c r="B75" s="134">
        <v>6.67</v>
      </c>
      <c r="C75" s="134">
        <v>63.46</v>
      </c>
      <c r="D75" s="134">
        <v>37.46</v>
      </c>
      <c r="E75" s="134">
        <v>8.11</v>
      </c>
      <c r="F75" s="134">
        <v>16.91</v>
      </c>
      <c r="G75" s="134">
        <v>32.44</v>
      </c>
      <c r="H75" s="134">
        <v>17.47</v>
      </c>
      <c r="I75" s="134">
        <v>4.99</v>
      </c>
      <c r="J75" s="134">
        <v>0.98</v>
      </c>
      <c r="K75" s="134">
        <v>249.77</v>
      </c>
      <c r="L75" s="134">
        <v>40.130000000000003</v>
      </c>
      <c r="M75" s="134">
        <v>21.81</v>
      </c>
      <c r="N75" s="134">
        <v>65.400000000000006</v>
      </c>
      <c r="O75" s="134">
        <v>0</v>
      </c>
      <c r="P75" s="134">
        <v>0.53</v>
      </c>
      <c r="Q75" s="134">
        <v>5.68</v>
      </c>
    </row>
    <row r="76" spans="1:17" customFormat="1">
      <c r="A76" s="112" t="s">
        <v>1361</v>
      </c>
      <c r="B76" s="134">
        <v>5.37</v>
      </c>
      <c r="C76" s="134">
        <v>47.17</v>
      </c>
      <c r="D76" s="134">
        <v>27.9</v>
      </c>
      <c r="E76" s="134">
        <v>10.91</v>
      </c>
      <c r="F76" s="134">
        <v>45.56</v>
      </c>
      <c r="G76" s="134">
        <v>32.44</v>
      </c>
      <c r="H76" s="134">
        <v>17.47</v>
      </c>
      <c r="I76" s="134">
        <v>5.35</v>
      </c>
      <c r="J76" s="134">
        <v>0.25</v>
      </c>
      <c r="K76" s="134">
        <v>223.56</v>
      </c>
      <c r="L76" s="134">
        <v>39.979999999999997</v>
      </c>
      <c r="M76" s="134">
        <v>22.38</v>
      </c>
      <c r="N76" s="134">
        <v>109</v>
      </c>
      <c r="O76" s="134">
        <v>0</v>
      </c>
      <c r="P76" s="134">
        <v>0.45</v>
      </c>
      <c r="Q76" s="134">
        <v>5.51</v>
      </c>
    </row>
    <row r="77" spans="1:17" customFormat="1">
      <c r="A77" s="112" t="s">
        <v>1362</v>
      </c>
      <c r="B77" s="134">
        <v>5.44</v>
      </c>
      <c r="C77" s="134">
        <v>45.77</v>
      </c>
      <c r="D77" s="134">
        <v>27.23</v>
      </c>
      <c r="E77" s="134">
        <v>10.14</v>
      </c>
      <c r="F77" s="134">
        <v>33.200000000000003</v>
      </c>
      <c r="G77" s="134">
        <v>32.44</v>
      </c>
      <c r="H77" s="134">
        <v>17.47</v>
      </c>
      <c r="I77" s="134">
        <v>5.4</v>
      </c>
      <c r="J77" s="134">
        <v>0.78</v>
      </c>
      <c r="K77" s="134">
        <v>257.77999999999997</v>
      </c>
      <c r="L77" s="134">
        <v>40.21</v>
      </c>
      <c r="M77" s="134">
        <v>22.02</v>
      </c>
      <c r="N77" s="134">
        <v>71.099999999999994</v>
      </c>
      <c r="O77" s="134">
        <v>0</v>
      </c>
      <c r="P77" s="134">
        <v>0.46</v>
      </c>
      <c r="Q77" s="134">
        <v>5.37</v>
      </c>
    </row>
    <row r="78" spans="1:17" customFormat="1">
      <c r="A78" s="112" t="s">
        <v>1363</v>
      </c>
      <c r="B78" s="134">
        <v>5.44</v>
      </c>
      <c r="C78" s="134">
        <v>45.55</v>
      </c>
      <c r="D78" s="134">
        <v>27.11</v>
      </c>
      <c r="E78" s="134">
        <v>10.47</v>
      </c>
      <c r="F78" s="134">
        <v>35.49</v>
      </c>
      <c r="G78" s="134">
        <v>33.14</v>
      </c>
      <c r="H78" s="134">
        <v>17.27</v>
      </c>
      <c r="I78" s="134">
        <v>4.79</v>
      </c>
      <c r="J78" s="134">
        <v>0.71</v>
      </c>
      <c r="K78" s="134">
        <v>250.07</v>
      </c>
      <c r="L78" s="134">
        <v>39.4</v>
      </c>
      <c r="M78" s="134">
        <v>22.42</v>
      </c>
      <c r="N78" s="134">
        <v>38.799999999999997</v>
      </c>
      <c r="O78" s="134">
        <v>0</v>
      </c>
      <c r="P78" s="134">
        <v>0.46</v>
      </c>
      <c r="Q78" s="134">
        <v>5.27</v>
      </c>
    </row>
    <row r="79" spans="1:17" customFormat="1">
      <c r="A79" s="112" t="s">
        <v>1364</v>
      </c>
      <c r="B79" s="134">
        <v>5.04</v>
      </c>
      <c r="C79" s="134">
        <v>41.67</v>
      </c>
      <c r="D79" s="134">
        <v>24.76</v>
      </c>
      <c r="E79" s="134">
        <v>9.35</v>
      </c>
      <c r="F79" s="134">
        <v>39.94</v>
      </c>
      <c r="G79" s="134">
        <v>34.15</v>
      </c>
      <c r="H79" s="134">
        <v>17.100000000000001</v>
      </c>
      <c r="I79" s="134">
        <v>4.71</v>
      </c>
      <c r="J79" s="134">
        <v>0.4</v>
      </c>
      <c r="K79" s="134">
        <v>232.34</v>
      </c>
      <c r="L79" s="134">
        <v>38.979999999999997</v>
      </c>
      <c r="M79" s="134">
        <v>23.32</v>
      </c>
      <c r="N79" s="134">
        <v>20.9</v>
      </c>
      <c r="O79" s="134">
        <v>0</v>
      </c>
      <c r="P79" s="134">
        <v>0.44</v>
      </c>
      <c r="Q79" s="134">
        <v>5.14</v>
      </c>
    </row>
    <row r="80" spans="1:17" customFormat="1">
      <c r="A80" s="112" t="s">
        <v>1365</v>
      </c>
      <c r="B80" s="134">
        <v>5.2</v>
      </c>
      <c r="C80" s="134">
        <v>40.880000000000003</v>
      </c>
      <c r="D80" s="134">
        <v>24.49</v>
      </c>
      <c r="E80" s="134">
        <v>7.63</v>
      </c>
      <c r="F80" s="134">
        <v>34.450000000000003</v>
      </c>
      <c r="G80" s="134">
        <v>34.15</v>
      </c>
      <c r="H80" s="134">
        <v>17.100000000000001</v>
      </c>
      <c r="I80" s="134">
        <v>4.88</v>
      </c>
      <c r="J80" s="134">
        <v>0.77</v>
      </c>
      <c r="K80" s="134">
        <v>254.87</v>
      </c>
      <c r="L80" s="134">
        <v>38.450000000000003</v>
      </c>
      <c r="M80" s="134">
        <v>23.39</v>
      </c>
      <c r="N80" s="134">
        <v>17.5</v>
      </c>
      <c r="O80" s="134">
        <v>0</v>
      </c>
      <c r="P80" s="134">
        <v>0.43</v>
      </c>
      <c r="Q80" s="134">
        <v>5.07</v>
      </c>
    </row>
    <row r="81" spans="1:17" customFormat="1">
      <c r="A81" s="112" t="s">
        <v>1366</v>
      </c>
      <c r="B81" s="134">
        <v>5.16</v>
      </c>
      <c r="C81" s="134">
        <v>38.659999999999997</v>
      </c>
      <c r="D81" s="134">
        <v>23.29</v>
      </c>
      <c r="E81" s="134">
        <v>9.3800000000000008</v>
      </c>
      <c r="F81" s="134">
        <v>40.270000000000003</v>
      </c>
      <c r="G81" s="134">
        <v>34.15</v>
      </c>
      <c r="H81" s="134">
        <v>17.100000000000001</v>
      </c>
      <c r="I81" s="134">
        <v>4.51</v>
      </c>
      <c r="J81" s="134">
        <v>0.71</v>
      </c>
      <c r="K81" s="134">
        <v>249.76</v>
      </c>
      <c r="L81" s="134">
        <v>38.44</v>
      </c>
      <c r="M81" s="134">
        <v>23.46</v>
      </c>
      <c r="N81" s="134">
        <v>10.3</v>
      </c>
      <c r="O81" s="134">
        <v>0</v>
      </c>
      <c r="P81" s="134">
        <v>0.43</v>
      </c>
      <c r="Q81" s="134">
        <v>4.95</v>
      </c>
    </row>
    <row r="82" spans="1:17" customFormat="1">
      <c r="A82" s="112" t="s">
        <v>1367</v>
      </c>
      <c r="B82" s="134">
        <v>4.33</v>
      </c>
      <c r="C82" s="134">
        <v>33.11</v>
      </c>
      <c r="D82" s="134">
        <v>19.73</v>
      </c>
      <c r="E82" s="134">
        <v>12.09</v>
      </c>
      <c r="F82" s="134">
        <v>51.79</v>
      </c>
      <c r="G82" s="134">
        <v>33.04</v>
      </c>
      <c r="H82" s="134">
        <v>16.760000000000002</v>
      </c>
      <c r="I82" s="134">
        <v>4.43</v>
      </c>
      <c r="J82" s="134">
        <v>0.56000000000000005</v>
      </c>
      <c r="K82" s="134">
        <v>250.32</v>
      </c>
      <c r="L82" s="134">
        <v>38.159999999999997</v>
      </c>
      <c r="M82" s="134">
        <v>24.22</v>
      </c>
      <c r="N82" s="134">
        <v>1.2</v>
      </c>
      <c r="O82" s="134">
        <v>0</v>
      </c>
      <c r="P82" s="134">
        <v>0.39</v>
      </c>
      <c r="Q82" s="134">
        <v>4.8600000000000003</v>
      </c>
    </row>
    <row r="83" spans="1:17" customFormat="1">
      <c r="A83" s="112" t="s">
        <v>1368</v>
      </c>
      <c r="B83" s="134">
        <v>3.79</v>
      </c>
      <c r="C83" s="134">
        <v>28.26</v>
      </c>
      <c r="D83" s="134">
        <v>16.760000000000002</v>
      </c>
      <c r="E83" s="134">
        <v>9.7100000000000009</v>
      </c>
      <c r="F83" s="134">
        <v>54.31</v>
      </c>
      <c r="G83" s="134">
        <v>31.44</v>
      </c>
      <c r="H83" s="134">
        <v>16.46</v>
      </c>
      <c r="I83" s="134">
        <v>4.4800000000000004</v>
      </c>
      <c r="J83" s="134">
        <v>0.24</v>
      </c>
      <c r="K83" s="134">
        <v>240.87</v>
      </c>
      <c r="L83" s="134">
        <v>37.840000000000003</v>
      </c>
      <c r="M83" s="134">
        <v>24.9</v>
      </c>
      <c r="N83" s="134">
        <v>0</v>
      </c>
      <c r="O83" s="134">
        <v>0</v>
      </c>
      <c r="P83" s="134">
        <v>0.35</v>
      </c>
      <c r="Q83" s="134">
        <v>4.8</v>
      </c>
    </row>
    <row r="84" spans="1:17" customFormat="1">
      <c r="A84" s="112" t="s">
        <v>1369</v>
      </c>
      <c r="B84" s="134">
        <v>3.63</v>
      </c>
      <c r="C84" s="134">
        <v>27.36</v>
      </c>
      <c r="D84" s="134">
        <v>16.16</v>
      </c>
      <c r="E84" s="134">
        <v>9.77</v>
      </c>
      <c r="F84" s="134">
        <v>54.07</v>
      </c>
      <c r="G84" s="134">
        <v>31.44</v>
      </c>
      <c r="H84" s="134">
        <v>16.46</v>
      </c>
      <c r="I84" s="134">
        <v>3.95</v>
      </c>
      <c r="J84" s="134">
        <v>0.25</v>
      </c>
      <c r="K84" s="134">
        <v>237.08</v>
      </c>
      <c r="L84" s="134">
        <v>37.619999999999997</v>
      </c>
      <c r="M84" s="134">
        <v>25.45</v>
      </c>
      <c r="N84" s="134">
        <v>0</v>
      </c>
      <c r="O84" s="134">
        <v>0</v>
      </c>
      <c r="P84" s="134">
        <v>0.37</v>
      </c>
      <c r="Q84" s="134">
        <v>4.79</v>
      </c>
    </row>
    <row r="85" spans="1:17" customFormat="1">
      <c r="A85" s="112" t="s">
        <v>1370</v>
      </c>
      <c r="B85" s="134">
        <v>3.63</v>
      </c>
      <c r="C85" s="134">
        <v>27.95</v>
      </c>
      <c r="D85" s="134">
        <v>16.47</v>
      </c>
      <c r="E85" s="134">
        <v>9.6300000000000008</v>
      </c>
      <c r="F85" s="134">
        <v>49.63</v>
      </c>
      <c r="G85" s="134">
        <v>31.44</v>
      </c>
      <c r="H85" s="134">
        <v>16.46</v>
      </c>
      <c r="I85" s="134">
        <v>3.36</v>
      </c>
      <c r="J85" s="134">
        <v>0.12</v>
      </c>
      <c r="K85" s="134">
        <v>166.9</v>
      </c>
      <c r="L85" s="134">
        <v>37.619999999999997</v>
      </c>
      <c r="M85" s="134">
        <v>25.9</v>
      </c>
      <c r="N85" s="134">
        <v>0</v>
      </c>
      <c r="O85" s="134">
        <v>0</v>
      </c>
      <c r="P85" s="134">
        <v>0.39</v>
      </c>
      <c r="Q85" s="134">
        <v>4.78</v>
      </c>
    </row>
    <row r="86" spans="1:17" customFormat="1">
      <c r="A86" s="112" t="s">
        <v>1371</v>
      </c>
      <c r="B86" s="134">
        <v>10.25</v>
      </c>
      <c r="C86" s="134">
        <v>47.59</v>
      </c>
      <c r="D86" s="134">
        <v>32.03</v>
      </c>
      <c r="E86" s="134">
        <v>11</v>
      </c>
      <c r="F86" s="134">
        <v>23.41</v>
      </c>
      <c r="G86" s="134">
        <v>32.29</v>
      </c>
      <c r="H86" s="134">
        <v>15.99</v>
      </c>
      <c r="I86" s="134">
        <v>3.37</v>
      </c>
      <c r="J86" s="134">
        <v>0.64</v>
      </c>
      <c r="K86" s="134">
        <v>76.36</v>
      </c>
      <c r="L86" s="134">
        <v>37.61</v>
      </c>
      <c r="M86" s="134">
        <v>26.2</v>
      </c>
      <c r="N86" s="134">
        <v>0</v>
      </c>
      <c r="O86" s="134">
        <v>0</v>
      </c>
      <c r="P86" s="134">
        <v>0.69</v>
      </c>
      <c r="Q86" s="134">
        <v>4.79</v>
      </c>
    </row>
    <row r="87" spans="1:17" customFormat="1">
      <c r="A87" s="112" t="s">
        <v>1372</v>
      </c>
      <c r="B87" s="134">
        <v>7.63</v>
      </c>
      <c r="C87" s="134">
        <v>43.65</v>
      </c>
      <c r="D87" s="134">
        <v>27.88</v>
      </c>
      <c r="E87" s="134">
        <v>10.220000000000001</v>
      </c>
      <c r="F87" s="134">
        <v>22.4</v>
      </c>
      <c r="G87" s="134">
        <v>33.51</v>
      </c>
      <c r="H87" s="134">
        <v>14.85</v>
      </c>
      <c r="I87" s="134">
        <v>3.65</v>
      </c>
      <c r="J87" s="134">
        <v>1.57</v>
      </c>
      <c r="K87" s="134">
        <v>52.79</v>
      </c>
      <c r="L87" s="134">
        <v>37.119999999999997</v>
      </c>
      <c r="M87" s="134">
        <v>27.6</v>
      </c>
      <c r="N87" s="134">
        <v>0</v>
      </c>
      <c r="O87" s="134">
        <v>0</v>
      </c>
      <c r="P87" s="134">
        <v>0.54</v>
      </c>
      <c r="Q87" s="134">
        <v>4.8499999999999996</v>
      </c>
    </row>
    <row r="88" spans="1:17" customFormat="1">
      <c r="A88" s="112" t="s">
        <v>1373</v>
      </c>
      <c r="B88" s="134">
        <v>7.01</v>
      </c>
      <c r="C88" s="134">
        <v>41.57</v>
      </c>
      <c r="D88" s="134">
        <v>26.3</v>
      </c>
      <c r="E88" s="134">
        <v>16.23</v>
      </c>
      <c r="F88" s="134">
        <v>22.33</v>
      </c>
      <c r="G88" s="134">
        <v>33.51</v>
      </c>
      <c r="H88" s="134">
        <v>14.85</v>
      </c>
      <c r="I88" s="134">
        <v>4.63</v>
      </c>
      <c r="J88" s="134">
        <v>1.63</v>
      </c>
      <c r="K88" s="134">
        <v>12.32</v>
      </c>
      <c r="L88" s="134">
        <v>35.42</v>
      </c>
      <c r="M88" s="134">
        <v>33.619999999999997</v>
      </c>
      <c r="N88" s="134">
        <v>1.9</v>
      </c>
      <c r="O88" s="134">
        <v>0</v>
      </c>
      <c r="P88" s="134">
        <v>0.47</v>
      </c>
      <c r="Q88" s="134">
        <v>4.8899999999999997</v>
      </c>
    </row>
    <row r="89" spans="1:17" customFormat="1">
      <c r="A89" s="112" t="s">
        <v>1374</v>
      </c>
      <c r="B89" s="134">
        <v>7</v>
      </c>
      <c r="C89" s="134">
        <v>45.41</v>
      </c>
      <c r="D89" s="134">
        <v>28.3</v>
      </c>
      <c r="E89" s="134">
        <v>8.8699999999999992</v>
      </c>
      <c r="F89" s="134">
        <v>13.92</v>
      </c>
      <c r="G89" s="134">
        <v>33.51</v>
      </c>
      <c r="H89" s="134">
        <v>14.85</v>
      </c>
      <c r="I89" s="134">
        <v>5.26</v>
      </c>
      <c r="J89" s="134">
        <v>2.2200000000000002</v>
      </c>
      <c r="K89" s="134">
        <v>293.7</v>
      </c>
      <c r="L89" s="134">
        <v>33.840000000000003</v>
      </c>
      <c r="M89" s="134">
        <v>38.049999999999997</v>
      </c>
      <c r="N89" s="134">
        <v>0</v>
      </c>
      <c r="O89" s="134">
        <v>0</v>
      </c>
      <c r="P89" s="134">
        <v>0.48</v>
      </c>
      <c r="Q89" s="134">
        <v>4.8600000000000003</v>
      </c>
    </row>
    <row r="90" spans="1:17" customFormat="1">
      <c r="A90" s="112" t="s">
        <v>1375</v>
      </c>
      <c r="B90" s="134">
        <v>6.52</v>
      </c>
      <c r="C90" s="134">
        <v>46.77</v>
      </c>
      <c r="D90" s="134">
        <v>28.62</v>
      </c>
      <c r="E90" s="134">
        <v>7.84</v>
      </c>
      <c r="F90" s="134">
        <v>11.36</v>
      </c>
      <c r="G90" s="134">
        <v>44.45</v>
      </c>
      <c r="H90" s="134">
        <v>16.18</v>
      </c>
      <c r="I90" s="134">
        <v>4.82</v>
      </c>
      <c r="J90" s="134">
        <v>1.03</v>
      </c>
      <c r="K90" s="134">
        <v>241.71</v>
      </c>
      <c r="L90" s="134">
        <v>32.78</v>
      </c>
      <c r="M90" s="134">
        <v>44.89</v>
      </c>
      <c r="N90" s="134">
        <v>0</v>
      </c>
      <c r="O90" s="134">
        <v>0</v>
      </c>
      <c r="P90" s="134">
        <v>0.47</v>
      </c>
      <c r="Q90" s="134">
        <v>4.8</v>
      </c>
    </row>
    <row r="91" spans="1:17" customFormat="1">
      <c r="A91" s="112" t="s">
        <v>1376</v>
      </c>
      <c r="B91" s="134">
        <v>6.33</v>
      </c>
      <c r="C91" s="134">
        <v>46.66</v>
      </c>
      <c r="D91" s="134">
        <v>28.41</v>
      </c>
      <c r="E91" s="134">
        <v>9.91</v>
      </c>
      <c r="F91" s="134">
        <v>16.59</v>
      </c>
      <c r="G91" s="134">
        <v>60.12</v>
      </c>
      <c r="H91" s="134">
        <v>17.329999999999998</v>
      </c>
      <c r="I91" s="134">
        <v>4.83</v>
      </c>
      <c r="J91" s="134">
        <v>0.64</v>
      </c>
      <c r="K91" s="134">
        <v>255</v>
      </c>
      <c r="L91" s="134">
        <v>32.47</v>
      </c>
      <c r="M91" s="134">
        <v>48.63</v>
      </c>
      <c r="N91" s="134">
        <v>0</v>
      </c>
      <c r="O91" s="134">
        <v>0</v>
      </c>
      <c r="P91" s="134">
        <v>0.54</v>
      </c>
      <c r="Q91" s="134">
        <v>4.87</v>
      </c>
    </row>
    <row r="92" spans="1:17" customFormat="1">
      <c r="A92" s="112" t="s">
        <v>1377</v>
      </c>
      <c r="B92" s="134">
        <v>5.47</v>
      </c>
      <c r="C92" s="134">
        <v>38.729999999999997</v>
      </c>
      <c r="D92" s="134">
        <v>23.57</v>
      </c>
      <c r="E92" s="134">
        <v>13.54</v>
      </c>
      <c r="F92" s="134">
        <v>26.27</v>
      </c>
      <c r="G92" s="134">
        <v>60.12</v>
      </c>
      <c r="H92" s="134">
        <v>17.329999999999998</v>
      </c>
      <c r="I92" s="134">
        <v>5.01</v>
      </c>
      <c r="J92" s="134">
        <v>0.37</v>
      </c>
      <c r="K92" s="134">
        <v>242.42</v>
      </c>
      <c r="L92" s="134">
        <v>32.53</v>
      </c>
      <c r="M92" s="134">
        <v>49.14</v>
      </c>
      <c r="N92" s="134">
        <v>0</v>
      </c>
      <c r="O92" s="134">
        <v>0</v>
      </c>
      <c r="P92" s="134">
        <v>0.63</v>
      </c>
      <c r="Q92" s="134">
        <v>4.8499999999999996</v>
      </c>
    </row>
    <row r="93" spans="1:17" customFormat="1">
      <c r="A93" s="112" t="s">
        <v>1378</v>
      </c>
      <c r="B93" s="134">
        <v>6.22</v>
      </c>
      <c r="C93" s="134">
        <v>45.21</v>
      </c>
      <c r="D93" s="134">
        <v>27.57</v>
      </c>
      <c r="E93" s="134">
        <v>11.68</v>
      </c>
      <c r="F93" s="134">
        <v>15.72</v>
      </c>
      <c r="G93" s="134">
        <v>60.12</v>
      </c>
      <c r="H93" s="134">
        <v>17.329999999999998</v>
      </c>
      <c r="I93" s="134">
        <v>5.36</v>
      </c>
      <c r="J93" s="134">
        <v>0.36</v>
      </c>
      <c r="K93" s="134">
        <v>226.86</v>
      </c>
      <c r="L93" s="134">
        <v>32.729999999999997</v>
      </c>
      <c r="M93" s="134">
        <v>49.08</v>
      </c>
      <c r="N93" s="134">
        <v>0</v>
      </c>
      <c r="O93" s="134">
        <v>0</v>
      </c>
      <c r="P93" s="134">
        <v>0.61</v>
      </c>
      <c r="Q93" s="134">
        <v>4.8499999999999996</v>
      </c>
    </row>
    <row r="94" spans="1:17" customFormat="1">
      <c r="A94" s="112" t="s">
        <v>1379</v>
      </c>
      <c r="B94" s="134">
        <v>6.3</v>
      </c>
      <c r="C94" s="134">
        <v>44.85</v>
      </c>
      <c r="D94" s="134">
        <v>27.44</v>
      </c>
      <c r="E94" s="134">
        <v>12.94</v>
      </c>
      <c r="F94" s="134">
        <v>19.829999999999998</v>
      </c>
      <c r="G94" s="134">
        <v>59.79</v>
      </c>
      <c r="H94" s="134">
        <v>17.72</v>
      </c>
      <c r="I94" s="134">
        <v>5.73</v>
      </c>
      <c r="J94" s="134">
        <v>0.56000000000000005</v>
      </c>
      <c r="K94" s="134">
        <v>272.39999999999998</v>
      </c>
      <c r="L94" s="134">
        <v>33.46</v>
      </c>
      <c r="M94" s="134">
        <v>43.74</v>
      </c>
      <c r="N94" s="134">
        <v>0</v>
      </c>
      <c r="O94" s="134">
        <v>0</v>
      </c>
      <c r="P94" s="134">
        <v>0.64</v>
      </c>
      <c r="Q94" s="134">
        <v>5.0199999999999996</v>
      </c>
    </row>
    <row r="95" spans="1:17" customFormat="1">
      <c r="A95" s="112" t="s">
        <v>1380</v>
      </c>
      <c r="B95" s="134">
        <v>6.29</v>
      </c>
      <c r="C95" s="134">
        <v>41.45</v>
      </c>
      <c r="D95" s="134">
        <v>25.66</v>
      </c>
      <c r="E95" s="134">
        <v>13.35</v>
      </c>
      <c r="F95" s="134">
        <v>24.87</v>
      </c>
      <c r="G95" s="134">
        <v>59.33</v>
      </c>
      <c r="H95" s="134">
        <v>18.07</v>
      </c>
      <c r="I95" s="134">
        <v>5.88</v>
      </c>
      <c r="J95" s="134">
        <v>0.22</v>
      </c>
      <c r="K95" s="134">
        <v>192.67</v>
      </c>
      <c r="L95" s="134">
        <v>33.47</v>
      </c>
      <c r="M95" s="134">
        <v>46.11</v>
      </c>
      <c r="N95" s="134">
        <v>0</v>
      </c>
      <c r="O95" s="134">
        <v>0</v>
      </c>
      <c r="P95" s="134">
        <v>0.56000000000000005</v>
      </c>
      <c r="Q95" s="134">
        <v>5.04</v>
      </c>
    </row>
    <row r="96" spans="1:17" customFormat="1">
      <c r="A96" s="112" t="s">
        <v>1381</v>
      </c>
      <c r="B96" s="134">
        <v>5.75</v>
      </c>
      <c r="C96" s="134">
        <v>35.549999999999997</v>
      </c>
      <c r="D96" s="134">
        <v>22.14</v>
      </c>
      <c r="E96" s="134">
        <v>13.02</v>
      </c>
      <c r="F96" s="134">
        <v>25.83</v>
      </c>
      <c r="G96" s="134">
        <v>59.33</v>
      </c>
      <c r="H96" s="134">
        <v>18.07</v>
      </c>
      <c r="I96" s="134">
        <v>5.63</v>
      </c>
      <c r="J96" s="134">
        <v>0.31</v>
      </c>
      <c r="K96" s="134">
        <v>178.45</v>
      </c>
      <c r="L96" s="134">
        <v>32.67</v>
      </c>
      <c r="M96" s="134">
        <v>50.09</v>
      </c>
      <c r="N96" s="134">
        <v>0</v>
      </c>
      <c r="O96" s="134">
        <v>0</v>
      </c>
      <c r="P96" s="134">
        <v>0.53</v>
      </c>
      <c r="Q96" s="134">
        <v>4.91</v>
      </c>
    </row>
    <row r="97" spans="1:22" customFormat="1">
      <c r="A97" s="112" t="s">
        <v>1382</v>
      </c>
      <c r="B97" s="134">
        <v>5.94</v>
      </c>
      <c r="C97" s="134">
        <v>34.68</v>
      </c>
      <c r="D97" s="134">
        <v>21.84</v>
      </c>
      <c r="E97" s="134">
        <v>13.07</v>
      </c>
      <c r="F97" s="134">
        <v>25.72</v>
      </c>
      <c r="G97" s="134">
        <v>59.33</v>
      </c>
      <c r="H97" s="134">
        <v>18.07</v>
      </c>
      <c r="I97" s="134">
        <v>5.0199999999999996</v>
      </c>
      <c r="J97" s="134">
        <v>0.08</v>
      </c>
      <c r="K97" s="134">
        <v>176.18</v>
      </c>
      <c r="L97" s="134">
        <v>32.630000000000003</v>
      </c>
      <c r="M97" s="134">
        <v>49.58</v>
      </c>
      <c r="N97" s="134">
        <v>0</v>
      </c>
      <c r="O97" s="134">
        <v>0</v>
      </c>
      <c r="P97" s="134">
        <v>0.51</v>
      </c>
      <c r="Q97" s="134">
        <v>4.82</v>
      </c>
    </row>
    <row r="98" spans="1:22" customFormat="1">
      <c r="A98" s="112" t="s">
        <v>1383</v>
      </c>
      <c r="B98" s="134">
        <v>6.67</v>
      </c>
      <c r="C98" s="134">
        <v>41.97</v>
      </c>
      <c r="D98" s="134">
        <v>26.23</v>
      </c>
      <c r="E98" s="134">
        <v>12.13</v>
      </c>
      <c r="F98" s="134">
        <v>21.9</v>
      </c>
      <c r="G98" s="134">
        <v>56.86</v>
      </c>
      <c r="H98" s="134">
        <v>17.64</v>
      </c>
      <c r="I98" s="134">
        <v>4.7300000000000004</v>
      </c>
      <c r="J98" s="134">
        <v>0.49</v>
      </c>
      <c r="K98" s="134">
        <v>259.77999999999997</v>
      </c>
      <c r="L98" s="134">
        <v>33.18</v>
      </c>
      <c r="M98" s="134">
        <v>43.89</v>
      </c>
      <c r="N98" s="134">
        <v>0</v>
      </c>
      <c r="O98" s="134">
        <v>0</v>
      </c>
      <c r="P98" s="134">
        <v>0.53</v>
      </c>
      <c r="Q98" s="134">
        <v>4.87</v>
      </c>
    </row>
    <row r="99" spans="1:22" customFormat="1">
      <c r="A99" s="112" t="s">
        <v>1384</v>
      </c>
      <c r="B99" s="134">
        <v>6.97</v>
      </c>
      <c r="C99" s="134">
        <v>43.19</v>
      </c>
      <c r="D99" s="134">
        <v>27.11</v>
      </c>
      <c r="E99" s="134">
        <v>12.77</v>
      </c>
      <c r="F99" s="134">
        <v>19.920000000000002</v>
      </c>
      <c r="G99" s="134">
        <v>53.33</v>
      </c>
      <c r="H99" s="134">
        <v>17.28</v>
      </c>
      <c r="I99" s="134">
        <v>4.67</v>
      </c>
      <c r="J99" s="134">
        <v>0.67</v>
      </c>
      <c r="K99" s="134">
        <v>257.41000000000003</v>
      </c>
      <c r="L99" s="134">
        <v>33.380000000000003</v>
      </c>
      <c r="M99" s="134">
        <v>42.26</v>
      </c>
      <c r="N99" s="134">
        <v>0</v>
      </c>
      <c r="O99" s="134">
        <v>0</v>
      </c>
      <c r="P99" s="134">
        <v>0.53</v>
      </c>
      <c r="Q99" s="134">
        <v>4.92</v>
      </c>
    </row>
    <row r="100" spans="1:22" customFormat="1">
      <c r="A100" s="112" t="s">
        <v>1385</v>
      </c>
      <c r="B100" s="134">
        <v>6.5</v>
      </c>
      <c r="C100" s="134">
        <v>38.44</v>
      </c>
      <c r="D100" s="134">
        <v>24.25</v>
      </c>
      <c r="E100" s="134">
        <v>13.94</v>
      </c>
      <c r="F100" s="134">
        <v>23.44</v>
      </c>
      <c r="G100" s="134">
        <v>53.33</v>
      </c>
      <c r="H100" s="134">
        <v>17.28</v>
      </c>
      <c r="I100" s="134">
        <v>4.82</v>
      </c>
      <c r="J100" s="134">
        <v>0.46</v>
      </c>
      <c r="K100" s="134">
        <v>251.91</v>
      </c>
      <c r="L100" s="134">
        <v>33.299999999999997</v>
      </c>
      <c r="M100" s="134">
        <v>42.46</v>
      </c>
      <c r="N100" s="134">
        <v>0</v>
      </c>
      <c r="O100" s="134">
        <v>0</v>
      </c>
      <c r="P100" s="134">
        <v>0.49</v>
      </c>
      <c r="Q100" s="134">
        <v>4.87</v>
      </c>
    </row>
    <row r="101" spans="1:22" customFormat="1">
      <c r="A101" s="112" t="s">
        <v>1386</v>
      </c>
      <c r="B101" s="134">
        <v>6.89</v>
      </c>
      <c r="C101" s="134">
        <v>40.11</v>
      </c>
      <c r="D101" s="134">
        <v>25.44</v>
      </c>
      <c r="E101" s="134">
        <v>13.27</v>
      </c>
      <c r="F101" s="134">
        <v>20.64</v>
      </c>
      <c r="G101" s="134">
        <v>53.33</v>
      </c>
      <c r="H101" s="134">
        <v>17.28</v>
      </c>
      <c r="I101" s="134">
        <v>4.7</v>
      </c>
      <c r="J101" s="134">
        <v>0.59</v>
      </c>
      <c r="K101" s="134">
        <v>262.95</v>
      </c>
      <c r="L101" s="134">
        <v>33.28</v>
      </c>
      <c r="M101" s="134">
        <v>41.1</v>
      </c>
      <c r="N101" s="134">
        <v>0</v>
      </c>
      <c r="O101" s="134">
        <v>0</v>
      </c>
      <c r="P101" s="134">
        <v>0.47</v>
      </c>
      <c r="Q101" s="134">
        <v>4.82</v>
      </c>
    </row>
    <row r="102" spans="1:22" customFormat="1">
      <c r="A102" s="112" t="s">
        <v>1387</v>
      </c>
      <c r="B102" s="134">
        <v>6.8</v>
      </c>
      <c r="C102" s="134">
        <v>39.630000000000003</v>
      </c>
      <c r="D102" s="134">
        <v>25.12</v>
      </c>
      <c r="E102" s="134">
        <v>14.09</v>
      </c>
      <c r="F102" s="134">
        <v>19.88</v>
      </c>
      <c r="G102" s="134">
        <v>52.29</v>
      </c>
      <c r="H102" s="134">
        <v>17.27</v>
      </c>
      <c r="I102" s="134">
        <v>4.59</v>
      </c>
      <c r="J102" s="134">
        <v>0.49</v>
      </c>
      <c r="K102" s="134">
        <v>251.02</v>
      </c>
      <c r="L102" s="134">
        <v>33.14</v>
      </c>
      <c r="M102" s="134">
        <v>41.24</v>
      </c>
      <c r="N102" s="134">
        <v>0</v>
      </c>
      <c r="O102" s="134">
        <v>0</v>
      </c>
      <c r="P102" s="134">
        <v>0.46</v>
      </c>
      <c r="Q102" s="134">
        <v>4.78</v>
      </c>
    </row>
    <row r="103" spans="1:22" customFormat="1">
      <c r="A103" s="112" t="s">
        <v>1388</v>
      </c>
      <c r="B103" s="134">
        <v>7.15</v>
      </c>
      <c r="C103" s="134">
        <v>44.32</v>
      </c>
      <c r="D103" s="134">
        <v>27.84</v>
      </c>
      <c r="E103" s="134">
        <v>12.92</v>
      </c>
      <c r="F103" s="134">
        <v>19.32</v>
      </c>
      <c r="G103" s="134">
        <v>50.81</v>
      </c>
      <c r="H103" s="134">
        <v>17.260000000000002</v>
      </c>
      <c r="I103" s="134">
        <v>4.51</v>
      </c>
      <c r="J103" s="134">
        <v>0.37</v>
      </c>
      <c r="K103" s="134">
        <v>257.74</v>
      </c>
      <c r="L103" s="134">
        <v>33</v>
      </c>
      <c r="M103" s="134">
        <v>41.77</v>
      </c>
      <c r="N103" s="134">
        <v>0</v>
      </c>
      <c r="O103" s="134">
        <v>0</v>
      </c>
      <c r="P103" s="134">
        <v>0.47</v>
      </c>
      <c r="Q103" s="134">
        <v>4.9000000000000004</v>
      </c>
    </row>
    <row r="104" spans="1:22" customFormat="1">
      <c r="A104" s="112" t="s">
        <v>1389</v>
      </c>
      <c r="B104" s="134">
        <v>15.11</v>
      </c>
      <c r="C104" s="134">
        <v>47.8</v>
      </c>
      <c r="D104" s="134">
        <v>36.049999999999997</v>
      </c>
      <c r="E104" s="134">
        <v>15.07</v>
      </c>
      <c r="F104" s="134">
        <v>12.58</v>
      </c>
      <c r="G104" s="134">
        <v>50.81</v>
      </c>
      <c r="H104" s="134">
        <v>17.260000000000002</v>
      </c>
      <c r="I104" s="134">
        <v>4.45</v>
      </c>
      <c r="J104" s="134">
        <v>0.33</v>
      </c>
      <c r="K104" s="134">
        <v>359.36</v>
      </c>
      <c r="L104" s="134">
        <v>33.01</v>
      </c>
      <c r="M104" s="134">
        <v>41.56</v>
      </c>
      <c r="N104" s="134">
        <v>0</v>
      </c>
      <c r="O104" s="134">
        <v>0</v>
      </c>
      <c r="P104" s="134">
        <v>0.5</v>
      </c>
      <c r="Q104" s="134">
        <v>4.92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3.63</v>
      </c>
      <c r="C106" s="183">
        <f>MIN(C9:C104)</f>
        <v>27.36</v>
      </c>
      <c r="D106" s="183">
        <f t="shared" ref="D106:Q106" si="0">MIN(D9:D104)</f>
        <v>16.16</v>
      </c>
      <c r="E106" s="183">
        <f t="shared" si="0"/>
        <v>6.99</v>
      </c>
      <c r="F106" s="183">
        <f t="shared" si="0"/>
        <v>7.21</v>
      </c>
      <c r="G106" s="183">
        <f t="shared" si="0"/>
        <v>31.44</v>
      </c>
      <c r="H106" s="183">
        <f t="shared" si="0"/>
        <v>9.8000000000000007</v>
      </c>
      <c r="I106" s="183">
        <f t="shared" si="0"/>
        <v>3.36</v>
      </c>
      <c r="J106" s="183">
        <f t="shared" si="0"/>
        <v>0.08</v>
      </c>
      <c r="K106" s="183">
        <f t="shared" si="0"/>
        <v>12.32</v>
      </c>
      <c r="L106" s="183">
        <f t="shared" si="0"/>
        <v>30.62</v>
      </c>
      <c r="M106" s="183">
        <f t="shared" si="0"/>
        <v>16.3</v>
      </c>
      <c r="N106" s="183">
        <f t="shared" si="0"/>
        <v>0</v>
      </c>
      <c r="O106" s="183">
        <f t="shared" si="0"/>
        <v>0</v>
      </c>
      <c r="P106" s="183">
        <f t="shared" si="0"/>
        <v>0.35</v>
      </c>
      <c r="Q106" s="183">
        <f t="shared" si="0"/>
        <v>4.7699999999999996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16.63</v>
      </c>
      <c r="C107" s="184">
        <f t="shared" ref="C107:Q107" si="1">MAX(C9:C104)</f>
        <v>66.58</v>
      </c>
      <c r="D107" s="184">
        <f t="shared" si="1"/>
        <v>43.57</v>
      </c>
      <c r="E107" s="184">
        <f t="shared" si="1"/>
        <v>25.51</v>
      </c>
      <c r="F107" s="184">
        <f t="shared" si="1"/>
        <v>54.31</v>
      </c>
      <c r="G107" s="184">
        <f t="shared" si="1"/>
        <v>60.12</v>
      </c>
      <c r="H107" s="184">
        <f t="shared" si="1"/>
        <v>20.11</v>
      </c>
      <c r="I107" s="184">
        <f t="shared" si="1"/>
        <v>8.1</v>
      </c>
      <c r="J107" s="184">
        <f t="shared" si="1"/>
        <v>2.2200000000000002</v>
      </c>
      <c r="K107" s="184">
        <f t="shared" si="1"/>
        <v>359.36</v>
      </c>
      <c r="L107" s="184">
        <f t="shared" si="1"/>
        <v>44.09</v>
      </c>
      <c r="M107" s="184">
        <f t="shared" si="1"/>
        <v>50.09</v>
      </c>
      <c r="N107" s="184">
        <f t="shared" si="1"/>
        <v>824.3</v>
      </c>
      <c r="O107" s="184">
        <f t="shared" si="1"/>
        <v>0</v>
      </c>
      <c r="P107" s="184">
        <f t="shared" si="1"/>
        <v>0.97</v>
      </c>
      <c r="Q107" s="184">
        <f t="shared" si="1"/>
        <v>5.72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8.8454166666666687</v>
      </c>
      <c r="C108" s="183">
        <f t="shared" ref="C108:Q108" si="2">AVERAGE(C9:C104)</f>
        <v>48.380729166666661</v>
      </c>
      <c r="D108" s="183">
        <f t="shared" si="2"/>
        <v>31.32520833333335</v>
      </c>
      <c r="E108" s="183">
        <f t="shared" si="2"/>
        <v>11.696041666666666</v>
      </c>
      <c r="F108" s="183">
        <f t="shared" si="2"/>
        <v>21.239583333333336</v>
      </c>
      <c r="G108" s="183">
        <f t="shared" si="2"/>
        <v>41.7340625</v>
      </c>
      <c r="H108" s="183">
        <f t="shared" si="2"/>
        <v>16.753124999999994</v>
      </c>
      <c r="I108" s="183">
        <f t="shared" si="2"/>
        <v>5.8313541666666699</v>
      </c>
      <c r="J108" s="183">
        <f t="shared" si="2"/>
        <v>0.72052083333333317</v>
      </c>
      <c r="K108" s="183">
        <f t="shared" si="2"/>
        <v>240.4381250000001</v>
      </c>
      <c r="L108" s="183">
        <f t="shared" si="2"/>
        <v>35.935104166666669</v>
      </c>
      <c r="M108" s="183">
        <f t="shared" si="2"/>
        <v>33.908124999999991</v>
      </c>
      <c r="N108" s="183">
        <f t="shared" si="2"/>
        <v>135.40104166666669</v>
      </c>
      <c r="O108" s="183">
        <f t="shared" si="2"/>
        <v>0</v>
      </c>
      <c r="P108" s="183">
        <f t="shared" si="2"/>
        <v>0.64312499999999984</v>
      </c>
      <c r="Q108" s="183">
        <f t="shared" si="2"/>
        <v>5.2309375000000005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3.8982082028776288</v>
      </c>
      <c r="C109" s="183">
        <f t="shared" ref="C109:Q109" si="3">STDEV(C9:C104)</f>
        <v>7.639301737833569</v>
      </c>
      <c r="D109" s="183">
        <f t="shared" si="3"/>
        <v>6.1804533949108853</v>
      </c>
      <c r="E109" s="183">
        <f t="shared" si="3"/>
        <v>3.3548028349522272</v>
      </c>
      <c r="F109" s="183">
        <f t="shared" si="3"/>
        <v>11.483842463187054</v>
      </c>
      <c r="G109" s="183">
        <f t="shared" si="3"/>
        <v>7.7112446368070096</v>
      </c>
      <c r="H109" s="183">
        <f t="shared" si="3"/>
        <v>2.2471246247032268</v>
      </c>
      <c r="I109" s="183">
        <f t="shared" si="3"/>
        <v>1.0686130901329427</v>
      </c>
      <c r="J109" s="183">
        <f t="shared" si="3"/>
        <v>0.45036679739183988</v>
      </c>
      <c r="K109" s="183">
        <f t="shared" si="3"/>
        <v>59.595409789901368</v>
      </c>
      <c r="L109" s="183">
        <f t="shared" si="3"/>
        <v>4.3119142152368166</v>
      </c>
      <c r="M109" s="183">
        <f t="shared" si="3"/>
        <v>10.544065960230167</v>
      </c>
      <c r="N109" s="183">
        <f t="shared" si="3"/>
        <v>239.83271428437109</v>
      </c>
      <c r="O109" s="183">
        <f t="shared" si="3"/>
        <v>0</v>
      </c>
      <c r="P109" s="183">
        <f t="shared" si="3"/>
        <v>0.14953480496104291</v>
      </c>
      <c r="Q109" s="183">
        <f t="shared" si="3"/>
        <v>0.31571832257650811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13/06/2023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1390</v>
      </c>
      <c r="B9" s="134">
        <v>9.08</v>
      </c>
      <c r="C9" s="134">
        <v>44.97</v>
      </c>
      <c r="D9" s="134">
        <v>29.73</v>
      </c>
      <c r="E9" s="134">
        <v>12.33</v>
      </c>
      <c r="F9" s="134">
        <v>14.12</v>
      </c>
      <c r="G9" s="134">
        <v>50.81</v>
      </c>
      <c r="H9" s="134">
        <v>17.260000000000002</v>
      </c>
      <c r="I9" s="134">
        <v>4.49</v>
      </c>
      <c r="J9" s="134">
        <v>0.35</v>
      </c>
      <c r="K9" s="134">
        <v>319.14999999999998</v>
      </c>
      <c r="L9" s="134">
        <v>33.130000000000003</v>
      </c>
      <c r="M9" s="134">
        <v>40.32</v>
      </c>
      <c r="N9" s="134">
        <v>0</v>
      </c>
      <c r="O9" s="134">
        <v>0</v>
      </c>
      <c r="P9" s="134">
        <v>0.48</v>
      </c>
      <c r="Q9" s="134">
        <v>4.92</v>
      </c>
    </row>
    <row r="10" spans="1:21" customFormat="1">
      <c r="A10" s="112" t="s">
        <v>1391</v>
      </c>
      <c r="B10" s="134">
        <v>11.62</v>
      </c>
      <c r="C10" s="134">
        <v>46.5</v>
      </c>
      <c r="D10" s="134">
        <v>32.56</v>
      </c>
      <c r="E10" s="134">
        <v>19.04</v>
      </c>
      <c r="F10" s="134">
        <v>13.44</v>
      </c>
      <c r="G10" s="134">
        <v>49.42</v>
      </c>
      <c r="H10" s="134">
        <v>16.73</v>
      </c>
      <c r="I10" s="134">
        <v>4.3099999999999996</v>
      </c>
      <c r="J10" s="134">
        <v>0.5</v>
      </c>
      <c r="K10" s="134">
        <v>264.99</v>
      </c>
      <c r="L10" s="134">
        <v>33.200000000000003</v>
      </c>
      <c r="M10" s="134">
        <v>39.96</v>
      </c>
      <c r="N10" s="134">
        <v>0</v>
      </c>
      <c r="O10" s="134">
        <v>0</v>
      </c>
      <c r="P10" s="134">
        <v>0.49</v>
      </c>
      <c r="Q10" s="134">
        <v>5.0599999999999996</v>
      </c>
    </row>
    <row r="11" spans="1:21" customFormat="1">
      <c r="A11" s="112" t="s">
        <v>1392</v>
      </c>
      <c r="B11" s="134">
        <v>8.5399999999999991</v>
      </c>
      <c r="C11" s="134">
        <v>42.54</v>
      </c>
      <c r="D11" s="134">
        <v>28.03</v>
      </c>
      <c r="E11" s="134">
        <v>17.899999999999999</v>
      </c>
      <c r="F11" s="134">
        <v>15.05</v>
      </c>
      <c r="G11" s="134">
        <v>47.44</v>
      </c>
      <c r="H11" s="134">
        <v>16.28</v>
      </c>
      <c r="I11" s="134">
        <v>4.43</v>
      </c>
      <c r="J11" s="134">
        <v>0.28999999999999998</v>
      </c>
      <c r="K11" s="134">
        <v>222.44</v>
      </c>
      <c r="L11" s="134">
        <v>32.42</v>
      </c>
      <c r="M11" s="134">
        <v>45.77</v>
      </c>
      <c r="N11" s="134">
        <v>0</v>
      </c>
      <c r="O11" s="134">
        <v>0</v>
      </c>
      <c r="P11" s="134">
        <v>0.48</v>
      </c>
      <c r="Q11" s="134">
        <v>5.03</v>
      </c>
    </row>
    <row r="12" spans="1:21" customFormat="1">
      <c r="A12" s="112" t="s">
        <v>1393</v>
      </c>
      <c r="B12" s="134">
        <v>9.0299999999999994</v>
      </c>
      <c r="C12" s="134">
        <v>47.09</v>
      </c>
      <c r="D12" s="134">
        <v>30.79</v>
      </c>
      <c r="E12" s="134">
        <v>12.47</v>
      </c>
      <c r="F12" s="134">
        <v>12.71</v>
      </c>
      <c r="G12" s="134">
        <v>47.44</v>
      </c>
      <c r="H12" s="134">
        <v>16.28</v>
      </c>
      <c r="I12" s="134">
        <v>4.5199999999999996</v>
      </c>
      <c r="J12" s="134">
        <v>0.35</v>
      </c>
      <c r="K12" s="134">
        <v>226.67</v>
      </c>
      <c r="L12" s="134">
        <v>31.92</v>
      </c>
      <c r="M12" s="134">
        <v>48.08</v>
      </c>
      <c r="N12" s="134">
        <v>0</v>
      </c>
      <c r="O12" s="134">
        <v>0</v>
      </c>
      <c r="P12" s="134">
        <v>0.52</v>
      </c>
      <c r="Q12" s="134">
        <v>5.04</v>
      </c>
    </row>
    <row r="13" spans="1:21" customFormat="1">
      <c r="A13" s="112" t="s">
        <v>1394</v>
      </c>
      <c r="B13" s="134">
        <v>8.6999999999999993</v>
      </c>
      <c r="C13" s="134">
        <v>43.52</v>
      </c>
      <c r="D13" s="134">
        <v>28.67</v>
      </c>
      <c r="E13" s="134">
        <v>13.71</v>
      </c>
      <c r="F13" s="134">
        <v>15.47</v>
      </c>
      <c r="G13" s="134">
        <v>47.44</v>
      </c>
      <c r="H13" s="134">
        <v>16.28</v>
      </c>
      <c r="I13" s="134">
        <v>4.62</v>
      </c>
      <c r="J13" s="134">
        <v>0.3</v>
      </c>
      <c r="K13" s="134">
        <v>215.52</v>
      </c>
      <c r="L13" s="134">
        <v>31.74</v>
      </c>
      <c r="M13" s="134">
        <v>48.07</v>
      </c>
      <c r="N13" s="134">
        <v>0</v>
      </c>
      <c r="O13" s="134">
        <v>0</v>
      </c>
      <c r="P13" s="134">
        <v>0.47</v>
      </c>
      <c r="Q13" s="134">
        <v>5.1100000000000003</v>
      </c>
    </row>
    <row r="14" spans="1:21" customFormat="1">
      <c r="A14" s="112" t="s">
        <v>1395</v>
      </c>
      <c r="B14" s="134">
        <v>9.3800000000000008</v>
      </c>
      <c r="C14" s="134">
        <v>42.33</v>
      </c>
      <c r="D14" s="134">
        <v>28.59</v>
      </c>
      <c r="E14" s="134">
        <v>13.84</v>
      </c>
      <c r="F14" s="134">
        <v>14.45</v>
      </c>
      <c r="G14" s="134">
        <v>46.1</v>
      </c>
      <c r="H14" s="134">
        <v>16.03</v>
      </c>
      <c r="I14" s="134">
        <v>4.68</v>
      </c>
      <c r="J14" s="134">
        <v>0.34</v>
      </c>
      <c r="K14" s="134">
        <v>230.42</v>
      </c>
      <c r="L14" s="134">
        <v>31.59</v>
      </c>
      <c r="M14" s="134">
        <v>48.34</v>
      </c>
      <c r="N14" s="134">
        <v>0</v>
      </c>
      <c r="O14" s="134">
        <v>0</v>
      </c>
      <c r="P14" s="134">
        <v>0.45</v>
      </c>
      <c r="Q14" s="134">
        <v>5.03</v>
      </c>
    </row>
    <row r="15" spans="1:21" customFormat="1">
      <c r="A15" s="112" t="s">
        <v>1396</v>
      </c>
      <c r="B15" s="134">
        <v>9.43</v>
      </c>
      <c r="C15" s="134">
        <v>46.49</v>
      </c>
      <c r="D15" s="134">
        <v>30.8</v>
      </c>
      <c r="E15" s="134">
        <v>13.63</v>
      </c>
      <c r="F15" s="134">
        <v>13.57</v>
      </c>
      <c r="G15" s="134">
        <v>44.19</v>
      </c>
      <c r="H15" s="134">
        <v>15.44</v>
      </c>
      <c r="I15" s="134">
        <v>4.2699999999999996</v>
      </c>
      <c r="J15" s="134">
        <v>0.23</v>
      </c>
      <c r="K15" s="134">
        <v>215.22</v>
      </c>
      <c r="L15" s="134">
        <v>31.62</v>
      </c>
      <c r="M15" s="134">
        <v>47.72</v>
      </c>
      <c r="N15" s="134">
        <v>0</v>
      </c>
      <c r="O15" s="134">
        <v>0</v>
      </c>
      <c r="P15" s="134">
        <v>0.47</v>
      </c>
      <c r="Q15" s="134">
        <v>5.15</v>
      </c>
    </row>
    <row r="16" spans="1:21" customFormat="1">
      <c r="A16" s="112" t="s">
        <v>1397</v>
      </c>
      <c r="B16" s="134">
        <v>9.7200000000000006</v>
      </c>
      <c r="C16" s="134">
        <v>42.65</v>
      </c>
      <c r="D16" s="134">
        <v>29.03</v>
      </c>
      <c r="E16" s="134">
        <v>14.26</v>
      </c>
      <c r="F16" s="134">
        <v>14.56</v>
      </c>
      <c r="G16" s="134">
        <v>44.19</v>
      </c>
      <c r="H16" s="134">
        <v>15.44</v>
      </c>
      <c r="I16" s="134">
        <v>4.28</v>
      </c>
      <c r="J16" s="134">
        <v>0.28000000000000003</v>
      </c>
      <c r="K16" s="134">
        <v>217.43</v>
      </c>
      <c r="L16" s="134">
        <v>31.53</v>
      </c>
      <c r="M16" s="134">
        <v>47.44</v>
      </c>
      <c r="N16" s="134">
        <v>0</v>
      </c>
      <c r="O16" s="134">
        <v>0</v>
      </c>
      <c r="P16" s="134">
        <v>0.45</v>
      </c>
      <c r="Q16" s="134">
        <v>5.1100000000000003</v>
      </c>
    </row>
    <row r="17" spans="1:17" customFormat="1">
      <c r="A17" s="112" t="s">
        <v>1398</v>
      </c>
      <c r="B17" s="134">
        <v>10.26</v>
      </c>
      <c r="C17" s="134">
        <v>46.47</v>
      </c>
      <c r="D17" s="134">
        <v>31.46</v>
      </c>
      <c r="E17" s="134">
        <v>9.32</v>
      </c>
      <c r="F17" s="134">
        <v>14.3</v>
      </c>
      <c r="G17" s="134">
        <v>44.19</v>
      </c>
      <c r="H17" s="134">
        <v>15.44</v>
      </c>
      <c r="I17" s="134">
        <v>4.29</v>
      </c>
      <c r="J17" s="134">
        <v>0.41</v>
      </c>
      <c r="K17" s="134">
        <v>232.43</v>
      </c>
      <c r="L17" s="134">
        <v>31.35</v>
      </c>
      <c r="M17" s="134">
        <v>47.64</v>
      </c>
      <c r="N17" s="134">
        <v>0</v>
      </c>
      <c r="O17" s="134">
        <v>0</v>
      </c>
      <c r="P17" s="134">
        <v>0.46</v>
      </c>
      <c r="Q17" s="134">
        <v>5.0999999999999996</v>
      </c>
    </row>
    <row r="18" spans="1:17" customFormat="1">
      <c r="A18" s="112" t="s">
        <v>1399</v>
      </c>
      <c r="B18" s="134">
        <v>9.27</v>
      </c>
      <c r="C18" s="134">
        <v>41.22</v>
      </c>
      <c r="D18" s="134">
        <v>27.93</v>
      </c>
      <c r="E18" s="134">
        <v>11.02</v>
      </c>
      <c r="F18" s="134">
        <v>17.260000000000002</v>
      </c>
      <c r="G18" s="134">
        <v>40.85</v>
      </c>
      <c r="H18" s="134">
        <v>14.99</v>
      </c>
      <c r="I18" s="134">
        <v>4.22</v>
      </c>
      <c r="J18" s="134">
        <v>0.33</v>
      </c>
      <c r="K18" s="134">
        <v>213.66</v>
      </c>
      <c r="L18" s="134">
        <v>31.01</v>
      </c>
      <c r="M18" s="134">
        <v>49.83</v>
      </c>
      <c r="N18" s="134">
        <v>0</v>
      </c>
      <c r="O18" s="134">
        <v>0</v>
      </c>
      <c r="P18" s="134">
        <v>0.43</v>
      </c>
      <c r="Q18" s="134">
        <v>5.09</v>
      </c>
    </row>
    <row r="19" spans="1:17" customFormat="1">
      <c r="A19" s="112" t="s">
        <v>1400</v>
      </c>
      <c r="B19" s="134">
        <v>10.54</v>
      </c>
      <c r="C19" s="134">
        <v>45.39</v>
      </c>
      <c r="D19" s="134">
        <v>31.12</v>
      </c>
      <c r="E19" s="134">
        <v>8.8000000000000007</v>
      </c>
      <c r="F19" s="134">
        <v>11.11</v>
      </c>
      <c r="G19" s="134">
        <v>35.840000000000003</v>
      </c>
      <c r="H19" s="134">
        <v>14.58</v>
      </c>
      <c r="I19" s="134">
        <v>4.33</v>
      </c>
      <c r="J19" s="134">
        <v>0.34</v>
      </c>
      <c r="K19" s="134">
        <v>213.79</v>
      </c>
      <c r="L19" s="134">
        <v>30.68</v>
      </c>
      <c r="M19" s="134">
        <v>51.67</v>
      </c>
      <c r="N19" s="134">
        <v>0</v>
      </c>
      <c r="O19" s="134">
        <v>0</v>
      </c>
      <c r="P19" s="134">
        <v>0.44</v>
      </c>
      <c r="Q19" s="134">
        <v>5.04</v>
      </c>
    </row>
    <row r="20" spans="1:17" customFormat="1">
      <c r="A20" s="112" t="s">
        <v>1401</v>
      </c>
      <c r="B20" s="134">
        <v>10.16</v>
      </c>
      <c r="C20" s="134">
        <v>45.81</v>
      </c>
      <c r="D20" s="134">
        <v>31.04</v>
      </c>
      <c r="E20" s="134">
        <v>8.4600000000000009</v>
      </c>
      <c r="F20" s="134">
        <v>12.32</v>
      </c>
      <c r="G20" s="134">
        <v>35.840000000000003</v>
      </c>
      <c r="H20" s="134">
        <v>14.58</v>
      </c>
      <c r="I20" s="134">
        <v>4.03</v>
      </c>
      <c r="J20" s="134">
        <v>0.33</v>
      </c>
      <c r="K20" s="134">
        <v>219.82</v>
      </c>
      <c r="L20" s="134">
        <v>30.7</v>
      </c>
      <c r="M20" s="134">
        <v>51.7</v>
      </c>
      <c r="N20" s="134">
        <v>0</v>
      </c>
      <c r="O20" s="134">
        <v>0</v>
      </c>
      <c r="P20" s="134">
        <v>0.44</v>
      </c>
      <c r="Q20" s="134">
        <v>5.12</v>
      </c>
    </row>
    <row r="21" spans="1:17" customFormat="1">
      <c r="A21" s="112" t="s">
        <v>1402</v>
      </c>
      <c r="B21" s="134">
        <v>10.15</v>
      </c>
      <c r="C21" s="134">
        <v>42.6</v>
      </c>
      <c r="D21" s="134">
        <v>29.35</v>
      </c>
      <c r="E21" s="134">
        <v>7.9</v>
      </c>
      <c r="F21" s="134">
        <v>12.72</v>
      </c>
      <c r="G21" s="134">
        <v>35.840000000000003</v>
      </c>
      <c r="H21" s="134">
        <v>14.58</v>
      </c>
      <c r="I21" s="134">
        <v>4.13</v>
      </c>
      <c r="J21" s="134">
        <v>0.47</v>
      </c>
      <c r="K21" s="134">
        <v>238.79</v>
      </c>
      <c r="L21" s="134">
        <v>30.74</v>
      </c>
      <c r="M21" s="134">
        <v>51.15</v>
      </c>
      <c r="N21" s="134">
        <v>0</v>
      </c>
      <c r="O21" s="134">
        <v>0</v>
      </c>
      <c r="P21" s="134">
        <v>0.42</v>
      </c>
      <c r="Q21" s="134">
        <v>5.08</v>
      </c>
    </row>
    <row r="22" spans="1:17" customFormat="1">
      <c r="A22" s="112" t="s">
        <v>1403</v>
      </c>
      <c r="B22" s="134">
        <v>10.83</v>
      </c>
      <c r="C22" s="134">
        <v>46.99</v>
      </c>
      <c r="D22" s="134">
        <v>32.19</v>
      </c>
      <c r="E22" s="134">
        <v>7</v>
      </c>
      <c r="F22" s="134">
        <v>11.81</v>
      </c>
      <c r="G22" s="134">
        <v>35.82</v>
      </c>
      <c r="H22" s="134">
        <v>13.17</v>
      </c>
      <c r="I22" s="134">
        <v>4.17</v>
      </c>
      <c r="J22" s="134">
        <v>0.4</v>
      </c>
      <c r="K22" s="134">
        <v>256.58</v>
      </c>
      <c r="L22" s="134">
        <v>30.85</v>
      </c>
      <c r="M22" s="134">
        <v>49.46</v>
      </c>
      <c r="N22" s="134">
        <v>0</v>
      </c>
      <c r="O22" s="134">
        <v>0</v>
      </c>
      <c r="P22" s="134">
        <v>0.45</v>
      </c>
      <c r="Q22" s="134">
        <v>5.0999999999999996</v>
      </c>
    </row>
    <row r="23" spans="1:17" customFormat="1">
      <c r="A23" s="112" t="s">
        <v>1404</v>
      </c>
      <c r="B23" s="134">
        <v>10.96</v>
      </c>
      <c r="C23" s="134">
        <v>44.7</v>
      </c>
      <c r="D23" s="134">
        <v>31.1</v>
      </c>
      <c r="E23" s="134">
        <v>7.19</v>
      </c>
      <c r="F23" s="134">
        <v>12.66</v>
      </c>
      <c r="G23" s="134">
        <v>35.78</v>
      </c>
      <c r="H23" s="134">
        <v>11.93</v>
      </c>
      <c r="I23" s="134">
        <v>4.26</v>
      </c>
      <c r="J23" s="134">
        <v>0.57999999999999996</v>
      </c>
      <c r="K23" s="134">
        <v>256.20999999999998</v>
      </c>
      <c r="L23" s="134">
        <v>31.08</v>
      </c>
      <c r="M23" s="134">
        <v>47.78</v>
      </c>
      <c r="N23" s="134">
        <v>0</v>
      </c>
      <c r="O23" s="134">
        <v>0</v>
      </c>
      <c r="P23" s="134">
        <v>0.44</v>
      </c>
      <c r="Q23" s="134">
        <v>5.18</v>
      </c>
    </row>
    <row r="24" spans="1:17" customFormat="1">
      <c r="A24" s="112" t="s">
        <v>1405</v>
      </c>
      <c r="B24" s="134">
        <v>11.26</v>
      </c>
      <c r="C24" s="134">
        <v>44.14</v>
      </c>
      <c r="D24" s="134">
        <v>31.05</v>
      </c>
      <c r="E24" s="134">
        <v>7.11</v>
      </c>
      <c r="F24" s="134">
        <v>12.53</v>
      </c>
      <c r="G24" s="134">
        <v>35.78</v>
      </c>
      <c r="H24" s="134">
        <v>11.93</v>
      </c>
      <c r="I24" s="134">
        <v>4.32</v>
      </c>
      <c r="J24" s="134">
        <v>0.26</v>
      </c>
      <c r="K24" s="134">
        <v>218.22</v>
      </c>
      <c r="L24" s="134">
        <v>31.13</v>
      </c>
      <c r="M24" s="134">
        <v>47.64</v>
      </c>
      <c r="N24" s="134">
        <v>0</v>
      </c>
      <c r="O24" s="134">
        <v>0</v>
      </c>
      <c r="P24" s="134">
        <v>0.43</v>
      </c>
      <c r="Q24" s="134">
        <v>5.08</v>
      </c>
    </row>
    <row r="25" spans="1:17" customFormat="1">
      <c r="A25" s="112" t="s">
        <v>1406</v>
      </c>
      <c r="B25" s="134">
        <v>9.98</v>
      </c>
      <c r="C25" s="134">
        <v>42.92</v>
      </c>
      <c r="D25" s="134">
        <v>29.38</v>
      </c>
      <c r="E25" s="134">
        <v>7.65</v>
      </c>
      <c r="F25" s="134">
        <v>18.670000000000002</v>
      </c>
      <c r="G25" s="134">
        <v>35.78</v>
      </c>
      <c r="H25" s="134">
        <v>11.93</v>
      </c>
      <c r="I25" s="134">
        <v>4.16</v>
      </c>
      <c r="J25" s="134">
        <v>0.28000000000000003</v>
      </c>
      <c r="K25" s="134">
        <v>210</v>
      </c>
      <c r="L25" s="134">
        <v>31.05</v>
      </c>
      <c r="M25" s="134">
        <v>48.29</v>
      </c>
      <c r="N25" s="134">
        <v>0</v>
      </c>
      <c r="O25" s="134">
        <v>0</v>
      </c>
      <c r="P25" s="134">
        <v>0.4</v>
      </c>
      <c r="Q25" s="134">
        <v>5.17</v>
      </c>
    </row>
    <row r="26" spans="1:17" customFormat="1">
      <c r="A26" s="112" t="s">
        <v>1407</v>
      </c>
      <c r="B26" s="134">
        <v>9.84</v>
      </c>
      <c r="C26" s="134">
        <v>41.77</v>
      </c>
      <c r="D26" s="134">
        <v>28.67</v>
      </c>
      <c r="E26" s="134">
        <v>6.81</v>
      </c>
      <c r="F26" s="134">
        <v>16.39</v>
      </c>
      <c r="G26" s="134">
        <v>33.590000000000003</v>
      </c>
      <c r="H26" s="134">
        <v>13.73</v>
      </c>
      <c r="I26" s="134">
        <v>4.07</v>
      </c>
      <c r="J26" s="134">
        <v>0.24</v>
      </c>
      <c r="K26" s="134">
        <v>206.94</v>
      </c>
      <c r="L26" s="134">
        <v>30.85</v>
      </c>
      <c r="M26" s="134">
        <v>49.07</v>
      </c>
      <c r="N26" s="134">
        <v>0</v>
      </c>
      <c r="O26" s="134">
        <v>0</v>
      </c>
      <c r="P26" s="134">
        <v>0.41</v>
      </c>
      <c r="Q26" s="134">
        <v>5.0999999999999996</v>
      </c>
    </row>
    <row r="27" spans="1:17" customFormat="1">
      <c r="A27" s="112" t="s">
        <v>1408</v>
      </c>
      <c r="B27" s="134">
        <v>10.45</v>
      </c>
      <c r="C27" s="134">
        <v>46.06</v>
      </c>
      <c r="D27" s="134">
        <v>31.4</v>
      </c>
      <c r="E27" s="134">
        <v>7.32</v>
      </c>
      <c r="F27" s="134">
        <v>15.18</v>
      </c>
      <c r="G27" s="134">
        <v>30.45</v>
      </c>
      <c r="H27" s="134">
        <v>15.28</v>
      </c>
      <c r="I27" s="134">
        <v>3.76</v>
      </c>
      <c r="J27" s="134">
        <v>0.27</v>
      </c>
      <c r="K27" s="134">
        <v>201.68</v>
      </c>
      <c r="L27" s="134">
        <v>30.8</v>
      </c>
      <c r="M27" s="134">
        <v>49.35</v>
      </c>
      <c r="N27" s="134">
        <v>0</v>
      </c>
      <c r="O27" s="134">
        <v>0</v>
      </c>
      <c r="P27" s="134">
        <v>0.41</v>
      </c>
      <c r="Q27" s="134">
        <v>5.16</v>
      </c>
    </row>
    <row r="28" spans="1:17" customFormat="1">
      <c r="A28" s="112" t="s">
        <v>1409</v>
      </c>
      <c r="B28" s="134">
        <v>9.52</v>
      </c>
      <c r="C28" s="134">
        <v>38.67</v>
      </c>
      <c r="D28" s="134">
        <v>26.8</v>
      </c>
      <c r="E28" s="134">
        <v>6.83</v>
      </c>
      <c r="F28" s="134">
        <v>17.579999999999998</v>
      </c>
      <c r="G28" s="134">
        <v>30.45</v>
      </c>
      <c r="H28" s="134">
        <v>15.28</v>
      </c>
      <c r="I28" s="134">
        <v>3.75</v>
      </c>
      <c r="J28" s="134">
        <v>0.21</v>
      </c>
      <c r="K28" s="134">
        <v>101.86</v>
      </c>
      <c r="L28" s="134">
        <v>30.61</v>
      </c>
      <c r="M28" s="134">
        <v>50.39</v>
      </c>
      <c r="N28" s="134">
        <v>0</v>
      </c>
      <c r="O28" s="134">
        <v>0</v>
      </c>
      <c r="P28" s="134">
        <v>0.38</v>
      </c>
      <c r="Q28" s="134">
        <v>5.09</v>
      </c>
    </row>
    <row r="29" spans="1:17" customFormat="1">
      <c r="A29" s="112" t="s">
        <v>1410</v>
      </c>
      <c r="B29" s="134">
        <v>11.31</v>
      </c>
      <c r="C29" s="134">
        <v>45.15</v>
      </c>
      <c r="D29" s="134">
        <v>31.62</v>
      </c>
      <c r="E29" s="134">
        <v>7.35</v>
      </c>
      <c r="F29" s="134">
        <v>10.62</v>
      </c>
      <c r="G29" s="134">
        <v>30.45</v>
      </c>
      <c r="H29" s="134">
        <v>15.28</v>
      </c>
      <c r="I29" s="134">
        <v>3.83</v>
      </c>
      <c r="J29" s="134">
        <v>0.17</v>
      </c>
      <c r="K29" s="134">
        <v>213.2</v>
      </c>
      <c r="L29" s="134">
        <v>30.48</v>
      </c>
      <c r="M29" s="134">
        <v>50.87</v>
      </c>
      <c r="N29" s="134">
        <v>0</v>
      </c>
      <c r="O29" s="134">
        <v>0</v>
      </c>
      <c r="P29" s="134">
        <v>0.41</v>
      </c>
      <c r="Q29" s="134">
        <v>5.08</v>
      </c>
    </row>
    <row r="30" spans="1:17" customFormat="1">
      <c r="A30" s="112" t="s">
        <v>1411</v>
      </c>
      <c r="B30" s="134">
        <v>9.68</v>
      </c>
      <c r="C30" s="134">
        <v>40.93</v>
      </c>
      <c r="D30" s="134">
        <v>28.1</v>
      </c>
      <c r="E30" s="134">
        <v>7.64</v>
      </c>
      <c r="F30" s="134">
        <v>15.67</v>
      </c>
      <c r="G30" s="134">
        <v>26.6</v>
      </c>
      <c r="H30" s="134">
        <v>13.02</v>
      </c>
      <c r="I30" s="134">
        <v>3.67</v>
      </c>
      <c r="J30" s="134">
        <v>0.14000000000000001</v>
      </c>
      <c r="K30" s="134">
        <v>259.45999999999998</v>
      </c>
      <c r="L30" s="134">
        <v>30.35</v>
      </c>
      <c r="M30" s="134">
        <v>51.36</v>
      </c>
      <c r="N30" s="134">
        <v>0</v>
      </c>
      <c r="O30" s="134">
        <v>0</v>
      </c>
      <c r="P30" s="134">
        <v>0.39</v>
      </c>
      <c r="Q30" s="134">
        <v>5.21</v>
      </c>
    </row>
    <row r="31" spans="1:17" customFormat="1">
      <c r="A31" s="112" t="s">
        <v>1412</v>
      </c>
      <c r="B31" s="134">
        <v>11.09</v>
      </c>
      <c r="C31" s="134">
        <v>44.29</v>
      </c>
      <c r="D31" s="134">
        <v>30.99</v>
      </c>
      <c r="E31" s="134">
        <v>6.43</v>
      </c>
      <c r="F31" s="134">
        <v>11.03</v>
      </c>
      <c r="G31" s="134">
        <v>21.09</v>
      </c>
      <c r="H31" s="134">
        <v>11.08</v>
      </c>
      <c r="I31" s="134">
        <v>3.74</v>
      </c>
      <c r="J31" s="134">
        <v>0.17</v>
      </c>
      <c r="K31" s="134">
        <v>108.25</v>
      </c>
      <c r="L31" s="134">
        <v>30.34</v>
      </c>
      <c r="M31" s="134">
        <v>52.16</v>
      </c>
      <c r="N31" s="134">
        <v>0</v>
      </c>
      <c r="O31" s="134">
        <v>0</v>
      </c>
      <c r="P31" s="134">
        <v>0.42</v>
      </c>
      <c r="Q31" s="134">
        <v>5.13</v>
      </c>
    </row>
    <row r="32" spans="1:17" customFormat="1">
      <c r="A32" s="112" t="s">
        <v>1413</v>
      </c>
      <c r="B32" s="134">
        <v>10.89</v>
      </c>
      <c r="C32" s="134">
        <v>46.02</v>
      </c>
      <c r="D32" s="134">
        <v>31.73</v>
      </c>
      <c r="E32" s="134">
        <v>7.32</v>
      </c>
      <c r="F32" s="134">
        <v>11.25</v>
      </c>
      <c r="G32" s="134">
        <v>21.09</v>
      </c>
      <c r="H32" s="134">
        <v>11.08</v>
      </c>
      <c r="I32" s="134">
        <v>3.7</v>
      </c>
      <c r="J32" s="134">
        <v>0.12</v>
      </c>
      <c r="K32" s="134">
        <v>114.98</v>
      </c>
      <c r="L32" s="134">
        <v>30.23</v>
      </c>
      <c r="M32" s="134">
        <v>53.06</v>
      </c>
      <c r="N32" s="134">
        <v>0</v>
      </c>
      <c r="O32" s="134">
        <v>0</v>
      </c>
      <c r="P32" s="134">
        <v>0.4</v>
      </c>
      <c r="Q32" s="134">
        <v>5.25</v>
      </c>
    </row>
    <row r="33" spans="1:17" customFormat="1">
      <c r="A33" s="112" t="s">
        <v>1414</v>
      </c>
      <c r="B33" s="134">
        <v>11.87</v>
      </c>
      <c r="C33" s="134">
        <v>45.23</v>
      </c>
      <c r="D33" s="134">
        <v>32.11</v>
      </c>
      <c r="E33" s="134">
        <v>6.69</v>
      </c>
      <c r="F33" s="134">
        <v>9.18</v>
      </c>
      <c r="G33" s="134">
        <v>21.09</v>
      </c>
      <c r="H33" s="134">
        <v>11.08</v>
      </c>
      <c r="I33" s="134">
        <v>3.85</v>
      </c>
      <c r="J33" s="134">
        <v>0.03</v>
      </c>
      <c r="K33" s="134">
        <v>113.69</v>
      </c>
      <c r="L33" s="134">
        <v>30.3</v>
      </c>
      <c r="M33" s="134">
        <v>53.21</v>
      </c>
      <c r="N33" s="134">
        <v>1.5</v>
      </c>
      <c r="O33" s="134">
        <v>0</v>
      </c>
      <c r="P33" s="134">
        <v>0.41</v>
      </c>
      <c r="Q33" s="134">
        <v>5.19</v>
      </c>
    </row>
    <row r="34" spans="1:17" customFormat="1">
      <c r="A34" s="112" t="s">
        <v>1415</v>
      </c>
      <c r="B34" s="134">
        <v>10.76</v>
      </c>
      <c r="C34" s="134">
        <v>44.68</v>
      </c>
      <c r="D34" s="134">
        <v>30.93</v>
      </c>
      <c r="E34" s="134">
        <v>6.89</v>
      </c>
      <c r="F34" s="134">
        <v>13.39</v>
      </c>
      <c r="G34" s="134">
        <v>22.61</v>
      </c>
      <c r="H34" s="134">
        <v>11.51</v>
      </c>
      <c r="I34" s="134">
        <v>3.94</v>
      </c>
      <c r="J34" s="134">
        <v>0.15</v>
      </c>
      <c r="K34" s="134">
        <v>196.66</v>
      </c>
      <c r="L34" s="134">
        <v>30.37</v>
      </c>
      <c r="M34" s="134">
        <v>53.01</v>
      </c>
      <c r="N34" s="134">
        <v>9.6999999999999993</v>
      </c>
      <c r="O34" s="134">
        <v>0</v>
      </c>
      <c r="P34" s="134">
        <v>0.4</v>
      </c>
      <c r="Q34" s="134">
        <v>5.27</v>
      </c>
    </row>
    <row r="35" spans="1:17" customFormat="1">
      <c r="A35" s="112" t="s">
        <v>1416</v>
      </c>
      <c r="B35" s="134">
        <v>11.54</v>
      </c>
      <c r="C35" s="134">
        <v>42.55</v>
      </c>
      <c r="D35" s="134">
        <v>30.44</v>
      </c>
      <c r="E35" s="134">
        <v>6.67</v>
      </c>
      <c r="F35" s="134">
        <v>12.63</v>
      </c>
      <c r="G35" s="134">
        <v>24.77</v>
      </c>
      <c r="H35" s="134">
        <v>11.88</v>
      </c>
      <c r="I35" s="134">
        <v>3.89</v>
      </c>
      <c r="J35" s="134">
        <v>0.26</v>
      </c>
      <c r="K35" s="134">
        <v>245.55</v>
      </c>
      <c r="L35" s="134">
        <v>30.47</v>
      </c>
      <c r="M35" s="134">
        <v>52.82</v>
      </c>
      <c r="N35" s="134">
        <v>15.1</v>
      </c>
      <c r="O35" s="134">
        <v>0</v>
      </c>
      <c r="P35" s="134">
        <v>0.4</v>
      </c>
      <c r="Q35" s="134">
        <v>5.19</v>
      </c>
    </row>
    <row r="36" spans="1:17" customFormat="1">
      <c r="A36" s="112" t="s">
        <v>1417</v>
      </c>
      <c r="B36" s="134">
        <v>13.45</v>
      </c>
      <c r="C36" s="134">
        <v>52.4</v>
      </c>
      <c r="D36" s="134">
        <v>37.119999999999997</v>
      </c>
      <c r="E36" s="134">
        <v>7.5</v>
      </c>
      <c r="F36" s="134">
        <v>7.19</v>
      </c>
      <c r="G36" s="134">
        <v>24.77</v>
      </c>
      <c r="H36" s="134">
        <v>11.88</v>
      </c>
      <c r="I36" s="134">
        <v>3.82</v>
      </c>
      <c r="J36" s="134">
        <v>0.22</v>
      </c>
      <c r="K36" s="134">
        <v>169.51</v>
      </c>
      <c r="L36" s="134">
        <v>30.8</v>
      </c>
      <c r="M36" s="134">
        <v>52</v>
      </c>
      <c r="N36" s="134">
        <v>22.8</v>
      </c>
      <c r="O36" s="134">
        <v>0</v>
      </c>
      <c r="P36" s="134">
        <v>0.45</v>
      </c>
      <c r="Q36" s="134">
        <v>5.26</v>
      </c>
    </row>
    <row r="37" spans="1:17" customFormat="1">
      <c r="A37" s="112" t="s">
        <v>1418</v>
      </c>
      <c r="B37" s="134">
        <v>12.07</v>
      </c>
      <c r="C37" s="134">
        <v>45.87</v>
      </c>
      <c r="D37" s="134">
        <v>32.6</v>
      </c>
      <c r="E37" s="134">
        <v>7.41</v>
      </c>
      <c r="F37" s="134">
        <v>10.57</v>
      </c>
      <c r="G37" s="134">
        <v>24.77</v>
      </c>
      <c r="H37" s="134">
        <v>11.88</v>
      </c>
      <c r="I37" s="134">
        <v>4.0199999999999996</v>
      </c>
      <c r="J37" s="134">
        <v>0.22</v>
      </c>
      <c r="K37" s="134">
        <v>167.48</v>
      </c>
      <c r="L37" s="134">
        <v>31</v>
      </c>
      <c r="M37" s="134">
        <v>51.99</v>
      </c>
      <c r="N37" s="134">
        <v>46.8</v>
      </c>
      <c r="O37" s="134">
        <v>0</v>
      </c>
      <c r="P37" s="134">
        <v>0.44</v>
      </c>
      <c r="Q37" s="134">
        <v>5.3</v>
      </c>
    </row>
    <row r="38" spans="1:17" customFormat="1">
      <c r="A38" s="112" t="s">
        <v>1419</v>
      </c>
      <c r="B38" s="134">
        <v>12.74</v>
      </c>
      <c r="C38" s="134">
        <v>43.29</v>
      </c>
      <c r="D38" s="134">
        <v>31.79</v>
      </c>
      <c r="E38" s="134">
        <v>7.88</v>
      </c>
      <c r="F38" s="134">
        <v>11.61</v>
      </c>
      <c r="G38" s="134">
        <v>23.96</v>
      </c>
      <c r="H38" s="134">
        <v>12.07</v>
      </c>
      <c r="I38" s="134">
        <v>4.3600000000000003</v>
      </c>
      <c r="J38" s="134">
        <v>0.23</v>
      </c>
      <c r="K38" s="134">
        <v>159.1</v>
      </c>
      <c r="L38" s="134">
        <v>31.43</v>
      </c>
      <c r="M38" s="134">
        <v>51.34</v>
      </c>
      <c r="N38" s="134">
        <v>63.1</v>
      </c>
      <c r="O38" s="134">
        <v>0</v>
      </c>
      <c r="P38" s="134">
        <v>0.44</v>
      </c>
      <c r="Q38" s="134">
        <v>5.23</v>
      </c>
    </row>
    <row r="39" spans="1:17" customFormat="1">
      <c r="A39" s="112" t="s">
        <v>1420</v>
      </c>
      <c r="B39" s="134">
        <v>13.7</v>
      </c>
      <c r="C39" s="134">
        <v>50.57</v>
      </c>
      <c r="D39" s="134">
        <v>36.36</v>
      </c>
      <c r="E39" s="134">
        <v>7.5</v>
      </c>
      <c r="F39" s="134">
        <v>10.19</v>
      </c>
      <c r="G39" s="134">
        <v>22.78</v>
      </c>
      <c r="H39" s="134">
        <v>12.51</v>
      </c>
      <c r="I39" s="134">
        <v>4.3099999999999996</v>
      </c>
      <c r="J39" s="134">
        <v>0.26</v>
      </c>
      <c r="K39" s="134">
        <v>170.75</v>
      </c>
      <c r="L39" s="134">
        <v>31.63</v>
      </c>
      <c r="M39" s="134">
        <v>50.96</v>
      </c>
      <c r="N39" s="134">
        <v>75</v>
      </c>
      <c r="O39" s="134">
        <v>0</v>
      </c>
      <c r="P39" s="134">
        <v>0.46</v>
      </c>
      <c r="Q39" s="134">
        <v>5.35</v>
      </c>
    </row>
    <row r="40" spans="1:17" customFormat="1">
      <c r="A40" s="112" t="s">
        <v>1421</v>
      </c>
      <c r="B40" s="134">
        <v>13</v>
      </c>
      <c r="C40" s="134">
        <v>44.96</v>
      </c>
      <c r="D40" s="134">
        <v>32.869999999999997</v>
      </c>
      <c r="E40" s="134">
        <v>7.89</v>
      </c>
      <c r="F40" s="134">
        <v>13.23</v>
      </c>
      <c r="G40" s="134">
        <v>22.78</v>
      </c>
      <c r="H40" s="134">
        <v>12.51</v>
      </c>
      <c r="I40" s="134">
        <v>4.5</v>
      </c>
      <c r="J40" s="134">
        <v>0.27</v>
      </c>
      <c r="K40" s="134">
        <v>193.3</v>
      </c>
      <c r="L40" s="134">
        <v>31.87</v>
      </c>
      <c r="M40" s="134">
        <v>48.46</v>
      </c>
      <c r="N40" s="134">
        <v>85.6</v>
      </c>
      <c r="O40" s="134">
        <v>0</v>
      </c>
      <c r="P40" s="134">
        <v>0.43</v>
      </c>
      <c r="Q40" s="134">
        <v>5.29</v>
      </c>
    </row>
    <row r="41" spans="1:17" customFormat="1">
      <c r="A41" s="112" t="s">
        <v>1422</v>
      </c>
      <c r="B41" s="134">
        <v>13.51</v>
      </c>
      <c r="C41" s="134">
        <v>45.39</v>
      </c>
      <c r="D41" s="134">
        <v>33.5</v>
      </c>
      <c r="E41" s="134">
        <v>7.67</v>
      </c>
      <c r="F41" s="134">
        <v>10.9</v>
      </c>
      <c r="G41" s="134">
        <v>22.78</v>
      </c>
      <c r="H41" s="134">
        <v>12.51</v>
      </c>
      <c r="I41" s="134">
        <v>4.58</v>
      </c>
      <c r="J41" s="134">
        <v>0.41</v>
      </c>
      <c r="K41" s="134">
        <v>249.93</v>
      </c>
      <c r="L41" s="134">
        <v>31.92</v>
      </c>
      <c r="M41" s="134">
        <v>47.96</v>
      </c>
      <c r="N41" s="134">
        <v>115.8</v>
      </c>
      <c r="O41" s="134">
        <v>0</v>
      </c>
      <c r="P41" s="134">
        <v>0.43</v>
      </c>
      <c r="Q41" s="134">
        <v>5.22</v>
      </c>
    </row>
    <row r="42" spans="1:17" customFormat="1">
      <c r="A42" s="112" t="s">
        <v>1423</v>
      </c>
      <c r="B42" s="134">
        <v>12.85</v>
      </c>
      <c r="C42" s="134">
        <v>45.57</v>
      </c>
      <c r="D42" s="134">
        <v>33.07</v>
      </c>
      <c r="E42" s="134">
        <v>8.33</v>
      </c>
      <c r="F42" s="134">
        <v>15.68</v>
      </c>
      <c r="G42" s="134">
        <v>23.93</v>
      </c>
      <c r="H42" s="134">
        <v>11.1</v>
      </c>
      <c r="I42" s="134">
        <v>4.38</v>
      </c>
      <c r="J42" s="134">
        <v>0.52</v>
      </c>
      <c r="K42" s="134">
        <v>259.11</v>
      </c>
      <c r="L42" s="134">
        <v>32.22</v>
      </c>
      <c r="M42" s="134">
        <v>47.08</v>
      </c>
      <c r="N42" s="134">
        <v>147.9</v>
      </c>
      <c r="O42" s="134">
        <v>0</v>
      </c>
      <c r="P42" s="134">
        <v>0.44</v>
      </c>
      <c r="Q42" s="134">
        <v>5.31</v>
      </c>
    </row>
    <row r="43" spans="1:17" customFormat="1">
      <c r="A43" s="112" t="s">
        <v>1424</v>
      </c>
      <c r="B43" s="134">
        <v>12</v>
      </c>
      <c r="C43" s="134">
        <v>42.23</v>
      </c>
      <c r="D43" s="134">
        <v>30.64</v>
      </c>
      <c r="E43" s="134">
        <v>8.2899999999999991</v>
      </c>
      <c r="F43" s="134">
        <v>17.8</v>
      </c>
      <c r="G43" s="134">
        <v>25.57</v>
      </c>
      <c r="H43" s="134">
        <v>9.8800000000000008</v>
      </c>
      <c r="I43" s="134">
        <v>4.3899999999999997</v>
      </c>
      <c r="J43" s="134">
        <v>0.44</v>
      </c>
      <c r="K43" s="134">
        <v>234.77</v>
      </c>
      <c r="L43" s="134">
        <v>32.770000000000003</v>
      </c>
      <c r="M43" s="134">
        <v>46.79</v>
      </c>
      <c r="N43" s="134">
        <v>180.4</v>
      </c>
      <c r="O43" s="134">
        <v>0</v>
      </c>
      <c r="P43" s="134">
        <v>0.43</v>
      </c>
      <c r="Q43" s="134">
        <v>5.25</v>
      </c>
    </row>
    <row r="44" spans="1:17" customFormat="1">
      <c r="A44" s="112" t="s">
        <v>1425</v>
      </c>
      <c r="B44" s="134">
        <v>13.07</v>
      </c>
      <c r="C44" s="134">
        <v>46.29</v>
      </c>
      <c r="D44" s="134">
        <v>33.619999999999997</v>
      </c>
      <c r="E44" s="134">
        <v>7.64</v>
      </c>
      <c r="F44" s="134">
        <v>11.69</v>
      </c>
      <c r="G44" s="134">
        <v>25.57</v>
      </c>
      <c r="H44" s="134">
        <v>9.8800000000000008</v>
      </c>
      <c r="I44" s="134">
        <v>4.54</v>
      </c>
      <c r="J44" s="134">
        <v>0.57999999999999996</v>
      </c>
      <c r="K44" s="134">
        <v>255.77</v>
      </c>
      <c r="L44" s="134">
        <v>33.72</v>
      </c>
      <c r="M44" s="134">
        <v>44.58</v>
      </c>
      <c r="N44" s="134">
        <v>211</v>
      </c>
      <c r="O44" s="134">
        <v>0</v>
      </c>
      <c r="P44" s="134">
        <v>0.45</v>
      </c>
      <c r="Q44" s="134">
        <v>5.18</v>
      </c>
    </row>
    <row r="45" spans="1:17" customFormat="1">
      <c r="A45" s="112" t="s">
        <v>1426</v>
      </c>
      <c r="B45" s="134">
        <v>12.24</v>
      </c>
      <c r="C45" s="134">
        <v>46.01</v>
      </c>
      <c r="D45" s="134">
        <v>32.81</v>
      </c>
      <c r="E45" s="134">
        <v>8.3800000000000008</v>
      </c>
      <c r="F45" s="134">
        <v>14.52</v>
      </c>
      <c r="G45" s="134">
        <v>25.57</v>
      </c>
      <c r="H45" s="134">
        <v>9.8800000000000008</v>
      </c>
      <c r="I45" s="134">
        <v>4.57</v>
      </c>
      <c r="J45" s="134">
        <v>0.48</v>
      </c>
      <c r="K45" s="134">
        <v>236.07</v>
      </c>
      <c r="L45" s="134">
        <v>33.82</v>
      </c>
      <c r="M45" s="134">
        <v>42.86</v>
      </c>
      <c r="N45" s="134">
        <v>212.6</v>
      </c>
      <c r="O45" s="134">
        <v>0</v>
      </c>
      <c r="P45" s="134">
        <v>0.45</v>
      </c>
      <c r="Q45" s="134">
        <v>5.22</v>
      </c>
    </row>
    <row r="46" spans="1:17" customFormat="1">
      <c r="A46" s="112" t="s">
        <v>1427</v>
      </c>
      <c r="B46" s="134">
        <v>11.05</v>
      </c>
      <c r="C46" s="134">
        <v>45</v>
      </c>
      <c r="D46" s="134">
        <v>31.33</v>
      </c>
      <c r="E46" s="134">
        <v>9.3699999999999992</v>
      </c>
      <c r="F46" s="134">
        <v>16.149999999999999</v>
      </c>
      <c r="G46" s="134">
        <v>24.96</v>
      </c>
      <c r="H46" s="134">
        <v>11.47</v>
      </c>
      <c r="I46" s="134">
        <v>4.63</v>
      </c>
      <c r="J46" s="134">
        <v>0.85</v>
      </c>
      <c r="K46" s="134">
        <v>248.28</v>
      </c>
      <c r="L46" s="134">
        <v>34.11</v>
      </c>
      <c r="M46" s="134">
        <v>40.869999999999997</v>
      </c>
      <c r="N46" s="134">
        <v>230.1</v>
      </c>
      <c r="O46" s="134">
        <v>0</v>
      </c>
      <c r="P46" s="134">
        <v>0.44</v>
      </c>
      <c r="Q46" s="134">
        <v>5.14</v>
      </c>
    </row>
    <row r="47" spans="1:17" customFormat="1">
      <c r="A47" s="112" t="s">
        <v>1428</v>
      </c>
      <c r="B47" s="134">
        <v>10.36</v>
      </c>
      <c r="C47" s="134">
        <v>42.77</v>
      </c>
      <c r="D47" s="134">
        <v>29.61</v>
      </c>
      <c r="E47" s="134">
        <v>10.79</v>
      </c>
      <c r="F47" s="134">
        <v>16.3</v>
      </c>
      <c r="G47" s="134">
        <v>24.04</v>
      </c>
      <c r="H47" s="134">
        <v>12.84</v>
      </c>
      <c r="I47" s="134">
        <v>4.59</v>
      </c>
      <c r="J47" s="134">
        <v>0.72</v>
      </c>
      <c r="K47" s="134">
        <v>257.63</v>
      </c>
      <c r="L47" s="134">
        <v>34.82</v>
      </c>
      <c r="M47" s="134">
        <v>39.28</v>
      </c>
      <c r="N47" s="134">
        <v>254.1</v>
      </c>
      <c r="O47" s="134">
        <v>0</v>
      </c>
      <c r="P47" s="134">
        <v>0.42</v>
      </c>
      <c r="Q47" s="134">
        <v>5.05</v>
      </c>
    </row>
    <row r="48" spans="1:17" customFormat="1">
      <c r="A48" s="112" t="s">
        <v>1429</v>
      </c>
      <c r="B48" s="134">
        <v>9.32</v>
      </c>
      <c r="C48" s="134">
        <v>40.799999999999997</v>
      </c>
      <c r="D48" s="134">
        <v>27.75</v>
      </c>
      <c r="E48" s="134">
        <v>10.08</v>
      </c>
      <c r="F48" s="134">
        <v>19.73</v>
      </c>
      <c r="G48" s="134">
        <v>24.04</v>
      </c>
      <c r="H48" s="134">
        <v>12.84</v>
      </c>
      <c r="I48" s="134">
        <v>4.5199999999999996</v>
      </c>
      <c r="J48" s="134">
        <v>0.79</v>
      </c>
      <c r="K48" s="134">
        <v>255.12</v>
      </c>
      <c r="L48" s="134">
        <v>34.9</v>
      </c>
      <c r="M48" s="134">
        <v>39.49</v>
      </c>
      <c r="N48" s="134">
        <v>221.6</v>
      </c>
      <c r="O48" s="134">
        <v>0</v>
      </c>
      <c r="P48" s="134">
        <v>0.42</v>
      </c>
      <c r="Q48" s="134">
        <v>5</v>
      </c>
    </row>
    <row r="49" spans="1:17" customFormat="1">
      <c r="A49" s="112" t="s">
        <v>1430</v>
      </c>
      <c r="B49" s="134">
        <v>8.24</v>
      </c>
      <c r="C49" s="134">
        <v>39.39</v>
      </c>
      <c r="D49" s="134">
        <v>26.14</v>
      </c>
      <c r="E49" s="134">
        <v>9.6999999999999993</v>
      </c>
      <c r="F49" s="134">
        <v>25.57</v>
      </c>
      <c r="G49" s="134">
        <v>24.04</v>
      </c>
      <c r="H49" s="134">
        <v>12.84</v>
      </c>
      <c r="I49" s="134">
        <v>4.49</v>
      </c>
      <c r="J49" s="134">
        <v>0.54</v>
      </c>
      <c r="K49" s="134">
        <v>258</v>
      </c>
      <c r="L49" s="134">
        <v>35.630000000000003</v>
      </c>
      <c r="M49" s="134">
        <v>37.89</v>
      </c>
      <c r="N49" s="134">
        <v>254.7</v>
      </c>
      <c r="O49" s="134">
        <v>0</v>
      </c>
      <c r="P49" s="134">
        <v>0.42</v>
      </c>
      <c r="Q49" s="134">
        <v>4.9400000000000004</v>
      </c>
    </row>
    <row r="50" spans="1:17" customFormat="1">
      <c r="A50" s="112" t="s">
        <v>1431</v>
      </c>
      <c r="B50" s="134">
        <v>7.5</v>
      </c>
      <c r="C50" s="134">
        <v>40.15</v>
      </c>
      <c r="D50" s="134">
        <v>25.95</v>
      </c>
      <c r="E50" s="134">
        <v>10.64</v>
      </c>
      <c r="F50" s="134">
        <v>24.74</v>
      </c>
      <c r="G50" s="134">
        <v>28.23</v>
      </c>
      <c r="H50" s="134">
        <v>15.28</v>
      </c>
      <c r="I50" s="134">
        <v>4.4800000000000004</v>
      </c>
      <c r="J50" s="134">
        <v>0.64</v>
      </c>
      <c r="K50" s="134">
        <v>264.23</v>
      </c>
      <c r="L50" s="134">
        <v>36.29</v>
      </c>
      <c r="M50" s="134">
        <v>36.43</v>
      </c>
      <c r="N50" s="134">
        <v>296</v>
      </c>
      <c r="O50" s="134">
        <v>0</v>
      </c>
      <c r="P50" s="134">
        <v>0.43</v>
      </c>
      <c r="Q50" s="134">
        <v>4.8899999999999997</v>
      </c>
    </row>
    <row r="51" spans="1:17" customFormat="1">
      <c r="A51" s="112" t="s">
        <v>1432</v>
      </c>
      <c r="B51" s="134">
        <v>7.16</v>
      </c>
      <c r="C51" s="134">
        <v>41.33</v>
      </c>
      <c r="D51" s="134">
        <v>26.29</v>
      </c>
      <c r="E51" s="134">
        <v>9.9499999999999993</v>
      </c>
      <c r="F51" s="134">
        <v>19.940000000000001</v>
      </c>
      <c r="G51" s="134">
        <v>34.24</v>
      </c>
      <c r="H51" s="134">
        <v>17.38</v>
      </c>
      <c r="I51" s="134">
        <v>4.3899999999999997</v>
      </c>
      <c r="J51" s="134">
        <v>0.68</v>
      </c>
      <c r="K51" s="134">
        <v>268.14999999999998</v>
      </c>
      <c r="L51" s="134">
        <v>38</v>
      </c>
      <c r="M51" s="134">
        <v>31.48</v>
      </c>
      <c r="N51" s="134">
        <v>285</v>
      </c>
      <c r="O51" s="134">
        <v>0</v>
      </c>
      <c r="P51" s="134">
        <v>0.44</v>
      </c>
      <c r="Q51" s="134">
        <v>4.9400000000000004</v>
      </c>
    </row>
    <row r="52" spans="1:17" customFormat="1">
      <c r="A52" s="112" t="s">
        <v>1433</v>
      </c>
      <c r="B52" s="134">
        <v>6.67</v>
      </c>
      <c r="C52" s="134">
        <v>43.29</v>
      </c>
      <c r="D52" s="134">
        <v>26.92</v>
      </c>
      <c r="E52" s="134">
        <v>8.94</v>
      </c>
      <c r="F52" s="134">
        <v>19.73</v>
      </c>
      <c r="G52" s="134">
        <v>34.24</v>
      </c>
      <c r="H52" s="134">
        <v>17.38</v>
      </c>
      <c r="I52" s="134">
        <v>4.3600000000000003</v>
      </c>
      <c r="J52" s="134">
        <v>0.76</v>
      </c>
      <c r="K52" s="134">
        <v>255.33</v>
      </c>
      <c r="L52" s="134">
        <v>38.67</v>
      </c>
      <c r="M52" s="134">
        <v>30.08</v>
      </c>
      <c r="N52" s="134">
        <v>301</v>
      </c>
      <c r="O52" s="134">
        <v>0</v>
      </c>
      <c r="P52" s="134">
        <v>0.43</v>
      </c>
      <c r="Q52" s="134">
        <v>4.93</v>
      </c>
    </row>
    <row r="53" spans="1:17" customFormat="1">
      <c r="A53" s="112" t="s">
        <v>1434</v>
      </c>
      <c r="B53" s="134">
        <v>6.07</v>
      </c>
      <c r="C53" s="134">
        <v>42.99</v>
      </c>
      <c r="D53" s="134">
        <v>26.29</v>
      </c>
      <c r="E53" s="134">
        <v>8.7100000000000009</v>
      </c>
      <c r="F53" s="134">
        <v>20.54</v>
      </c>
      <c r="G53" s="134">
        <v>34.24</v>
      </c>
      <c r="H53" s="134">
        <v>17.38</v>
      </c>
      <c r="I53" s="134">
        <v>4.43</v>
      </c>
      <c r="J53" s="134">
        <v>0.7</v>
      </c>
      <c r="K53" s="134">
        <v>261.58999999999997</v>
      </c>
      <c r="L53" s="134">
        <v>38.869999999999997</v>
      </c>
      <c r="M53" s="134">
        <v>29.25</v>
      </c>
      <c r="N53" s="134">
        <v>270.8</v>
      </c>
      <c r="O53" s="134">
        <v>0</v>
      </c>
      <c r="P53" s="134">
        <v>0.44</v>
      </c>
      <c r="Q53" s="134">
        <v>4.88</v>
      </c>
    </row>
    <row r="54" spans="1:17" customFormat="1">
      <c r="A54" s="112" t="s">
        <v>1435</v>
      </c>
      <c r="B54" s="134">
        <v>5.67</v>
      </c>
      <c r="C54" s="134">
        <v>42.33</v>
      </c>
      <c r="D54" s="134">
        <v>25.62</v>
      </c>
      <c r="E54" s="134">
        <v>7.62</v>
      </c>
      <c r="F54" s="134">
        <v>18.579999999999998</v>
      </c>
      <c r="G54" s="134">
        <v>32.71</v>
      </c>
      <c r="H54" s="134">
        <v>16.95</v>
      </c>
      <c r="I54" s="134">
        <v>4.5999999999999996</v>
      </c>
      <c r="J54" s="134">
        <v>0.97</v>
      </c>
      <c r="K54" s="134">
        <v>264.48</v>
      </c>
      <c r="L54" s="134">
        <v>39.19</v>
      </c>
      <c r="M54" s="134">
        <v>28.22</v>
      </c>
      <c r="N54" s="134">
        <v>300.5</v>
      </c>
      <c r="O54" s="134">
        <v>0</v>
      </c>
      <c r="P54" s="134">
        <v>0.44</v>
      </c>
      <c r="Q54" s="134">
        <v>4.83</v>
      </c>
    </row>
    <row r="55" spans="1:17" customFormat="1">
      <c r="A55" s="112" t="s">
        <v>1436</v>
      </c>
      <c r="B55" s="134">
        <v>5.49</v>
      </c>
      <c r="C55" s="134">
        <v>45.21</v>
      </c>
      <c r="D55" s="134">
        <v>26.98</v>
      </c>
      <c r="E55" s="134">
        <v>7.27</v>
      </c>
      <c r="F55" s="134">
        <v>15.49</v>
      </c>
      <c r="G55" s="134">
        <v>30.4</v>
      </c>
      <c r="H55" s="134">
        <v>16.579999999999998</v>
      </c>
      <c r="I55" s="134">
        <v>4.6100000000000003</v>
      </c>
      <c r="J55" s="134">
        <v>0.75</v>
      </c>
      <c r="K55" s="134">
        <v>259.12</v>
      </c>
      <c r="L55" s="134">
        <v>39.56</v>
      </c>
      <c r="M55" s="134">
        <v>27.27</v>
      </c>
      <c r="N55" s="134">
        <v>427.8</v>
      </c>
      <c r="O55" s="134">
        <v>0</v>
      </c>
      <c r="P55" s="134">
        <v>0.45</v>
      </c>
      <c r="Q55" s="134">
        <v>4.79</v>
      </c>
    </row>
    <row r="56" spans="1:17" customFormat="1">
      <c r="A56" s="112" t="s">
        <v>1437</v>
      </c>
      <c r="B56" s="134">
        <v>4.75</v>
      </c>
      <c r="C56" s="134">
        <v>46.4</v>
      </c>
      <c r="D56" s="134">
        <v>27.01</v>
      </c>
      <c r="E56" s="134">
        <v>7.65</v>
      </c>
      <c r="F56" s="134">
        <v>18.11</v>
      </c>
      <c r="G56" s="134">
        <v>30.4</v>
      </c>
      <c r="H56" s="134">
        <v>16.579999999999998</v>
      </c>
      <c r="I56" s="134">
        <v>4.74</v>
      </c>
      <c r="J56" s="134">
        <v>1.1599999999999999</v>
      </c>
      <c r="K56" s="134">
        <v>285.52999999999997</v>
      </c>
      <c r="L56" s="134">
        <v>39.57</v>
      </c>
      <c r="M56" s="134">
        <v>25.63</v>
      </c>
      <c r="N56" s="134">
        <v>725.8</v>
      </c>
      <c r="O56" s="134">
        <v>0</v>
      </c>
      <c r="P56" s="134">
        <v>0.46</v>
      </c>
      <c r="Q56" s="134">
        <v>4.9000000000000004</v>
      </c>
    </row>
    <row r="57" spans="1:17" customFormat="1">
      <c r="A57" s="112" t="s">
        <v>1438</v>
      </c>
      <c r="B57" s="134">
        <v>4.3</v>
      </c>
      <c r="C57" s="134">
        <v>43.09</v>
      </c>
      <c r="D57" s="134">
        <v>24.91</v>
      </c>
      <c r="E57" s="134">
        <v>9.36</v>
      </c>
      <c r="F57" s="134">
        <v>27.68</v>
      </c>
      <c r="G57" s="134">
        <v>30.4</v>
      </c>
      <c r="H57" s="134">
        <v>16.579999999999998</v>
      </c>
      <c r="I57" s="134">
        <v>4.8600000000000003</v>
      </c>
      <c r="J57" s="134">
        <v>0.79</v>
      </c>
      <c r="K57" s="134">
        <v>264.47000000000003</v>
      </c>
      <c r="L57" s="134">
        <v>40.01</v>
      </c>
      <c r="M57" s="134">
        <v>25.1</v>
      </c>
      <c r="N57" s="134">
        <v>780</v>
      </c>
      <c r="O57" s="134">
        <v>0</v>
      </c>
      <c r="P57" s="134">
        <v>0.44</v>
      </c>
      <c r="Q57" s="134">
        <v>4.8499999999999996</v>
      </c>
    </row>
    <row r="58" spans="1:17" customFormat="1">
      <c r="A58" s="112" t="s">
        <v>1439</v>
      </c>
      <c r="B58" s="134">
        <v>4.38</v>
      </c>
      <c r="C58" s="134">
        <v>42.72</v>
      </c>
      <c r="D58" s="134">
        <v>24.79</v>
      </c>
      <c r="E58" s="134">
        <v>14.72</v>
      </c>
      <c r="F58" s="134">
        <v>38.020000000000003</v>
      </c>
      <c r="G58" s="134">
        <v>30.7</v>
      </c>
      <c r="H58" s="134">
        <v>18.41</v>
      </c>
      <c r="I58" s="134">
        <v>4.79</v>
      </c>
      <c r="J58" s="134">
        <v>0.77</v>
      </c>
      <c r="K58" s="134">
        <v>301.7</v>
      </c>
      <c r="L58" s="134">
        <v>40.200000000000003</v>
      </c>
      <c r="M58" s="134">
        <v>24.7</v>
      </c>
      <c r="N58" s="134">
        <v>709.6</v>
      </c>
      <c r="O58" s="134">
        <v>0</v>
      </c>
      <c r="P58" s="134">
        <v>0.49</v>
      </c>
      <c r="Q58" s="134">
        <v>4.7699999999999996</v>
      </c>
    </row>
    <row r="59" spans="1:17" customFormat="1">
      <c r="A59" s="112" t="s">
        <v>1440</v>
      </c>
      <c r="B59" s="134">
        <v>4.09</v>
      </c>
      <c r="C59" s="134">
        <v>43.55</v>
      </c>
      <c r="D59" s="134">
        <v>24.99</v>
      </c>
      <c r="E59" s="134">
        <v>18.309999999999999</v>
      </c>
      <c r="F59" s="134">
        <v>37.82</v>
      </c>
      <c r="G59" s="134">
        <v>31.13</v>
      </c>
      <c r="H59" s="134">
        <v>19.98</v>
      </c>
      <c r="I59" s="134">
        <v>4.83</v>
      </c>
      <c r="J59" s="134">
        <v>0.77</v>
      </c>
      <c r="K59" s="134">
        <v>292.94</v>
      </c>
      <c r="L59" s="134">
        <v>40.57</v>
      </c>
      <c r="M59" s="134">
        <v>24.1</v>
      </c>
      <c r="N59" s="134">
        <v>652.4</v>
      </c>
      <c r="O59" s="134">
        <v>0</v>
      </c>
      <c r="P59" s="134">
        <v>0.57999999999999996</v>
      </c>
      <c r="Q59" s="134">
        <v>4.7699999999999996</v>
      </c>
    </row>
    <row r="60" spans="1:17" customFormat="1">
      <c r="A60" s="112" t="s">
        <v>1441</v>
      </c>
      <c r="B60" s="134">
        <v>3.66</v>
      </c>
      <c r="C60" s="134">
        <v>43</v>
      </c>
      <c r="D60" s="134">
        <v>24.36</v>
      </c>
      <c r="E60" s="134">
        <v>9.86</v>
      </c>
      <c r="F60" s="134">
        <v>25.12</v>
      </c>
      <c r="G60" s="134">
        <v>31.13</v>
      </c>
      <c r="H60" s="134">
        <v>19.98</v>
      </c>
      <c r="I60" s="134">
        <v>5.51</v>
      </c>
      <c r="J60" s="134">
        <v>1.1000000000000001</v>
      </c>
      <c r="K60" s="134">
        <v>268.23</v>
      </c>
      <c r="L60" s="134">
        <v>40.71</v>
      </c>
      <c r="M60" s="134">
        <v>23.39</v>
      </c>
      <c r="N60" s="134">
        <v>729.2</v>
      </c>
      <c r="O60" s="134">
        <v>0</v>
      </c>
      <c r="P60" s="134">
        <v>0.49</v>
      </c>
      <c r="Q60" s="134">
        <v>4.75</v>
      </c>
    </row>
    <row r="61" spans="1:17" customFormat="1">
      <c r="A61" s="112" t="s">
        <v>1442</v>
      </c>
      <c r="B61" s="134">
        <v>3.28</v>
      </c>
      <c r="C61" s="134">
        <v>42.47</v>
      </c>
      <c r="D61" s="134">
        <v>23.78</v>
      </c>
      <c r="E61" s="134">
        <v>7.9</v>
      </c>
      <c r="F61" s="134">
        <v>24.24</v>
      </c>
      <c r="G61" s="134">
        <v>31.13</v>
      </c>
      <c r="H61" s="134">
        <v>19.98</v>
      </c>
      <c r="I61" s="134">
        <v>5.92</v>
      </c>
      <c r="J61" s="134">
        <v>1.19</v>
      </c>
      <c r="K61" s="134">
        <v>273.25</v>
      </c>
      <c r="L61" s="134">
        <v>40.74</v>
      </c>
      <c r="M61" s="134">
        <v>23.18</v>
      </c>
      <c r="N61" s="134">
        <v>736.3</v>
      </c>
      <c r="O61" s="134">
        <v>0</v>
      </c>
      <c r="P61" s="134">
        <v>0.46</v>
      </c>
      <c r="Q61" s="134">
        <v>4.6900000000000004</v>
      </c>
    </row>
    <row r="62" spans="1:17" customFormat="1">
      <c r="A62" s="112" t="s">
        <v>1443</v>
      </c>
      <c r="B62" s="134">
        <v>4.17</v>
      </c>
      <c r="C62" s="134">
        <v>40.590000000000003</v>
      </c>
      <c r="D62" s="134">
        <v>23.5</v>
      </c>
      <c r="E62" s="134">
        <v>9.2899999999999991</v>
      </c>
      <c r="F62" s="134">
        <v>35.590000000000003</v>
      </c>
      <c r="G62" s="134">
        <v>33.86</v>
      </c>
      <c r="H62" s="134">
        <v>19.97</v>
      </c>
      <c r="I62" s="134">
        <v>5.46</v>
      </c>
      <c r="J62" s="134">
        <v>0.92</v>
      </c>
      <c r="K62" s="134">
        <v>287.12</v>
      </c>
      <c r="L62" s="134">
        <v>41.41</v>
      </c>
      <c r="M62" s="134">
        <v>22.26</v>
      </c>
      <c r="N62" s="134">
        <v>745.4</v>
      </c>
      <c r="O62" s="134">
        <v>0</v>
      </c>
      <c r="P62" s="134">
        <v>0.46</v>
      </c>
      <c r="Q62" s="134">
        <v>4.6500000000000004</v>
      </c>
    </row>
    <row r="63" spans="1:17" customFormat="1">
      <c r="A63" s="112" t="s">
        <v>1444</v>
      </c>
      <c r="B63" s="134">
        <v>3.56</v>
      </c>
      <c r="C63" s="134">
        <v>39.85</v>
      </c>
      <c r="D63" s="134">
        <v>22.63</v>
      </c>
      <c r="E63" s="134">
        <v>7.5</v>
      </c>
      <c r="F63" s="134">
        <v>23.87</v>
      </c>
      <c r="G63" s="134">
        <v>37.78</v>
      </c>
      <c r="H63" s="134">
        <v>19.920000000000002</v>
      </c>
      <c r="I63" s="134">
        <v>5.27</v>
      </c>
      <c r="J63" s="134">
        <v>1.1599999999999999</v>
      </c>
      <c r="K63" s="134">
        <v>293.04000000000002</v>
      </c>
      <c r="L63" s="134">
        <v>41.61</v>
      </c>
      <c r="M63" s="134">
        <v>20.98</v>
      </c>
      <c r="N63" s="134">
        <v>720</v>
      </c>
      <c r="O63" s="134">
        <v>0</v>
      </c>
      <c r="P63" s="134">
        <v>0.46</v>
      </c>
      <c r="Q63" s="134">
        <v>4.6500000000000004</v>
      </c>
    </row>
    <row r="64" spans="1:17" customFormat="1">
      <c r="A64" s="112" t="s">
        <v>1445</v>
      </c>
      <c r="B64" s="134">
        <v>3.47</v>
      </c>
      <c r="C64" s="134">
        <v>41.91</v>
      </c>
      <c r="D64" s="134">
        <v>23.64</v>
      </c>
      <c r="E64" s="134">
        <v>6.89</v>
      </c>
      <c r="F64" s="134">
        <v>16.079999999999998</v>
      </c>
      <c r="G64" s="134">
        <v>37.78</v>
      </c>
      <c r="H64" s="134">
        <v>19.920000000000002</v>
      </c>
      <c r="I64" s="134">
        <v>5</v>
      </c>
      <c r="J64" s="134">
        <v>1.46</v>
      </c>
      <c r="K64" s="134">
        <v>288.68</v>
      </c>
      <c r="L64" s="134">
        <v>41.67</v>
      </c>
      <c r="M64" s="134">
        <v>20.12</v>
      </c>
      <c r="N64" s="134">
        <v>701.1</v>
      </c>
      <c r="O64" s="134">
        <v>0</v>
      </c>
      <c r="P64" s="134">
        <v>0.46</v>
      </c>
      <c r="Q64" s="134">
        <v>4.6399999999999997</v>
      </c>
    </row>
    <row r="65" spans="1:17" customFormat="1">
      <c r="A65" s="112" t="s">
        <v>1446</v>
      </c>
      <c r="B65" s="134">
        <v>3.71</v>
      </c>
      <c r="C65" s="134">
        <v>42.15</v>
      </c>
      <c r="D65" s="134">
        <v>23.95</v>
      </c>
      <c r="E65" s="134">
        <v>6.53</v>
      </c>
      <c r="F65" s="134">
        <v>21.43</v>
      </c>
      <c r="G65" s="134">
        <v>37.78</v>
      </c>
      <c r="H65" s="134">
        <v>19.920000000000002</v>
      </c>
      <c r="I65" s="134">
        <v>5.03</v>
      </c>
      <c r="J65" s="134">
        <v>1.18</v>
      </c>
      <c r="K65" s="134">
        <v>295.33</v>
      </c>
      <c r="L65" s="134">
        <v>41.64</v>
      </c>
      <c r="M65" s="134">
        <v>20.14</v>
      </c>
      <c r="N65" s="134">
        <v>537</v>
      </c>
      <c r="O65" s="134">
        <v>0</v>
      </c>
      <c r="P65" s="134">
        <v>0.46</v>
      </c>
      <c r="Q65" s="134">
        <v>4.67</v>
      </c>
    </row>
    <row r="66" spans="1:17" customFormat="1">
      <c r="A66" s="112" t="s">
        <v>1447</v>
      </c>
      <c r="B66" s="134">
        <v>4.09</v>
      </c>
      <c r="C66" s="134">
        <v>38.99</v>
      </c>
      <c r="D66" s="134">
        <v>22.61</v>
      </c>
      <c r="E66" s="134">
        <v>7.82</v>
      </c>
      <c r="F66" s="134">
        <v>22.63</v>
      </c>
      <c r="G66" s="134">
        <v>35.840000000000003</v>
      </c>
      <c r="H66" s="134">
        <v>18.89</v>
      </c>
      <c r="I66" s="134">
        <v>5.23</v>
      </c>
      <c r="J66" s="134">
        <v>1.06</v>
      </c>
      <c r="K66" s="134">
        <v>316.06</v>
      </c>
      <c r="L66" s="134">
        <v>42.02</v>
      </c>
      <c r="M66" s="134">
        <v>19.559999999999999</v>
      </c>
      <c r="N66" s="134">
        <v>673.2</v>
      </c>
      <c r="O66" s="134">
        <v>0</v>
      </c>
      <c r="P66" s="134">
        <v>0.47</v>
      </c>
      <c r="Q66" s="134">
        <v>4.6500000000000004</v>
      </c>
    </row>
    <row r="67" spans="1:17" customFormat="1">
      <c r="A67" s="112" t="s">
        <v>1448</v>
      </c>
      <c r="B67" s="134">
        <v>4.5599999999999996</v>
      </c>
      <c r="C67" s="134">
        <v>43.89</v>
      </c>
      <c r="D67" s="134">
        <v>25.54</v>
      </c>
      <c r="E67" s="134">
        <v>6.85</v>
      </c>
      <c r="F67" s="134">
        <v>14.77</v>
      </c>
      <c r="G67" s="134">
        <v>33.06</v>
      </c>
      <c r="H67" s="134">
        <v>18</v>
      </c>
      <c r="I67" s="134">
        <v>5.19</v>
      </c>
      <c r="J67" s="134">
        <v>1.4</v>
      </c>
      <c r="K67" s="134">
        <v>312.67</v>
      </c>
      <c r="L67" s="134">
        <v>42.04</v>
      </c>
      <c r="M67" s="134">
        <v>19.23</v>
      </c>
      <c r="N67" s="134">
        <v>563.20000000000005</v>
      </c>
      <c r="O67" s="134">
        <v>0</v>
      </c>
      <c r="P67" s="134">
        <v>0.46</v>
      </c>
      <c r="Q67" s="134">
        <v>4.78</v>
      </c>
    </row>
    <row r="68" spans="1:17" customFormat="1">
      <c r="A68" s="112" t="s">
        <v>1449</v>
      </c>
      <c r="B68" s="134">
        <v>4.82</v>
      </c>
      <c r="C68" s="134">
        <v>46.14</v>
      </c>
      <c r="D68" s="134">
        <v>26.93</v>
      </c>
      <c r="E68" s="134">
        <v>7.59</v>
      </c>
      <c r="F68" s="134">
        <v>23.56</v>
      </c>
      <c r="G68" s="134">
        <v>33.06</v>
      </c>
      <c r="H68" s="134">
        <v>18</v>
      </c>
      <c r="I68" s="134">
        <v>5</v>
      </c>
      <c r="J68" s="134">
        <v>0.59</v>
      </c>
      <c r="K68" s="134">
        <v>359.55</v>
      </c>
      <c r="L68" s="134">
        <v>42.25</v>
      </c>
      <c r="M68" s="134">
        <v>19.37</v>
      </c>
      <c r="N68" s="134">
        <v>521.70000000000005</v>
      </c>
      <c r="O68" s="134">
        <v>0</v>
      </c>
      <c r="P68" s="134">
        <v>0.46</v>
      </c>
      <c r="Q68" s="134">
        <v>4.88</v>
      </c>
    </row>
    <row r="69" spans="1:17" customFormat="1">
      <c r="A69" s="112" t="s">
        <v>1450</v>
      </c>
      <c r="B69" s="134">
        <v>5.5</v>
      </c>
      <c r="C69" s="134">
        <v>49.01</v>
      </c>
      <c r="D69" s="134">
        <v>28.97</v>
      </c>
      <c r="E69" s="134">
        <v>7.27</v>
      </c>
      <c r="F69" s="134">
        <v>23.76</v>
      </c>
      <c r="G69" s="134">
        <v>33.06</v>
      </c>
      <c r="H69" s="134">
        <v>18</v>
      </c>
      <c r="I69" s="134">
        <v>4.99</v>
      </c>
      <c r="J69" s="134">
        <v>0.73</v>
      </c>
      <c r="K69" s="134">
        <v>320.5</v>
      </c>
      <c r="L69" s="134">
        <v>41.57</v>
      </c>
      <c r="M69" s="134">
        <v>20.170000000000002</v>
      </c>
      <c r="N69" s="134">
        <v>245.2</v>
      </c>
      <c r="O69" s="134">
        <v>0</v>
      </c>
      <c r="P69" s="134">
        <v>0.47</v>
      </c>
      <c r="Q69" s="134">
        <v>4.9800000000000004</v>
      </c>
    </row>
    <row r="70" spans="1:17" customFormat="1">
      <c r="A70" s="112" t="s">
        <v>1451</v>
      </c>
      <c r="B70" s="134">
        <v>4.91</v>
      </c>
      <c r="C70" s="134">
        <v>42.43</v>
      </c>
      <c r="D70" s="134">
        <v>25.06</v>
      </c>
      <c r="E70" s="134">
        <v>9.07</v>
      </c>
      <c r="F70" s="134">
        <v>35.119999999999997</v>
      </c>
      <c r="G70" s="134">
        <v>33.840000000000003</v>
      </c>
      <c r="H70" s="134">
        <v>18.170000000000002</v>
      </c>
      <c r="I70" s="134">
        <v>4.91</v>
      </c>
      <c r="J70" s="134">
        <v>0.41</v>
      </c>
      <c r="K70" s="134">
        <v>288.89</v>
      </c>
      <c r="L70" s="134">
        <v>41.21</v>
      </c>
      <c r="M70" s="134">
        <v>20.83</v>
      </c>
      <c r="N70" s="134">
        <v>232.4</v>
      </c>
      <c r="O70" s="134">
        <v>0</v>
      </c>
      <c r="P70" s="134">
        <v>0.44</v>
      </c>
      <c r="Q70" s="134">
        <v>5.0599999999999996</v>
      </c>
    </row>
    <row r="71" spans="1:17" customFormat="1">
      <c r="A71" s="112" t="s">
        <v>1452</v>
      </c>
      <c r="B71" s="134">
        <v>7.6</v>
      </c>
      <c r="C71" s="134">
        <v>48.7</v>
      </c>
      <c r="D71" s="134">
        <v>30.5</v>
      </c>
      <c r="E71" s="134">
        <v>8.6999999999999993</v>
      </c>
      <c r="F71" s="134">
        <v>24.85</v>
      </c>
      <c r="G71" s="134">
        <v>34.94</v>
      </c>
      <c r="H71" s="134">
        <v>18.309999999999999</v>
      </c>
      <c r="I71" s="134">
        <v>4.45</v>
      </c>
      <c r="J71" s="134">
        <v>0.54</v>
      </c>
      <c r="K71" s="134">
        <v>330.22</v>
      </c>
      <c r="L71" s="134">
        <v>41.24</v>
      </c>
      <c r="M71" s="134">
        <v>20.82</v>
      </c>
      <c r="N71" s="134">
        <v>210.5</v>
      </c>
      <c r="O71" s="134">
        <v>0</v>
      </c>
      <c r="P71" s="134">
        <v>0.45</v>
      </c>
      <c r="Q71" s="134">
        <v>5.07</v>
      </c>
    </row>
    <row r="72" spans="1:17" customFormat="1">
      <c r="A72" s="112" t="s">
        <v>1453</v>
      </c>
      <c r="B72" s="134">
        <v>5.7</v>
      </c>
      <c r="C72" s="134">
        <v>44.1</v>
      </c>
      <c r="D72" s="134">
        <v>26.56</v>
      </c>
      <c r="E72" s="134">
        <v>8.99</v>
      </c>
      <c r="F72" s="134">
        <v>30.5</v>
      </c>
      <c r="G72" s="134">
        <v>34.94</v>
      </c>
      <c r="H72" s="134">
        <v>18.309999999999999</v>
      </c>
      <c r="I72" s="134">
        <v>4.22</v>
      </c>
      <c r="J72" s="134">
        <v>0.6</v>
      </c>
      <c r="K72" s="134">
        <v>320.74</v>
      </c>
      <c r="L72" s="134">
        <v>40.85</v>
      </c>
      <c r="M72" s="134">
        <v>21.09</v>
      </c>
      <c r="N72" s="134">
        <v>173.7</v>
      </c>
      <c r="O72" s="134">
        <v>0</v>
      </c>
      <c r="P72" s="134">
        <v>0.44</v>
      </c>
      <c r="Q72" s="134">
        <v>5.09</v>
      </c>
    </row>
    <row r="73" spans="1:17" customFormat="1">
      <c r="A73" s="112" t="s">
        <v>1454</v>
      </c>
      <c r="B73" s="134">
        <v>7.64</v>
      </c>
      <c r="C73" s="134">
        <v>45.81</v>
      </c>
      <c r="D73" s="134">
        <v>29.01</v>
      </c>
      <c r="E73" s="134">
        <v>8.77</v>
      </c>
      <c r="F73" s="134">
        <v>31.29</v>
      </c>
      <c r="G73" s="134">
        <v>34.94</v>
      </c>
      <c r="H73" s="134">
        <v>18.309999999999999</v>
      </c>
      <c r="I73" s="134">
        <v>4.13</v>
      </c>
      <c r="J73" s="134">
        <v>0.52</v>
      </c>
      <c r="K73" s="134">
        <v>335.27</v>
      </c>
      <c r="L73" s="134">
        <v>40.630000000000003</v>
      </c>
      <c r="M73" s="134">
        <v>21.57</v>
      </c>
      <c r="N73" s="134">
        <v>110.1</v>
      </c>
      <c r="O73" s="134">
        <v>0</v>
      </c>
      <c r="P73" s="134">
        <v>0.46</v>
      </c>
      <c r="Q73" s="134">
        <v>5.1100000000000003</v>
      </c>
    </row>
    <row r="74" spans="1:17" customFormat="1">
      <c r="A74" s="112" t="s">
        <v>1455</v>
      </c>
      <c r="B74" s="134">
        <v>7.11</v>
      </c>
      <c r="C74" s="134">
        <v>46.04</v>
      </c>
      <c r="D74" s="134">
        <v>28.71</v>
      </c>
      <c r="E74" s="134">
        <v>7.19</v>
      </c>
      <c r="F74" s="134">
        <v>28.63</v>
      </c>
      <c r="G74" s="134">
        <v>37.659999999999997</v>
      </c>
      <c r="H74" s="134">
        <v>18.559999999999999</v>
      </c>
      <c r="I74" s="134">
        <v>3.98</v>
      </c>
      <c r="J74" s="134">
        <v>0.46</v>
      </c>
      <c r="K74" s="134">
        <v>294.83999999999997</v>
      </c>
      <c r="L74" s="134">
        <v>40.43</v>
      </c>
      <c r="M74" s="134">
        <v>21.33</v>
      </c>
      <c r="N74" s="134">
        <v>127.4</v>
      </c>
      <c r="O74" s="134">
        <v>0</v>
      </c>
      <c r="P74" s="134">
        <v>0.44</v>
      </c>
      <c r="Q74" s="134">
        <v>5.0999999999999996</v>
      </c>
    </row>
    <row r="75" spans="1:17" customFormat="1">
      <c r="A75" s="112" t="s">
        <v>1456</v>
      </c>
      <c r="B75" s="134">
        <v>7.37</v>
      </c>
      <c r="C75" s="134">
        <v>50.77</v>
      </c>
      <c r="D75" s="134">
        <v>31.39</v>
      </c>
      <c r="E75" s="134">
        <v>7.12</v>
      </c>
      <c r="F75" s="134">
        <v>31.88</v>
      </c>
      <c r="G75" s="134">
        <v>41.55</v>
      </c>
      <c r="H75" s="134">
        <v>18.82</v>
      </c>
      <c r="I75" s="134">
        <v>3.83</v>
      </c>
      <c r="J75" s="134">
        <v>0.44</v>
      </c>
      <c r="K75" s="134">
        <v>319.74</v>
      </c>
      <c r="L75" s="134">
        <v>40.25</v>
      </c>
      <c r="M75" s="134">
        <v>21.89</v>
      </c>
      <c r="N75" s="134">
        <v>96.8</v>
      </c>
      <c r="O75" s="134">
        <v>0</v>
      </c>
      <c r="P75" s="134">
        <v>0.48</v>
      </c>
      <c r="Q75" s="134">
        <v>5.17</v>
      </c>
    </row>
    <row r="76" spans="1:17" customFormat="1">
      <c r="A76" s="112" t="s">
        <v>1457</v>
      </c>
      <c r="B76" s="134">
        <v>7.65</v>
      </c>
      <c r="C76" s="134">
        <v>47.55</v>
      </c>
      <c r="D76" s="134">
        <v>29.93</v>
      </c>
      <c r="E76" s="134">
        <v>9.64</v>
      </c>
      <c r="F76" s="134">
        <v>32.31</v>
      </c>
      <c r="G76" s="134">
        <v>41.55</v>
      </c>
      <c r="H76" s="134">
        <v>18.82</v>
      </c>
      <c r="I76" s="134">
        <v>4.09</v>
      </c>
      <c r="J76" s="134">
        <v>0.4</v>
      </c>
      <c r="K76" s="134">
        <v>312.72000000000003</v>
      </c>
      <c r="L76" s="134">
        <v>40.03</v>
      </c>
      <c r="M76" s="134">
        <v>22.5</v>
      </c>
      <c r="N76" s="134">
        <v>68.900000000000006</v>
      </c>
      <c r="O76" s="134">
        <v>0</v>
      </c>
      <c r="P76" s="134">
        <v>0.5</v>
      </c>
      <c r="Q76" s="134">
        <v>5.25</v>
      </c>
    </row>
    <row r="77" spans="1:17" customFormat="1">
      <c r="A77" s="112" t="s">
        <v>1458</v>
      </c>
      <c r="B77" s="134">
        <v>8.48</v>
      </c>
      <c r="C77" s="134">
        <v>50.45</v>
      </c>
      <c r="D77" s="134">
        <v>32.119999999999997</v>
      </c>
      <c r="E77" s="134">
        <v>12.8</v>
      </c>
      <c r="F77" s="134">
        <v>26.16</v>
      </c>
      <c r="G77" s="134">
        <v>41.55</v>
      </c>
      <c r="H77" s="134">
        <v>18.82</v>
      </c>
      <c r="I77" s="134">
        <v>4.25</v>
      </c>
      <c r="J77" s="134">
        <v>0.72</v>
      </c>
      <c r="K77" s="134">
        <v>311.67</v>
      </c>
      <c r="L77" s="134">
        <v>39.700000000000003</v>
      </c>
      <c r="M77" s="134">
        <v>23.35</v>
      </c>
      <c r="N77" s="134">
        <v>44.7</v>
      </c>
      <c r="O77" s="134">
        <v>0</v>
      </c>
      <c r="P77" s="134">
        <v>0.56000000000000005</v>
      </c>
      <c r="Q77" s="134">
        <v>5.22</v>
      </c>
    </row>
    <row r="78" spans="1:17" customFormat="1">
      <c r="A78" s="112" t="s">
        <v>1459</v>
      </c>
      <c r="B78" s="134">
        <v>9.25</v>
      </c>
      <c r="C78" s="134">
        <v>49.49</v>
      </c>
      <c r="D78" s="134">
        <v>32.229999999999997</v>
      </c>
      <c r="E78" s="134">
        <v>9.75</v>
      </c>
      <c r="F78" s="134">
        <v>30.18</v>
      </c>
      <c r="G78" s="134">
        <v>43.63</v>
      </c>
      <c r="H78" s="134">
        <v>20.18</v>
      </c>
      <c r="I78" s="134">
        <v>4.1100000000000003</v>
      </c>
      <c r="J78" s="134">
        <v>0.81</v>
      </c>
      <c r="K78" s="134">
        <v>315.22000000000003</v>
      </c>
      <c r="L78" s="134">
        <v>39.18</v>
      </c>
      <c r="M78" s="134">
        <v>24.44</v>
      </c>
      <c r="N78" s="134">
        <v>37.5</v>
      </c>
      <c r="O78" s="134">
        <v>0</v>
      </c>
      <c r="P78" s="134">
        <v>0.52</v>
      </c>
      <c r="Q78" s="134">
        <v>5.19</v>
      </c>
    </row>
    <row r="79" spans="1:17" customFormat="1">
      <c r="A79" s="112" t="s">
        <v>1460</v>
      </c>
      <c r="B79" s="134">
        <v>8.8699999999999992</v>
      </c>
      <c r="C79" s="134">
        <v>46.54</v>
      </c>
      <c r="D79" s="134">
        <v>30.38</v>
      </c>
      <c r="E79" s="134">
        <v>10.18</v>
      </c>
      <c r="F79" s="134">
        <v>26.35</v>
      </c>
      <c r="G79" s="134">
        <v>46.62</v>
      </c>
      <c r="H79" s="134">
        <v>21.35</v>
      </c>
      <c r="I79" s="134">
        <v>4.4800000000000004</v>
      </c>
      <c r="J79" s="134">
        <v>0.85</v>
      </c>
      <c r="K79" s="134">
        <v>335.1</v>
      </c>
      <c r="L79" s="134">
        <v>38.18</v>
      </c>
      <c r="M79" s="134">
        <v>26.93</v>
      </c>
      <c r="N79" s="134">
        <v>20.7</v>
      </c>
      <c r="O79" s="134">
        <v>0</v>
      </c>
      <c r="P79" s="134">
        <v>0.49</v>
      </c>
      <c r="Q79" s="134">
        <v>5.17</v>
      </c>
    </row>
    <row r="80" spans="1:17" customFormat="1">
      <c r="A80" s="112" t="s">
        <v>1461</v>
      </c>
      <c r="B80" s="134">
        <v>10.06</v>
      </c>
      <c r="C80" s="134">
        <v>48.67</v>
      </c>
      <c r="D80" s="134">
        <v>32.450000000000003</v>
      </c>
      <c r="E80" s="134">
        <v>8.43</v>
      </c>
      <c r="F80" s="134">
        <v>24.33</v>
      </c>
      <c r="G80" s="134">
        <v>46.62</v>
      </c>
      <c r="H80" s="134">
        <v>21.35</v>
      </c>
      <c r="I80" s="134">
        <v>4.7699999999999996</v>
      </c>
      <c r="J80" s="134">
        <v>0.85</v>
      </c>
      <c r="K80" s="134">
        <v>46.39</v>
      </c>
      <c r="L80" s="134">
        <v>37.630000000000003</v>
      </c>
      <c r="M80" s="134">
        <v>27.94</v>
      </c>
      <c r="N80" s="134">
        <v>18.2</v>
      </c>
      <c r="O80" s="134">
        <v>0</v>
      </c>
      <c r="P80" s="134">
        <v>0.53</v>
      </c>
      <c r="Q80" s="134">
        <v>5.1100000000000003</v>
      </c>
    </row>
    <row r="81" spans="1:17" customFormat="1">
      <c r="A81" s="112" t="s">
        <v>1462</v>
      </c>
      <c r="B81" s="134">
        <v>10.130000000000001</v>
      </c>
      <c r="C81" s="134">
        <v>45.92</v>
      </c>
      <c r="D81" s="134">
        <v>31.07</v>
      </c>
      <c r="E81" s="134">
        <v>8.6199999999999992</v>
      </c>
      <c r="F81" s="134">
        <v>23.22</v>
      </c>
      <c r="G81" s="134">
        <v>46.62</v>
      </c>
      <c r="H81" s="134">
        <v>21.35</v>
      </c>
      <c r="I81" s="134">
        <v>4.59</v>
      </c>
      <c r="J81" s="134">
        <v>0.76</v>
      </c>
      <c r="K81" s="134">
        <v>298.23</v>
      </c>
      <c r="L81" s="134">
        <v>37.42</v>
      </c>
      <c r="M81" s="134">
        <v>28.38</v>
      </c>
      <c r="N81" s="134">
        <v>3.6</v>
      </c>
      <c r="O81" s="134">
        <v>0</v>
      </c>
      <c r="P81" s="134">
        <v>0.51</v>
      </c>
      <c r="Q81" s="134">
        <v>5.0999999999999996</v>
      </c>
    </row>
    <row r="82" spans="1:17" customFormat="1">
      <c r="A82" s="112" t="s">
        <v>1463</v>
      </c>
      <c r="B82" s="134">
        <v>8.92</v>
      </c>
      <c r="C82" s="134">
        <v>45.25</v>
      </c>
      <c r="D82" s="134">
        <v>29.75</v>
      </c>
      <c r="E82" s="134">
        <v>8.6999999999999993</v>
      </c>
      <c r="F82" s="134">
        <v>21.35</v>
      </c>
      <c r="G82" s="134">
        <v>51.58</v>
      </c>
      <c r="H82" s="134">
        <v>22.7</v>
      </c>
      <c r="I82" s="134">
        <v>4.3499999999999996</v>
      </c>
      <c r="J82" s="134">
        <v>1.41</v>
      </c>
      <c r="K82" s="134">
        <v>304.29000000000002</v>
      </c>
      <c r="L82" s="134">
        <v>37.06</v>
      </c>
      <c r="M82" s="134">
        <v>29.53</v>
      </c>
      <c r="N82" s="134">
        <v>0</v>
      </c>
      <c r="O82" s="134">
        <v>0</v>
      </c>
      <c r="P82" s="134">
        <v>0.52</v>
      </c>
      <c r="Q82" s="134">
        <v>5.05</v>
      </c>
    </row>
    <row r="83" spans="1:17" customFormat="1">
      <c r="A83" s="112" t="s">
        <v>1464</v>
      </c>
      <c r="B83" s="134">
        <v>9.57</v>
      </c>
      <c r="C83" s="134">
        <v>51.57</v>
      </c>
      <c r="D83" s="134">
        <v>33.58</v>
      </c>
      <c r="E83" s="134">
        <v>7.32</v>
      </c>
      <c r="F83" s="134">
        <v>11.06</v>
      </c>
      <c r="G83" s="134">
        <v>58.68</v>
      </c>
      <c r="H83" s="134">
        <v>23.87</v>
      </c>
      <c r="I83" s="134">
        <v>4.4800000000000004</v>
      </c>
      <c r="J83" s="134">
        <v>2.2799999999999998</v>
      </c>
      <c r="K83" s="134">
        <v>293.14</v>
      </c>
      <c r="L83" s="134">
        <v>36.159999999999997</v>
      </c>
      <c r="M83" s="134">
        <v>32.450000000000003</v>
      </c>
      <c r="N83" s="134">
        <v>0</v>
      </c>
      <c r="O83" s="134">
        <v>0</v>
      </c>
      <c r="P83" s="134">
        <v>0.51</v>
      </c>
      <c r="Q83" s="134">
        <v>5.03</v>
      </c>
    </row>
    <row r="84" spans="1:17" customFormat="1">
      <c r="A84" s="112" t="s">
        <v>1465</v>
      </c>
      <c r="B84" s="134">
        <v>9.3699999999999992</v>
      </c>
      <c r="C84" s="134">
        <v>53.24</v>
      </c>
      <c r="D84" s="134">
        <v>34.28</v>
      </c>
      <c r="E84" s="134">
        <v>5.96</v>
      </c>
      <c r="F84" s="134">
        <v>9.7200000000000006</v>
      </c>
      <c r="G84" s="134">
        <v>58.68</v>
      </c>
      <c r="H84" s="134">
        <v>23.87</v>
      </c>
      <c r="I84" s="134">
        <v>4.74</v>
      </c>
      <c r="J84" s="134">
        <v>2.14</v>
      </c>
      <c r="K84" s="134">
        <v>287.64999999999998</v>
      </c>
      <c r="L84" s="134">
        <v>31.87</v>
      </c>
      <c r="M84" s="134">
        <v>53.98</v>
      </c>
      <c r="N84" s="134">
        <v>6</v>
      </c>
      <c r="O84" s="134">
        <v>0</v>
      </c>
      <c r="P84" s="134">
        <v>0.52</v>
      </c>
      <c r="Q84" s="134">
        <v>5.08</v>
      </c>
    </row>
    <row r="85" spans="1:17" customFormat="1">
      <c r="A85" s="112" t="s">
        <v>1466</v>
      </c>
      <c r="B85" s="134">
        <v>8.4700000000000006</v>
      </c>
      <c r="C85" s="134">
        <v>49.17</v>
      </c>
      <c r="D85" s="134">
        <v>31.44</v>
      </c>
      <c r="E85" s="134">
        <v>5.23</v>
      </c>
      <c r="F85" s="134">
        <v>8.6999999999999993</v>
      </c>
      <c r="G85" s="134">
        <v>58.68</v>
      </c>
      <c r="H85" s="134">
        <v>23.87</v>
      </c>
      <c r="I85" s="134">
        <v>5.0599999999999996</v>
      </c>
      <c r="J85" s="134">
        <v>0.77</v>
      </c>
      <c r="K85" s="134">
        <v>264.37</v>
      </c>
      <c r="L85" s="134">
        <v>28.08</v>
      </c>
      <c r="M85" s="134">
        <v>77.53</v>
      </c>
      <c r="N85" s="134">
        <v>0</v>
      </c>
      <c r="O85" s="134">
        <v>0</v>
      </c>
      <c r="P85" s="134">
        <v>0.5</v>
      </c>
      <c r="Q85" s="134">
        <v>4.95</v>
      </c>
    </row>
    <row r="86" spans="1:17" customFormat="1">
      <c r="A86" s="112" t="s">
        <v>1467</v>
      </c>
      <c r="B86" s="134">
        <v>8.31</v>
      </c>
      <c r="C86" s="134">
        <v>51.33</v>
      </c>
      <c r="D86" s="134">
        <v>32.44</v>
      </c>
      <c r="E86" s="134">
        <v>5.48</v>
      </c>
      <c r="F86" s="134">
        <v>9.9700000000000006</v>
      </c>
      <c r="G86" s="134">
        <v>63.78</v>
      </c>
      <c r="H86" s="134">
        <v>24.34</v>
      </c>
      <c r="I86" s="134">
        <v>4.9800000000000004</v>
      </c>
      <c r="J86" s="134">
        <v>1.22</v>
      </c>
      <c r="K86" s="134">
        <v>259.48</v>
      </c>
      <c r="L86" s="134">
        <v>29.6</v>
      </c>
      <c r="M86" s="134">
        <v>63.54</v>
      </c>
      <c r="N86" s="134">
        <v>0</v>
      </c>
      <c r="O86" s="134">
        <v>0</v>
      </c>
      <c r="P86" s="134">
        <v>0.52</v>
      </c>
      <c r="Q86" s="134">
        <v>4.97</v>
      </c>
    </row>
    <row r="87" spans="1:17" customFormat="1">
      <c r="A87" s="112" t="s">
        <v>1468</v>
      </c>
      <c r="B87" s="134">
        <v>8.56</v>
      </c>
      <c r="C87" s="134">
        <v>47.48</v>
      </c>
      <c r="D87" s="134">
        <v>30.62</v>
      </c>
      <c r="E87" s="134">
        <v>5.56</v>
      </c>
      <c r="F87" s="134">
        <v>10.43</v>
      </c>
      <c r="G87" s="134">
        <v>71.09</v>
      </c>
      <c r="H87" s="134">
        <v>25.57</v>
      </c>
      <c r="I87" s="134">
        <v>4.92</v>
      </c>
      <c r="J87" s="134">
        <v>1.54</v>
      </c>
      <c r="K87" s="134">
        <v>261.69</v>
      </c>
      <c r="L87" s="134">
        <v>31.48</v>
      </c>
      <c r="M87" s="134">
        <v>48.62</v>
      </c>
      <c r="N87" s="134">
        <v>0</v>
      </c>
      <c r="O87" s="134">
        <v>0</v>
      </c>
      <c r="P87" s="134">
        <v>0.49</v>
      </c>
      <c r="Q87" s="134">
        <v>4.92</v>
      </c>
    </row>
    <row r="88" spans="1:17" customFormat="1">
      <c r="A88" s="112" t="s">
        <v>1469</v>
      </c>
      <c r="B88" s="134">
        <v>7.97</v>
      </c>
      <c r="C88" s="134">
        <v>50.75</v>
      </c>
      <c r="D88" s="134">
        <v>31.86</v>
      </c>
      <c r="E88" s="134">
        <v>5.79</v>
      </c>
      <c r="F88" s="134">
        <v>10.95</v>
      </c>
      <c r="G88" s="134">
        <v>71.09</v>
      </c>
      <c r="H88" s="134">
        <v>25.57</v>
      </c>
      <c r="I88" s="134">
        <v>4.8899999999999997</v>
      </c>
      <c r="J88" s="134">
        <v>0.98</v>
      </c>
      <c r="K88" s="134">
        <v>253.91</v>
      </c>
      <c r="L88" s="134">
        <v>31.58</v>
      </c>
      <c r="M88" s="134">
        <v>47.06</v>
      </c>
      <c r="N88" s="134">
        <v>0</v>
      </c>
      <c r="O88" s="134">
        <v>0</v>
      </c>
      <c r="P88" s="134">
        <v>0.5</v>
      </c>
      <c r="Q88" s="134">
        <v>4.95</v>
      </c>
    </row>
    <row r="89" spans="1:17" customFormat="1">
      <c r="A89" s="112" t="s">
        <v>1470</v>
      </c>
      <c r="B89" s="134">
        <v>7.22</v>
      </c>
      <c r="C89" s="134">
        <v>45.38</v>
      </c>
      <c r="D89" s="134">
        <v>28.45</v>
      </c>
      <c r="E89" s="134">
        <v>5.94</v>
      </c>
      <c r="F89" s="134">
        <v>16.75</v>
      </c>
      <c r="G89" s="134">
        <v>71.09</v>
      </c>
      <c r="H89" s="134">
        <v>25.57</v>
      </c>
      <c r="I89" s="134">
        <v>4.7699999999999996</v>
      </c>
      <c r="J89" s="134">
        <v>0.68</v>
      </c>
      <c r="K89" s="134">
        <v>251.86</v>
      </c>
      <c r="L89" s="134">
        <v>31.72</v>
      </c>
      <c r="M89" s="134">
        <v>43.86</v>
      </c>
      <c r="N89" s="134">
        <v>0</v>
      </c>
      <c r="O89" s="134">
        <v>0</v>
      </c>
      <c r="P89" s="134">
        <v>0.47</v>
      </c>
      <c r="Q89" s="134">
        <v>4.9000000000000004</v>
      </c>
    </row>
    <row r="90" spans="1:17" customFormat="1">
      <c r="A90" s="112" t="s">
        <v>1471</v>
      </c>
      <c r="B90" s="134">
        <v>6.46</v>
      </c>
      <c r="C90" s="134">
        <v>43.75</v>
      </c>
      <c r="D90" s="134">
        <v>26.99</v>
      </c>
      <c r="E90" s="134">
        <v>5.8</v>
      </c>
      <c r="F90" s="134">
        <v>18.57</v>
      </c>
      <c r="G90" s="134">
        <v>59.67</v>
      </c>
      <c r="H90" s="134">
        <v>20.76</v>
      </c>
      <c r="I90" s="134">
        <v>4.6500000000000004</v>
      </c>
      <c r="J90" s="134">
        <v>0.49</v>
      </c>
      <c r="K90" s="134">
        <v>253.44</v>
      </c>
      <c r="L90" s="134">
        <v>31.7</v>
      </c>
      <c r="M90" s="134">
        <v>45.52</v>
      </c>
      <c r="N90" s="134">
        <v>0</v>
      </c>
      <c r="O90" s="134">
        <v>0</v>
      </c>
      <c r="P90" s="134">
        <v>0.45</v>
      </c>
      <c r="Q90" s="134">
        <v>4.83</v>
      </c>
    </row>
    <row r="91" spans="1:17" customFormat="1">
      <c r="A91" s="112" t="s">
        <v>1472</v>
      </c>
      <c r="B91" s="134">
        <v>6.02</v>
      </c>
      <c r="C91" s="134">
        <v>40.880000000000003</v>
      </c>
      <c r="D91" s="134">
        <v>25.14</v>
      </c>
      <c r="E91" s="134">
        <v>6.45</v>
      </c>
      <c r="F91" s="134">
        <v>29.94</v>
      </c>
      <c r="G91" s="134">
        <v>43.32</v>
      </c>
      <c r="H91" s="134">
        <v>16.62</v>
      </c>
      <c r="I91" s="134">
        <v>4.3600000000000003</v>
      </c>
      <c r="J91" s="134">
        <v>0.56999999999999995</v>
      </c>
      <c r="K91" s="134">
        <v>258.95999999999998</v>
      </c>
      <c r="L91" s="134">
        <v>32.020000000000003</v>
      </c>
      <c r="M91" s="134">
        <v>44.6</v>
      </c>
      <c r="N91" s="134">
        <v>0</v>
      </c>
      <c r="O91" s="134">
        <v>0</v>
      </c>
      <c r="P91" s="134">
        <v>0.43</v>
      </c>
      <c r="Q91" s="134">
        <v>4.9000000000000004</v>
      </c>
    </row>
    <row r="92" spans="1:17" customFormat="1">
      <c r="A92" s="112" t="s">
        <v>1473</v>
      </c>
      <c r="B92" s="134">
        <v>5.59</v>
      </c>
      <c r="C92" s="134">
        <v>37.49</v>
      </c>
      <c r="D92" s="134">
        <v>23.02</v>
      </c>
      <c r="E92" s="134">
        <v>6.69</v>
      </c>
      <c r="F92" s="134">
        <v>33.81</v>
      </c>
      <c r="G92" s="134">
        <v>43.32</v>
      </c>
      <c r="H92" s="134">
        <v>16.62</v>
      </c>
      <c r="I92" s="134">
        <v>3.98</v>
      </c>
      <c r="J92" s="134">
        <v>0.39</v>
      </c>
      <c r="K92" s="134">
        <v>247.21</v>
      </c>
      <c r="L92" s="134">
        <v>32.450000000000003</v>
      </c>
      <c r="M92" s="134">
        <v>43.2</v>
      </c>
      <c r="N92" s="134">
        <v>0</v>
      </c>
      <c r="O92" s="134">
        <v>0</v>
      </c>
      <c r="P92" s="134">
        <v>0.43</v>
      </c>
      <c r="Q92" s="134">
        <v>4.8499999999999996</v>
      </c>
    </row>
    <row r="93" spans="1:17" customFormat="1">
      <c r="A93" s="112" t="s">
        <v>1474</v>
      </c>
      <c r="B93" s="134">
        <v>8.8699999999999992</v>
      </c>
      <c r="C93" s="134">
        <v>47.78</v>
      </c>
      <c r="D93" s="134">
        <v>31.03</v>
      </c>
      <c r="E93" s="134">
        <v>6.61</v>
      </c>
      <c r="F93" s="134">
        <v>17.75</v>
      </c>
      <c r="G93" s="134">
        <v>43.32</v>
      </c>
      <c r="H93" s="134">
        <v>16.62</v>
      </c>
      <c r="I93" s="134">
        <v>3.69</v>
      </c>
      <c r="J93" s="134">
        <v>0.24</v>
      </c>
      <c r="K93" s="134">
        <v>246.89</v>
      </c>
      <c r="L93" s="134">
        <v>32.6</v>
      </c>
      <c r="M93" s="134">
        <v>44.59</v>
      </c>
      <c r="N93" s="134">
        <v>0</v>
      </c>
      <c r="O93" s="134">
        <v>0</v>
      </c>
      <c r="P93" s="134">
        <v>0.56000000000000005</v>
      </c>
      <c r="Q93" s="134">
        <v>4.8499999999999996</v>
      </c>
    </row>
    <row r="94" spans="1:17" customFormat="1">
      <c r="A94" s="112" t="s">
        <v>1475</v>
      </c>
      <c r="B94" s="134">
        <v>11.49</v>
      </c>
      <c r="C94" s="134">
        <v>56.9</v>
      </c>
      <c r="D94" s="134">
        <v>37.9</v>
      </c>
      <c r="E94" s="134">
        <v>6.98</v>
      </c>
      <c r="F94" s="134">
        <v>6.78</v>
      </c>
      <c r="G94" s="134">
        <v>43.51</v>
      </c>
      <c r="H94" s="134">
        <v>16.489999999999998</v>
      </c>
      <c r="I94" s="134">
        <v>3.79</v>
      </c>
      <c r="J94" s="134">
        <v>0.43</v>
      </c>
      <c r="K94" s="134">
        <v>252.71</v>
      </c>
      <c r="L94" s="134">
        <v>32.51</v>
      </c>
      <c r="M94" s="134">
        <v>46.02</v>
      </c>
      <c r="N94" s="134">
        <v>0</v>
      </c>
      <c r="O94" s="134">
        <v>0</v>
      </c>
      <c r="P94" s="134">
        <v>0.64</v>
      </c>
      <c r="Q94" s="134">
        <v>4.93</v>
      </c>
    </row>
    <row r="95" spans="1:17" customFormat="1">
      <c r="A95" s="112" t="s">
        <v>1476</v>
      </c>
      <c r="B95" s="134">
        <v>7.92</v>
      </c>
      <c r="C95" s="134">
        <v>51.48</v>
      </c>
      <c r="D95" s="134">
        <v>32.21</v>
      </c>
      <c r="E95" s="134">
        <v>9.69</v>
      </c>
      <c r="F95" s="134">
        <v>16.690000000000001</v>
      </c>
      <c r="G95" s="134">
        <v>43.78</v>
      </c>
      <c r="H95" s="134">
        <v>16.38</v>
      </c>
      <c r="I95" s="134">
        <v>4.38</v>
      </c>
      <c r="J95" s="134">
        <v>0.41</v>
      </c>
      <c r="K95" s="134">
        <v>226.4</v>
      </c>
      <c r="L95" s="134">
        <v>32.869999999999997</v>
      </c>
      <c r="M95" s="134">
        <v>44.4</v>
      </c>
      <c r="N95" s="134">
        <v>0</v>
      </c>
      <c r="O95" s="134">
        <v>0</v>
      </c>
      <c r="P95" s="134">
        <v>0.66</v>
      </c>
      <c r="Q95" s="134">
        <v>5.01</v>
      </c>
    </row>
    <row r="96" spans="1:17" customFormat="1">
      <c r="A96" s="112" t="s">
        <v>1477</v>
      </c>
      <c r="B96" s="134">
        <v>6.32</v>
      </c>
      <c r="C96" s="134">
        <v>42.96</v>
      </c>
      <c r="D96" s="134">
        <v>26.46</v>
      </c>
      <c r="E96" s="134">
        <v>11.03</v>
      </c>
      <c r="F96" s="134">
        <v>25.26</v>
      </c>
      <c r="G96" s="134">
        <v>43.78</v>
      </c>
      <c r="H96" s="134">
        <v>16.38</v>
      </c>
      <c r="I96" s="134">
        <v>4.83</v>
      </c>
      <c r="J96" s="134">
        <v>0.21</v>
      </c>
      <c r="K96" s="134">
        <v>204.58</v>
      </c>
      <c r="L96" s="134">
        <v>32.54</v>
      </c>
      <c r="M96" s="134">
        <v>46.57</v>
      </c>
      <c r="N96" s="134">
        <v>0</v>
      </c>
      <c r="O96" s="134">
        <v>0</v>
      </c>
      <c r="P96" s="134">
        <v>0.63</v>
      </c>
      <c r="Q96" s="134">
        <v>4.99</v>
      </c>
    </row>
    <row r="97" spans="1:22" customFormat="1">
      <c r="A97" s="112" t="s">
        <v>1478</v>
      </c>
      <c r="B97" s="134">
        <v>6.44</v>
      </c>
      <c r="C97" s="134">
        <v>40.36</v>
      </c>
      <c r="D97" s="134">
        <v>25.2</v>
      </c>
      <c r="E97" s="134">
        <v>10.88</v>
      </c>
      <c r="F97" s="134">
        <v>22.41</v>
      </c>
      <c r="G97" s="134">
        <v>43.78</v>
      </c>
      <c r="H97" s="134">
        <v>16.38</v>
      </c>
      <c r="I97" s="134">
        <v>4.8099999999999996</v>
      </c>
      <c r="J97" s="134">
        <v>0.22</v>
      </c>
      <c r="K97" s="134">
        <v>193.08</v>
      </c>
      <c r="L97" s="134">
        <v>32.14</v>
      </c>
      <c r="M97" s="134">
        <v>50.93</v>
      </c>
      <c r="N97" s="134">
        <v>0</v>
      </c>
      <c r="O97" s="134">
        <v>0</v>
      </c>
      <c r="P97" s="134">
        <v>0.61</v>
      </c>
      <c r="Q97" s="134">
        <v>4.9400000000000004</v>
      </c>
    </row>
    <row r="98" spans="1:22" customFormat="1">
      <c r="A98" s="112" t="s">
        <v>1479</v>
      </c>
      <c r="B98" s="134">
        <v>7.84</v>
      </c>
      <c r="C98" s="134">
        <v>47.15</v>
      </c>
      <c r="D98" s="134">
        <v>29.88</v>
      </c>
      <c r="E98" s="134">
        <v>10.01</v>
      </c>
      <c r="F98" s="134">
        <v>18.04</v>
      </c>
      <c r="G98" s="134">
        <v>45.38</v>
      </c>
      <c r="H98" s="134">
        <v>17.600000000000001</v>
      </c>
      <c r="I98" s="134">
        <v>4.74</v>
      </c>
      <c r="J98" s="134">
        <v>0.19</v>
      </c>
      <c r="K98" s="134">
        <v>194.88</v>
      </c>
      <c r="L98" s="134">
        <v>31.73</v>
      </c>
      <c r="M98" s="134">
        <v>53.45</v>
      </c>
      <c r="N98" s="134">
        <v>0</v>
      </c>
      <c r="O98" s="134">
        <v>0</v>
      </c>
      <c r="P98" s="134">
        <v>0.64</v>
      </c>
      <c r="Q98" s="134">
        <v>5.0599999999999996</v>
      </c>
    </row>
    <row r="99" spans="1:22" customFormat="1">
      <c r="A99" s="112" t="s">
        <v>1480</v>
      </c>
      <c r="B99" s="134">
        <v>7.66</v>
      </c>
      <c r="C99" s="134">
        <v>43.25</v>
      </c>
      <c r="D99" s="134">
        <v>27.69</v>
      </c>
      <c r="E99" s="134">
        <v>9.41</v>
      </c>
      <c r="F99" s="134">
        <v>12.13</v>
      </c>
      <c r="G99" s="134">
        <v>47.68</v>
      </c>
      <c r="H99" s="134">
        <v>18.66</v>
      </c>
      <c r="I99" s="134">
        <v>4.7699999999999996</v>
      </c>
      <c r="J99" s="134">
        <v>0.26</v>
      </c>
      <c r="K99" s="134">
        <v>182.2</v>
      </c>
      <c r="L99" s="134">
        <v>31.47</v>
      </c>
      <c r="M99" s="134">
        <v>59.33</v>
      </c>
      <c r="N99" s="134">
        <v>0</v>
      </c>
      <c r="O99" s="134">
        <v>0</v>
      </c>
      <c r="P99" s="134">
        <v>0.62</v>
      </c>
      <c r="Q99" s="134">
        <v>5.07</v>
      </c>
    </row>
    <row r="100" spans="1:22" customFormat="1">
      <c r="A100" s="112" t="s">
        <v>1481</v>
      </c>
      <c r="B100" s="134">
        <v>9.35</v>
      </c>
      <c r="C100" s="134">
        <v>47.38</v>
      </c>
      <c r="D100" s="134">
        <v>31.21</v>
      </c>
      <c r="E100" s="134">
        <v>8.3800000000000008</v>
      </c>
      <c r="F100" s="134">
        <v>8.57</v>
      </c>
      <c r="G100" s="134">
        <v>47.68</v>
      </c>
      <c r="H100" s="134">
        <v>18.66</v>
      </c>
      <c r="I100" s="134">
        <v>4.8899999999999997</v>
      </c>
      <c r="J100" s="134">
        <v>0.14000000000000001</v>
      </c>
      <c r="K100" s="134">
        <v>217.26</v>
      </c>
      <c r="L100" s="134">
        <v>31.22</v>
      </c>
      <c r="M100" s="134">
        <v>57.78</v>
      </c>
      <c r="N100" s="134">
        <v>0</v>
      </c>
      <c r="O100" s="134">
        <v>0</v>
      </c>
      <c r="P100" s="134">
        <v>0.62</v>
      </c>
      <c r="Q100" s="134">
        <v>5.0599999999999996</v>
      </c>
    </row>
    <row r="101" spans="1:22" customFormat="1">
      <c r="A101" s="112" t="s">
        <v>1482</v>
      </c>
      <c r="B101" s="134">
        <v>8.42</v>
      </c>
      <c r="C101" s="134">
        <v>45.6</v>
      </c>
      <c r="D101" s="134">
        <v>29.53</v>
      </c>
      <c r="E101" s="134">
        <v>10.98</v>
      </c>
      <c r="F101" s="134">
        <v>11.52</v>
      </c>
      <c r="G101" s="134">
        <v>47.68</v>
      </c>
      <c r="H101" s="134">
        <v>18.66</v>
      </c>
      <c r="I101" s="134">
        <v>4.92</v>
      </c>
      <c r="J101" s="134">
        <v>0.26</v>
      </c>
      <c r="K101" s="134">
        <v>231.22</v>
      </c>
      <c r="L101" s="134">
        <v>31.44</v>
      </c>
      <c r="M101" s="134">
        <v>54.44</v>
      </c>
      <c r="N101" s="134">
        <v>0</v>
      </c>
      <c r="O101" s="134">
        <v>0</v>
      </c>
      <c r="P101" s="134">
        <v>0.64</v>
      </c>
      <c r="Q101" s="134">
        <v>5.18</v>
      </c>
    </row>
    <row r="102" spans="1:22" customFormat="1">
      <c r="A102" s="112" t="s">
        <v>1483</v>
      </c>
      <c r="B102" s="134">
        <v>9.35</v>
      </c>
      <c r="C102" s="134">
        <v>44.96</v>
      </c>
      <c r="D102" s="134">
        <v>29.94</v>
      </c>
      <c r="E102" s="134">
        <v>10.53</v>
      </c>
      <c r="F102" s="134">
        <v>11.65</v>
      </c>
      <c r="G102" s="134">
        <v>47</v>
      </c>
      <c r="H102" s="134">
        <v>18.77</v>
      </c>
      <c r="I102" s="134">
        <v>5</v>
      </c>
      <c r="J102" s="134">
        <v>0.34</v>
      </c>
      <c r="K102" s="134">
        <v>244.32</v>
      </c>
      <c r="L102" s="134">
        <v>31.51</v>
      </c>
      <c r="M102" s="134">
        <v>53.16</v>
      </c>
      <c r="N102" s="134">
        <v>0</v>
      </c>
      <c r="O102" s="134">
        <v>0</v>
      </c>
      <c r="P102" s="134">
        <v>0.61</v>
      </c>
      <c r="Q102" s="134">
        <v>5.13</v>
      </c>
    </row>
    <row r="103" spans="1:22" customFormat="1">
      <c r="A103" s="112" t="s">
        <v>1484</v>
      </c>
      <c r="B103" s="134">
        <v>9.76</v>
      </c>
      <c r="C103" s="134">
        <v>47.58</v>
      </c>
      <c r="D103" s="134">
        <v>31.65</v>
      </c>
      <c r="E103" s="134">
        <v>10.68</v>
      </c>
      <c r="F103" s="134">
        <v>13.06</v>
      </c>
      <c r="G103" s="134">
        <v>46.04</v>
      </c>
      <c r="H103" s="134">
        <v>18.88</v>
      </c>
      <c r="I103" s="134">
        <v>4.9800000000000004</v>
      </c>
      <c r="J103" s="134">
        <v>0.41</v>
      </c>
      <c r="K103" s="134">
        <v>243.55</v>
      </c>
      <c r="L103" s="134">
        <v>31.94</v>
      </c>
      <c r="M103" s="134">
        <v>49.43</v>
      </c>
      <c r="N103" s="134">
        <v>0</v>
      </c>
      <c r="O103" s="134">
        <v>0</v>
      </c>
      <c r="P103" s="134">
        <v>0.6</v>
      </c>
      <c r="Q103" s="134">
        <v>5.22</v>
      </c>
    </row>
    <row r="104" spans="1:22" customFormat="1">
      <c r="A104" s="112" t="s">
        <v>1485</v>
      </c>
      <c r="B104" s="134">
        <v>9.2899999999999991</v>
      </c>
      <c r="C104" s="134">
        <v>43.05</v>
      </c>
      <c r="D104" s="134">
        <v>28.89</v>
      </c>
      <c r="E104" s="134">
        <v>10.87</v>
      </c>
      <c r="F104" s="134">
        <v>17.63</v>
      </c>
      <c r="G104" s="134">
        <v>46.04</v>
      </c>
      <c r="H104" s="134">
        <v>18.88</v>
      </c>
      <c r="I104" s="134">
        <v>4.9800000000000004</v>
      </c>
      <c r="J104" s="134">
        <v>0.33</v>
      </c>
      <c r="K104" s="134">
        <v>226.58</v>
      </c>
      <c r="L104" s="134">
        <v>32.119999999999997</v>
      </c>
      <c r="M104" s="134">
        <v>49.06</v>
      </c>
      <c r="N104" s="134">
        <v>0</v>
      </c>
      <c r="O104" s="134">
        <v>0</v>
      </c>
      <c r="P104" s="134">
        <v>0.59</v>
      </c>
      <c r="Q104" s="134">
        <v>5.19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3.28</v>
      </c>
      <c r="C106" s="183">
        <f>MIN(C9:C104)</f>
        <v>37.49</v>
      </c>
      <c r="D106" s="183">
        <f t="shared" ref="D106:Q106" si="0">MIN(D9:D104)</f>
        <v>22.61</v>
      </c>
      <c r="E106" s="183">
        <f t="shared" si="0"/>
        <v>5.23</v>
      </c>
      <c r="F106" s="183">
        <f t="shared" si="0"/>
        <v>6.78</v>
      </c>
      <c r="G106" s="183">
        <f t="shared" si="0"/>
        <v>21.09</v>
      </c>
      <c r="H106" s="183">
        <f t="shared" si="0"/>
        <v>9.8800000000000008</v>
      </c>
      <c r="I106" s="183">
        <f t="shared" si="0"/>
        <v>3.67</v>
      </c>
      <c r="J106" s="183">
        <f t="shared" si="0"/>
        <v>0.03</v>
      </c>
      <c r="K106" s="183">
        <f t="shared" si="0"/>
        <v>46.39</v>
      </c>
      <c r="L106" s="183">
        <f t="shared" si="0"/>
        <v>28.08</v>
      </c>
      <c r="M106" s="183">
        <f t="shared" si="0"/>
        <v>19.23</v>
      </c>
      <c r="N106" s="183">
        <f t="shared" si="0"/>
        <v>0</v>
      </c>
      <c r="O106" s="183">
        <f t="shared" si="0"/>
        <v>0</v>
      </c>
      <c r="P106" s="183">
        <f t="shared" si="0"/>
        <v>0.38</v>
      </c>
      <c r="Q106" s="183">
        <f t="shared" si="0"/>
        <v>4.6399999999999997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13.7</v>
      </c>
      <c r="C107" s="184">
        <f t="shared" ref="C107:Q107" si="1">MAX(C9:C104)</f>
        <v>56.9</v>
      </c>
      <c r="D107" s="184">
        <f t="shared" si="1"/>
        <v>37.9</v>
      </c>
      <c r="E107" s="184">
        <f t="shared" si="1"/>
        <v>19.04</v>
      </c>
      <c r="F107" s="184">
        <f t="shared" si="1"/>
        <v>38.020000000000003</v>
      </c>
      <c r="G107" s="184">
        <f t="shared" si="1"/>
        <v>71.09</v>
      </c>
      <c r="H107" s="184">
        <f t="shared" si="1"/>
        <v>25.57</v>
      </c>
      <c r="I107" s="184">
        <f t="shared" si="1"/>
        <v>5.92</v>
      </c>
      <c r="J107" s="184">
        <f t="shared" si="1"/>
        <v>2.2799999999999998</v>
      </c>
      <c r="K107" s="184">
        <f t="shared" si="1"/>
        <v>359.55</v>
      </c>
      <c r="L107" s="184">
        <f t="shared" si="1"/>
        <v>42.25</v>
      </c>
      <c r="M107" s="184">
        <f t="shared" si="1"/>
        <v>77.53</v>
      </c>
      <c r="N107" s="184">
        <f t="shared" si="1"/>
        <v>780</v>
      </c>
      <c r="O107" s="184">
        <f t="shared" si="1"/>
        <v>0</v>
      </c>
      <c r="P107" s="184">
        <f t="shared" si="1"/>
        <v>0.66</v>
      </c>
      <c r="Q107" s="184">
        <f t="shared" si="1"/>
        <v>5.35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8.5864583333333346</v>
      </c>
      <c r="C108" s="183">
        <f t="shared" ref="C108:Q108" si="2">AVERAGE(C9:C104)</f>
        <v>45.025937499999998</v>
      </c>
      <c r="D108" s="183">
        <f t="shared" si="2"/>
        <v>29.365104166666669</v>
      </c>
      <c r="E108" s="183">
        <f t="shared" si="2"/>
        <v>8.9053125000000026</v>
      </c>
      <c r="F108" s="183">
        <f t="shared" si="2"/>
        <v>18.229791666666667</v>
      </c>
      <c r="G108" s="183">
        <f t="shared" si="2"/>
        <v>38.09145833333335</v>
      </c>
      <c r="H108" s="183">
        <f t="shared" si="2"/>
        <v>16.722187499999993</v>
      </c>
      <c r="I108" s="183">
        <f t="shared" si="2"/>
        <v>4.4882291666666676</v>
      </c>
      <c r="J108" s="183">
        <f t="shared" si="2"/>
        <v>0.58729166666666655</v>
      </c>
      <c r="K108" s="183">
        <f t="shared" si="2"/>
        <v>246.76145833333337</v>
      </c>
      <c r="L108" s="183">
        <f t="shared" si="2"/>
        <v>34.607604166666647</v>
      </c>
      <c r="M108" s="183">
        <f t="shared" si="2"/>
        <v>40.400937499999991</v>
      </c>
      <c r="N108" s="183">
        <f t="shared" si="2"/>
        <v>148.11979166666671</v>
      </c>
      <c r="O108" s="183">
        <f t="shared" si="2"/>
        <v>0</v>
      </c>
      <c r="P108" s="183">
        <f t="shared" si="2"/>
        <v>0.47604166666666692</v>
      </c>
      <c r="Q108" s="183">
        <f t="shared" si="2"/>
        <v>5.035520833333333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2.6767969779950533</v>
      </c>
      <c r="C109" s="183">
        <f t="shared" ref="C109:Q109" si="3">STDEV(C9:C104)</f>
        <v>3.4613190604388668</v>
      </c>
      <c r="D109" s="183">
        <f t="shared" si="3"/>
        <v>3.2379008777753091</v>
      </c>
      <c r="E109" s="183">
        <f t="shared" si="3"/>
        <v>2.6770065580498801</v>
      </c>
      <c r="F109" s="183">
        <f t="shared" si="3"/>
        <v>7.5000659616982386</v>
      </c>
      <c r="G109" s="183">
        <f t="shared" si="3"/>
        <v>11.537856590068262</v>
      </c>
      <c r="H109" s="183">
        <f t="shared" si="3"/>
        <v>3.7861582259385718</v>
      </c>
      <c r="I109" s="183">
        <f t="shared" si="3"/>
        <v>0.44779458352583179</v>
      </c>
      <c r="J109" s="183">
        <f t="shared" si="3"/>
        <v>0.41517904613657608</v>
      </c>
      <c r="K109" s="183">
        <f t="shared" si="3"/>
        <v>54.987513395586554</v>
      </c>
      <c r="L109" s="183">
        <f t="shared" si="3"/>
        <v>4.1897895298959282</v>
      </c>
      <c r="M109" s="183">
        <f t="shared" si="3"/>
        <v>13.017946808611637</v>
      </c>
      <c r="N109" s="183">
        <f t="shared" si="3"/>
        <v>233.48420012803828</v>
      </c>
      <c r="O109" s="183">
        <f t="shared" si="3"/>
        <v>0</v>
      </c>
      <c r="P109" s="183">
        <f t="shared" si="3"/>
        <v>6.5348928500321979E-2</v>
      </c>
      <c r="Q109" s="183">
        <f t="shared" si="3"/>
        <v>0.16910831030448972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1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14/06/2023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1486</v>
      </c>
      <c r="B9" s="189">
        <v>13.29</v>
      </c>
      <c r="C9" s="189">
        <v>50.1</v>
      </c>
      <c r="D9" s="189">
        <v>35.79</v>
      </c>
      <c r="E9" s="189">
        <v>10.23</v>
      </c>
      <c r="F9" s="189">
        <v>12.4</v>
      </c>
      <c r="G9" s="189">
        <v>46.04</v>
      </c>
      <c r="H9" s="189">
        <v>18.88</v>
      </c>
      <c r="I9" s="189">
        <v>4.91</v>
      </c>
      <c r="J9" s="189">
        <v>0.45</v>
      </c>
      <c r="K9" s="189">
        <v>245.74</v>
      </c>
      <c r="L9" s="189">
        <v>32.229999999999997</v>
      </c>
      <c r="M9" s="189">
        <v>47.46</v>
      </c>
      <c r="N9" s="189">
        <v>0</v>
      </c>
      <c r="O9" s="189">
        <v>0</v>
      </c>
      <c r="P9" s="189">
        <v>0.62</v>
      </c>
      <c r="Q9" s="189">
        <v>5.17</v>
      </c>
    </row>
    <row r="10" spans="1:21" customFormat="1">
      <c r="A10" s="6" t="s">
        <v>1487</v>
      </c>
      <c r="B10" s="189">
        <v>11.61</v>
      </c>
      <c r="C10" s="189">
        <v>47.39</v>
      </c>
      <c r="D10" s="189">
        <v>33.020000000000003</v>
      </c>
      <c r="E10" s="189">
        <v>10.25</v>
      </c>
      <c r="F10" s="189">
        <v>16.649999999999999</v>
      </c>
      <c r="G10" s="189">
        <v>45.65</v>
      </c>
      <c r="H10" s="189">
        <v>17.420000000000002</v>
      </c>
      <c r="I10" s="189">
        <v>4.68</v>
      </c>
      <c r="J10" s="189">
        <v>0.73</v>
      </c>
      <c r="K10" s="189">
        <v>258.66000000000003</v>
      </c>
      <c r="L10" s="189">
        <v>32.619999999999997</v>
      </c>
      <c r="M10" s="189">
        <v>45.07</v>
      </c>
      <c r="N10" s="189">
        <v>0</v>
      </c>
      <c r="O10" s="189">
        <v>0</v>
      </c>
      <c r="P10" s="189">
        <v>0.61</v>
      </c>
      <c r="Q10" s="189">
        <v>5.3</v>
      </c>
    </row>
    <row r="11" spans="1:21" customFormat="1">
      <c r="A11" s="6" t="s">
        <v>1488</v>
      </c>
      <c r="B11" s="189">
        <v>11.91</v>
      </c>
      <c r="C11" s="189">
        <v>45.27</v>
      </c>
      <c r="D11" s="189">
        <v>32.159999999999997</v>
      </c>
      <c r="E11" s="189">
        <v>9.36</v>
      </c>
      <c r="F11" s="189">
        <v>16.29</v>
      </c>
      <c r="G11" s="189">
        <v>45.09</v>
      </c>
      <c r="H11" s="189">
        <v>16.16</v>
      </c>
      <c r="I11" s="189">
        <v>4.72</v>
      </c>
      <c r="J11" s="189">
        <v>0.86</v>
      </c>
      <c r="K11" s="189">
        <v>263.17</v>
      </c>
      <c r="L11" s="189">
        <v>33.119999999999997</v>
      </c>
      <c r="M11" s="189">
        <v>40.76</v>
      </c>
      <c r="N11" s="189">
        <v>0</v>
      </c>
      <c r="O11" s="189">
        <v>0</v>
      </c>
      <c r="P11" s="189">
        <v>0.56000000000000005</v>
      </c>
      <c r="Q11" s="189">
        <v>5.2</v>
      </c>
    </row>
    <row r="12" spans="1:21" customFormat="1">
      <c r="A12" s="82">
        <v>45091.041666666664</v>
      </c>
      <c r="B12" s="189">
        <v>12.48</v>
      </c>
      <c r="C12" s="189">
        <v>47.23</v>
      </c>
      <c r="D12" s="189">
        <v>33.64</v>
      </c>
      <c r="E12" s="189">
        <v>7.4</v>
      </c>
      <c r="F12" s="189">
        <v>19.03</v>
      </c>
      <c r="G12" s="189">
        <v>45.09</v>
      </c>
      <c r="H12" s="189">
        <v>16.16</v>
      </c>
      <c r="I12" s="189">
        <v>4.8499999999999996</v>
      </c>
      <c r="J12" s="189">
        <v>0.72</v>
      </c>
      <c r="K12" s="189">
        <v>257.33999999999997</v>
      </c>
      <c r="L12" s="189">
        <v>33.700000000000003</v>
      </c>
      <c r="M12" s="189">
        <v>36.130000000000003</v>
      </c>
      <c r="N12" s="189">
        <v>0</v>
      </c>
      <c r="O12" s="189">
        <v>0</v>
      </c>
      <c r="P12" s="189">
        <v>0.53</v>
      </c>
      <c r="Q12" s="189">
        <v>5.19</v>
      </c>
    </row>
    <row r="13" spans="1:21" customFormat="1">
      <c r="A13" s="6" t="s">
        <v>1489</v>
      </c>
      <c r="B13" s="189">
        <v>10.119999999999999</v>
      </c>
      <c r="C13" s="189">
        <v>40.270000000000003</v>
      </c>
      <c r="D13" s="189">
        <v>28.11</v>
      </c>
      <c r="E13" s="189">
        <v>7.68</v>
      </c>
      <c r="F13" s="189">
        <v>28.33</v>
      </c>
      <c r="G13" s="189">
        <v>45.09</v>
      </c>
      <c r="H13" s="189">
        <v>16.16</v>
      </c>
      <c r="I13" s="189">
        <v>4.78</v>
      </c>
      <c r="J13" s="189">
        <v>0.45</v>
      </c>
      <c r="K13" s="189">
        <v>249.71</v>
      </c>
      <c r="L13" s="189">
        <v>33.69</v>
      </c>
      <c r="M13" s="189">
        <v>36.270000000000003</v>
      </c>
      <c r="N13" s="189">
        <v>0</v>
      </c>
      <c r="O13" s="189">
        <v>0</v>
      </c>
      <c r="P13" s="189">
        <v>0.46</v>
      </c>
      <c r="Q13" s="189">
        <v>5.23</v>
      </c>
    </row>
    <row r="14" spans="1:21" customFormat="1">
      <c r="A14" s="6" t="s">
        <v>1490</v>
      </c>
      <c r="B14" s="189">
        <v>9.66</v>
      </c>
      <c r="C14" s="189">
        <v>38.15</v>
      </c>
      <c r="D14" s="189">
        <v>26.64</v>
      </c>
      <c r="E14" s="189">
        <v>7.71</v>
      </c>
      <c r="F14" s="189">
        <v>29.44</v>
      </c>
      <c r="G14" s="189">
        <v>39.49</v>
      </c>
      <c r="H14" s="189">
        <v>15.63</v>
      </c>
      <c r="I14" s="189">
        <v>4.49</v>
      </c>
      <c r="J14" s="189">
        <v>0.26</v>
      </c>
      <c r="K14" s="189">
        <v>227.2</v>
      </c>
      <c r="L14" s="189">
        <v>33.35</v>
      </c>
      <c r="M14" s="189">
        <v>38.82</v>
      </c>
      <c r="N14" s="189">
        <v>0</v>
      </c>
      <c r="O14" s="189">
        <v>0</v>
      </c>
      <c r="P14" s="189">
        <v>0.44</v>
      </c>
      <c r="Q14" s="189">
        <v>5.13</v>
      </c>
    </row>
    <row r="15" spans="1:21" customFormat="1">
      <c r="A15" s="6" t="s">
        <v>1491</v>
      </c>
      <c r="B15" s="189">
        <v>10.74</v>
      </c>
      <c r="C15" s="189">
        <v>46.3</v>
      </c>
      <c r="D15" s="189">
        <v>31.76</v>
      </c>
      <c r="E15" s="189">
        <v>21.83</v>
      </c>
      <c r="F15" s="189">
        <v>18.18</v>
      </c>
      <c r="G15" s="189">
        <v>31.46</v>
      </c>
      <c r="H15" s="189">
        <v>14.34</v>
      </c>
      <c r="I15" s="189">
        <v>3.77</v>
      </c>
      <c r="J15" s="189">
        <v>0.65</v>
      </c>
      <c r="K15" s="189">
        <v>254.12</v>
      </c>
      <c r="L15" s="189">
        <v>33.28</v>
      </c>
      <c r="M15" s="189">
        <v>39.729999999999997</v>
      </c>
      <c r="N15" s="189">
        <v>0</v>
      </c>
      <c r="O15" s="189">
        <v>0</v>
      </c>
      <c r="P15" s="189">
        <v>0.52</v>
      </c>
      <c r="Q15" s="189">
        <v>5.16</v>
      </c>
    </row>
    <row r="16" spans="1:21" customFormat="1">
      <c r="A16" s="6" t="s">
        <v>1492</v>
      </c>
      <c r="B16" s="189">
        <v>9.85</v>
      </c>
      <c r="C16" s="189">
        <v>41.29</v>
      </c>
      <c r="D16" s="189">
        <v>28.42</v>
      </c>
      <c r="E16" s="189">
        <v>27.32</v>
      </c>
      <c r="F16" s="189">
        <v>25.29</v>
      </c>
      <c r="G16" s="189">
        <v>31.46</v>
      </c>
      <c r="H16" s="189">
        <v>14.34</v>
      </c>
      <c r="I16" s="189">
        <v>3.64</v>
      </c>
      <c r="J16" s="189">
        <v>0.56000000000000005</v>
      </c>
      <c r="K16" s="189">
        <v>255.63</v>
      </c>
      <c r="L16" s="189">
        <v>33.4</v>
      </c>
      <c r="M16" s="189">
        <v>39.74</v>
      </c>
      <c r="N16" s="189">
        <v>0</v>
      </c>
      <c r="O16" s="189">
        <v>0</v>
      </c>
      <c r="P16" s="189">
        <v>0.53</v>
      </c>
      <c r="Q16" s="189">
        <v>5.13</v>
      </c>
    </row>
    <row r="17" spans="1:17" customFormat="1">
      <c r="A17" s="6" t="s">
        <v>1493</v>
      </c>
      <c r="B17" s="189">
        <v>10.85</v>
      </c>
      <c r="C17" s="189">
        <v>44.69</v>
      </c>
      <c r="D17" s="189">
        <v>31.01</v>
      </c>
      <c r="E17" s="189">
        <v>8.34</v>
      </c>
      <c r="F17" s="189">
        <v>14.98</v>
      </c>
      <c r="G17" s="189">
        <v>31.46</v>
      </c>
      <c r="H17" s="189">
        <v>14.34</v>
      </c>
      <c r="I17" s="189">
        <v>4.2300000000000004</v>
      </c>
      <c r="J17" s="189">
        <v>0.82</v>
      </c>
      <c r="K17" s="189">
        <v>258.25</v>
      </c>
      <c r="L17" s="189">
        <v>33.33</v>
      </c>
      <c r="M17" s="189">
        <v>39.799999999999997</v>
      </c>
      <c r="N17" s="189">
        <v>0</v>
      </c>
      <c r="O17" s="189">
        <v>0</v>
      </c>
      <c r="P17" s="189">
        <v>0.55000000000000004</v>
      </c>
      <c r="Q17" s="189">
        <v>5.04</v>
      </c>
    </row>
    <row r="18" spans="1:17" customFormat="1">
      <c r="A18" s="6" t="s">
        <v>1494</v>
      </c>
      <c r="B18" s="189">
        <v>9.77</v>
      </c>
      <c r="C18" s="189">
        <v>41.77</v>
      </c>
      <c r="D18" s="189">
        <v>28.61</v>
      </c>
      <c r="E18" s="189">
        <v>11.52</v>
      </c>
      <c r="F18" s="189">
        <v>20.64</v>
      </c>
      <c r="G18" s="189">
        <v>31.52</v>
      </c>
      <c r="H18" s="189">
        <v>14</v>
      </c>
      <c r="I18" s="189">
        <v>4.49</v>
      </c>
      <c r="J18" s="189">
        <v>0.59</v>
      </c>
      <c r="K18" s="189">
        <v>273.35000000000002</v>
      </c>
      <c r="L18" s="189">
        <v>33.31</v>
      </c>
      <c r="M18" s="189">
        <v>39.9</v>
      </c>
      <c r="N18" s="189">
        <v>0</v>
      </c>
      <c r="O18" s="189">
        <v>0</v>
      </c>
      <c r="P18" s="189">
        <v>0.56000000000000005</v>
      </c>
      <c r="Q18" s="189">
        <v>5.09</v>
      </c>
    </row>
    <row r="19" spans="1:17" customFormat="1">
      <c r="A19" s="6" t="s">
        <v>1495</v>
      </c>
      <c r="B19" s="189">
        <v>9.92</v>
      </c>
      <c r="C19" s="189">
        <v>42.63</v>
      </c>
      <c r="D19" s="189">
        <v>29.19</v>
      </c>
      <c r="E19" s="189">
        <v>13.05</v>
      </c>
      <c r="F19" s="189">
        <v>18.670000000000002</v>
      </c>
      <c r="G19" s="189">
        <v>31.61</v>
      </c>
      <c r="H19" s="189">
        <v>13.72</v>
      </c>
      <c r="I19" s="189">
        <v>4.57</v>
      </c>
      <c r="J19" s="189">
        <v>0.69</v>
      </c>
      <c r="K19" s="189">
        <v>292.37</v>
      </c>
      <c r="L19" s="189">
        <v>33.270000000000003</v>
      </c>
      <c r="M19" s="189">
        <v>40.22</v>
      </c>
      <c r="N19" s="189">
        <v>0</v>
      </c>
      <c r="O19" s="189">
        <v>0</v>
      </c>
      <c r="P19" s="189">
        <v>0.57999999999999996</v>
      </c>
      <c r="Q19" s="189">
        <v>5.05</v>
      </c>
    </row>
    <row r="20" spans="1:17" customFormat="1">
      <c r="A20" s="6" t="s">
        <v>1496</v>
      </c>
      <c r="B20" s="189">
        <v>9.57</v>
      </c>
      <c r="C20" s="189">
        <v>41.05</v>
      </c>
      <c r="D20" s="189">
        <v>28.07</v>
      </c>
      <c r="E20" s="189">
        <v>17.11</v>
      </c>
      <c r="F20" s="189">
        <v>16.87</v>
      </c>
      <c r="G20" s="189">
        <v>31.61</v>
      </c>
      <c r="H20" s="189">
        <v>13.72</v>
      </c>
      <c r="I20" s="189">
        <v>4.6500000000000004</v>
      </c>
      <c r="J20" s="189">
        <v>0.62</v>
      </c>
      <c r="K20" s="189">
        <v>254.91</v>
      </c>
      <c r="L20" s="189">
        <v>32.96</v>
      </c>
      <c r="M20" s="189">
        <v>41.05</v>
      </c>
      <c r="N20" s="189">
        <v>0</v>
      </c>
      <c r="O20" s="189">
        <v>0</v>
      </c>
      <c r="P20" s="189">
        <v>0.62</v>
      </c>
      <c r="Q20" s="189">
        <v>4.96</v>
      </c>
    </row>
    <row r="21" spans="1:17" customFormat="1">
      <c r="A21" s="6" t="s">
        <v>1497</v>
      </c>
      <c r="B21" s="189">
        <v>9.73</v>
      </c>
      <c r="C21" s="189">
        <v>41.62</v>
      </c>
      <c r="D21" s="189">
        <v>28.51</v>
      </c>
      <c r="E21" s="189">
        <v>17.399999999999999</v>
      </c>
      <c r="F21" s="189">
        <v>14.08</v>
      </c>
      <c r="G21" s="189">
        <v>31.61</v>
      </c>
      <c r="H21" s="189">
        <v>13.72</v>
      </c>
      <c r="I21" s="189">
        <v>4.91</v>
      </c>
      <c r="J21" s="189">
        <v>0.62</v>
      </c>
      <c r="K21" s="189">
        <v>262.75</v>
      </c>
      <c r="L21" s="189">
        <v>32.659999999999997</v>
      </c>
      <c r="M21" s="189">
        <v>41.93</v>
      </c>
      <c r="N21" s="189">
        <v>0</v>
      </c>
      <c r="O21" s="189">
        <v>0</v>
      </c>
      <c r="P21" s="189">
        <v>0.63</v>
      </c>
      <c r="Q21" s="189">
        <v>4.91</v>
      </c>
    </row>
    <row r="22" spans="1:17" customFormat="1">
      <c r="A22" s="6" t="s">
        <v>1498</v>
      </c>
      <c r="B22" s="189">
        <v>9.66</v>
      </c>
      <c r="C22" s="189">
        <v>45.01</v>
      </c>
      <c r="D22" s="189">
        <v>30.22</v>
      </c>
      <c r="E22" s="189">
        <v>17.3</v>
      </c>
      <c r="F22" s="189">
        <v>14.15</v>
      </c>
      <c r="G22" s="189">
        <v>31.9</v>
      </c>
      <c r="H22" s="189">
        <v>14.32</v>
      </c>
      <c r="I22" s="189">
        <v>5.4</v>
      </c>
      <c r="J22" s="189">
        <v>0.49</v>
      </c>
      <c r="K22" s="189">
        <v>259.88</v>
      </c>
      <c r="L22" s="189">
        <v>32.42</v>
      </c>
      <c r="M22" s="189">
        <v>42.48</v>
      </c>
      <c r="N22" s="189">
        <v>0</v>
      </c>
      <c r="O22" s="189">
        <v>0</v>
      </c>
      <c r="P22" s="189">
        <v>0.77</v>
      </c>
      <c r="Q22" s="189">
        <v>5.05</v>
      </c>
    </row>
    <row r="23" spans="1:17" customFormat="1">
      <c r="A23" s="6" t="s">
        <v>1499</v>
      </c>
      <c r="B23" s="189">
        <v>9.43</v>
      </c>
      <c r="C23" s="189">
        <v>41.23</v>
      </c>
      <c r="D23" s="189">
        <v>28.06</v>
      </c>
      <c r="E23" s="189">
        <v>12.54</v>
      </c>
      <c r="F23" s="189">
        <v>18.39</v>
      </c>
      <c r="G23" s="189">
        <v>32.32</v>
      </c>
      <c r="H23" s="189">
        <v>14.85</v>
      </c>
      <c r="I23" s="189">
        <v>5.96</v>
      </c>
      <c r="J23" s="189">
        <v>0.7</v>
      </c>
      <c r="K23" s="189">
        <v>256.02999999999997</v>
      </c>
      <c r="L23" s="189">
        <v>32.65</v>
      </c>
      <c r="M23" s="189">
        <v>38.01</v>
      </c>
      <c r="N23" s="189">
        <v>0</v>
      </c>
      <c r="O23" s="189">
        <v>0</v>
      </c>
      <c r="P23" s="189">
        <v>0.59</v>
      </c>
      <c r="Q23" s="189">
        <v>5.04</v>
      </c>
    </row>
    <row r="24" spans="1:17" customFormat="1">
      <c r="A24" s="6" t="s">
        <v>1500</v>
      </c>
      <c r="B24" s="189">
        <v>10.24</v>
      </c>
      <c r="C24" s="189">
        <v>43.58</v>
      </c>
      <c r="D24" s="189">
        <v>29.93</v>
      </c>
      <c r="E24" s="189">
        <v>7.8</v>
      </c>
      <c r="F24" s="189">
        <v>14.04</v>
      </c>
      <c r="G24" s="189">
        <v>32.32</v>
      </c>
      <c r="H24" s="189">
        <v>14.85</v>
      </c>
      <c r="I24" s="189">
        <v>6.22</v>
      </c>
      <c r="J24" s="189">
        <v>0.5</v>
      </c>
      <c r="K24" s="189">
        <v>247.02</v>
      </c>
      <c r="L24" s="189">
        <v>32.369999999999997</v>
      </c>
      <c r="M24" s="189">
        <v>38.090000000000003</v>
      </c>
      <c r="N24" s="189">
        <v>0</v>
      </c>
      <c r="O24" s="189">
        <v>0</v>
      </c>
      <c r="P24" s="189">
        <v>0.55000000000000004</v>
      </c>
      <c r="Q24" s="189">
        <v>4.99</v>
      </c>
    </row>
    <row r="25" spans="1:17" customFormat="1">
      <c r="A25" s="6" t="s">
        <v>1501</v>
      </c>
      <c r="B25" s="189">
        <v>9.67</v>
      </c>
      <c r="C25" s="189">
        <v>40.46</v>
      </c>
      <c r="D25" s="189">
        <v>27.85</v>
      </c>
      <c r="E25" s="189">
        <v>6.79</v>
      </c>
      <c r="F25" s="189">
        <v>20.72</v>
      </c>
      <c r="G25" s="189">
        <v>32.32</v>
      </c>
      <c r="H25" s="189">
        <v>14.85</v>
      </c>
      <c r="I25" s="189">
        <v>5.6</v>
      </c>
      <c r="J25" s="189">
        <v>0.4</v>
      </c>
      <c r="K25" s="189">
        <v>241.85</v>
      </c>
      <c r="L25" s="189">
        <v>32.22</v>
      </c>
      <c r="M25" s="189">
        <v>37.630000000000003</v>
      </c>
      <c r="N25" s="189">
        <v>0</v>
      </c>
      <c r="O25" s="189">
        <v>0</v>
      </c>
      <c r="P25" s="189">
        <v>0.49</v>
      </c>
      <c r="Q25" s="189">
        <v>5.07</v>
      </c>
    </row>
    <row r="26" spans="1:17" customFormat="1">
      <c r="A26" s="6" t="s">
        <v>1502</v>
      </c>
      <c r="B26" s="189">
        <v>8.9499999999999993</v>
      </c>
      <c r="C26" s="189">
        <v>37.29</v>
      </c>
      <c r="D26" s="189">
        <v>25.62</v>
      </c>
      <c r="E26" s="189">
        <v>6.31</v>
      </c>
      <c r="F26" s="189">
        <v>21.24</v>
      </c>
      <c r="G26" s="189">
        <v>30.73</v>
      </c>
      <c r="H26" s="189">
        <v>12.45</v>
      </c>
      <c r="I26" s="189">
        <v>4.76</v>
      </c>
      <c r="J26" s="189">
        <v>0.2</v>
      </c>
      <c r="K26" s="189">
        <v>237.63</v>
      </c>
      <c r="L26" s="189">
        <v>32.049999999999997</v>
      </c>
      <c r="M26" s="189">
        <v>37.99</v>
      </c>
      <c r="N26" s="189">
        <v>0</v>
      </c>
      <c r="O26" s="189">
        <v>0</v>
      </c>
      <c r="P26" s="189">
        <v>0.46</v>
      </c>
      <c r="Q26" s="189">
        <v>4.97</v>
      </c>
    </row>
    <row r="27" spans="1:17" customFormat="1">
      <c r="A27" s="6" t="s">
        <v>1503</v>
      </c>
      <c r="B27" s="189">
        <v>8.93</v>
      </c>
      <c r="C27" s="189">
        <v>39.619999999999997</v>
      </c>
      <c r="D27" s="189">
        <v>26.81</v>
      </c>
      <c r="E27" s="189">
        <v>7.13</v>
      </c>
      <c r="F27" s="189">
        <v>21.95</v>
      </c>
      <c r="G27" s="189">
        <v>28.36</v>
      </c>
      <c r="H27" s="189">
        <v>10.39</v>
      </c>
      <c r="I27" s="189">
        <v>4.21</v>
      </c>
      <c r="J27" s="189">
        <v>0.19</v>
      </c>
      <c r="K27" s="189">
        <v>206.33</v>
      </c>
      <c r="L27" s="189">
        <v>31.87</v>
      </c>
      <c r="M27" s="189">
        <v>37.450000000000003</v>
      </c>
      <c r="N27" s="189">
        <v>0</v>
      </c>
      <c r="O27" s="189">
        <v>0</v>
      </c>
      <c r="P27" s="189">
        <v>0.46</v>
      </c>
      <c r="Q27" s="189">
        <v>5.0199999999999996</v>
      </c>
    </row>
    <row r="28" spans="1:17" customFormat="1">
      <c r="A28" s="6" t="s">
        <v>1504</v>
      </c>
      <c r="B28" s="189">
        <v>8.36</v>
      </c>
      <c r="C28" s="189">
        <v>34.75</v>
      </c>
      <c r="D28" s="189">
        <v>23.81</v>
      </c>
      <c r="E28" s="189">
        <v>6.97</v>
      </c>
      <c r="F28" s="189">
        <v>23.4</v>
      </c>
      <c r="G28" s="189">
        <v>28.36</v>
      </c>
      <c r="H28" s="189">
        <v>10.39</v>
      </c>
      <c r="I28" s="189">
        <v>3.98</v>
      </c>
      <c r="J28" s="189">
        <v>0.28999999999999998</v>
      </c>
      <c r="K28" s="189">
        <v>222.98</v>
      </c>
      <c r="L28" s="189">
        <v>31.67</v>
      </c>
      <c r="M28" s="189">
        <v>38.92</v>
      </c>
      <c r="N28" s="189">
        <v>0</v>
      </c>
      <c r="O28" s="189">
        <v>0</v>
      </c>
      <c r="P28" s="189">
        <v>0.43</v>
      </c>
      <c r="Q28" s="189">
        <v>5</v>
      </c>
    </row>
    <row r="29" spans="1:17" customFormat="1">
      <c r="A29" s="6" t="s">
        <v>1505</v>
      </c>
      <c r="B29" s="189">
        <v>10.29</v>
      </c>
      <c r="C29" s="189">
        <v>41.94</v>
      </c>
      <c r="D29" s="189">
        <v>29.12</v>
      </c>
      <c r="E29" s="189">
        <v>6.69</v>
      </c>
      <c r="F29" s="189">
        <v>13.78</v>
      </c>
      <c r="G29" s="189">
        <v>28.36</v>
      </c>
      <c r="H29" s="189">
        <v>10.39</v>
      </c>
      <c r="I29" s="189">
        <v>3.99</v>
      </c>
      <c r="J29" s="189">
        <v>0.31</v>
      </c>
      <c r="K29" s="189">
        <v>212.77</v>
      </c>
      <c r="L29" s="189">
        <v>31.68</v>
      </c>
      <c r="M29" s="189">
        <v>39.409999999999997</v>
      </c>
      <c r="N29" s="189">
        <v>0</v>
      </c>
      <c r="O29" s="189">
        <v>0</v>
      </c>
      <c r="P29" s="189">
        <v>0.48</v>
      </c>
      <c r="Q29" s="189">
        <v>4.97</v>
      </c>
    </row>
    <row r="30" spans="1:17" customFormat="1">
      <c r="A30" s="6" t="s">
        <v>1506</v>
      </c>
      <c r="B30" s="189">
        <v>8.91</v>
      </c>
      <c r="C30" s="189">
        <v>37.619999999999997</v>
      </c>
      <c r="D30" s="189">
        <v>25.75</v>
      </c>
      <c r="E30" s="189">
        <v>10.74</v>
      </c>
      <c r="F30" s="189">
        <v>22.24</v>
      </c>
      <c r="G30" s="189">
        <v>27.12</v>
      </c>
      <c r="H30" s="189">
        <v>11.17</v>
      </c>
      <c r="I30" s="189">
        <v>3.88</v>
      </c>
      <c r="J30" s="189">
        <v>0.42</v>
      </c>
      <c r="K30" s="189">
        <v>237.52</v>
      </c>
      <c r="L30" s="189">
        <v>31.99</v>
      </c>
      <c r="M30" s="189">
        <v>38.72</v>
      </c>
      <c r="N30" s="189">
        <v>1</v>
      </c>
      <c r="O30" s="189">
        <v>0</v>
      </c>
      <c r="P30" s="189">
        <v>0.43</v>
      </c>
      <c r="Q30" s="189">
        <v>5.08</v>
      </c>
    </row>
    <row r="31" spans="1:17" customFormat="1">
      <c r="A31" s="6" t="s">
        <v>1507</v>
      </c>
      <c r="B31" s="189">
        <v>10.29</v>
      </c>
      <c r="C31" s="189">
        <v>41.13</v>
      </c>
      <c r="D31" s="189">
        <v>28.7</v>
      </c>
      <c r="E31" s="189">
        <v>10.48</v>
      </c>
      <c r="F31" s="189">
        <v>14.91</v>
      </c>
      <c r="G31" s="189">
        <v>25.27</v>
      </c>
      <c r="H31" s="189">
        <v>11.84</v>
      </c>
      <c r="I31" s="189">
        <v>4.0199999999999996</v>
      </c>
      <c r="J31" s="189">
        <v>0.57999999999999996</v>
      </c>
      <c r="K31" s="189">
        <v>247.67</v>
      </c>
      <c r="L31" s="189">
        <v>32.479999999999997</v>
      </c>
      <c r="M31" s="189">
        <v>38.450000000000003</v>
      </c>
      <c r="N31" s="189">
        <v>13.9</v>
      </c>
      <c r="O31" s="189">
        <v>0</v>
      </c>
      <c r="P31" s="189">
        <v>0.46</v>
      </c>
      <c r="Q31" s="189">
        <v>5.01</v>
      </c>
    </row>
    <row r="32" spans="1:17" customFormat="1">
      <c r="A32" s="6" t="s">
        <v>1508</v>
      </c>
      <c r="B32" s="189">
        <v>10.51</v>
      </c>
      <c r="C32" s="189">
        <v>42.73</v>
      </c>
      <c r="D32" s="189">
        <v>29.71</v>
      </c>
      <c r="E32" s="189">
        <v>9.59</v>
      </c>
      <c r="F32" s="189">
        <v>14.17</v>
      </c>
      <c r="G32" s="189">
        <v>25.27</v>
      </c>
      <c r="H32" s="189">
        <v>11.84</v>
      </c>
      <c r="I32" s="189">
        <v>3.97</v>
      </c>
      <c r="J32" s="189">
        <v>0.81</v>
      </c>
      <c r="K32" s="189">
        <v>250.82</v>
      </c>
      <c r="L32" s="189">
        <v>32.58</v>
      </c>
      <c r="M32" s="189">
        <v>39.18</v>
      </c>
      <c r="N32" s="189">
        <v>28.7</v>
      </c>
      <c r="O32" s="189">
        <v>0</v>
      </c>
      <c r="P32" s="189">
        <v>0.48</v>
      </c>
      <c r="Q32" s="189">
        <v>5.08</v>
      </c>
    </row>
    <row r="33" spans="1:17" customFormat="1">
      <c r="A33" s="6" t="s">
        <v>1509</v>
      </c>
      <c r="B33" s="189">
        <v>10.14</v>
      </c>
      <c r="C33" s="189">
        <v>38.97</v>
      </c>
      <c r="D33" s="189">
        <v>27.44</v>
      </c>
      <c r="E33" s="189">
        <v>9.85</v>
      </c>
      <c r="F33" s="189">
        <v>15.97</v>
      </c>
      <c r="G33" s="189">
        <v>25.27</v>
      </c>
      <c r="H33" s="189">
        <v>11.84</v>
      </c>
      <c r="I33" s="189">
        <v>4.3</v>
      </c>
      <c r="J33" s="189">
        <v>0.52</v>
      </c>
      <c r="K33" s="189">
        <v>249.87</v>
      </c>
      <c r="L33" s="189">
        <v>32.36</v>
      </c>
      <c r="M33" s="189">
        <v>41.4</v>
      </c>
      <c r="N33" s="189">
        <v>49</v>
      </c>
      <c r="O33" s="189">
        <v>0</v>
      </c>
      <c r="P33" s="189">
        <v>0.45</v>
      </c>
      <c r="Q33" s="189">
        <v>5</v>
      </c>
    </row>
    <row r="34" spans="1:17" customFormat="1">
      <c r="A34" s="6" t="s">
        <v>1510</v>
      </c>
      <c r="B34" s="189">
        <v>11.14</v>
      </c>
      <c r="C34" s="189">
        <v>44.35</v>
      </c>
      <c r="D34" s="189">
        <v>31.06</v>
      </c>
      <c r="E34" s="189">
        <v>8.5399999999999991</v>
      </c>
      <c r="F34" s="189">
        <v>10.210000000000001</v>
      </c>
      <c r="G34" s="189">
        <v>25.43</v>
      </c>
      <c r="H34" s="189">
        <v>11.8</v>
      </c>
      <c r="I34" s="189">
        <v>4.43</v>
      </c>
      <c r="J34" s="189">
        <v>0.49</v>
      </c>
      <c r="K34" s="189">
        <v>245.1</v>
      </c>
      <c r="L34" s="189">
        <v>32.21</v>
      </c>
      <c r="M34" s="189">
        <v>43.62</v>
      </c>
      <c r="N34" s="189">
        <v>65.099999999999994</v>
      </c>
      <c r="O34" s="189">
        <v>0</v>
      </c>
      <c r="P34" s="189">
        <v>0.48</v>
      </c>
      <c r="Q34" s="189">
        <v>4.99</v>
      </c>
    </row>
    <row r="35" spans="1:17" customFormat="1">
      <c r="A35" s="6" t="s">
        <v>1511</v>
      </c>
      <c r="B35" s="189">
        <v>10.81</v>
      </c>
      <c r="C35" s="189">
        <v>42.79</v>
      </c>
      <c r="D35" s="189">
        <v>29.98</v>
      </c>
      <c r="E35" s="189">
        <v>8.8699999999999992</v>
      </c>
      <c r="F35" s="189">
        <v>13.55</v>
      </c>
      <c r="G35" s="189">
        <v>25.67</v>
      </c>
      <c r="H35" s="189">
        <v>11.76</v>
      </c>
      <c r="I35" s="189">
        <v>4.3499999999999996</v>
      </c>
      <c r="J35" s="189">
        <v>0.68</v>
      </c>
      <c r="K35" s="189">
        <v>254.48</v>
      </c>
      <c r="L35" s="189">
        <v>32.43</v>
      </c>
      <c r="M35" s="189">
        <v>43.65</v>
      </c>
      <c r="N35" s="189">
        <v>96.5</v>
      </c>
      <c r="O35" s="189">
        <v>0</v>
      </c>
      <c r="P35" s="189">
        <v>0.47</v>
      </c>
      <c r="Q35" s="189">
        <v>5.07</v>
      </c>
    </row>
    <row r="36" spans="1:17" customFormat="1">
      <c r="A36" s="6" t="s">
        <v>1512</v>
      </c>
      <c r="B36" s="189">
        <v>11.1</v>
      </c>
      <c r="C36" s="189">
        <v>43.19</v>
      </c>
      <c r="D36" s="189">
        <v>30.42</v>
      </c>
      <c r="E36" s="189">
        <v>8.61</v>
      </c>
      <c r="F36" s="189">
        <v>11.06</v>
      </c>
      <c r="G36" s="189">
        <v>25.67</v>
      </c>
      <c r="H36" s="189">
        <v>11.76</v>
      </c>
      <c r="I36" s="189">
        <v>4.4800000000000004</v>
      </c>
      <c r="J36" s="189">
        <v>0.81</v>
      </c>
      <c r="K36" s="189">
        <v>267.73</v>
      </c>
      <c r="L36" s="189">
        <v>33.020000000000003</v>
      </c>
      <c r="M36" s="189">
        <v>42.64</v>
      </c>
      <c r="N36" s="189">
        <v>108.1</v>
      </c>
      <c r="O36" s="189">
        <v>0</v>
      </c>
      <c r="P36" s="189">
        <v>0.48</v>
      </c>
      <c r="Q36" s="189">
        <v>5</v>
      </c>
    </row>
    <row r="37" spans="1:17" customFormat="1">
      <c r="A37" s="6" t="s">
        <v>1513</v>
      </c>
      <c r="B37" s="189">
        <v>11.68</v>
      </c>
      <c r="C37" s="189">
        <v>47.39</v>
      </c>
      <c r="D37" s="189">
        <v>33.08</v>
      </c>
      <c r="E37" s="189">
        <v>9.7899999999999991</v>
      </c>
      <c r="F37" s="189">
        <v>9.0399999999999991</v>
      </c>
      <c r="G37" s="189">
        <v>25.67</v>
      </c>
      <c r="H37" s="189">
        <v>11.76</v>
      </c>
      <c r="I37" s="189">
        <v>4.5199999999999996</v>
      </c>
      <c r="J37" s="189">
        <v>0.94</v>
      </c>
      <c r="K37" s="189">
        <v>271.67</v>
      </c>
      <c r="L37" s="189">
        <v>33.369999999999997</v>
      </c>
      <c r="M37" s="189">
        <v>42.45</v>
      </c>
      <c r="N37" s="189">
        <v>115.4</v>
      </c>
      <c r="O37" s="189">
        <v>0</v>
      </c>
      <c r="P37" s="189">
        <v>0.54</v>
      </c>
      <c r="Q37" s="189">
        <v>5.01</v>
      </c>
    </row>
    <row r="38" spans="1:17" customFormat="1">
      <c r="A38" s="6" t="s">
        <v>1514</v>
      </c>
      <c r="B38" s="189">
        <v>11</v>
      </c>
      <c r="C38" s="189">
        <v>44.44</v>
      </c>
      <c r="D38" s="189">
        <v>31</v>
      </c>
      <c r="E38" s="189">
        <v>12.84</v>
      </c>
      <c r="F38" s="189">
        <v>14.24</v>
      </c>
      <c r="G38" s="189">
        <v>27.72</v>
      </c>
      <c r="H38" s="189">
        <v>12.72</v>
      </c>
      <c r="I38" s="189">
        <v>4.87</v>
      </c>
      <c r="J38" s="189">
        <v>0.89</v>
      </c>
      <c r="K38" s="189">
        <v>267.68</v>
      </c>
      <c r="L38" s="189">
        <v>33.58</v>
      </c>
      <c r="M38" s="189">
        <v>42.85</v>
      </c>
      <c r="N38" s="189">
        <v>121.5</v>
      </c>
      <c r="O38" s="189">
        <v>0</v>
      </c>
      <c r="P38" s="189">
        <v>0.55000000000000004</v>
      </c>
      <c r="Q38" s="189">
        <v>5.04</v>
      </c>
    </row>
    <row r="39" spans="1:17" customFormat="1">
      <c r="A39" s="6" t="s">
        <v>1515</v>
      </c>
      <c r="B39" s="189">
        <v>11.23</v>
      </c>
      <c r="C39" s="189">
        <v>44.35</v>
      </c>
      <c r="D39" s="189">
        <v>31.13</v>
      </c>
      <c r="E39" s="189">
        <v>11.7</v>
      </c>
      <c r="F39" s="189">
        <v>11.7</v>
      </c>
      <c r="G39" s="189">
        <v>30.64</v>
      </c>
      <c r="H39" s="189">
        <v>15.01</v>
      </c>
      <c r="I39" s="189">
        <v>5.3</v>
      </c>
      <c r="J39" s="189">
        <v>1.1599999999999999</v>
      </c>
      <c r="K39" s="189">
        <v>283.93</v>
      </c>
      <c r="L39" s="189">
        <v>33.92</v>
      </c>
      <c r="M39" s="189">
        <v>40.65</v>
      </c>
      <c r="N39" s="189">
        <v>115.3</v>
      </c>
      <c r="O39" s="189">
        <v>0</v>
      </c>
      <c r="P39" s="189">
        <v>0.53</v>
      </c>
      <c r="Q39" s="189">
        <v>5.01</v>
      </c>
    </row>
    <row r="40" spans="1:17" customFormat="1">
      <c r="A40" s="6" t="s">
        <v>1516</v>
      </c>
      <c r="B40" s="189">
        <v>11.41</v>
      </c>
      <c r="C40" s="189">
        <v>44.76</v>
      </c>
      <c r="D40" s="189">
        <v>31.49</v>
      </c>
      <c r="E40" s="189">
        <v>10.06</v>
      </c>
      <c r="F40" s="189">
        <v>10.9</v>
      </c>
      <c r="G40" s="189">
        <v>30.64</v>
      </c>
      <c r="H40" s="189">
        <v>15.01</v>
      </c>
      <c r="I40" s="189">
        <v>5.41</v>
      </c>
      <c r="J40" s="189">
        <v>1.3</v>
      </c>
      <c r="K40" s="189">
        <v>295.63</v>
      </c>
      <c r="L40" s="189">
        <v>34.53</v>
      </c>
      <c r="M40" s="189">
        <v>38.590000000000003</v>
      </c>
      <c r="N40" s="189">
        <v>116.9</v>
      </c>
      <c r="O40" s="189">
        <v>0</v>
      </c>
      <c r="P40" s="189">
        <v>0.51</v>
      </c>
      <c r="Q40" s="189">
        <v>4.97</v>
      </c>
    </row>
    <row r="41" spans="1:17" customFormat="1">
      <c r="A41" s="6" t="s">
        <v>1517</v>
      </c>
      <c r="B41" s="189">
        <v>11.52</v>
      </c>
      <c r="C41" s="189">
        <v>43.42</v>
      </c>
      <c r="D41" s="189">
        <v>30.87</v>
      </c>
      <c r="E41" s="189">
        <v>8.3800000000000008</v>
      </c>
      <c r="F41" s="189">
        <v>10.94</v>
      </c>
      <c r="G41" s="189">
        <v>30.64</v>
      </c>
      <c r="H41" s="189">
        <v>15.01</v>
      </c>
      <c r="I41" s="189">
        <v>5.3</v>
      </c>
      <c r="J41" s="189">
        <v>1.69</v>
      </c>
      <c r="K41" s="189">
        <v>307.35000000000002</v>
      </c>
      <c r="L41" s="189">
        <v>34.68</v>
      </c>
      <c r="M41" s="189">
        <v>38.03</v>
      </c>
      <c r="N41" s="189">
        <v>125</v>
      </c>
      <c r="O41" s="189">
        <v>0</v>
      </c>
      <c r="P41" s="189">
        <v>0.51</v>
      </c>
      <c r="Q41" s="189">
        <v>4.9400000000000004</v>
      </c>
    </row>
    <row r="42" spans="1:17" customFormat="1">
      <c r="A42" s="6" t="s">
        <v>1518</v>
      </c>
      <c r="B42" s="189">
        <v>11.33</v>
      </c>
      <c r="C42" s="189">
        <v>46.03</v>
      </c>
      <c r="D42" s="189">
        <v>32.090000000000003</v>
      </c>
      <c r="E42" s="189">
        <v>6.61</v>
      </c>
      <c r="F42" s="189">
        <v>8.83</v>
      </c>
      <c r="G42" s="189">
        <v>32.49</v>
      </c>
      <c r="H42" s="189">
        <v>16.059999999999999</v>
      </c>
      <c r="I42" s="189">
        <v>5.17</v>
      </c>
      <c r="J42" s="189">
        <v>1.85</v>
      </c>
      <c r="K42" s="189">
        <v>307.02</v>
      </c>
      <c r="L42" s="189">
        <v>34.86</v>
      </c>
      <c r="M42" s="189">
        <v>37.49</v>
      </c>
      <c r="N42" s="189">
        <v>132.80000000000001</v>
      </c>
      <c r="O42" s="189">
        <v>0</v>
      </c>
      <c r="P42" s="189">
        <v>0.52</v>
      </c>
      <c r="Q42" s="189">
        <v>4.92</v>
      </c>
    </row>
    <row r="43" spans="1:17" customFormat="1">
      <c r="A43" s="6" t="s">
        <v>1519</v>
      </c>
      <c r="B43" s="189">
        <v>11.02</v>
      </c>
      <c r="C43" s="189">
        <v>48.07</v>
      </c>
      <c r="D43" s="189">
        <v>32.909999999999997</v>
      </c>
      <c r="E43" s="189">
        <v>7.33</v>
      </c>
      <c r="F43" s="189">
        <v>12.37</v>
      </c>
      <c r="G43" s="189">
        <v>35.130000000000003</v>
      </c>
      <c r="H43" s="189">
        <v>16.97</v>
      </c>
      <c r="I43" s="189">
        <v>5.19</v>
      </c>
      <c r="J43" s="189">
        <v>1.26</v>
      </c>
      <c r="K43" s="189">
        <v>311.75</v>
      </c>
      <c r="L43" s="189">
        <v>35.53</v>
      </c>
      <c r="M43" s="189">
        <v>36.56</v>
      </c>
      <c r="N43" s="189">
        <v>134.1</v>
      </c>
      <c r="O43" s="189">
        <v>0</v>
      </c>
      <c r="P43" s="189">
        <v>0.55000000000000004</v>
      </c>
      <c r="Q43" s="189">
        <v>5</v>
      </c>
    </row>
    <row r="44" spans="1:17" customFormat="1">
      <c r="A44" s="6" t="s">
        <v>1520</v>
      </c>
      <c r="B44" s="189">
        <v>10.75</v>
      </c>
      <c r="C44" s="189">
        <v>46.55</v>
      </c>
      <c r="D44" s="189">
        <v>31.89</v>
      </c>
      <c r="E44" s="189">
        <v>8.0299999999999994</v>
      </c>
      <c r="F44" s="189">
        <v>11.39</v>
      </c>
      <c r="G44" s="189">
        <v>35.130000000000003</v>
      </c>
      <c r="H44" s="189">
        <v>16.97</v>
      </c>
      <c r="I44" s="189">
        <v>5.26</v>
      </c>
      <c r="J44" s="189">
        <v>1.71</v>
      </c>
      <c r="K44" s="189">
        <v>308.14</v>
      </c>
      <c r="L44" s="189">
        <v>36.01</v>
      </c>
      <c r="M44" s="189">
        <v>34.17</v>
      </c>
      <c r="N44" s="189">
        <v>146.1</v>
      </c>
      <c r="O44" s="189">
        <v>0</v>
      </c>
      <c r="P44" s="189">
        <v>0.54</v>
      </c>
      <c r="Q44" s="189">
        <v>4.9800000000000004</v>
      </c>
    </row>
    <row r="45" spans="1:17" customFormat="1">
      <c r="A45" s="6" t="s">
        <v>1521</v>
      </c>
      <c r="B45" s="189">
        <v>10.34</v>
      </c>
      <c r="C45" s="189">
        <v>45.3</v>
      </c>
      <c r="D45" s="189">
        <v>30.91</v>
      </c>
      <c r="E45" s="189">
        <v>7.01</v>
      </c>
      <c r="F45" s="189">
        <v>13.72</v>
      </c>
      <c r="G45" s="189">
        <v>35.130000000000003</v>
      </c>
      <c r="H45" s="189">
        <v>16.97</v>
      </c>
      <c r="I45" s="189">
        <v>5.22</v>
      </c>
      <c r="J45" s="189">
        <v>1.49</v>
      </c>
      <c r="K45" s="189">
        <v>310.72000000000003</v>
      </c>
      <c r="L45" s="189">
        <v>36.25</v>
      </c>
      <c r="M45" s="189">
        <v>33.75</v>
      </c>
      <c r="N45" s="189">
        <v>149.9</v>
      </c>
      <c r="O45" s="189">
        <v>0</v>
      </c>
      <c r="P45" s="189">
        <v>0.53</v>
      </c>
      <c r="Q45" s="189">
        <v>4.96</v>
      </c>
    </row>
    <row r="46" spans="1:17" customFormat="1">
      <c r="A46" s="6" t="s">
        <v>1522</v>
      </c>
      <c r="B46" s="189">
        <v>9.73</v>
      </c>
      <c r="C46" s="189">
        <v>44.01</v>
      </c>
      <c r="D46" s="189">
        <v>29.75</v>
      </c>
      <c r="E46" s="189">
        <v>7.35</v>
      </c>
      <c r="F46" s="189">
        <v>17.579999999999998</v>
      </c>
      <c r="G46" s="189">
        <v>37.020000000000003</v>
      </c>
      <c r="H46" s="189">
        <v>16.97</v>
      </c>
      <c r="I46" s="189">
        <v>5.13</v>
      </c>
      <c r="J46" s="189">
        <v>1.18</v>
      </c>
      <c r="K46" s="189">
        <v>321.5</v>
      </c>
      <c r="L46" s="189">
        <v>36.880000000000003</v>
      </c>
      <c r="M46" s="189">
        <v>32.78</v>
      </c>
      <c r="N46" s="189">
        <v>162.69999999999999</v>
      </c>
      <c r="O46" s="189">
        <v>0</v>
      </c>
      <c r="P46" s="189">
        <v>0.55000000000000004</v>
      </c>
      <c r="Q46" s="189">
        <v>4.9400000000000004</v>
      </c>
    </row>
    <row r="47" spans="1:17" customFormat="1">
      <c r="A47" s="6" t="s">
        <v>1523</v>
      </c>
      <c r="B47" s="189">
        <v>9.48</v>
      </c>
      <c r="C47" s="189">
        <v>42.65</v>
      </c>
      <c r="D47" s="189">
        <v>28.84</v>
      </c>
      <c r="E47" s="189">
        <v>7.08</v>
      </c>
      <c r="F47" s="189">
        <v>13.44</v>
      </c>
      <c r="G47" s="189">
        <v>39.72</v>
      </c>
      <c r="H47" s="189">
        <v>16.97</v>
      </c>
      <c r="I47" s="189">
        <v>5.08</v>
      </c>
      <c r="J47" s="189">
        <v>1.56</v>
      </c>
      <c r="K47" s="189">
        <v>307.60000000000002</v>
      </c>
      <c r="L47" s="189">
        <v>37.39</v>
      </c>
      <c r="M47" s="189">
        <v>31.58</v>
      </c>
      <c r="N47" s="189">
        <v>173.1</v>
      </c>
      <c r="O47" s="189">
        <v>0</v>
      </c>
      <c r="P47" s="189">
        <v>0.54</v>
      </c>
      <c r="Q47" s="189">
        <v>4.8899999999999997</v>
      </c>
    </row>
    <row r="48" spans="1:17" customFormat="1">
      <c r="A48" s="6" t="s">
        <v>1524</v>
      </c>
      <c r="B48" s="189">
        <v>9.33</v>
      </c>
      <c r="C48" s="189">
        <v>44.6</v>
      </c>
      <c r="D48" s="189">
        <v>29.74</v>
      </c>
      <c r="E48" s="189">
        <v>6.44</v>
      </c>
      <c r="F48" s="189">
        <v>14.01</v>
      </c>
      <c r="G48" s="189">
        <v>39.72</v>
      </c>
      <c r="H48" s="189">
        <v>16.97</v>
      </c>
      <c r="I48" s="189">
        <v>4.97</v>
      </c>
      <c r="J48" s="189">
        <v>1.43</v>
      </c>
      <c r="K48" s="189">
        <v>303.25</v>
      </c>
      <c r="L48" s="189">
        <v>37.630000000000003</v>
      </c>
      <c r="M48" s="189">
        <v>30.8</v>
      </c>
      <c r="N48" s="189">
        <v>176.4</v>
      </c>
      <c r="O48" s="189">
        <v>0</v>
      </c>
      <c r="P48" s="189">
        <v>0.54</v>
      </c>
      <c r="Q48" s="189">
        <v>4.8600000000000003</v>
      </c>
    </row>
    <row r="49" spans="1:17" customFormat="1">
      <c r="A49" s="6" t="s">
        <v>1525</v>
      </c>
      <c r="B49" s="189">
        <v>8.39</v>
      </c>
      <c r="C49" s="189">
        <v>42.81</v>
      </c>
      <c r="D49" s="189">
        <v>28.05</v>
      </c>
      <c r="E49" s="189">
        <v>6.86</v>
      </c>
      <c r="F49" s="189">
        <v>17.61</v>
      </c>
      <c r="G49" s="189">
        <v>39.72</v>
      </c>
      <c r="H49" s="189">
        <v>16.97</v>
      </c>
      <c r="I49" s="189">
        <v>5.01</v>
      </c>
      <c r="J49" s="189">
        <v>1.0900000000000001</v>
      </c>
      <c r="K49" s="189">
        <v>300.83</v>
      </c>
      <c r="L49" s="189">
        <v>38.270000000000003</v>
      </c>
      <c r="M49" s="189">
        <v>29.92</v>
      </c>
      <c r="N49" s="189">
        <v>184</v>
      </c>
      <c r="O49" s="189">
        <v>0</v>
      </c>
      <c r="P49" s="189">
        <v>0.53</v>
      </c>
      <c r="Q49" s="189">
        <v>4.8499999999999996</v>
      </c>
    </row>
    <row r="50" spans="1:17" customFormat="1">
      <c r="A50" s="6" t="s">
        <v>1526</v>
      </c>
      <c r="B50" s="189">
        <v>7.71</v>
      </c>
      <c r="C50" s="189">
        <v>40.950000000000003</v>
      </c>
      <c r="D50" s="189">
        <v>26.54</v>
      </c>
      <c r="E50" s="189">
        <v>7.6</v>
      </c>
      <c r="F50" s="189">
        <v>22.53</v>
      </c>
      <c r="G50" s="189">
        <v>40.130000000000003</v>
      </c>
      <c r="H50" s="189">
        <v>17.54</v>
      </c>
      <c r="I50" s="189">
        <v>5.07</v>
      </c>
      <c r="J50" s="189">
        <v>1.07</v>
      </c>
      <c r="K50" s="189">
        <v>316.57</v>
      </c>
      <c r="L50" s="189">
        <v>38.770000000000003</v>
      </c>
      <c r="M50" s="189">
        <v>28.78</v>
      </c>
      <c r="N50" s="189">
        <v>194.8</v>
      </c>
      <c r="O50" s="189">
        <v>0</v>
      </c>
      <c r="P50" s="189">
        <v>0.53</v>
      </c>
      <c r="Q50" s="189">
        <v>4.83</v>
      </c>
    </row>
    <row r="51" spans="1:17" customFormat="1">
      <c r="A51" s="6" t="s">
        <v>1527</v>
      </c>
      <c r="B51" s="189">
        <v>8.02</v>
      </c>
      <c r="C51" s="189">
        <v>40.86</v>
      </c>
      <c r="D51" s="189">
        <v>26.74</v>
      </c>
      <c r="E51" s="189">
        <v>7.65</v>
      </c>
      <c r="F51" s="189">
        <v>15.49</v>
      </c>
      <c r="G51" s="189">
        <v>40.72</v>
      </c>
      <c r="H51" s="189">
        <v>18.03</v>
      </c>
      <c r="I51" s="189">
        <v>4.87</v>
      </c>
      <c r="J51" s="189">
        <v>1.45</v>
      </c>
      <c r="K51" s="189">
        <v>306</v>
      </c>
      <c r="L51" s="189">
        <v>38.94</v>
      </c>
      <c r="M51" s="189">
        <v>28.37</v>
      </c>
      <c r="N51" s="189">
        <v>206.2</v>
      </c>
      <c r="O51" s="189">
        <v>0</v>
      </c>
      <c r="P51" s="189">
        <v>0.53</v>
      </c>
      <c r="Q51" s="189">
        <v>4.83</v>
      </c>
    </row>
    <row r="52" spans="1:17" customFormat="1">
      <c r="A52" s="6" t="s">
        <v>1528</v>
      </c>
      <c r="B52" s="189">
        <v>7.68</v>
      </c>
      <c r="C52" s="189">
        <v>43.74</v>
      </c>
      <c r="D52" s="189">
        <v>27.97</v>
      </c>
      <c r="E52" s="189">
        <v>6.6</v>
      </c>
      <c r="F52" s="189">
        <v>17.14</v>
      </c>
      <c r="G52" s="189">
        <v>40.72</v>
      </c>
      <c r="H52" s="189">
        <v>18.03</v>
      </c>
      <c r="I52" s="189">
        <v>4.75</v>
      </c>
      <c r="J52" s="189">
        <v>1.35</v>
      </c>
      <c r="K52" s="189">
        <v>317.2</v>
      </c>
      <c r="L52" s="189">
        <v>38.94</v>
      </c>
      <c r="M52" s="189">
        <v>28.16</v>
      </c>
      <c r="N52" s="189">
        <v>221.3</v>
      </c>
      <c r="O52" s="189">
        <v>0</v>
      </c>
      <c r="P52" s="189">
        <v>0.52</v>
      </c>
      <c r="Q52" s="189">
        <v>4.8099999999999996</v>
      </c>
    </row>
    <row r="53" spans="1:17" customFormat="1">
      <c r="A53" s="6" t="s">
        <v>1529</v>
      </c>
      <c r="B53" s="189">
        <v>6.9</v>
      </c>
      <c r="C53" s="189">
        <v>39.619999999999997</v>
      </c>
      <c r="D53" s="189">
        <v>25.19</v>
      </c>
      <c r="E53" s="189">
        <v>7.45</v>
      </c>
      <c r="F53" s="189">
        <v>21.96</v>
      </c>
      <c r="G53" s="189">
        <v>40.72</v>
      </c>
      <c r="H53" s="189">
        <v>18.03</v>
      </c>
      <c r="I53" s="189">
        <v>4.88</v>
      </c>
      <c r="J53" s="189">
        <v>1.0900000000000001</v>
      </c>
      <c r="K53" s="189">
        <v>302.61</v>
      </c>
      <c r="L53" s="189">
        <v>39.53</v>
      </c>
      <c r="M53" s="189">
        <v>27.48</v>
      </c>
      <c r="N53" s="189">
        <v>282.3</v>
      </c>
      <c r="O53" s="189">
        <v>0</v>
      </c>
      <c r="P53" s="189">
        <v>0.5</v>
      </c>
      <c r="Q53" s="189">
        <v>4.8</v>
      </c>
    </row>
    <row r="54" spans="1:17" customFormat="1">
      <c r="A54" s="6" t="s">
        <v>1530</v>
      </c>
      <c r="B54" s="189">
        <v>7.03</v>
      </c>
      <c r="C54" s="189">
        <v>39.9</v>
      </c>
      <c r="D54" s="189">
        <v>25.44</v>
      </c>
      <c r="E54" s="189">
        <v>6.11</v>
      </c>
      <c r="F54" s="189">
        <v>19.23</v>
      </c>
      <c r="G54" s="189">
        <v>43.46</v>
      </c>
      <c r="H54" s="189">
        <v>17.940000000000001</v>
      </c>
      <c r="I54" s="189">
        <v>4.9000000000000004</v>
      </c>
      <c r="J54" s="189">
        <v>1.38</v>
      </c>
      <c r="K54" s="189">
        <v>293.25</v>
      </c>
      <c r="L54" s="189">
        <v>39.74</v>
      </c>
      <c r="M54" s="189">
        <v>26.73</v>
      </c>
      <c r="N54" s="189">
        <v>276.39999999999998</v>
      </c>
      <c r="O54" s="189">
        <v>0</v>
      </c>
      <c r="P54" s="189">
        <v>0.51</v>
      </c>
      <c r="Q54" s="189">
        <v>4.78</v>
      </c>
    </row>
    <row r="55" spans="1:17" customFormat="1">
      <c r="A55" s="6" t="s">
        <v>1531</v>
      </c>
      <c r="B55" s="189">
        <v>6.19</v>
      </c>
      <c r="C55" s="189">
        <v>36.65</v>
      </c>
      <c r="D55" s="189">
        <v>23.07</v>
      </c>
      <c r="E55" s="189">
        <v>6.23</v>
      </c>
      <c r="F55" s="189">
        <v>21.39</v>
      </c>
      <c r="G55" s="189">
        <v>47.39</v>
      </c>
      <c r="H55" s="189">
        <v>17.86</v>
      </c>
      <c r="I55" s="189">
        <v>4.78</v>
      </c>
      <c r="J55" s="189">
        <v>1.18</v>
      </c>
      <c r="K55" s="189">
        <v>305.36</v>
      </c>
      <c r="L55" s="189">
        <v>40.020000000000003</v>
      </c>
      <c r="M55" s="189">
        <v>26.11</v>
      </c>
      <c r="N55" s="189">
        <v>362.7</v>
      </c>
      <c r="O55" s="189">
        <v>0</v>
      </c>
      <c r="P55" s="189">
        <v>0.5</v>
      </c>
      <c r="Q55" s="189">
        <v>4.7699999999999996</v>
      </c>
    </row>
    <row r="56" spans="1:17" customFormat="1">
      <c r="A56" s="6" t="s">
        <v>1532</v>
      </c>
      <c r="B56" s="189">
        <v>6.13</v>
      </c>
      <c r="C56" s="189">
        <v>40.24</v>
      </c>
      <c r="D56" s="189">
        <v>24.9</v>
      </c>
      <c r="E56" s="189">
        <v>6.07</v>
      </c>
      <c r="F56" s="189">
        <v>23.63</v>
      </c>
      <c r="G56" s="189">
        <v>47.39</v>
      </c>
      <c r="H56" s="189">
        <v>17.86</v>
      </c>
      <c r="I56" s="189">
        <v>4.71</v>
      </c>
      <c r="J56" s="189">
        <v>0.72</v>
      </c>
      <c r="K56" s="189">
        <v>339.02</v>
      </c>
      <c r="L56" s="189">
        <v>40.159999999999997</v>
      </c>
      <c r="M56" s="189">
        <v>26.23</v>
      </c>
      <c r="N56" s="189">
        <v>460.5</v>
      </c>
      <c r="O56" s="189">
        <v>0</v>
      </c>
      <c r="P56" s="189">
        <v>0.52</v>
      </c>
      <c r="Q56" s="189">
        <v>4.78</v>
      </c>
    </row>
    <row r="57" spans="1:17" customFormat="1">
      <c r="A57" s="6" t="s">
        <v>1533</v>
      </c>
      <c r="B57" s="189">
        <v>5.13</v>
      </c>
      <c r="C57" s="189">
        <v>38.53</v>
      </c>
      <c r="D57" s="189">
        <v>23.2</v>
      </c>
      <c r="E57" s="189">
        <v>7.55</v>
      </c>
      <c r="F57" s="189">
        <v>32.979999999999997</v>
      </c>
      <c r="G57" s="151" t="s">
        <v>12</v>
      </c>
      <c r="H57" s="151" t="s">
        <v>12</v>
      </c>
      <c r="I57" s="189">
        <v>4.67</v>
      </c>
      <c r="J57" s="189">
        <v>0.82</v>
      </c>
      <c r="K57" s="189">
        <v>350.93</v>
      </c>
      <c r="L57" s="189">
        <v>39.950000000000003</v>
      </c>
      <c r="M57" s="189">
        <v>26.53</v>
      </c>
      <c r="N57" s="189">
        <v>501.5</v>
      </c>
      <c r="O57" s="189">
        <v>0</v>
      </c>
      <c r="P57" s="189">
        <v>0.51</v>
      </c>
      <c r="Q57" s="189">
        <v>4.9000000000000004</v>
      </c>
    </row>
    <row r="58" spans="1:17" customFormat="1">
      <c r="A58" s="6" t="s">
        <v>1534</v>
      </c>
      <c r="B58" s="189">
        <v>4.9400000000000004</v>
      </c>
      <c r="C58" s="189">
        <v>39.75</v>
      </c>
      <c r="D58" s="189">
        <v>23.68</v>
      </c>
      <c r="E58" s="189">
        <v>8.3000000000000007</v>
      </c>
      <c r="F58" s="189">
        <v>30.07</v>
      </c>
      <c r="G58" s="151" t="s">
        <v>12</v>
      </c>
      <c r="H58" s="151" t="s">
        <v>12</v>
      </c>
      <c r="I58" s="189">
        <v>4.67</v>
      </c>
      <c r="J58" s="189">
        <v>0.97</v>
      </c>
      <c r="K58" s="189">
        <v>305.02999999999997</v>
      </c>
      <c r="L58" s="189">
        <v>39.200000000000003</v>
      </c>
      <c r="M58" s="189">
        <v>28.02</v>
      </c>
      <c r="N58" s="189">
        <v>75.099999999999994</v>
      </c>
      <c r="O58" s="189">
        <v>0</v>
      </c>
      <c r="P58" s="189">
        <v>0.52</v>
      </c>
      <c r="Q58" s="189">
        <v>4.9400000000000004</v>
      </c>
    </row>
    <row r="59" spans="1:17" customFormat="1">
      <c r="A59" s="6" t="s">
        <v>1535</v>
      </c>
      <c r="B59" s="189">
        <v>4.3899999999999997</v>
      </c>
      <c r="C59" s="189">
        <v>35.49</v>
      </c>
      <c r="D59" s="189">
        <v>21.01</v>
      </c>
      <c r="E59" s="189">
        <v>6.01</v>
      </c>
      <c r="F59" s="189">
        <v>17.28</v>
      </c>
      <c r="G59" s="151" t="s">
        <v>12</v>
      </c>
      <c r="H59" s="151" t="s">
        <v>12</v>
      </c>
      <c r="I59" s="189">
        <v>4.3499999999999996</v>
      </c>
      <c r="J59" s="189">
        <v>1.03</v>
      </c>
      <c r="K59" s="189">
        <v>7.93</v>
      </c>
      <c r="L59" s="189">
        <v>29.56</v>
      </c>
      <c r="M59" s="189">
        <v>71.95</v>
      </c>
      <c r="N59" s="189">
        <v>68</v>
      </c>
      <c r="O59" s="189">
        <v>0</v>
      </c>
      <c r="P59" s="189">
        <v>0.49</v>
      </c>
      <c r="Q59" s="189">
        <v>4.84</v>
      </c>
    </row>
    <row r="60" spans="1:17" customFormat="1">
      <c r="A60" s="6" t="s">
        <v>1536</v>
      </c>
      <c r="B60" s="189">
        <v>3.92</v>
      </c>
      <c r="C60" s="189">
        <v>38.090000000000003</v>
      </c>
      <c r="D60" s="189">
        <v>22</v>
      </c>
      <c r="E60" s="189">
        <v>5.23</v>
      </c>
      <c r="F60" s="189">
        <v>9.4700000000000006</v>
      </c>
      <c r="G60" s="151" t="s">
        <v>12</v>
      </c>
      <c r="H60" s="151" t="s">
        <v>12</v>
      </c>
      <c r="I60" s="189">
        <v>4.3899999999999997</v>
      </c>
      <c r="J60" s="189">
        <v>0.55000000000000004</v>
      </c>
      <c r="K60" s="189">
        <v>160.77000000000001</v>
      </c>
      <c r="L60" s="189">
        <v>26.44</v>
      </c>
      <c r="M60" s="189">
        <v>88.16</v>
      </c>
      <c r="N60" s="189">
        <v>101.7</v>
      </c>
      <c r="O60" s="189">
        <v>0</v>
      </c>
      <c r="P60" s="189">
        <v>0.45</v>
      </c>
      <c r="Q60" s="189">
        <v>4.57</v>
      </c>
    </row>
    <row r="61" spans="1:17" customFormat="1">
      <c r="A61" s="6" t="s">
        <v>1537</v>
      </c>
      <c r="B61" s="189">
        <v>3.32</v>
      </c>
      <c r="C61" s="189">
        <v>40.630000000000003</v>
      </c>
      <c r="D61" s="189">
        <v>22.85</v>
      </c>
      <c r="E61" s="189">
        <v>5.09</v>
      </c>
      <c r="F61" s="189">
        <v>13.24</v>
      </c>
      <c r="G61" s="151" t="s">
        <v>12</v>
      </c>
      <c r="H61" s="151" t="s">
        <v>12</v>
      </c>
      <c r="I61" s="189">
        <v>4.4800000000000004</v>
      </c>
      <c r="J61" s="189">
        <v>0.34</v>
      </c>
      <c r="K61" s="189">
        <v>158.06</v>
      </c>
      <c r="L61" s="189">
        <v>28.33</v>
      </c>
      <c r="M61" s="189">
        <v>79.069999999999993</v>
      </c>
      <c r="N61" s="189">
        <v>123</v>
      </c>
      <c r="O61" s="189">
        <v>0</v>
      </c>
      <c r="P61" s="189">
        <v>0.45</v>
      </c>
      <c r="Q61" s="189">
        <v>4.58</v>
      </c>
    </row>
    <row r="62" spans="1:17" customFormat="1">
      <c r="A62" s="6" t="s">
        <v>1538</v>
      </c>
      <c r="B62" s="189">
        <v>3.21</v>
      </c>
      <c r="C62" s="189">
        <v>37.11</v>
      </c>
      <c r="D62" s="189">
        <v>20.92</v>
      </c>
      <c r="E62" s="189">
        <v>4.8499999999999996</v>
      </c>
      <c r="F62" s="189">
        <v>16.489999999999998</v>
      </c>
      <c r="G62" s="151" t="s">
        <v>12</v>
      </c>
      <c r="H62" s="151" t="s">
        <v>12</v>
      </c>
      <c r="I62" s="189">
        <v>4.38</v>
      </c>
      <c r="J62" s="189">
        <v>0.18</v>
      </c>
      <c r="K62" s="189">
        <v>203.89</v>
      </c>
      <c r="L62" s="189">
        <v>29.11</v>
      </c>
      <c r="M62" s="189">
        <v>72.099999999999994</v>
      </c>
      <c r="N62" s="189">
        <v>48.1</v>
      </c>
      <c r="O62" s="189">
        <v>0</v>
      </c>
      <c r="P62" s="189">
        <v>0.44</v>
      </c>
      <c r="Q62" s="189">
        <v>4.5999999999999996</v>
      </c>
    </row>
    <row r="63" spans="1:17" customFormat="1">
      <c r="A63" s="6" t="s">
        <v>1539</v>
      </c>
      <c r="B63" s="189">
        <v>2.44</v>
      </c>
      <c r="C63" s="189">
        <v>32.520000000000003</v>
      </c>
      <c r="D63" s="189">
        <v>17.899999999999999</v>
      </c>
      <c r="E63" s="189">
        <v>4.75</v>
      </c>
      <c r="F63" s="189">
        <v>16.690000000000001</v>
      </c>
      <c r="G63" s="151" t="s">
        <v>12</v>
      </c>
      <c r="H63" s="151" t="s">
        <v>12</v>
      </c>
      <c r="I63" s="189">
        <v>4.33</v>
      </c>
      <c r="J63" s="189">
        <v>2.15</v>
      </c>
      <c r="K63" s="189">
        <v>335.63</v>
      </c>
      <c r="L63" s="189">
        <v>26.78</v>
      </c>
      <c r="M63" s="189">
        <v>74.53</v>
      </c>
      <c r="N63" s="189">
        <v>32</v>
      </c>
      <c r="O63" s="189">
        <v>0</v>
      </c>
      <c r="P63" s="189">
        <v>0.42</v>
      </c>
      <c r="Q63" s="189">
        <v>4.53</v>
      </c>
    </row>
    <row r="64" spans="1:17" customFormat="1">
      <c r="A64" s="6" t="s">
        <v>1540</v>
      </c>
      <c r="B64" s="189">
        <v>2.29</v>
      </c>
      <c r="C64" s="189">
        <v>33.64</v>
      </c>
      <c r="D64" s="189">
        <v>18.37</v>
      </c>
      <c r="E64" s="189">
        <v>4.08</v>
      </c>
      <c r="F64" s="189">
        <v>7.71</v>
      </c>
      <c r="G64" s="151" t="s">
        <v>12</v>
      </c>
      <c r="H64" s="151" t="s">
        <v>12</v>
      </c>
      <c r="I64" s="189">
        <v>4.09</v>
      </c>
      <c r="J64" s="189">
        <v>1.55</v>
      </c>
      <c r="K64" s="189">
        <v>16.149999999999999</v>
      </c>
      <c r="L64" s="189">
        <v>24.46</v>
      </c>
      <c r="M64" s="189">
        <v>90.19</v>
      </c>
      <c r="N64" s="189">
        <v>29.4</v>
      </c>
      <c r="O64" s="189">
        <v>0</v>
      </c>
      <c r="P64" s="189">
        <v>0.4</v>
      </c>
      <c r="Q64" s="189">
        <v>4.3499999999999996</v>
      </c>
    </row>
    <row r="65" spans="1:17" customFormat="1">
      <c r="A65" s="6" t="s">
        <v>1541</v>
      </c>
      <c r="B65" s="189">
        <v>1.9</v>
      </c>
      <c r="C65" s="189">
        <v>24.96</v>
      </c>
      <c r="D65" s="189">
        <v>13.52</v>
      </c>
      <c r="E65" s="189">
        <v>3.88</v>
      </c>
      <c r="F65" s="189">
        <v>32.659999999999997</v>
      </c>
      <c r="G65" s="151" t="s">
        <v>12</v>
      </c>
      <c r="H65" s="151" t="s">
        <v>12</v>
      </c>
      <c r="I65" s="189">
        <v>3.82</v>
      </c>
      <c r="J65" s="189">
        <v>0.78</v>
      </c>
      <c r="K65" s="189">
        <v>297.38</v>
      </c>
      <c r="L65" s="189">
        <v>24.85</v>
      </c>
      <c r="M65" s="189">
        <v>90.93</v>
      </c>
      <c r="N65" s="189">
        <v>39.4</v>
      </c>
      <c r="O65" s="189">
        <v>0</v>
      </c>
      <c r="P65" s="189">
        <v>0.36</v>
      </c>
      <c r="Q65" s="189">
        <v>4.12</v>
      </c>
    </row>
    <row r="66" spans="1:17" customFormat="1">
      <c r="A66" s="6" t="s">
        <v>1542</v>
      </c>
      <c r="B66" s="189">
        <v>2.02</v>
      </c>
      <c r="C66" s="189">
        <v>24.75</v>
      </c>
      <c r="D66" s="189">
        <v>13.51</v>
      </c>
      <c r="E66" s="189">
        <v>3.49</v>
      </c>
      <c r="F66" s="189">
        <v>31.12</v>
      </c>
      <c r="G66" s="151" t="s">
        <v>12</v>
      </c>
      <c r="H66" s="151" t="s">
        <v>12</v>
      </c>
      <c r="I66" s="189">
        <v>3.27</v>
      </c>
      <c r="J66" s="189">
        <v>2.8</v>
      </c>
      <c r="K66" s="189">
        <v>39.82</v>
      </c>
      <c r="L66" s="189">
        <v>26.09</v>
      </c>
      <c r="M66" s="189">
        <v>78.06</v>
      </c>
      <c r="N66" s="189">
        <v>24.6</v>
      </c>
      <c r="O66" s="189">
        <v>0</v>
      </c>
      <c r="P66" s="189">
        <v>0.36</v>
      </c>
      <c r="Q66" s="189">
        <v>3.94</v>
      </c>
    </row>
    <row r="67" spans="1:17" customFormat="1">
      <c r="A67" s="6" t="s">
        <v>1543</v>
      </c>
      <c r="B67" s="189">
        <v>1.01</v>
      </c>
      <c r="C67" s="189">
        <v>25.9</v>
      </c>
      <c r="D67" s="189">
        <v>13.3</v>
      </c>
      <c r="E67" s="189">
        <v>2.81</v>
      </c>
      <c r="F67" s="189">
        <v>20.350000000000001</v>
      </c>
      <c r="G67" s="151" t="s">
        <v>12</v>
      </c>
      <c r="H67" s="151" t="s">
        <v>12</v>
      </c>
      <c r="I67" s="189">
        <v>2.34</v>
      </c>
      <c r="J67" s="189">
        <v>1.72</v>
      </c>
      <c r="K67" s="189">
        <v>63.99</v>
      </c>
      <c r="L67" s="189">
        <v>26.5</v>
      </c>
      <c r="M67" s="189">
        <v>70.849999999999994</v>
      </c>
      <c r="N67" s="189">
        <v>20.9</v>
      </c>
      <c r="O67" s="189">
        <v>0</v>
      </c>
      <c r="P67" s="189">
        <v>0.34</v>
      </c>
      <c r="Q67" s="189">
        <v>3.92</v>
      </c>
    </row>
    <row r="68" spans="1:17" customFormat="1">
      <c r="A68" s="6" t="s">
        <v>1544</v>
      </c>
      <c r="B68" s="189">
        <v>0.68</v>
      </c>
      <c r="C68" s="189">
        <v>31.63</v>
      </c>
      <c r="D68" s="189">
        <v>16.03</v>
      </c>
      <c r="E68" s="189">
        <v>2.86</v>
      </c>
      <c r="F68" s="189">
        <v>9.15</v>
      </c>
      <c r="G68" s="189">
        <v>39.97</v>
      </c>
      <c r="H68" s="189">
        <v>1.7</v>
      </c>
      <c r="I68" s="189">
        <v>1.52</v>
      </c>
      <c r="J68" s="189">
        <v>1.03</v>
      </c>
      <c r="K68" s="189">
        <v>71.569999999999993</v>
      </c>
      <c r="L68" s="189">
        <v>25.94</v>
      </c>
      <c r="M68" s="189">
        <v>78.87</v>
      </c>
      <c r="N68" s="189">
        <v>22.1</v>
      </c>
      <c r="O68" s="189">
        <v>0</v>
      </c>
      <c r="P68" s="189">
        <v>0.37</v>
      </c>
      <c r="Q68" s="189">
        <v>4</v>
      </c>
    </row>
    <row r="69" spans="1:17" customFormat="1">
      <c r="A69" s="6" t="s">
        <v>1545</v>
      </c>
      <c r="B69" s="189">
        <v>6.36</v>
      </c>
      <c r="C69" s="189">
        <v>34.49</v>
      </c>
      <c r="D69" s="189">
        <v>22.08</v>
      </c>
      <c r="E69" s="189">
        <v>3.7</v>
      </c>
      <c r="F69" s="189">
        <v>10.62</v>
      </c>
      <c r="G69" s="189">
        <v>39.97</v>
      </c>
      <c r="H69" s="189">
        <v>1.7</v>
      </c>
      <c r="I69" s="189">
        <v>1.35</v>
      </c>
      <c r="J69" s="189">
        <v>0.7</v>
      </c>
      <c r="K69" s="189">
        <v>54.97</v>
      </c>
      <c r="L69" s="189">
        <v>26.68</v>
      </c>
      <c r="M69" s="189">
        <v>75.64</v>
      </c>
      <c r="N69" s="189">
        <v>24.9</v>
      </c>
      <c r="O69" s="189">
        <v>0</v>
      </c>
      <c r="P69" s="189">
        <v>0.4</v>
      </c>
      <c r="Q69" s="189">
        <v>4.0999999999999996</v>
      </c>
    </row>
    <row r="70" spans="1:17" customFormat="1">
      <c r="A70" s="6" t="s">
        <v>1546</v>
      </c>
      <c r="B70" s="189">
        <v>6.29</v>
      </c>
      <c r="C70" s="189">
        <v>34.94</v>
      </c>
      <c r="D70" s="189">
        <v>22.25</v>
      </c>
      <c r="E70" s="189">
        <v>3.03</v>
      </c>
      <c r="F70" s="189">
        <v>9.61</v>
      </c>
      <c r="G70" s="189">
        <v>39.97</v>
      </c>
      <c r="H70" s="189">
        <v>1.7</v>
      </c>
      <c r="I70" s="189">
        <v>1.63</v>
      </c>
      <c r="J70" s="189">
        <v>0.48</v>
      </c>
      <c r="K70" s="189">
        <v>45.25</v>
      </c>
      <c r="L70" s="189">
        <v>27.56</v>
      </c>
      <c r="M70" s="189">
        <v>72.680000000000007</v>
      </c>
      <c r="N70" s="189">
        <v>25.2</v>
      </c>
      <c r="O70" s="189">
        <v>0</v>
      </c>
      <c r="P70" s="189">
        <v>0.38</v>
      </c>
      <c r="Q70" s="189">
        <v>4.1100000000000003</v>
      </c>
    </row>
    <row r="71" spans="1:17" customFormat="1">
      <c r="A71" s="6" t="s">
        <v>1547</v>
      </c>
      <c r="B71" s="189">
        <v>5.39</v>
      </c>
      <c r="C71" s="189">
        <v>39.22</v>
      </c>
      <c r="D71" s="189">
        <v>23.77</v>
      </c>
      <c r="E71" s="189">
        <v>3.45</v>
      </c>
      <c r="F71" s="189">
        <v>6.22</v>
      </c>
      <c r="G71" s="189">
        <v>38.49</v>
      </c>
      <c r="H71" s="189">
        <v>3.56</v>
      </c>
      <c r="I71" s="189">
        <v>1.9</v>
      </c>
      <c r="J71" s="189">
        <v>0.16</v>
      </c>
      <c r="K71" s="189">
        <v>57.36</v>
      </c>
      <c r="L71" s="189">
        <v>27.99</v>
      </c>
      <c r="M71" s="189">
        <v>74.3</v>
      </c>
      <c r="N71" s="189">
        <v>25.1</v>
      </c>
      <c r="O71" s="189">
        <v>0</v>
      </c>
      <c r="P71" s="189">
        <v>0.41</v>
      </c>
      <c r="Q71" s="189">
        <v>4.29</v>
      </c>
    </row>
    <row r="72" spans="1:17" customFormat="1">
      <c r="A72" s="6" t="s">
        <v>1548</v>
      </c>
      <c r="B72" s="189">
        <v>5.25</v>
      </c>
      <c r="C72" s="189">
        <v>38.17</v>
      </c>
      <c r="D72" s="189">
        <v>23.11</v>
      </c>
      <c r="E72" s="189">
        <v>3.6</v>
      </c>
      <c r="F72" s="189">
        <v>8.1999999999999993</v>
      </c>
      <c r="G72" s="189">
        <v>37.64</v>
      </c>
      <c r="H72" s="189">
        <v>3.9</v>
      </c>
      <c r="I72" s="189">
        <v>1.95</v>
      </c>
      <c r="J72" s="189">
        <v>0.17</v>
      </c>
      <c r="K72" s="189">
        <v>176.99</v>
      </c>
      <c r="L72" s="189">
        <v>27.66</v>
      </c>
      <c r="M72" s="189">
        <v>81.45</v>
      </c>
      <c r="N72" s="189">
        <v>32.1</v>
      </c>
      <c r="O72" s="189">
        <v>0</v>
      </c>
      <c r="P72" s="189">
        <v>0.43</v>
      </c>
      <c r="Q72" s="189">
        <v>4.4400000000000004</v>
      </c>
    </row>
    <row r="73" spans="1:17" customFormat="1">
      <c r="A73" s="6" t="s">
        <v>1549</v>
      </c>
      <c r="B73" s="189">
        <v>16.3</v>
      </c>
      <c r="C73" s="189">
        <v>41.5</v>
      </c>
      <c r="D73" s="189">
        <v>33.71</v>
      </c>
      <c r="E73" s="189">
        <v>3.6</v>
      </c>
      <c r="F73" s="189">
        <v>7.2</v>
      </c>
      <c r="G73" s="189">
        <v>37.64</v>
      </c>
      <c r="H73" s="189">
        <v>3.9</v>
      </c>
      <c r="I73" s="189">
        <v>2.12</v>
      </c>
      <c r="J73" s="189">
        <v>0.34</v>
      </c>
      <c r="K73" s="189">
        <v>50.03</v>
      </c>
      <c r="L73" s="189">
        <v>27.91</v>
      </c>
      <c r="M73" s="189">
        <v>81.41</v>
      </c>
      <c r="N73" s="189">
        <v>50</v>
      </c>
      <c r="O73" s="189">
        <v>0</v>
      </c>
      <c r="P73" s="189">
        <v>0.56999999999999995</v>
      </c>
      <c r="Q73" s="189">
        <v>4.41</v>
      </c>
    </row>
    <row r="74" spans="1:17" customFormat="1">
      <c r="A74" s="6" t="s">
        <v>1550</v>
      </c>
      <c r="B74" s="189">
        <v>10.29</v>
      </c>
      <c r="C74" s="189">
        <v>42.87</v>
      </c>
      <c r="D74" s="189">
        <v>29.61</v>
      </c>
      <c r="E74" s="189">
        <v>3.88</v>
      </c>
      <c r="F74" s="189">
        <v>6.31</v>
      </c>
      <c r="G74" s="189">
        <v>37.64</v>
      </c>
      <c r="H74" s="189">
        <v>3.9</v>
      </c>
      <c r="I74" s="189">
        <v>2.7</v>
      </c>
      <c r="J74" s="189">
        <v>0.47</v>
      </c>
      <c r="K74" s="189">
        <v>75.66</v>
      </c>
      <c r="L74" s="189">
        <v>28.51</v>
      </c>
      <c r="M74" s="189">
        <v>80.08</v>
      </c>
      <c r="N74" s="189">
        <v>54.8</v>
      </c>
      <c r="O74" s="189">
        <v>0</v>
      </c>
      <c r="P74" s="189">
        <v>0.49</v>
      </c>
      <c r="Q74" s="189">
        <v>4.57</v>
      </c>
    </row>
    <row r="75" spans="1:17" customFormat="1">
      <c r="A75" s="6" t="s">
        <v>1551</v>
      </c>
      <c r="B75" s="189">
        <v>10.3</v>
      </c>
      <c r="C75" s="189">
        <v>41.33</v>
      </c>
      <c r="D75" s="189">
        <v>28.81</v>
      </c>
      <c r="E75" s="189">
        <v>4.0199999999999996</v>
      </c>
      <c r="F75" s="189">
        <v>7.67</v>
      </c>
      <c r="G75" s="189">
        <v>40.299999999999997</v>
      </c>
      <c r="H75" s="189">
        <v>4.8600000000000003</v>
      </c>
      <c r="I75" s="189">
        <v>2.96</v>
      </c>
      <c r="J75" s="189">
        <v>0.54</v>
      </c>
      <c r="K75" s="189">
        <v>71.790000000000006</v>
      </c>
      <c r="L75" s="189">
        <v>29.3</v>
      </c>
      <c r="M75" s="189">
        <v>71.05</v>
      </c>
      <c r="N75" s="189">
        <v>55.4</v>
      </c>
      <c r="O75" s="189">
        <v>0</v>
      </c>
      <c r="P75" s="189">
        <v>0.47</v>
      </c>
      <c r="Q75" s="189">
        <v>4.74</v>
      </c>
    </row>
    <row r="76" spans="1:17" customFormat="1">
      <c r="A76" s="6" t="s">
        <v>1552</v>
      </c>
      <c r="B76" s="189">
        <v>9.5299999999999994</v>
      </c>
      <c r="C76" s="189">
        <v>42.17</v>
      </c>
      <c r="D76" s="189">
        <v>28.63</v>
      </c>
      <c r="E76" s="189">
        <v>5.01</v>
      </c>
      <c r="F76" s="189">
        <v>11.62</v>
      </c>
      <c r="G76" s="189">
        <v>41.84</v>
      </c>
      <c r="H76" s="189">
        <v>5.03</v>
      </c>
      <c r="I76" s="189">
        <v>2.88</v>
      </c>
      <c r="J76" s="189">
        <v>0.18</v>
      </c>
      <c r="K76" s="189">
        <v>149.88999999999999</v>
      </c>
      <c r="L76" s="189">
        <v>29.53</v>
      </c>
      <c r="M76" s="189">
        <v>69.27</v>
      </c>
      <c r="N76" s="189">
        <v>43.4</v>
      </c>
      <c r="O76" s="189">
        <v>0</v>
      </c>
      <c r="P76" s="189">
        <v>0.49</v>
      </c>
      <c r="Q76" s="189">
        <v>4.84</v>
      </c>
    </row>
    <row r="77" spans="1:17" customFormat="1">
      <c r="A77" s="6" t="s">
        <v>1553</v>
      </c>
      <c r="B77" s="189">
        <v>8.74</v>
      </c>
      <c r="C77" s="189">
        <v>37.049999999999997</v>
      </c>
      <c r="D77" s="189">
        <v>25.32</v>
      </c>
      <c r="E77" s="189">
        <v>4.9400000000000004</v>
      </c>
      <c r="F77" s="189">
        <v>13.6</v>
      </c>
      <c r="G77" s="189">
        <v>41.84</v>
      </c>
      <c r="H77" s="189">
        <v>5.03</v>
      </c>
      <c r="I77" s="189">
        <v>3.02</v>
      </c>
      <c r="J77" s="189">
        <v>0.22</v>
      </c>
      <c r="K77" s="189">
        <v>170.63</v>
      </c>
      <c r="L77" s="189">
        <v>29.38</v>
      </c>
      <c r="M77" s="189">
        <v>72.69</v>
      </c>
      <c r="N77" s="189">
        <v>41.7</v>
      </c>
      <c r="O77" s="189">
        <v>0</v>
      </c>
      <c r="P77" s="189">
        <v>0.45</v>
      </c>
      <c r="Q77" s="189">
        <v>4.8600000000000003</v>
      </c>
    </row>
    <row r="78" spans="1:17" customFormat="1">
      <c r="A78" s="6" t="s">
        <v>1554</v>
      </c>
      <c r="B78" s="189">
        <v>10.35</v>
      </c>
      <c r="C78" s="189">
        <v>41.74</v>
      </c>
      <c r="D78" s="189">
        <v>29.06</v>
      </c>
      <c r="E78" s="189">
        <v>4.45</v>
      </c>
      <c r="F78" s="189">
        <v>7.72</v>
      </c>
      <c r="G78" s="189">
        <v>41.84</v>
      </c>
      <c r="H78" s="189">
        <v>5.03</v>
      </c>
      <c r="I78" s="189">
        <v>2.92</v>
      </c>
      <c r="J78" s="189">
        <v>0.09</v>
      </c>
      <c r="K78" s="189">
        <v>235.06</v>
      </c>
      <c r="L78" s="189">
        <v>29.32</v>
      </c>
      <c r="M78" s="189">
        <v>74.41</v>
      </c>
      <c r="N78" s="189">
        <v>42.7</v>
      </c>
      <c r="O78" s="189">
        <v>0</v>
      </c>
      <c r="P78" s="189">
        <v>0.48</v>
      </c>
      <c r="Q78" s="189">
        <v>4.8600000000000003</v>
      </c>
    </row>
    <row r="79" spans="1:17" customFormat="1">
      <c r="A79" s="6" t="s">
        <v>1555</v>
      </c>
      <c r="B79" s="189">
        <v>10.56</v>
      </c>
      <c r="C79" s="189">
        <v>40.4</v>
      </c>
      <c r="D79" s="189">
        <v>28.53</v>
      </c>
      <c r="E79" s="189">
        <v>4.87</v>
      </c>
      <c r="F79" s="189">
        <v>9.81</v>
      </c>
      <c r="G79" s="189">
        <v>45.32</v>
      </c>
      <c r="H79" s="189">
        <v>13.3</v>
      </c>
      <c r="I79" s="189">
        <v>2.88</v>
      </c>
      <c r="J79" s="189">
        <v>0.05</v>
      </c>
      <c r="K79" s="189">
        <v>-0.06</v>
      </c>
      <c r="L79" s="189">
        <v>29.43</v>
      </c>
      <c r="M79" s="189">
        <v>74.41</v>
      </c>
      <c r="N79" s="189">
        <v>53.2</v>
      </c>
      <c r="O79" s="189">
        <v>0</v>
      </c>
      <c r="P79" s="189">
        <v>0.54</v>
      </c>
      <c r="Q79" s="189">
        <v>4.96</v>
      </c>
    </row>
    <row r="80" spans="1:17" customFormat="1">
      <c r="A80" s="6" t="s">
        <v>1556</v>
      </c>
      <c r="B80" s="189">
        <v>17.16</v>
      </c>
      <c r="C80" s="189">
        <v>48.5</v>
      </c>
      <c r="D80" s="189">
        <v>38.06</v>
      </c>
      <c r="E80" s="189">
        <v>4.74</v>
      </c>
      <c r="F80" s="189">
        <v>5.7</v>
      </c>
      <c r="G80" s="189">
        <v>47.34</v>
      </c>
      <c r="H80" s="189">
        <v>14.78</v>
      </c>
      <c r="I80" s="189">
        <v>3.19</v>
      </c>
      <c r="J80" s="189">
        <v>0.18</v>
      </c>
      <c r="K80" s="189">
        <v>276.24</v>
      </c>
      <c r="L80" s="189">
        <v>29.84</v>
      </c>
      <c r="M80" s="189">
        <v>73.83</v>
      </c>
      <c r="N80" s="189">
        <v>50.7</v>
      </c>
      <c r="O80" s="189">
        <v>0</v>
      </c>
      <c r="P80" s="189">
        <v>0.59</v>
      </c>
      <c r="Q80" s="189">
        <v>5.0599999999999996</v>
      </c>
    </row>
    <row r="81" spans="1:17" customFormat="1">
      <c r="A81" s="6" t="s">
        <v>1557</v>
      </c>
      <c r="B81" s="189">
        <v>27.99</v>
      </c>
      <c r="C81" s="189">
        <v>49.78</v>
      </c>
      <c r="D81" s="189">
        <v>47.41</v>
      </c>
      <c r="E81" s="189">
        <v>4.4400000000000004</v>
      </c>
      <c r="F81" s="189">
        <v>4.16</v>
      </c>
      <c r="G81" s="189">
        <v>47.34</v>
      </c>
      <c r="H81" s="189">
        <v>14.78</v>
      </c>
      <c r="I81" s="189">
        <v>3.42</v>
      </c>
      <c r="J81" s="189">
        <v>0.01</v>
      </c>
      <c r="K81" s="189">
        <v>166.85</v>
      </c>
      <c r="L81" s="189">
        <v>29.97</v>
      </c>
      <c r="M81" s="189">
        <v>72.47</v>
      </c>
      <c r="N81" s="189">
        <v>23.7</v>
      </c>
      <c r="O81" s="189">
        <v>0</v>
      </c>
      <c r="P81" s="189">
        <v>0.74</v>
      </c>
      <c r="Q81" s="189">
        <v>5.18</v>
      </c>
    </row>
    <row r="82" spans="1:17" customFormat="1">
      <c r="A82" s="6" t="s">
        <v>1558</v>
      </c>
      <c r="B82" s="189">
        <v>20.81</v>
      </c>
      <c r="C82" s="189">
        <v>49.62</v>
      </c>
      <c r="D82" s="189">
        <v>41.57</v>
      </c>
      <c r="E82" s="189">
        <v>4.59</v>
      </c>
      <c r="F82" s="189">
        <v>4.3899999999999997</v>
      </c>
      <c r="G82" s="189">
        <v>47.34</v>
      </c>
      <c r="H82" s="189">
        <v>14.78</v>
      </c>
      <c r="I82" s="189">
        <v>3.8</v>
      </c>
      <c r="J82" s="189">
        <v>0.37</v>
      </c>
      <c r="K82" s="189">
        <v>165.45</v>
      </c>
      <c r="L82" s="189">
        <v>29.6</v>
      </c>
      <c r="M82" s="189">
        <v>76.64</v>
      </c>
      <c r="N82" s="189">
        <v>3.4</v>
      </c>
      <c r="O82" s="189">
        <v>0</v>
      </c>
      <c r="P82" s="189">
        <v>0.56999999999999995</v>
      </c>
      <c r="Q82" s="189">
        <v>5.24</v>
      </c>
    </row>
    <row r="83" spans="1:17" customFormat="1">
      <c r="A83" s="6" t="s">
        <v>1559</v>
      </c>
      <c r="B83" s="189">
        <v>15.88</v>
      </c>
      <c r="C83" s="189">
        <v>43.72</v>
      </c>
      <c r="D83" s="189">
        <v>34.53</v>
      </c>
      <c r="E83" s="189">
        <v>4.95</v>
      </c>
      <c r="F83" s="189">
        <v>6.63</v>
      </c>
      <c r="G83" s="189">
        <v>64.67</v>
      </c>
      <c r="H83" s="189">
        <v>16.27</v>
      </c>
      <c r="I83" s="189">
        <v>4.09</v>
      </c>
      <c r="J83" s="189">
        <v>0.38</v>
      </c>
      <c r="K83" s="189">
        <v>239.54</v>
      </c>
      <c r="L83" s="189">
        <v>29.42</v>
      </c>
      <c r="M83" s="189">
        <v>75.3</v>
      </c>
      <c r="N83" s="189">
        <v>0</v>
      </c>
      <c r="O83" s="189">
        <v>0</v>
      </c>
      <c r="P83" s="189">
        <v>0.57999999999999996</v>
      </c>
      <c r="Q83" s="189">
        <v>5.36</v>
      </c>
    </row>
    <row r="84" spans="1:17" customFormat="1">
      <c r="A84" s="6" t="s">
        <v>1560</v>
      </c>
      <c r="B84" s="189">
        <v>16.64</v>
      </c>
      <c r="C84" s="189">
        <v>46.22</v>
      </c>
      <c r="D84" s="189">
        <v>36.44</v>
      </c>
      <c r="E84" s="189">
        <v>5.35</v>
      </c>
      <c r="F84" s="189">
        <v>8.7100000000000009</v>
      </c>
      <c r="G84" s="189">
        <v>75.2</v>
      </c>
      <c r="H84" s="189">
        <v>16.78</v>
      </c>
      <c r="I84" s="189">
        <v>3.86</v>
      </c>
      <c r="J84" s="189">
        <v>0.51</v>
      </c>
      <c r="K84" s="189">
        <v>246.76</v>
      </c>
      <c r="L84" s="189">
        <v>30.35</v>
      </c>
      <c r="M84" s="189">
        <v>61.91</v>
      </c>
      <c r="N84" s="189">
        <v>0</v>
      </c>
      <c r="O84" s="189">
        <v>0</v>
      </c>
      <c r="P84" s="189">
        <v>0.59</v>
      </c>
      <c r="Q84" s="189">
        <v>5.43</v>
      </c>
    </row>
    <row r="85" spans="1:17" customFormat="1">
      <c r="A85" s="6" t="s">
        <v>1561</v>
      </c>
      <c r="B85" s="189">
        <v>15.06</v>
      </c>
      <c r="C85" s="189">
        <v>37.07</v>
      </c>
      <c r="D85" s="189">
        <v>30.4</v>
      </c>
      <c r="E85" s="189">
        <v>6.07</v>
      </c>
      <c r="F85" s="189">
        <v>22.97</v>
      </c>
      <c r="G85" s="189">
        <v>75.2</v>
      </c>
      <c r="H85" s="189">
        <v>16.78</v>
      </c>
      <c r="I85" s="189">
        <v>3.96</v>
      </c>
      <c r="J85" s="189">
        <v>0.45</v>
      </c>
      <c r="K85" s="189">
        <v>254.93</v>
      </c>
      <c r="L85" s="189">
        <v>30.95</v>
      </c>
      <c r="M85" s="189">
        <v>53.33</v>
      </c>
      <c r="N85" s="189">
        <v>0</v>
      </c>
      <c r="O85" s="189">
        <v>0</v>
      </c>
      <c r="P85" s="189">
        <v>0.51</v>
      </c>
      <c r="Q85" s="189">
        <v>5.43</v>
      </c>
    </row>
    <row r="86" spans="1:17" customFormat="1">
      <c r="A86" s="6" t="s">
        <v>1562</v>
      </c>
      <c r="B86" s="189">
        <v>15.21</v>
      </c>
      <c r="C86" s="189">
        <v>39.44</v>
      </c>
      <c r="D86" s="189">
        <v>31.76</v>
      </c>
      <c r="E86" s="189">
        <v>5.96</v>
      </c>
      <c r="F86" s="189">
        <v>19.579999999999998</v>
      </c>
      <c r="G86" s="189">
        <v>75.2</v>
      </c>
      <c r="H86" s="189">
        <v>16.78</v>
      </c>
      <c r="I86" s="189">
        <v>4.0199999999999996</v>
      </c>
      <c r="J86" s="189">
        <v>0.39</v>
      </c>
      <c r="K86" s="189">
        <v>234.25</v>
      </c>
      <c r="L86" s="189">
        <v>30.56</v>
      </c>
      <c r="M86" s="189">
        <v>54.87</v>
      </c>
      <c r="N86" s="189">
        <v>0</v>
      </c>
      <c r="O86" s="189">
        <v>0</v>
      </c>
      <c r="P86" s="189">
        <v>0.5</v>
      </c>
      <c r="Q86" s="189">
        <v>5.3</v>
      </c>
    </row>
    <row r="87" spans="1:17" customFormat="1">
      <c r="A87" s="6" t="s">
        <v>1563</v>
      </c>
      <c r="B87" s="189">
        <v>13.58</v>
      </c>
      <c r="C87" s="189">
        <v>40.619999999999997</v>
      </c>
      <c r="D87" s="189">
        <v>31.07</v>
      </c>
      <c r="E87" s="189">
        <v>6.14</v>
      </c>
      <c r="F87" s="189">
        <v>22.25</v>
      </c>
      <c r="G87" s="189">
        <v>62.16</v>
      </c>
      <c r="H87" s="189">
        <v>15.74</v>
      </c>
      <c r="I87" s="189">
        <v>3.52</v>
      </c>
      <c r="J87" s="189">
        <v>0.32</v>
      </c>
      <c r="K87" s="189">
        <v>234.28</v>
      </c>
      <c r="L87" s="189">
        <v>30.26</v>
      </c>
      <c r="M87" s="189">
        <v>56.13</v>
      </c>
      <c r="N87" s="189">
        <v>0</v>
      </c>
      <c r="O87" s="189">
        <v>0</v>
      </c>
      <c r="P87" s="189">
        <v>0.53</v>
      </c>
      <c r="Q87" s="189">
        <v>5.38</v>
      </c>
    </row>
    <row r="88" spans="1:17" customFormat="1">
      <c r="A88" s="6" t="s">
        <v>1564</v>
      </c>
      <c r="B88" s="189">
        <v>13.2</v>
      </c>
      <c r="C88" s="189">
        <v>38.64</v>
      </c>
      <c r="D88" s="189">
        <v>29.73</v>
      </c>
      <c r="E88" s="189">
        <v>6.43</v>
      </c>
      <c r="F88" s="189">
        <v>21.82</v>
      </c>
      <c r="G88" s="189">
        <v>54.25</v>
      </c>
      <c r="H88" s="189">
        <v>15.54</v>
      </c>
      <c r="I88" s="189">
        <v>3.47</v>
      </c>
      <c r="J88" s="189">
        <v>0.28000000000000003</v>
      </c>
      <c r="K88" s="189">
        <v>245.37</v>
      </c>
      <c r="L88" s="189">
        <v>30.59</v>
      </c>
      <c r="M88" s="189">
        <v>52.83</v>
      </c>
      <c r="N88" s="189">
        <v>0</v>
      </c>
      <c r="O88" s="189">
        <v>0</v>
      </c>
      <c r="P88" s="189">
        <v>0.54</v>
      </c>
      <c r="Q88" s="189">
        <v>5.36</v>
      </c>
    </row>
    <row r="89" spans="1:17" customFormat="1">
      <c r="A89" s="6" t="s">
        <v>1565</v>
      </c>
      <c r="B89" s="189">
        <v>18.55</v>
      </c>
      <c r="C89" s="189">
        <v>51.98</v>
      </c>
      <c r="D89" s="189">
        <v>40.99</v>
      </c>
      <c r="E89" s="189">
        <v>6.05</v>
      </c>
      <c r="F89" s="189">
        <v>6.41</v>
      </c>
      <c r="G89" s="189">
        <v>54.25</v>
      </c>
      <c r="H89" s="189">
        <v>15.54</v>
      </c>
      <c r="I89" s="189">
        <v>3.71</v>
      </c>
      <c r="J89" s="189">
        <v>0.24</v>
      </c>
      <c r="K89" s="189">
        <v>180.93</v>
      </c>
      <c r="L89" s="189">
        <v>30.49</v>
      </c>
      <c r="M89" s="189">
        <v>55.82</v>
      </c>
      <c r="N89" s="189">
        <v>0</v>
      </c>
      <c r="O89" s="189">
        <v>0</v>
      </c>
      <c r="P89" s="189">
        <v>0.7</v>
      </c>
      <c r="Q89" s="189">
        <v>5.38</v>
      </c>
    </row>
    <row r="90" spans="1:17" customFormat="1">
      <c r="A90" s="6" t="s">
        <v>1566</v>
      </c>
      <c r="B90" s="189">
        <v>16.45</v>
      </c>
      <c r="C90" s="189">
        <v>47.49</v>
      </c>
      <c r="D90" s="189">
        <v>36.96</v>
      </c>
      <c r="E90" s="189">
        <v>5.72</v>
      </c>
      <c r="F90" s="189">
        <v>10.3</v>
      </c>
      <c r="G90" s="189">
        <v>54.25</v>
      </c>
      <c r="H90" s="189">
        <v>15.54</v>
      </c>
      <c r="I90" s="189">
        <v>3.97</v>
      </c>
      <c r="J90" s="189">
        <v>0.18</v>
      </c>
      <c r="K90" s="189">
        <v>162.26</v>
      </c>
      <c r="L90" s="189">
        <v>29.58</v>
      </c>
      <c r="M90" s="189">
        <v>62.65</v>
      </c>
      <c r="N90" s="189">
        <v>0</v>
      </c>
      <c r="O90" s="189">
        <v>0</v>
      </c>
      <c r="P90" s="189">
        <v>0.65</v>
      </c>
      <c r="Q90" s="189">
        <v>5.4</v>
      </c>
    </row>
    <row r="91" spans="1:17" customFormat="1">
      <c r="A91" s="6" t="s">
        <v>1567</v>
      </c>
      <c r="B91" s="189">
        <v>16.329999999999998</v>
      </c>
      <c r="C91" s="189">
        <v>46.82</v>
      </c>
      <c r="D91" s="189">
        <v>36.51</v>
      </c>
      <c r="E91" s="189">
        <v>6.15</v>
      </c>
      <c r="F91" s="189">
        <v>11.21</v>
      </c>
      <c r="G91" s="189">
        <v>53.29</v>
      </c>
      <c r="H91" s="189">
        <v>16.940000000000001</v>
      </c>
      <c r="I91" s="189">
        <v>4.3899999999999997</v>
      </c>
      <c r="J91" s="189">
        <v>0.24</v>
      </c>
      <c r="K91" s="189">
        <v>170.52</v>
      </c>
      <c r="L91" s="189">
        <v>29.81</v>
      </c>
      <c r="M91" s="189">
        <v>58.54</v>
      </c>
      <c r="N91" s="189">
        <v>0</v>
      </c>
      <c r="O91" s="189">
        <v>0</v>
      </c>
      <c r="P91" s="189">
        <v>0.64</v>
      </c>
      <c r="Q91" s="189">
        <v>5.39</v>
      </c>
    </row>
    <row r="92" spans="1:17" customFormat="1">
      <c r="A92" s="6" t="s">
        <v>1568</v>
      </c>
      <c r="B92" s="189">
        <v>14.87</v>
      </c>
      <c r="C92" s="189">
        <v>45.51</v>
      </c>
      <c r="D92" s="189">
        <v>34.659999999999997</v>
      </c>
      <c r="E92" s="189">
        <v>5.96</v>
      </c>
      <c r="F92" s="189">
        <v>12.34</v>
      </c>
      <c r="G92" s="189">
        <v>52.73</v>
      </c>
      <c r="H92" s="189">
        <v>17.21</v>
      </c>
      <c r="I92" s="189">
        <v>4.5199999999999996</v>
      </c>
      <c r="J92" s="189">
        <v>0.17</v>
      </c>
      <c r="K92" s="189">
        <v>173.03</v>
      </c>
      <c r="L92" s="189">
        <v>29.63</v>
      </c>
      <c r="M92" s="189">
        <v>61.95</v>
      </c>
      <c r="N92" s="189">
        <v>0</v>
      </c>
      <c r="O92" s="189">
        <v>0</v>
      </c>
      <c r="P92" s="189">
        <v>0.65</v>
      </c>
      <c r="Q92" s="189">
        <v>5.47</v>
      </c>
    </row>
    <row r="93" spans="1:17" customFormat="1">
      <c r="A93" s="6" t="s">
        <v>1569</v>
      </c>
      <c r="B93" s="189">
        <v>16.5</v>
      </c>
      <c r="C93" s="189">
        <v>45.57</v>
      </c>
      <c r="D93" s="189">
        <v>35.99</v>
      </c>
      <c r="E93" s="189">
        <v>5.87</v>
      </c>
      <c r="F93" s="189">
        <v>9.33</v>
      </c>
      <c r="G93" s="189">
        <v>52.73</v>
      </c>
      <c r="H93" s="189">
        <v>17.21</v>
      </c>
      <c r="I93" s="189">
        <v>4.67</v>
      </c>
      <c r="J93" s="189">
        <v>0.24</v>
      </c>
      <c r="K93" s="189">
        <v>179.26</v>
      </c>
      <c r="L93" s="189">
        <v>29.13</v>
      </c>
      <c r="M93" s="189">
        <v>71.03</v>
      </c>
      <c r="N93" s="189">
        <v>0</v>
      </c>
      <c r="O93" s="189">
        <v>0</v>
      </c>
      <c r="P93" s="189">
        <v>0.63</v>
      </c>
      <c r="Q93" s="189">
        <v>5.41</v>
      </c>
    </row>
    <row r="94" spans="1:17" customFormat="1">
      <c r="A94" s="6" t="s">
        <v>1570</v>
      </c>
      <c r="B94" s="189">
        <v>17.88</v>
      </c>
      <c r="C94" s="189">
        <v>48.26</v>
      </c>
      <c r="D94" s="189">
        <v>38.51</v>
      </c>
      <c r="E94" s="189">
        <v>5.34</v>
      </c>
      <c r="F94" s="189">
        <v>5.66</v>
      </c>
      <c r="G94" s="189">
        <v>52.73</v>
      </c>
      <c r="H94" s="189">
        <v>17.21</v>
      </c>
      <c r="I94" s="189">
        <v>4.7</v>
      </c>
      <c r="J94" s="189">
        <v>0.2</v>
      </c>
      <c r="K94" s="189">
        <v>180.18</v>
      </c>
      <c r="L94" s="189">
        <v>28.5</v>
      </c>
      <c r="M94" s="189">
        <v>74.069999999999993</v>
      </c>
      <c r="N94" s="189">
        <v>0</v>
      </c>
      <c r="O94" s="189">
        <v>0</v>
      </c>
      <c r="P94" s="189">
        <v>0.65</v>
      </c>
      <c r="Q94" s="189">
        <v>5.48</v>
      </c>
    </row>
    <row r="95" spans="1:17" customFormat="1">
      <c r="A95" s="6" t="s">
        <v>1571</v>
      </c>
      <c r="B95" s="189">
        <v>17.86</v>
      </c>
      <c r="C95" s="189">
        <v>47.89</v>
      </c>
      <c r="D95" s="189">
        <v>38.299999999999997</v>
      </c>
      <c r="E95" s="189">
        <v>5.91</v>
      </c>
      <c r="F95" s="189">
        <v>5.77</v>
      </c>
      <c r="G95" s="189">
        <v>50.19</v>
      </c>
      <c r="H95" s="189">
        <v>15.98</v>
      </c>
      <c r="I95" s="189">
        <v>4.8099999999999996</v>
      </c>
      <c r="J95" s="189">
        <v>0.14000000000000001</v>
      </c>
      <c r="K95" s="189">
        <v>178.79</v>
      </c>
      <c r="L95" s="189">
        <v>28.4</v>
      </c>
      <c r="M95" s="189">
        <v>75.23</v>
      </c>
      <c r="N95" s="189">
        <v>0</v>
      </c>
      <c r="O95" s="189">
        <v>0</v>
      </c>
      <c r="P95" s="189">
        <v>0.7</v>
      </c>
      <c r="Q95" s="189">
        <v>5.52</v>
      </c>
    </row>
    <row r="96" spans="1:17" customFormat="1">
      <c r="A96" s="6" t="s">
        <v>1572</v>
      </c>
      <c r="B96" s="189">
        <v>16.190000000000001</v>
      </c>
      <c r="C96" s="189">
        <v>44.27</v>
      </c>
      <c r="D96" s="189">
        <v>35.07</v>
      </c>
      <c r="E96" s="189">
        <v>5.8</v>
      </c>
      <c r="F96" s="189">
        <v>7.48</v>
      </c>
      <c r="G96" s="189">
        <v>48.71</v>
      </c>
      <c r="H96" s="189">
        <v>15.74</v>
      </c>
      <c r="I96" s="189">
        <v>4.99</v>
      </c>
      <c r="J96" s="189">
        <v>0.15</v>
      </c>
      <c r="K96" s="189">
        <v>180.18</v>
      </c>
      <c r="L96" s="189">
        <v>28.54</v>
      </c>
      <c r="M96" s="189">
        <v>70.56</v>
      </c>
      <c r="N96" s="189">
        <v>0</v>
      </c>
      <c r="O96" s="189">
        <v>0</v>
      </c>
      <c r="P96" s="189">
        <v>0.7</v>
      </c>
      <c r="Q96" s="189">
        <v>5.52</v>
      </c>
    </row>
    <row r="97" spans="1:22" customFormat="1">
      <c r="A97" s="6" t="s">
        <v>1573</v>
      </c>
      <c r="B97" s="189">
        <v>18.420000000000002</v>
      </c>
      <c r="C97" s="189">
        <v>46.93</v>
      </c>
      <c r="D97" s="189">
        <v>38.24</v>
      </c>
      <c r="E97" s="189">
        <v>5.52</v>
      </c>
      <c r="F97" s="189">
        <v>6.41</v>
      </c>
      <c r="G97" s="189">
        <v>48.71</v>
      </c>
      <c r="H97" s="189">
        <v>15.74</v>
      </c>
      <c r="I97" s="189">
        <v>5.0999999999999996</v>
      </c>
      <c r="J97" s="189">
        <v>0.13</v>
      </c>
      <c r="K97" s="189">
        <v>206.69</v>
      </c>
      <c r="L97" s="189">
        <v>28.79</v>
      </c>
      <c r="M97" s="189">
        <v>66.17</v>
      </c>
      <c r="N97" s="189">
        <v>0</v>
      </c>
      <c r="O97" s="189">
        <v>0</v>
      </c>
      <c r="P97" s="189">
        <v>0.72</v>
      </c>
      <c r="Q97" s="189">
        <v>5.51</v>
      </c>
    </row>
    <row r="98" spans="1:22" customFormat="1">
      <c r="A98" s="6" t="s">
        <v>1574</v>
      </c>
      <c r="B98" s="189">
        <v>16.63</v>
      </c>
      <c r="C98" s="189">
        <v>44.63</v>
      </c>
      <c r="D98" s="189">
        <v>35.61</v>
      </c>
      <c r="E98" s="189">
        <v>6.21</v>
      </c>
      <c r="F98" s="189">
        <v>7.56</v>
      </c>
      <c r="G98" s="189">
        <v>48.71</v>
      </c>
      <c r="H98" s="189">
        <v>15.74</v>
      </c>
      <c r="I98" s="189">
        <v>5.23</v>
      </c>
      <c r="J98" s="189">
        <v>0.04</v>
      </c>
      <c r="K98" s="189">
        <v>-0.14000000000000001</v>
      </c>
      <c r="L98" s="189">
        <v>28.87</v>
      </c>
      <c r="M98" s="189">
        <v>67.569999999999993</v>
      </c>
      <c r="N98" s="189">
        <v>0</v>
      </c>
      <c r="O98" s="189">
        <v>0</v>
      </c>
      <c r="P98" s="189">
        <v>0.75</v>
      </c>
      <c r="Q98" s="189">
        <v>5.59</v>
      </c>
    </row>
    <row r="99" spans="1:22" customFormat="1">
      <c r="A99" s="6" t="s">
        <v>1575</v>
      </c>
      <c r="B99" s="189">
        <v>20.149999999999999</v>
      </c>
      <c r="C99" s="189">
        <v>49.03</v>
      </c>
      <c r="D99" s="189">
        <v>40.729999999999997</v>
      </c>
      <c r="E99" s="189">
        <v>5.62</v>
      </c>
      <c r="F99" s="189">
        <v>5.98</v>
      </c>
      <c r="G99" s="189">
        <v>47.02</v>
      </c>
      <c r="H99" s="189">
        <v>16.87</v>
      </c>
      <c r="I99" s="189">
        <v>5.62</v>
      </c>
      <c r="J99" s="189">
        <v>0.15</v>
      </c>
      <c r="K99" s="189">
        <v>179.14</v>
      </c>
      <c r="L99" s="189">
        <v>28.71</v>
      </c>
      <c r="M99" s="189">
        <v>73.83</v>
      </c>
      <c r="N99" s="189">
        <v>0</v>
      </c>
      <c r="O99" s="189">
        <v>0</v>
      </c>
      <c r="P99" s="189">
        <v>0.72</v>
      </c>
      <c r="Q99" s="189">
        <v>0</v>
      </c>
    </row>
    <row r="100" spans="1:22" customFormat="1">
      <c r="A100" s="6" t="s">
        <v>1576</v>
      </c>
      <c r="B100" s="189">
        <v>18.63</v>
      </c>
      <c r="C100" s="189">
        <v>46.18</v>
      </c>
      <c r="D100" s="189">
        <v>38.020000000000003</v>
      </c>
      <c r="E100" s="189">
        <v>5.74</v>
      </c>
      <c r="F100" s="189">
        <v>5.24</v>
      </c>
      <c r="G100" s="189">
        <v>46.93</v>
      </c>
      <c r="H100" s="189">
        <v>16.87</v>
      </c>
      <c r="I100" s="189">
        <v>5.79</v>
      </c>
      <c r="J100" s="189">
        <v>0.13</v>
      </c>
      <c r="K100" s="189">
        <v>190.78</v>
      </c>
      <c r="L100" s="189">
        <v>28.45</v>
      </c>
      <c r="M100" s="189">
        <v>70.239999999999995</v>
      </c>
      <c r="N100" s="189">
        <v>0</v>
      </c>
      <c r="O100" s="189">
        <v>0</v>
      </c>
      <c r="P100" s="189">
        <v>0.75</v>
      </c>
      <c r="Q100" s="189">
        <v>5.62</v>
      </c>
    </row>
    <row r="101" spans="1:22" customFormat="1">
      <c r="A101" s="6" t="s">
        <v>1577</v>
      </c>
      <c r="B101" s="189">
        <v>20.64</v>
      </c>
      <c r="C101" s="189">
        <v>48.49</v>
      </c>
      <c r="D101" s="189">
        <v>40.85</v>
      </c>
      <c r="E101" s="189">
        <v>5.59</v>
      </c>
      <c r="F101" s="189">
        <v>5.04</v>
      </c>
      <c r="G101" s="189">
        <v>46.93</v>
      </c>
      <c r="H101" s="189">
        <v>16.87</v>
      </c>
      <c r="I101" s="189">
        <v>5.82</v>
      </c>
      <c r="J101" s="189">
        <v>0.14000000000000001</v>
      </c>
      <c r="K101" s="189">
        <v>154.94999999999999</v>
      </c>
      <c r="L101" s="189">
        <v>28.39</v>
      </c>
      <c r="M101" s="189">
        <v>73.47</v>
      </c>
      <c r="N101" s="189">
        <v>0</v>
      </c>
      <c r="O101" s="189">
        <v>0</v>
      </c>
      <c r="P101" s="189">
        <v>0.75</v>
      </c>
      <c r="Q101" s="189">
        <v>5.61</v>
      </c>
    </row>
    <row r="102" spans="1:22" customFormat="1">
      <c r="A102" s="6" t="s">
        <v>1578</v>
      </c>
      <c r="B102" s="189">
        <v>19.100000000000001</v>
      </c>
      <c r="C102" s="189">
        <v>45.51</v>
      </c>
      <c r="D102" s="189">
        <v>38.049999999999997</v>
      </c>
      <c r="E102" s="189">
        <v>5.58</v>
      </c>
      <c r="F102" s="189">
        <v>4.83</v>
      </c>
      <c r="G102" s="189">
        <v>46.93</v>
      </c>
      <c r="H102" s="189">
        <v>16.87</v>
      </c>
      <c r="I102" s="189">
        <v>5.87</v>
      </c>
      <c r="J102" s="189">
        <v>0.13</v>
      </c>
      <c r="K102" s="189">
        <v>148.34</v>
      </c>
      <c r="L102" s="189">
        <v>28.17</v>
      </c>
      <c r="M102" s="189">
        <v>75.05</v>
      </c>
      <c r="N102" s="189">
        <v>0</v>
      </c>
      <c r="O102" s="189">
        <v>0</v>
      </c>
      <c r="P102" s="189">
        <v>0.82</v>
      </c>
      <c r="Q102" s="189">
        <v>5.67</v>
      </c>
    </row>
    <row r="103" spans="1:22" customFormat="1">
      <c r="A103" s="6" t="s">
        <v>1579</v>
      </c>
      <c r="B103" s="189">
        <v>22.64</v>
      </c>
      <c r="C103" s="189">
        <v>49.05</v>
      </c>
      <c r="D103" s="189">
        <v>42.74</v>
      </c>
      <c r="E103" s="189">
        <v>5.57</v>
      </c>
      <c r="F103" s="189">
        <v>4.45</v>
      </c>
      <c r="G103" s="189">
        <v>49.95</v>
      </c>
      <c r="H103" s="189">
        <v>15.21</v>
      </c>
      <c r="I103" s="189">
        <v>6.18</v>
      </c>
      <c r="J103" s="189">
        <v>0.16</v>
      </c>
      <c r="K103" s="189">
        <v>181.4</v>
      </c>
      <c r="L103" s="189">
        <v>27.86</v>
      </c>
      <c r="M103" s="189">
        <v>80.739999999999995</v>
      </c>
      <c r="N103" s="189">
        <v>0</v>
      </c>
      <c r="O103" s="189">
        <v>0</v>
      </c>
      <c r="P103" s="189">
        <v>0.76</v>
      </c>
      <c r="Q103" s="189">
        <v>5.68</v>
      </c>
    </row>
    <row r="104" spans="1:22" customFormat="1">
      <c r="A104" s="6" t="s">
        <v>1580</v>
      </c>
      <c r="B104" s="189">
        <v>23.46</v>
      </c>
      <c r="C104" s="189">
        <v>50.05</v>
      </c>
      <c r="D104" s="189">
        <v>43.92</v>
      </c>
      <c r="E104" s="189">
        <v>5.54</v>
      </c>
      <c r="F104" s="189">
        <v>4.3099999999999996</v>
      </c>
      <c r="G104" s="189">
        <v>51.78</v>
      </c>
      <c r="H104" s="189">
        <v>14.88</v>
      </c>
      <c r="I104" s="189">
        <v>6.49</v>
      </c>
      <c r="J104" s="189">
        <v>0.16</v>
      </c>
      <c r="K104" s="189">
        <v>206.05</v>
      </c>
      <c r="L104" s="189">
        <v>27.61</v>
      </c>
      <c r="M104" s="189">
        <v>77.72</v>
      </c>
      <c r="N104" s="189">
        <v>0</v>
      </c>
      <c r="O104" s="189">
        <v>0</v>
      </c>
      <c r="P104" s="189">
        <v>0.79</v>
      </c>
      <c r="Q104" s="189">
        <v>5.74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0.68</v>
      </c>
      <c r="C106" s="183">
        <f>MIN(C9:C104)</f>
        <v>24.75</v>
      </c>
      <c r="D106" s="183">
        <f t="shared" ref="D106:Q106" si="0">MIN(D9:D104)</f>
        <v>13.3</v>
      </c>
      <c r="E106" s="183">
        <f t="shared" si="0"/>
        <v>2.81</v>
      </c>
      <c r="F106" s="183">
        <f t="shared" si="0"/>
        <v>4.16</v>
      </c>
      <c r="G106" s="183">
        <f t="shared" si="0"/>
        <v>25.27</v>
      </c>
      <c r="H106" s="183">
        <f t="shared" si="0"/>
        <v>1.7</v>
      </c>
      <c r="I106" s="183">
        <f t="shared" si="0"/>
        <v>1.35</v>
      </c>
      <c r="J106" s="183">
        <f t="shared" si="0"/>
        <v>0.01</v>
      </c>
      <c r="K106" s="183">
        <f t="shared" si="0"/>
        <v>-0.14000000000000001</v>
      </c>
      <c r="L106" s="183">
        <f t="shared" si="0"/>
        <v>24.46</v>
      </c>
      <c r="M106" s="183">
        <f t="shared" si="0"/>
        <v>26.11</v>
      </c>
      <c r="N106" s="183">
        <f t="shared" si="0"/>
        <v>0</v>
      </c>
      <c r="O106" s="183">
        <f t="shared" si="0"/>
        <v>0</v>
      </c>
      <c r="P106" s="183">
        <f t="shared" si="0"/>
        <v>0.34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27.99</v>
      </c>
      <c r="C107" s="184">
        <f t="shared" ref="C107:Q107" si="1">MAX(C9:C104)</f>
        <v>51.98</v>
      </c>
      <c r="D107" s="184">
        <f t="shared" si="1"/>
        <v>47.41</v>
      </c>
      <c r="E107" s="184">
        <f t="shared" si="1"/>
        <v>27.32</v>
      </c>
      <c r="F107" s="184">
        <f t="shared" si="1"/>
        <v>32.979999999999997</v>
      </c>
      <c r="G107" s="184">
        <f t="shared" si="1"/>
        <v>75.2</v>
      </c>
      <c r="H107" s="184">
        <f t="shared" si="1"/>
        <v>18.88</v>
      </c>
      <c r="I107" s="184">
        <f t="shared" si="1"/>
        <v>6.49</v>
      </c>
      <c r="J107" s="184">
        <f t="shared" si="1"/>
        <v>2.8</v>
      </c>
      <c r="K107" s="184">
        <f t="shared" si="1"/>
        <v>350.93</v>
      </c>
      <c r="L107" s="184">
        <f t="shared" si="1"/>
        <v>40.159999999999997</v>
      </c>
      <c r="M107" s="184">
        <f t="shared" si="1"/>
        <v>90.93</v>
      </c>
      <c r="N107" s="184">
        <f t="shared" si="1"/>
        <v>501.5</v>
      </c>
      <c r="O107" s="184">
        <f t="shared" si="1"/>
        <v>0</v>
      </c>
      <c r="P107" s="184">
        <f t="shared" si="1"/>
        <v>0.82</v>
      </c>
      <c r="Q107" s="184">
        <f t="shared" si="1"/>
        <v>5.74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11.033749999999996</v>
      </c>
      <c r="C108" s="183">
        <f t="shared" ref="C108:Q108" si="2">AVERAGE(C9:C104)</f>
        <v>42.051145833333337</v>
      </c>
      <c r="D108" s="183">
        <f t="shared" si="2"/>
        <v>29.77395833333334</v>
      </c>
      <c r="E108" s="183">
        <f t="shared" si="2"/>
        <v>7.3842708333333391</v>
      </c>
      <c r="F108" s="183">
        <f t="shared" si="2"/>
        <v>14.292604166666671</v>
      </c>
      <c r="G108" s="183">
        <f t="shared" si="2"/>
        <v>41.040588235294123</v>
      </c>
      <c r="H108" s="183">
        <f t="shared" si="2"/>
        <v>13.752941176470582</v>
      </c>
      <c r="I108" s="183">
        <f t="shared" si="2"/>
        <v>4.3379166666666649</v>
      </c>
      <c r="J108" s="183">
        <f t="shared" si="2"/>
        <v>0.66677083333333353</v>
      </c>
      <c r="K108" s="183">
        <f t="shared" si="2"/>
        <v>217.73656249999996</v>
      </c>
      <c r="L108" s="183">
        <f t="shared" si="2"/>
        <v>31.73822916666667</v>
      </c>
      <c r="M108" s="183">
        <f t="shared" si="2"/>
        <v>53.693749999999973</v>
      </c>
      <c r="N108" s="183">
        <f t="shared" si="2"/>
        <v>60.747916666666661</v>
      </c>
      <c r="O108" s="183">
        <f t="shared" si="2"/>
        <v>0</v>
      </c>
      <c r="P108" s="183">
        <f t="shared" si="2"/>
        <v>0.54156250000000017</v>
      </c>
      <c r="Q108" s="183">
        <f t="shared" si="2"/>
        <v>4.9382291666666687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5.2366667280869335</v>
      </c>
      <c r="C109" s="183">
        <f t="shared" ref="C109:Q109" si="3">STDEV(C9:C104)</f>
        <v>5.2577123041533911</v>
      </c>
      <c r="D109" s="183">
        <f t="shared" si="3"/>
        <v>6.5768772751954385</v>
      </c>
      <c r="E109" s="183">
        <f t="shared" si="3"/>
        <v>3.8679032113268916</v>
      </c>
      <c r="F109" s="183">
        <f t="shared" si="3"/>
        <v>7.026360328272327</v>
      </c>
      <c r="G109" s="183">
        <f t="shared" si="3"/>
        <v>11.27570178926066</v>
      </c>
      <c r="H109" s="183">
        <f t="shared" si="3"/>
        <v>4.4089302836967992</v>
      </c>
      <c r="I109" s="183">
        <f t="shared" si="3"/>
        <v>1.0520395396478541</v>
      </c>
      <c r="J109" s="183">
        <f t="shared" si="3"/>
        <v>0.53622559037398543</v>
      </c>
      <c r="K109" s="183">
        <f t="shared" si="3"/>
        <v>85.792341049746824</v>
      </c>
      <c r="L109" s="183">
        <f t="shared" si="3"/>
        <v>3.7921750444807261</v>
      </c>
      <c r="M109" s="183">
        <f t="shared" si="3"/>
        <v>19.163624876861252</v>
      </c>
      <c r="N109" s="183">
        <f t="shared" si="3"/>
        <v>96.924393734896228</v>
      </c>
      <c r="O109" s="183">
        <f t="shared" si="3"/>
        <v>0</v>
      </c>
      <c r="P109" s="183">
        <f t="shared" si="3"/>
        <v>0.10482394387985047</v>
      </c>
      <c r="Q109" s="183">
        <f t="shared" si="3"/>
        <v>0.64154910349322958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15/06/2023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1581</v>
      </c>
      <c r="B9" s="189">
        <v>23.34</v>
      </c>
      <c r="C9" s="189">
        <v>48.31</v>
      </c>
      <c r="D9" s="189">
        <v>42.91</v>
      </c>
      <c r="E9" s="189">
        <v>6.44</v>
      </c>
      <c r="F9" s="189">
        <v>4.03</v>
      </c>
      <c r="G9" s="189">
        <v>51.78</v>
      </c>
      <c r="H9" s="189">
        <v>14.88</v>
      </c>
      <c r="I9" s="189">
        <v>6.6</v>
      </c>
      <c r="J9" s="189">
        <v>0.09</v>
      </c>
      <c r="K9" s="189">
        <v>177.1</v>
      </c>
      <c r="L9" s="189">
        <v>27.56</v>
      </c>
      <c r="M9" s="189">
        <v>75.819999999999993</v>
      </c>
      <c r="N9" s="189">
        <v>0</v>
      </c>
      <c r="O9" s="189">
        <v>0</v>
      </c>
      <c r="P9" s="189">
        <v>0.87</v>
      </c>
      <c r="Q9" s="189">
        <v>5.82</v>
      </c>
    </row>
    <row r="10" spans="1:21" customFormat="1">
      <c r="A10" s="6" t="s">
        <v>1582</v>
      </c>
      <c r="B10" s="189">
        <v>24.99</v>
      </c>
      <c r="C10" s="189">
        <v>48.64</v>
      </c>
      <c r="D10" s="189">
        <v>44.41</v>
      </c>
      <c r="E10" s="189">
        <v>5.95</v>
      </c>
      <c r="F10" s="189">
        <v>4.33</v>
      </c>
      <c r="G10" s="189">
        <v>51.78</v>
      </c>
      <c r="H10" s="189">
        <v>14.88</v>
      </c>
      <c r="I10" s="189">
        <v>7.11</v>
      </c>
      <c r="J10" s="189">
        <v>0.15</v>
      </c>
      <c r="K10" s="189">
        <v>167.83</v>
      </c>
      <c r="L10" s="189">
        <v>27.5</v>
      </c>
      <c r="M10" s="189">
        <v>74.349999999999994</v>
      </c>
      <c r="N10" s="189">
        <v>0</v>
      </c>
      <c r="O10" s="189">
        <v>0</v>
      </c>
      <c r="P10" s="189">
        <v>0.83</v>
      </c>
      <c r="Q10" s="189">
        <v>5.78</v>
      </c>
    </row>
    <row r="11" spans="1:21" customFormat="1">
      <c r="A11" s="6" t="s">
        <v>1583</v>
      </c>
      <c r="B11" s="189">
        <v>24.13</v>
      </c>
      <c r="C11" s="189">
        <v>47.93</v>
      </c>
      <c r="D11" s="189">
        <v>43.35</v>
      </c>
      <c r="E11" s="189">
        <v>6.69</v>
      </c>
      <c r="F11" s="189">
        <v>4.6500000000000004</v>
      </c>
      <c r="G11" s="189">
        <v>48.97</v>
      </c>
      <c r="H11" s="189">
        <v>14.57</v>
      </c>
      <c r="I11" s="189">
        <v>7.59</v>
      </c>
      <c r="J11" s="189">
        <v>0.15</v>
      </c>
      <c r="K11" s="189">
        <v>183.17</v>
      </c>
      <c r="L11" s="189">
        <v>27.46</v>
      </c>
      <c r="M11" s="189">
        <v>72.25</v>
      </c>
      <c r="N11" s="189">
        <v>0</v>
      </c>
      <c r="O11" s="189">
        <v>0</v>
      </c>
      <c r="P11" s="189">
        <v>0.86</v>
      </c>
      <c r="Q11" s="189">
        <v>5.85</v>
      </c>
    </row>
    <row r="12" spans="1:21" customFormat="1">
      <c r="A12" s="6" t="s">
        <v>1584</v>
      </c>
      <c r="B12" s="189">
        <v>26.03</v>
      </c>
      <c r="C12" s="189">
        <v>51.38</v>
      </c>
      <c r="D12" s="189">
        <v>46.67</v>
      </c>
      <c r="E12" s="189">
        <v>6.17</v>
      </c>
      <c r="F12" s="189">
        <v>4.53</v>
      </c>
      <c r="G12" s="189">
        <v>47.26</v>
      </c>
      <c r="H12" s="189">
        <v>14.47</v>
      </c>
      <c r="I12" s="189">
        <v>7.74</v>
      </c>
      <c r="J12" s="189">
        <v>0.1</v>
      </c>
      <c r="K12" s="189">
        <v>174.05</v>
      </c>
      <c r="L12" s="189">
        <v>27.29</v>
      </c>
      <c r="M12" s="189">
        <v>72.650000000000006</v>
      </c>
      <c r="N12" s="189">
        <v>0</v>
      </c>
      <c r="O12" s="189">
        <v>0</v>
      </c>
      <c r="P12" s="189">
        <v>0.83</v>
      </c>
      <c r="Q12" s="189">
        <v>5.9</v>
      </c>
    </row>
    <row r="13" spans="1:21" customFormat="1">
      <c r="A13" s="6" t="s">
        <v>1585</v>
      </c>
      <c r="B13" s="189">
        <v>25.03</v>
      </c>
      <c r="C13" s="189">
        <v>47.08</v>
      </c>
      <c r="D13" s="189">
        <v>43.63</v>
      </c>
      <c r="E13" s="189">
        <v>5.94</v>
      </c>
      <c r="F13" s="189">
        <v>5.41</v>
      </c>
      <c r="G13" s="189">
        <v>47.26</v>
      </c>
      <c r="H13" s="189">
        <v>14.47</v>
      </c>
      <c r="I13" s="189">
        <v>7.62</v>
      </c>
      <c r="J13" s="189">
        <v>0.03</v>
      </c>
      <c r="K13" s="189">
        <v>120.72</v>
      </c>
      <c r="L13" s="189">
        <v>27.33</v>
      </c>
      <c r="M13" s="189">
        <v>71.98</v>
      </c>
      <c r="N13" s="189">
        <v>0</v>
      </c>
      <c r="O13" s="189">
        <v>0</v>
      </c>
      <c r="P13" s="189">
        <v>0.79</v>
      </c>
      <c r="Q13" s="189">
        <v>5.89</v>
      </c>
    </row>
    <row r="14" spans="1:21" customFormat="1">
      <c r="A14" s="6" t="s">
        <v>1586</v>
      </c>
      <c r="B14" s="189">
        <v>27.3</v>
      </c>
      <c r="C14" s="189">
        <v>51.68</v>
      </c>
      <c r="D14" s="189">
        <v>47.84</v>
      </c>
      <c r="E14" s="189">
        <v>5.43</v>
      </c>
      <c r="F14" s="189">
        <v>4.58</v>
      </c>
      <c r="G14" s="189">
        <v>47.26</v>
      </c>
      <c r="H14" s="189">
        <v>14.47</v>
      </c>
      <c r="I14" s="189">
        <v>7.19</v>
      </c>
      <c r="J14" s="189">
        <v>0.2</v>
      </c>
      <c r="K14" s="189">
        <v>101.65</v>
      </c>
      <c r="L14" s="189">
        <v>27.24</v>
      </c>
      <c r="M14" s="189">
        <v>72.459999999999994</v>
      </c>
      <c r="N14" s="189">
        <v>0</v>
      </c>
      <c r="O14" s="189">
        <v>0</v>
      </c>
      <c r="P14" s="189">
        <v>0.8</v>
      </c>
      <c r="Q14" s="189">
        <v>5.94</v>
      </c>
    </row>
    <row r="15" spans="1:21" customFormat="1">
      <c r="A15" s="6" t="s">
        <v>1587</v>
      </c>
      <c r="B15" s="189">
        <v>35.15</v>
      </c>
      <c r="C15" s="189">
        <v>50.23</v>
      </c>
      <c r="D15" s="189">
        <v>53.39</v>
      </c>
      <c r="E15" s="189">
        <v>5.52</v>
      </c>
      <c r="F15" s="189">
        <v>4.59</v>
      </c>
      <c r="G15" s="189">
        <v>42.06</v>
      </c>
      <c r="H15" s="189">
        <v>11.32</v>
      </c>
      <c r="I15" s="189">
        <v>7.07</v>
      </c>
      <c r="J15" s="189">
        <v>0.16</v>
      </c>
      <c r="K15" s="189">
        <v>99.49</v>
      </c>
      <c r="L15" s="189">
        <v>27.6</v>
      </c>
      <c r="M15" s="189">
        <v>67.790000000000006</v>
      </c>
      <c r="N15" s="189">
        <v>0</v>
      </c>
      <c r="O15" s="189">
        <v>0</v>
      </c>
      <c r="P15" s="189">
        <v>0.79</v>
      </c>
      <c r="Q15" s="189">
        <v>5.93</v>
      </c>
    </row>
    <row r="16" spans="1:21" customFormat="1">
      <c r="A16" s="6" t="s">
        <v>1588</v>
      </c>
      <c r="B16" s="189">
        <v>34.08</v>
      </c>
      <c r="C16" s="189">
        <v>52.55</v>
      </c>
      <c r="D16" s="189">
        <v>53.74</v>
      </c>
      <c r="E16" s="189">
        <v>6.02</v>
      </c>
      <c r="F16" s="189">
        <v>4</v>
      </c>
      <c r="G16" s="189">
        <v>38.9</v>
      </c>
      <c r="H16" s="189">
        <v>10.76</v>
      </c>
      <c r="I16" s="189">
        <v>6.83</v>
      </c>
      <c r="J16" s="189">
        <v>0.17</v>
      </c>
      <c r="K16" s="189">
        <v>209.18</v>
      </c>
      <c r="L16" s="189">
        <v>27.54</v>
      </c>
      <c r="M16" s="189">
        <v>69.94</v>
      </c>
      <c r="N16" s="189">
        <v>0</v>
      </c>
      <c r="O16" s="189">
        <v>0</v>
      </c>
      <c r="P16" s="189">
        <v>0.77</v>
      </c>
      <c r="Q16" s="189">
        <v>6.07</v>
      </c>
    </row>
    <row r="17" spans="1:17" customFormat="1">
      <c r="A17" s="6" t="s">
        <v>1589</v>
      </c>
      <c r="B17" s="189">
        <v>31.26</v>
      </c>
      <c r="C17" s="189">
        <v>50.78</v>
      </c>
      <c r="D17" s="189">
        <v>50.56</v>
      </c>
      <c r="E17" s="189">
        <v>6.84</v>
      </c>
      <c r="F17" s="189">
        <v>4.5999999999999996</v>
      </c>
      <c r="G17" s="189">
        <v>38.9</v>
      </c>
      <c r="H17" s="189">
        <v>10.76</v>
      </c>
      <c r="I17" s="189">
        <v>6.57</v>
      </c>
      <c r="J17" s="189">
        <v>0.16</v>
      </c>
      <c r="K17" s="189">
        <v>230.63</v>
      </c>
      <c r="L17" s="189">
        <v>27.46</v>
      </c>
      <c r="M17" s="189">
        <v>69.739999999999995</v>
      </c>
      <c r="N17" s="189">
        <v>0</v>
      </c>
      <c r="O17" s="189">
        <v>0</v>
      </c>
      <c r="P17" s="189">
        <v>0.78</v>
      </c>
      <c r="Q17" s="189">
        <v>6.1</v>
      </c>
    </row>
    <row r="18" spans="1:17" customFormat="1">
      <c r="A18" s="6" t="s">
        <v>1590</v>
      </c>
      <c r="B18" s="189">
        <v>30.97</v>
      </c>
      <c r="C18" s="189">
        <v>52.08</v>
      </c>
      <c r="D18" s="189">
        <v>51</v>
      </c>
      <c r="E18" s="189">
        <v>8.06</v>
      </c>
      <c r="F18" s="189">
        <v>4.8600000000000003</v>
      </c>
      <c r="G18" s="189">
        <v>38.9</v>
      </c>
      <c r="H18" s="189">
        <v>10.76</v>
      </c>
      <c r="I18" s="189">
        <v>6.67</v>
      </c>
      <c r="J18" s="189">
        <v>0.11</v>
      </c>
      <c r="K18" s="189">
        <v>206.28</v>
      </c>
      <c r="L18" s="189">
        <v>27.57</v>
      </c>
      <c r="M18" s="189">
        <v>66.569999999999993</v>
      </c>
      <c r="N18" s="189">
        <v>0</v>
      </c>
      <c r="O18" s="189">
        <v>0</v>
      </c>
      <c r="P18" s="189">
        <v>0.79</v>
      </c>
      <c r="Q18" s="189">
        <v>6.22</v>
      </c>
    </row>
    <row r="19" spans="1:17" customFormat="1">
      <c r="A19" s="6" t="s">
        <v>1591</v>
      </c>
      <c r="B19" s="189">
        <v>30.22</v>
      </c>
      <c r="C19" s="189">
        <v>48.49</v>
      </c>
      <c r="D19" s="189">
        <v>48.52</v>
      </c>
      <c r="E19" s="189">
        <v>8.1199999999999992</v>
      </c>
      <c r="F19" s="189">
        <v>7.28</v>
      </c>
      <c r="G19" s="189">
        <v>39.64</v>
      </c>
      <c r="H19" s="189">
        <v>10.95</v>
      </c>
      <c r="I19" s="189">
        <v>6.63</v>
      </c>
      <c r="J19" s="189">
        <v>0.18</v>
      </c>
      <c r="K19" s="189">
        <v>216.96</v>
      </c>
      <c r="L19" s="189">
        <v>27.89</v>
      </c>
      <c r="M19" s="189">
        <v>63.13</v>
      </c>
      <c r="N19" s="189">
        <v>0</v>
      </c>
      <c r="O19" s="189">
        <v>0</v>
      </c>
      <c r="P19" s="189">
        <v>0.75</v>
      </c>
      <c r="Q19" s="189">
        <v>6.22</v>
      </c>
    </row>
    <row r="20" spans="1:17" customFormat="1">
      <c r="A20" s="6" t="s">
        <v>1592</v>
      </c>
      <c r="B20" s="189">
        <v>28.09</v>
      </c>
      <c r="C20" s="189">
        <v>47.01</v>
      </c>
      <c r="D20" s="189">
        <v>46.04</v>
      </c>
      <c r="E20" s="189">
        <v>8.56</v>
      </c>
      <c r="F20" s="189">
        <v>8.51</v>
      </c>
      <c r="G20" s="189">
        <v>40.07</v>
      </c>
      <c r="H20" s="189">
        <v>10.99</v>
      </c>
      <c r="I20" s="189">
        <v>6.4</v>
      </c>
      <c r="J20" s="189">
        <v>0.17</v>
      </c>
      <c r="K20" s="189">
        <v>222.28</v>
      </c>
      <c r="L20" s="189">
        <v>28.12</v>
      </c>
      <c r="M20" s="189">
        <v>61.14</v>
      </c>
      <c r="N20" s="189">
        <v>0</v>
      </c>
      <c r="O20" s="189">
        <v>0</v>
      </c>
      <c r="P20" s="189">
        <v>0.71</v>
      </c>
      <c r="Q20" s="189">
        <v>6.21</v>
      </c>
    </row>
    <row r="21" spans="1:17" customFormat="1">
      <c r="A21" s="6" t="s">
        <v>1593</v>
      </c>
      <c r="B21" s="189">
        <v>30.26</v>
      </c>
      <c r="C21" s="189">
        <v>47.69</v>
      </c>
      <c r="D21" s="189">
        <v>48.14</v>
      </c>
      <c r="E21" s="189">
        <v>7.67</v>
      </c>
      <c r="F21" s="189">
        <v>7.97</v>
      </c>
      <c r="G21" s="189">
        <v>40.07</v>
      </c>
      <c r="H21" s="189">
        <v>10.99</v>
      </c>
      <c r="I21" s="189">
        <v>6.08</v>
      </c>
      <c r="J21" s="189">
        <v>0.14000000000000001</v>
      </c>
      <c r="K21" s="189">
        <v>208.98</v>
      </c>
      <c r="L21" s="189">
        <v>28.05</v>
      </c>
      <c r="M21" s="189">
        <v>61.14</v>
      </c>
      <c r="N21" s="189">
        <v>0</v>
      </c>
      <c r="O21" s="189">
        <v>0</v>
      </c>
      <c r="P21" s="189">
        <v>0.73</v>
      </c>
      <c r="Q21" s="189">
        <v>6.1</v>
      </c>
    </row>
    <row r="22" spans="1:17" customFormat="1">
      <c r="A22" s="6" t="s">
        <v>1594</v>
      </c>
      <c r="B22" s="189">
        <v>29.39</v>
      </c>
      <c r="C22" s="189">
        <v>49.55</v>
      </c>
      <c r="D22" s="189">
        <v>48.42</v>
      </c>
      <c r="E22" s="189">
        <v>7.73</v>
      </c>
      <c r="F22" s="189">
        <v>6.72</v>
      </c>
      <c r="G22" s="189">
        <v>40.07</v>
      </c>
      <c r="H22" s="189">
        <v>10.99</v>
      </c>
      <c r="I22" s="189">
        <v>5.95</v>
      </c>
      <c r="J22" s="189">
        <v>0.22</v>
      </c>
      <c r="K22" s="189">
        <v>203.54</v>
      </c>
      <c r="L22" s="189">
        <v>27.97</v>
      </c>
      <c r="M22" s="189">
        <v>62.31</v>
      </c>
      <c r="N22" s="189">
        <v>0</v>
      </c>
      <c r="O22" s="189">
        <v>0</v>
      </c>
      <c r="P22" s="189">
        <v>0.71</v>
      </c>
      <c r="Q22" s="189">
        <v>6.19</v>
      </c>
    </row>
    <row r="23" spans="1:17" customFormat="1">
      <c r="A23" s="6" t="s">
        <v>1595</v>
      </c>
      <c r="B23" s="189">
        <v>30.42</v>
      </c>
      <c r="C23" s="189">
        <v>47.58</v>
      </c>
      <c r="D23" s="189">
        <v>48.21</v>
      </c>
      <c r="E23" s="189">
        <v>7.7</v>
      </c>
      <c r="F23" s="189">
        <v>7.34</v>
      </c>
      <c r="G23" s="189">
        <v>40.630000000000003</v>
      </c>
      <c r="H23" s="189">
        <v>11.74</v>
      </c>
      <c r="I23" s="189">
        <v>5.93</v>
      </c>
      <c r="J23" s="189">
        <v>0.18</v>
      </c>
      <c r="K23" s="189">
        <v>219.6</v>
      </c>
      <c r="L23" s="189">
        <v>27.85</v>
      </c>
      <c r="M23" s="189">
        <v>61.51</v>
      </c>
      <c r="N23" s="189">
        <v>0</v>
      </c>
      <c r="O23" s="189">
        <v>0</v>
      </c>
      <c r="P23" s="189">
        <v>0.7</v>
      </c>
      <c r="Q23" s="189">
        <v>6.11</v>
      </c>
    </row>
    <row r="24" spans="1:17" customFormat="1">
      <c r="A24" s="6" t="s">
        <v>1596</v>
      </c>
      <c r="B24" s="189">
        <v>29.26</v>
      </c>
      <c r="C24" s="189">
        <v>49.86</v>
      </c>
      <c r="D24" s="189">
        <v>48.47</v>
      </c>
      <c r="E24" s="189">
        <v>7.78</v>
      </c>
      <c r="F24" s="189">
        <v>6.47</v>
      </c>
      <c r="G24" s="189">
        <v>40.950000000000003</v>
      </c>
      <c r="H24" s="189">
        <v>11.89</v>
      </c>
      <c r="I24" s="189">
        <v>5.99</v>
      </c>
      <c r="J24" s="189">
        <v>0.21</v>
      </c>
      <c r="K24" s="189">
        <v>228.91</v>
      </c>
      <c r="L24" s="189">
        <v>28</v>
      </c>
      <c r="M24" s="189">
        <v>59.41</v>
      </c>
      <c r="N24" s="189">
        <v>0</v>
      </c>
      <c r="O24" s="189">
        <v>0</v>
      </c>
      <c r="P24" s="189">
        <v>0.69</v>
      </c>
      <c r="Q24" s="189">
        <v>6.2</v>
      </c>
    </row>
    <row r="25" spans="1:17" customFormat="1">
      <c r="A25" s="6" t="s">
        <v>1597</v>
      </c>
      <c r="B25" s="189">
        <v>30.37</v>
      </c>
      <c r="C25" s="189">
        <v>48.73</v>
      </c>
      <c r="D25" s="189">
        <v>48.77</v>
      </c>
      <c r="E25" s="189">
        <v>7.4</v>
      </c>
      <c r="F25" s="189">
        <v>6.72</v>
      </c>
      <c r="G25" s="189">
        <v>40.950000000000003</v>
      </c>
      <c r="H25" s="189">
        <v>11.89</v>
      </c>
      <c r="I25" s="189">
        <v>5.9</v>
      </c>
      <c r="J25" s="189">
        <v>0.28999999999999998</v>
      </c>
      <c r="K25" s="189">
        <v>225.19</v>
      </c>
      <c r="L25" s="189">
        <v>28.21</v>
      </c>
      <c r="M25" s="189">
        <v>58.57</v>
      </c>
      <c r="N25" s="189">
        <v>0</v>
      </c>
      <c r="O25" s="189">
        <v>0</v>
      </c>
      <c r="P25" s="189">
        <v>0.7</v>
      </c>
      <c r="Q25" s="189">
        <v>6.12</v>
      </c>
    </row>
    <row r="26" spans="1:17" customFormat="1">
      <c r="A26" s="6" t="s">
        <v>1598</v>
      </c>
      <c r="B26" s="189">
        <v>29.86</v>
      </c>
      <c r="C26" s="189">
        <v>49.83</v>
      </c>
      <c r="D26" s="189">
        <v>48.94</v>
      </c>
      <c r="E26" s="189">
        <v>8.08</v>
      </c>
      <c r="F26" s="189">
        <v>5.87</v>
      </c>
      <c r="G26" s="189">
        <v>40.950000000000003</v>
      </c>
      <c r="H26" s="189">
        <v>11.89</v>
      </c>
      <c r="I26" s="189">
        <v>5.91</v>
      </c>
      <c r="J26" s="189">
        <v>0.28000000000000003</v>
      </c>
      <c r="K26" s="189">
        <v>229.79</v>
      </c>
      <c r="L26" s="189">
        <v>28.02</v>
      </c>
      <c r="M26" s="189">
        <v>59.83</v>
      </c>
      <c r="N26" s="189">
        <v>0</v>
      </c>
      <c r="O26" s="189">
        <v>0</v>
      </c>
      <c r="P26" s="189">
        <v>0.69</v>
      </c>
      <c r="Q26" s="189">
        <v>6.18</v>
      </c>
    </row>
    <row r="27" spans="1:17" customFormat="1">
      <c r="A27" s="6" t="s">
        <v>1599</v>
      </c>
      <c r="B27" s="189">
        <v>30.91</v>
      </c>
      <c r="C27" s="189">
        <v>49</v>
      </c>
      <c r="D27" s="189">
        <v>49.34</v>
      </c>
      <c r="E27" s="189">
        <v>8.31</v>
      </c>
      <c r="F27" s="189">
        <v>5.54</v>
      </c>
      <c r="G27" s="189">
        <v>37.369999999999997</v>
      </c>
      <c r="H27" s="189">
        <v>11.54</v>
      </c>
      <c r="I27" s="189">
        <v>5.82</v>
      </c>
      <c r="J27" s="189">
        <v>0.44</v>
      </c>
      <c r="K27" s="189">
        <v>252.11</v>
      </c>
      <c r="L27" s="189">
        <v>28.52</v>
      </c>
      <c r="M27" s="189">
        <v>56.78</v>
      </c>
      <c r="N27" s="189">
        <v>0</v>
      </c>
      <c r="O27" s="189">
        <v>0</v>
      </c>
      <c r="P27" s="189">
        <v>0.72</v>
      </c>
      <c r="Q27" s="189">
        <v>6.12</v>
      </c>
    </row>
    <row r="28" spans="1:17" customFormat="1">
      <c r="A28" s="6" t="s">
        <v>1600</v>
      </c>
      <c r="B28" s="189">
        <v>30.37</v>
      </c>
      <c r="C28" s="189">
        <v>46.1</v>
      </c>
      <c r="D28" s="189">
        <v>47.4</v>
      </c>
      <c r="E28" s="189">
        <v>10.67</v>
      </c>
      <c r="F28" s="189">
        <v>5.18</v>
      </c>
      <c r="G28" s="189">
        <v>35.29</v>
      </c>
      <c r="H28" s="189">
        <v>11.47</v>
      </c>
      <c r="I28" s="189">
        <v>5.99</v>
      </c>
      <c r="J28" s="189">
        <v>0.56000000000000005</v>
      </c>
      <c r="K28" s="189">
        <v>249.42</v>
      </c>
      <c r="L28" s="189">
        <v>28.77</v>
      </c>
      <c r="M28" s="189">
        <v>55.69</v>
      </c>
      <c r="N28" s="189">
        <v>0</v>
      </c>
      <c r="O28" s="189">
        <v>0</v>
      </c>
      <c r="P28" s="189">
        <v>0.81</v>
      </c>
      <c r="Q28" s="189">
        <v>6.18</v>
      </c>
    </row>
    <row r="29" spans="1:17" customFormat="1">
      <c r="A29" s="6" t="s">
        <v>1601</v>
      </c>
      <c r="B29" s="189">
        <v>31.46</v>
      </c>
      <c r="C29" s="189">
        <v>50.46</v>
      </c>
      <c r="D29" s="189">
        <v>50.55</v>
      </c>
      <c r="E29" s="189">
        <v>9.74</v>
      </c>
      <c r="F29" s="189">
        <v>4.6399999999999997</v>
      </c>
      <c r="G29" s="189">
        <v>35.29</v>
      </c>
      <c r="H29" s="189">
        <v>11.47</v>
      </c>
      <c r="I29" s="189">
        <v>6.23</v>
      </c>
      <c r="J29" s="189">
        <v>0.55000000000000004</v>
      </c>
      <c r="K29" s="189">
        <v>250.87</v>
      </c>
      <c r="L29" s="189">
        <v>28.91</v>
      </c>
      <c r="M29" s="189">
        <v>55.7</v>
      </c>
      <c r="N29" s="189">
        <v>0</v>
      </c>
      <c r="O29" s="189">
        <v>0</v>
      </c>
      <c r="P29" s="189">
        <v>0.79</v>
      </c>
      <c r="Q29" s="189">
        <v>6.12</v>
      </c>
    </row>
    <row r="30" spans="1:17" customFormat="1">
      <c r="A30" s="6" t="s">
        <v>1602</v>
      </c>
      <c r="B30" s="189">
        <v>28.75</v>
      </c>
      <c r="C30" s="189">
        <v>47.54</v>
      </c>
      <c r="D30" s="189">
        <v>46.85</v>
      </c>
      <c r="E30" s="189">
        <v>12.94</v>
      </c>
      <c r="F30" s="189">
        <v>5.1100000000000003</v>
      </c>
      <c r="G30" s="189">
        <v>35.29</v>
      </c>
      <c r="H30" s="189">
        <v>11.47</v>
      </c>
      <c r="I30" s="189">
        <v>6.54</v>
      </c>
      <c r="J30" s="189">
        <v>0.45</v>
      </c>
      <c r="K30" s="189">
        <v>244.13</v>
      </c>
      <c r="L30" s="189">
        <v>28.84</v>
      </c>
      <c r="M30" s="189">
        <v>56.31</v>
      </c>
      <c r="N30" s="189">
        <v>0.7</v>
      </c>
      <c r="O30" s="189">
        <v>0</v>
      </c>
      <c r="P30" s="189">
        <v>0.83</v>
      </c>
      <c r="Q30" s="189">
        <v>6.14</v>
      </c>
    </row>
    <row r="31" spans="1:17" customFormat="1">
      <c r="A31" s="6" t="s">
        <v>1603</v>
      </c>
      <c r="B31" s="189">
        <v>31.2</v>
      </c>
      <c r="C31" s="189">
        <v>50.93</v>
      </c>
      <c r="D31" s="189">
        <v>50.58</v>
      </c>
      <c r="E31" s="189">
        <v>10.17</v>
      </c>
      <c r="F31" s="189">
        <v>4.68</v>
      </c>
      <c r="G31" s="189">
        <v>37.450000000000003</v>
      </c>
      <c r="H31" s="189">
        <v>11.99</v>
      </c>
      <c r="I31" s="189">
        <v>6.54</v>
      </c>
      <c r="J31" s="189">
        <v>0.43</v>
      </c>
      <c r="K31" s="189">
        <v>239.53</v>
      </c>
      <c r="L31" s="189">
        <v>28.58</v>
      </c>
      <c r="M31" s="189">
        <v>58.91</v>
      </c>
      <c r="N31" s="189">
        <v>10.7</v>
      </c>
      <c r="O31" s="189">
        <v>0</v>
      </c>
      <c r="P31" s="189">
        <v>0.8</v>
      </c>
      <c r="Q31" s="189">
        <v>6.1</v>
      </c>
    </row>
    <row r="32" spans="1:17" customFormat="1">
      <c r="A32" s="6" t="s">
        <v>1604</v>
      </c>
      <c r="B32" s="189">
        <v>30.12</v>
      </c>
      <c r="C32" s="189">
        <v>49.83</v>
      </c>
      <c r="D32" s="189">
        <v>49.15</v>
      </c>
      <c r="E32" s="189">
        <v>11.3</v>
      </c>
      <c r="F32" s="189">
        <v>4.8099999999999996</v>
      </c>
      <c r="G32" s="189">
        <v>38.700000000000003</v>
      </c>
      <c r="H32" s="189">
        <v>12.1</v>
      </c>
      <c r="I32" s="189">
        <v>6.53</v>
      </c>
      <c r="J32" s="189">
        <v>0.28999999999999998</v>
      </c>
      <c r="K32" s="189">
        <v>226.19</v>
      </c>
      <c r="L32" s="189">
        <v>28.28</v>
      </c>
      <c r="M32" s="189">
        <v>60.81</v>
      </c>
      <c r="N32" s="189">
        <v>23.4</v>
      </c>
      <c r="O32" s="189">
        <v>0</v>
      </c>
      <c r="P32" s="189">
        <v>0.81</v>
      </c>
      <c r="Q32" s="189">
        <v>6.2</v>
      </c>
    </row>
    <row r="33" spans="1:17" customFormat="1">
      <c r="A33" s="6" t="s">
        <v>1605</v>
      </c>
      <c r="B33" s="189">
        <v>32.090000000000003</v>
      </c>
      <c r="C33" s="189">
        <v>52.14</v>
      </c>
      <c r="D33" s="189">
        <v>51.93</v>
      </c>
      <c r="E33" s="189">
        <v>9.5500000000000007</v>
      </c>
      <c r="F33" s="189">
        <v>4.28</v>
      </c>
      <c r="G33" s="189">
        <v>38.700000000000003</v>
      </c>
      <c r="H33" s="189">
        <v>12.1</v>
      </c>
      <c r="I33" s="189">
        <v>6.68</v>
      </c>
      <c r="J33" s="189">
        <v>0.48</v>
      </c>
      <c r="K33" s="189">
        <v>249.71</v>
      </c>
      <c r="L33" s="189">
        <v>28.42</v>
      </c>
      <c r="M33" s="189">
        <v>60.45</v>
      </c>
      <c r="N33" s="189">
        <v>37</v>
      </c>
      <c r="O33" s="189">
        <v>0</v>
      </c>
      <c r="P33" s="189">
        <v>0.81</v>
      </c>
      <c r="Q33" s="189">
        <v>6.13</v>
      </c>
    </row>
    <row r="34" spans="1:17" customFormat="1">
      <c r="A34" s="6" t="s">
        <v>1606</v>
      </c>
      <c r="B34" s="189">
        <v>30.58</v>
      </c>
      <c r="C34" s="189">
        <v>48.29</v>
      </c>
      <c r="D34" s="189">
        <v>48.71</v>
      </c>
      <c r="E34" s="189">
        <v>11.68</v>
      </c>
      <c r="F34" s="189">
        <v>5.31</v>
      </c>
      <c r="G34" s="189">
        <v>38.700000000000003</v>
      </c>
      <c r="H34" s="189">
        <v>12.1</v>
      </c>
      <c r="I34" s="189">
        <v>6.86</v>
      </c>
      <c r="J34" s="189">
        <v>0.31</v>
      </c>
      <c r="K34" s="189">
        <v>236.48</v>
      </c>
      <c r="L34" s="189">
        <v>28.61</v>
      </c>
      <c r="M34" s="189">
        <v>61.58</v>
      </c>
      <c r="N34" s="189">
        <v>52.3</v>
      </c>
      <c r="O34" s="189">
        <v>0</v>
      </c>
      <c r="P34" s="189">
        <v>0.8</v>
      </c>
      <c r="Q34" s="189">
        <v>6.14</v>
      </c>
    </row>
    <row r="35" spans="1:17" customFormat="1">
      <c r="A35" s="6" t="s">
        <v>1607</v>
      </c>
      <c r="B35" s="189">
        <v>30.63</v>
      </c>
      <c r="C35" s="189">
        <v>48.33</v>
      </c>
      <c r="D35" s="189">
        <v>48.77</v>
      </c>
      <c r="E35" s="189">
        <v>11.7</v>
      </c>
      <c r="F35" s="189">
        <v>5.24</v>
      </c>
      <c r="G35" s="189">
        <v>38.68</v>
      </c>
      <c r="H35" s="189">
        <v>13.56</v>
      </c>
      <c r="I35" s="189">
        <v>6.8</v>
      </c>
      <c r="J35" s="189">
        <v>0.44</v>
      </c>
      <c r="K35" s="189">
        <v>256.77999999999997</v>
      </c>
      <c r="L35" s="189">
        <v>29.34</v>
      </c>
      <c r="M35" s="189">
        <v>57.58</v>
      </c>
      <c r="N35" s="189">
        <v>65.2</v>
      </c>
      <c r="O35" s="189">
        <v>0</v>
      </c>
      <c r="P35" s="189">
        <v>0.81</v>
      </c>
      <c r="Q35" s="189">
        <v>6.12</v>
      </c>
    </row>
    <row r="36" spans="1:17" customFormat="1">
      <c r="A36" s="6" t="s">
        <v>1608</v>
      </c>
      <c r="B36" s="189">
        <v>31.08</v>
      </c>
      <c r="C36" s="189">
        <v>51.52</v>
      </c>
      <c r="D36" s="189">
        <v>50.79</v>
      </c>
      <c r="E36" s="189">
        <v>13.87</v>
      </c>
      <c r="F36" s="189">
        <v>4.91</v>
      </c>
      <c r="G36" s="189">
        <v>38.67</v>
      </c>
      <c r="H36" s="189">
        <v>14</v>
      </c>
      <c r="I36" s="189">
        <v>6.82</v>
      </c>
      <c r="J36" s="189">
        <v>0.62</v>
      </c>
      <c r="K36" s="189">
        <v>256.27</v>
      </c>
      <c r="L36" s="189">
        <v>30.13</v>
      </c>
      <c r="M36" s="189">
        <v>55.42</v>
      </c>
      <c r="N36" s="189">
        <v>77.7</v>
      </c>
      <c r="O36" s="189">
        <v>0</v>
      </c>
      <c r="P36" s="189">
        <v>0.88</v>
      </c>
      <c r="Q36" s="189">
        <v>6.2</v>
      </c>
    </row>
    <row r="37" spans="1:17" customFormat="1">
      <c r="A37" s="6" t="s">
        <v>1609</v>
      </c>
      <c r="B37" s="189">
        <v>32.090000000000003</v>
      </c>
      <c r="C37" s="189">
        <v>50.56</v>
      </c>
      <c r="D37" s="189">
        <v>51.11</v>
      </c>
      <c r="E37" s="189">
        <v>12.13</v>
      </c>
      <c r="F37" s="189">
        <v>5.05</v>
      </c>
      <c r="G37" s="189">
        <v>38.67</v>
      </c>
      <c r="H37" s="189">
        <v>14</v>
      </c>
      <c r="I37" s="189">
        <v>7.08</v>
      </c>
      <c r="J37" s="189">
        <v>0.53</v>
      </c>
      <c r="K37" s="189">
        <v>256.87</v>
      </c>
      <c r="L37" s="189">
        <v>30.85</v>
      </c>
      <c r="M37" s="189">
        <v>54.54</v>
      </c>
      <c r="N37" s="189">
        <v>90.6</v>
      </c>
      <c r="O37" s="189">
        <v>0</v>
      </c>
      <c r="P37" s="189">
        <v>0.87</v>
      </c>
      <c r="Q37" s="189">
        <v>6.12</v>
      </c>
    </row>
    <row r="38" spans="1:17" customFormat="1">
      <c r="A38" s="6" t="s">
        <v>1610</v>
      </c>
      <c r="B38" s="189">
        <v>31.78</v>
      </c>
      <c r="C38" s="189">
        <v>52.57</v>
      </c>
      <c r="D38" s="189">
        <v>51.91</v>
      </c>
      <c r="E38" s="189">
        <v>13.83</v>
      </c>
      <c r="F38" s="189">
        <v>5.23</v>
      </c>
      <c r="G38" s="189">
        <v>38.67</v>
      </c>
      <c r="H38" s="189">
        <v>14</v>
      </c>
      <c r="I38" s="189">
        <v>7.29</v>
      </c>
      <c r="J38" s="189">
        <v>0.5</v>
      </c>
      <c r="K38" s="189">
        <v>252.11</v>
      </c>
      <c r="L38" s="189">
        <v>31.54</v>
      </c>
      <c r="M38" s="189">
        <v>52.94</v>
      </c>
      <c r="N38" s="189">
        <v>101.5</v>
      </c>
      <c r="O38" s="189">
        <v>0</v>
      </c>
      <c r="P38" s="189">
        <v>0.91</v>
      </c>
      <c r="Q38" s="189">
        <v>6.17</v>
      </c>
    </row>
    <row r="39" spans="1:17" customFormat="1">
      <c r="A39" s="6" t="s">
        <v>1611</v>
      </c>
      <c r="B39" s="189">
        <v>29.66</v>
      </c>
      <c r="C39" s="189">
        <v>47.81</v>
      </c>
      <c r="D39" s="189">
        <v>47.72</v>
      </c>
      <c r="E39" s="189">
        <v>15.86</v>
      </c>
      <c r="F39" s="189">
        <v>7.29</v>
      </c>
      <c r="G39" s="189">
        <v>42.4</v>
      </c>
      <c r="H39" s="189">
        <v>14.32</v>
      </c>
      <c r="I39" s="189">
        <v>7.53</v>
      </c>
      <c r="J39" s="189">
        <v>0.74</v>
      </c>
      <c r="K39" s="189">
        <v>275.33999999999997</v>
      </c>
      <c r="L39" s="189">
        <v>32.08</v>
      </c>
      <c r="M39" s="189">
        <v>51.61</v>
      </c>
      <c r="N39" s="189">
        <v>112.6</v>
      </c>
      <c r="O39" s="189">
        <v>0</v>
      </c>
      <c r="P39" s="189">
        <v>0.96</v>
      </c>
      <c r="Q39" s="189">
        <v>6.1</v>
      </c>
    </row>
    <row r="40" spans="1:17" customFormat="1">
      <c r="A40" s="6" t="s">
        <v>1612</v>
      </c>
      <c r="B40" s="189">
        <v>29.98</v>
      </c>
      <c r="C40" s="189">
        <v>49.97</v>
      </c>
      <c r="D40" s="189">
        <v>49.1</v>
      </c>
      <c r="E40" s="189">
        <v>15.37</v>
      </c>
      <c r="F40" s="189">
        <v>6.79</v>
      </c>
      <c r="G40" s="189">
        <v>44.66</v>
      </c>
      <c r="H40" s="189">
        <v>14.38</v>
      </c>
      <c r="I40" s="189">
        <v>8.02</v>
      </c>
      <c r="J40" s="189">
        <v>0.77</v>
      </c>
      <c r="K40" s="189">
        <v>273.83</v>
      </c>
      <c r="L40" s="189">
        <v>32.49</v>
      </c>
      <c r="M40" s="189">
        <v>50.09</v>
      </c>
      <c r="N40" s="189">
        <v>124.8</v>
      </c>
      <c r="O40" s="189">
        <v>0</v>
      </c>
      <c r="P40" s="189">
        <v>1</v>
      </c>
      <c r="Q40" s="189">
        <v>6.15</v>
      </c>
    </row>
    <row r="41" spans="1:17" customFormat="1">
      <c r="A41" s="6" t="s">
        <v>1613</v>
      </c>
      <c r="B41" s="189">
        <v>29.85</v>
      </c>
      <c r="C41" s="189">
        <v>46.82</v>
      </c>
      <c r="D41" s="189">
        <v>47.36</v>
      </c>
      <c r="E41" s="189">
        <v>15.51</v>
      </c>
      <c r="F41" s="189">
        <v>7.51</v>
      </c>
      <c r="G41" s="189">
        <v>44.66</v>
      </c>
      <c r="H41" s="189">
        <v>14.38</v>
      </c>
      <c r="I41" s="189">
        <v>8.5</v>
      </c>
      <c r="J41" s="189">
        <v>1.24</v>
      </c>
      <c r="K41" s="189">
        <v>299.2</v>
      </c>
      <c r="L41" s="189">
        <v>33.200000000000003</v>
      </c>
      <c r="M41" s="189">
        <v>46.27</v>
      </c>
      <c r="N41" s="189">
        <v>142.6</v>
      </c>
      <c r="O41" s="189">
        <v>0</v>
      </c>
      <c r="P41" s="189">
        <v>0.97</v>
      </c>
      <c r="Q41" s="189">
        <v>6.08</v>
      </c>
    </row>
    <row r="42" spans="1:17" customFormat="1">
      <c r="A42" s="6" t="s">
        <v>1614</v>
      </c>
      <c r="B42" s="189">
        <v>29.59</v>
      </c>
      <c r="C42" s="189">
        <v>50.58</v>
      </c>
      <c r="D42" s="189">
        <v>49.11</v>
      </c>
      <c r="E42" s="189">
        <v>10.88</v>
      </c>
      <c r="F42" s="189">
        <v>6.74</v>
      </c>
      <c r="G42" s="189">
        <v>44.66</v>
      </c>
      <c r="H42" s="189">
        <v>14.38</v>
      </c>
      <c r="I42" s="189">
        <v>8.6300000000000008</v>
      </c>
      <c r="J42" s="189">
        <v>1.34</v>
      </c>
      <c r="K42" s="189">
        <v>305.20999999999998</v>
      </c>
      <c r="L42" s="189">
        <v>33.51</v>
      </c>
      <c r="M42" s="189">
        <v>44.58</v>
      </c>
      <c r="N42" s="189">
        <v>133.9</v>
      </c>
      <c r="O42" s="189">
        <v>0</v>
      </c>
      <c r="P42" s="189">
        <v>0.93</v>
      </c>
      <c r="Q42" s="189">
        <v>6.04</v>
      </c>
    </row>
    <row r="43" spans="1:17" customFormat="1">
      <c r="A43" s="6" t="s">
        <v>1615</v>
      </c>
      <c r="B43" s="189">
        <v>28.91</v>
      </c>
      <c r="C43" s="189">
        <v>46.89</v>
      </c>
      <c r="D43" s="189">
        <v>46.63</v>
      </c>
      <c r="E43" s="189">
        <v>12.01</v>
      </c>
      <c r="F43" s="189">
        <v>9.1</v>
      </c>
      <c r="G43" s="189">
        <v>48.82</v>
      </c>
      <c r="H43" s="189">
        <v>16.239999999999998</v>
      </c>
      <c r="I43" s="189">
        <v>8.43</v>
      </c>
      <c r="J43" s="189">
        <v>1.52</v>
      </c>
      <c r="K43" s="189">
        <v>302.89999999999998</v>
      </c>
      <c r="L43" s="189">
        <v>33.75</v>
      </c>
      <c r="M43" s="189">
        <v>43.76</v>
      </c>
      <c r="N43" s="189">
        <v>142.4</v>
      </c>
      <c r="O43" s="189">
        <v>0</v>
      </c>
      <c r="P43" s="189">
        <v>0.91</v>
      </c>
      <c r="Q43" s="189">
        <v>6.05</v>
      </c>
    </row>
    <row r="44" spans="1:17" customFormat="1">
      <c r="A44" s="6" t="s">
        <v>1616</v>
      </c>
      <c r="B44" s="189">
        <v>27.32</v>
      </c>
      <c r="C44" s="189">
        <v>48.43</v>
      </c>
      <c r="D44" s="189">
        <v>46.17</v>
      </c>
      <c r="E44" s="189">
        <v>9.9499999999999993</v>
      </c>
      <c r="F44" s="189">
        <v>9.1300000000000008</v>
      </c>
      <c r="G44" s="189">
        <v>51.34</v>
      </c>
      <c r="H44" s="189">
        <v>17.29</v>
      </c>
      <c r="I44" s="189">
        <v>7.98</v>
      </c>
      <c r="J44" s="189">
        <v>1.64</v>
      </c>
      <c r="K44" s="189">
        <v>306.20999999999998</v>
      </c>
      <c r="L44" s="189">
        <v>34.090000000000003</v>
      </c>
      <c r="M44" s="189">
        <v>43.16</v>
      </c>
      <c r="N44" s="189">
        <v>161.4</v>
      </c>
      <c r="O44" s="189">
        <v>0</v>
      </c>
      <c r="P44" s="189">
        <v>0.88</v>
      </c>
      <c r="Q44" s="189">
        <v>5.95</v>
      </c>
    </row>
    <row r="45" spans="1:17" customFormat="1">
      <c r="A45" s="6" t="s">
        <v>1617</v>
      </c>
      <c r="B45" s="189">
        <v>23.79</v>
      </c>
      <c r="C45" s="189">
        <v>46.07</v>
      </c>
      <c r="D45" s="189">
        <v>42.1</v>
      </c>
      <c r="E45" s="189">
        <v>10.119999999999999</v>
      </c>
      <c r="F45" s="189">
        <v>11.96</v>
      </c>
      <c r="G45" s="189">
        <v>51.34</v>
      </c>
      <c r="H45" s="189">
        <v>17.29</v>
      </c>
      <c r="I45" s="189">
        <v>7.69</v>
      </c>
      <c r="J45" s="189">
        <v>0.98</v>
      </c>
      <c r="K45" s="189">
        <v>301.20999999999998</v>
      </c>
      <c r="L45" s="189">
        <v>34.68</v>
      </c>
      <c r="M45" s="189">
        <v>43.48</v>
      </c>
      <c r="N45" s="189">
        <v>169.3</v>
      </c>
      <c r="O45" s="189">
        <v>0</v>
      </c>
      <c r="P45" s="189">
        <v>0.85</v>
      </c>
      <c r="Q45" s="189">
        <v>5.83</v>
      </c>
    </row>
    <row r="46" spans="1:17" customFormat="1">
      <c r="A46" s="6" t="s">
        <v>1618</v>
      </c>
      <c r="B46" s="189">
        <v>23.18</v>
      </c>
      <c r="C46" s="189">
        <v>46</v>
      </c>
      <c r="D46" s="189">
        <v>41.57</v>
      </c>
      <c r="E46" s="189">
        <v>10.19</v>
      </c>
      <c r="F46" s="189">
        <v>13.98</v>
      </c>
      <c r="G46" s="189">
        <v>51.34</v>
      </c>
      <c r="H46" s="189">
        <v>17.29</v>
      </c>
      <c r="I46" s="189">
        <v>7.58</v>
      </c>
      <c r="J46" s="189">
        <v>0.99</v>
      </c>
      <c r="K46" s="189">
        <v>275.68</v>
      </c>
      <c r="L46" s="189">
        <v>35.049999999999997</v>
      </c>
      <c r="M46" s="189">
        <v>42.54</v>
      </c>
      <c r="N46" s="189">
        <v>182.7</v>
      </c>
      <c r="O46" s="189">
        <v>0</v>
      </c>
      <c r="P46" s="189">
        <v>0.85</v>
      </c>
      <c r="Q46" s="189">
        <v>5.76</v>
      </c>
    </row>
    <row r="47" spans="1:17" customFormat="1">
      <c r="A47" s="6" t="s">
        <v>1619</v>
      </c>
      <c r="B47" s="189">
        <v>21.74</v>
      </c>
      <c r="C47" s="189">
        <v>47.22</v>
      </c>
      <c r="D47" s="189">
        <v>41.06</v>
      </c>
      <c r="E47" s="189">
        <v>9.18</v>
      </c>
      <c r="F47" s="189">
        <v>11.23</v>
      </c>
      <c r="G47" s="189">
        <v>51.78</v>
      </c>
      <c r="H47" s="189">
        <v>21.31</v>
      </c>
      <c r="I47" s="189">
        <v>7.25</v>
      </c>
      <c r="J47" s="189">
        <v>1.1599999999999999</v>
      </c>
      <c r="K47" s="189">
        <v>290.02</v>
      </c>
      <c r="L47" s="189">
        <v>35.61</v>
      </c>
      <c r="M47" s="189">
        <v>41.57</v>
      </c>
      <c r="N47" s="189">
        <v>178.1</v>
      </c>
      <c r="O47" s="189">
        <v>0</v>
      </c>
      <c r="P47" s="189">
        <v>0.85</v>
      </c>
      <c r="Q47" s="189">
        <v>5.69</v>
      </c>
    </row>
    <row r="48" spans="1:17" customFormat="1">
      <c r="A48" s="6" t="s">
        <v>1620</v>
      </c>
      <c r="B48" s="189">
        <v>21.51</v>
      </c>
      <c r="C48" s="189">
        <v>47.86</v>
      </c>
      <c r="D48" s="189">
        <v>41.21</v>
      </c>
      <c r="E48" s="189">
        <v>8.36</v>
      </c>
      <c r="F48" s="189">
        <v>11.74</v>
      </c>
      <c r="G48" s="189">
        <v>52.04</v>
      </c>
      <c r="H48" s="189">
        <v>22.03</v>
      </c>
      <c r="I48" s="189">
        <v>7.07</v>
      </c>
      <c r="J48" s="189">
        <v>1.36</v>
      </c>
      <c r="K48" s="189">
        <v>305.86</v>
      </c>
      <c r="L48" s="189">
        <v>35.86</v>
      </c>
      <c r="M48" s="189">
        <v>40.29</v>
      </c>
      <c r="N48" s="189">
        <v>172</v>
      </c>
      <c r="O48" s="189">
        <v>0</v>
      </c>
      <c r="P48" s="189">
        <v>0.84</v>
      </c>
      <c r="Q48" s="189">
        <v>5.69</v>
      </c>
    </row>
    <row r="49" spans="1:17" customFormat="1">
      <c r="A49" s="6" t="s">
        <v>1621</v>
      </c>
      <c r="B49" s="189">
        <v>20.010000000000002</v>
      </c>
      <c r="C49" s="189">
        <v>44.48</v>
      </c>
      <c r="D49" s="189">
        <v>38.24</v>
      </c>
      <c r="E49" s="189">
        <v>5.74</v>
      </c>
      <c r="F49" s="189">
        <v>17.190000000000001</v>
      </c>
      <c r="G49" s="189">
        <v>52.04</v>
      </c>
      <c r="H49" s="189">
        <v>22.03</v>
      </c>
      <c r="I49" s="189">
        <v>7.12</v>
      </c>
      <c r="J49" s="189">
        <v>0.78</v>
      </c>
      <c r="K49" s="189">
        <v>308.38</v>
      </c>
      <c r="L49" s="189">
        <v>36.200000000000003</v>
      </c>
      <c r="M49" s="189">
        <v>39.53</v>
      </c>
      <c r="N49" s="189">
        <v>172.1</v>
      </c>
      <c r="O49" s="189">
        <v>0</v>
      </c>
      <c r="P49" s="189">
        <v>0.8</v>
      </c>
      <c r="Q49" s="189">
        <v>5.62</v>
      </c>
    </row>
    <row r="50" spans="1:17" customFormat="1">
      <c r="A50" s="6" t="s">
        <v>1622</v>
      </c>
      <c r="B50" s="189">
        <v>19.850000000000001</v>
      </c>
      <c r="C50" s="189">
        <v>45.21</v>
      </c>
      <c r="D50" s="189">
        <v>38.49</v>
      </c>
      <c r="E50" s="189">
        <v>5.56</v>
      </c>
      <c r="F50" s="189">
        <v>12.73</v>
      </c>
      <c r="G50" s="189">
        <v>52.04</v>
      </c>
      <c r="H50" s="189">
        <v>22.03</v>
      </c>
      <c r="I50" s="189">
        <v>6.99</v>
      </c>
      <c r="J50" s="189">
        <v>1.05</v>
      </c>
      <c r="K50" s="189">
        <v>295.62</v>
      </c>
      <c r="L50" s="189">
        <v>36.159999999999997</v>
      </c>
      <c r="M50" s="189">
        <v>39.47</v>
      </c>
      <c r="N50" s="189">
        <v>180</v>
      </c>
      <c r="O50" s="189">
        <v>0</v>
      </c>
      <c r="P50" s="189">
        <v>0.8</v>
      </c>
      <c r="Q50" s="189">
        <v>5.57</v>
      </c>
    </row>
    <row r="51" spans="1:17" customFormat="1">
      <c r="A51" s="6" t="s">
        <v>1623</v>
      </c>
      <c r="B51" s="189">
        <v>17.89</v>
      </c>
      <c r="C51" s="189">
        <v>43.75</v>
      </c>
      <c r="D51" s="189">
        <v>36.159999999999997</v>
      </c>
      <c r="E51" s="189">
        <v>6.08</v>
      </c>
      <c r="F51" s="189">
        <v>16.329999999999998</v>
      </c>
      <c r="G51" s="189">
        <v>52.85</v>
      </c>
      <c r="H51" s="189">
        <v>24.29</v>
      </c>
      <c r="I51" s="189">
        <v>6.55</v>
      </c>
      <c r="J51" s="189">
        <v>1.17</v>
      </c>
      <c r="K51" s="189">
        <v>302.42</v>
      </c>
      <c r="L51" s="189">
        <v>36.69</v>
      </c>
      <c r="M51" s="189">
        <v>37.700000000000003</v>
      </c>
      <c r="N51" s="189">
        <v>229.8</v>
      </c>
      <c r="O51" s="189">
        <v>0</v>
      </c>
      <c r="P51" s="189">
        <v>0.77</v>
      </c>
      <c r="Q51" s="189">
        <v>5.51</v>
      </c>
    </row>
    <row r="52" spans="1:17" customFormat="1">
      <c r="A52" s="6" t="s">
        <v>1624</v>
      </c>
      <c r="B52" s="189">
        <v>15.99</v>
      </c>
      <c r="C52" s="189">
        <v>40.75</v>
      </c>
      <c r="D52" s="189">
        <v>33.07</v>
      </c>
      <c r="E52" s="189">
        <v>5.31</v>
      </c>
      <c r="F52" s="189">
        <v>24.4</v>
      </c>
      <c r="G52" s="189">
        <v>53.32</v>
      </c>
      <c r="H52" s="189">
        <v>24.7</v>
      </c>
      <c r="I52" s="189">
        <v>6.35</v>
      </c>
      <c r="J52" s="189">
        <v>1.37</v>
      </c>
      <c r="K52" s="189">
        <v>307.17</v>
      </c>
      <c r="L52" s="189">
        <v>37.54</v>
      </c>
      <c r="M52" s="189">
        <v>36.53</v>
      </c>
      <c r="N52" s="189">
        <v>243</v>
      </c>
      <c r="O52" s="189">
        <v>0</v>
      </c>
      <c r="P52" s="189">
        <v>0.73</v>
      </c>
      <c r="Q52" s="189">
        <v>5.46</v>
      </c>
    </row>
    <row r="53" spans="1:17" customFormat="1">
      <c r="A53" s="6" t="s">
        <v>1625</v>
      </c>
      <c r="B53" s="189">
        <v>7.78</v>
      </c>
      <c r="C53" s="189">
        <v>32.43</v>
      </c>
      <c r="D53" s="189">
        <v>22.13</v>
      </c>
      <c r="E53" s="189">
        <v>6.42</v>
      </c>
      <c r="F53" s="189">
        <v>45.84</v>
      </c>
      <c r="G53" s="189">
        <v>53.32</v>
      </c>
      <c r="H53" s="189">
        <v>24.7</v>
      </c>
      <c r="I53" s="189">
        <v>6.26</v>
      </c>
      <c r="J53" s="189">
        <v>1.1499999999999999</v>
      </c>
      <c r="K53" s="189">
        <v>295.06</v>
      </c>
      <c r="L53" s="189">
        <v>37.619999999999997</v>
      </c>
      <c r="M53" s="189">
        <v>36.58</v>
      </c>
      <c r="N53" s="189">
        <v>245.6</v>
      </c>
      <c r="O53" s="189">
        <v>0</v>
      </c>
      <c r="P53" s="189">
        <v>0.61</v>
      </c>
      <c r="Q53" s="189">
        <v>5.21</v>
      </c>
    </row>
    <row r="54" spans="1:17" customFormat="1">
      <c r="A54" s="6" t="s">
        <v>1626</v>
      </c>
      <c r="B54" s="189">
        <v>4.16</v>
      </c>
      <c r="C54" s="189">
        <v>27.08</v>
      </c>
      <c r="D54" s="189">
        <v>16.440000000000001</v>
      </c>
      <c r="E54" s="189">
        <v>6.69</v>
      </c>
      <c r="F54" s="189">
        <v>49.95</v>
      </c>
      <c r="G54" s="189">
        <v>53.32</v>
      </c>
      <c r="H54" s="189">
        <v>24.7</v>
      </c>
      <c r="I54" s="189">
        <v>5.47</v>
      </c>
      <c r="J54" s="189">
        <v>1.06</v>
      </c>
      <c r="K54" s="189">
        <v>284.87</v>
      </c>
      <c r="L54" s="189">
        <v>38.15</v>
      </c>
      <c r="M54" s="189">
        <v>36.15</v>
      </c>
      <c r="N54" s="189">
        <v>245.4</v>
      </c>
      <c r="O54" s="189">
        <v>0</v>
      </c>
      <c r="P54" s="189">
        <v>0.55000000000000004</v>
      </c>
      <c r="Q54" s="189">
        <v>4.84</v>
      </c>
    </row>
    <row r="55" spans="1:17" customFormat="1">
      <c r="A55" s="6" t="s">
        <v>1627</v>
      </c>
      <c r="B55" s="189">
        <v>3.17</v>
      </c>
      <c r="C55" s="189">
        <v>30.05</v>
      </c>
      <c r="D55" s="189">
        <v>17.2</v>
      </c>
      <c r="E55" s="189">
        <v>7.07</v>
      </c>
      <c r="F55" s="189">
        <v>47.44</v>
      </c>
      <c r="G55" s="189">
        <v>52.52</v>
      </c>
      <c r="H55" s="189">
        <v>22.05</v>
      </c>
      <c r="I55" s="189">
        <v>4.1399999999999997</v>
      </c>
      <c r="J55" s="189">
        <v>1.06</v>
      </c>
      <c r="K55" s="189">
        <v>293.89999999999998</v>
      </c>
      <c r="L55" s="189">
        <v>38.54</v>
      </c>
      <c r="M55" s="189">
        <v>35.68</v>
      </c>
      <c r="N55" s="189">
        <v>384.6</v>
      </c>
      <c r="O55" s="189">
        <v>0</v>
      </c>
      <c r="P55" s="189">
        <v>0.52</v>
      </c>
      <c r="Q55" s="189">
        <v>4.5599999999999996</v>
      </c>
    </row>
    <row r="56" spans="1:17" customFormat="1">
      <c r="A56" s="6" t="s">
        <v>1628</v>
      </c>
      <c r="B56" s="189">
        <v>2.57</v>
      </c>
      <c r="C56" s="189">
        <v>30.41</v>
      </c>
      <c r="D56" s="189">
        <v>16.899999999999999</v>
      </c>
      <c r="E56" s="189">
        <v>5.92</v>
      </c>
      <c r="F56" s="189">
        <v>31.29</v>
      </c>
      <c r="G56" s="189">
        <v>52.06</v>
      </c>
      <c r="H56" s="189">
        <v>21.58</v>
      </c>
      <c r="I56" s="189">
        <v>3.49</v>
      </c>
      <c r="J56" s="189">
        <v>0.93</v>
      </c>
      <c r="K56" s="189">
        <v>286.64</v>
      </c>
      <c r="L56" s="189">
        <v>38.840000000000003</v>
      </c>
      <c r="M56" s="189">
        <v>34.76</v>
      </c>
      <c r="N56" s="189">
        <v>829.3</v>
      </c>
      <c r="O56" s="189">
        <v>0</v>
      </c>
      <c r="P56" s="189">
        <v>0.54</v>
      </c>
      <c r="Q56" s="189">
        <v>4.43</v>
      </c>
    </row>
    <row r="57" spans="1:17" customFormat="1">
      <c r="A57" s="6" t="s">
        <v>1629</v>
      </c>
      <c r="B57" s="189">
        <v>2</v>
      </c>
      <c r="C57" s="189">
        <v>36.770000000000003</v>
      </c>
      <c r="D57" s="189">
        <v>19.77</v>
      </c>
      <c r="E57" s="189">
        <v>4.24</v>
      </c>
      <c r="F57" s="189">
        <v>19.57</v>
      </c>
      <c r="G57" s="189">
        <v>52.06</v>
      </c>
      <c r="H57" s="189">
        <v>21.58</v>
      </c>
      <c r="I57" s="189">
        <v>3.21</v>
      </c>
      <c r="J57" s="189">
        <v>1.34</v>
      </c>
      <c r="K57" s="189">
        <v>295.31</v>
      </c>
      <c r="L57" s="189">
        <v>39.020000000000003</v>
      </c>
      <c r="M57" s="189">
        <v>34.14</v>
      </c>
      <c r="N57" s="189">
        <v>847.7</v>
      </c>
      <c r="O57" s="189">
        <v>0</v>
      </c>
      <c r="P57" s="189">
        <v>0.56000000000000005</v>
      </c>
      <c r="Q57" s="189">
        <v>4.4400000000000004</v>
      </c>
    </row>
    <row r="58" spans="1:17" customFormat="1">
      <c r="A58" s="6" t="s">
        <v>1630</v>
      </c>
      <c r="B58" s="189">
        <v>1.98</v>
      </c>
      <c r="C58" s="189">
        <v>35.590000000000003</v>
      </c>
      <c r="D58" s="189">
        <v>19.14</v>
      </c>
      <c r="E58" s="189">
        <v>4.1500000000000004</v>
      </c>
      <c r="F58" s="189">
        <v>22.99</v>
      </c>
      <c r="G58" s="189">
        <v>52.06</v>
      </c>
      <c r="H58" s="189">
        <v>21.58</v>
      </c>
      <c r="I58" s="189">
        <v>3.46</v>
      </c>
      <c r="J58" s="189">
        <v>1.02</v>
      </c>
      <c r="K58" s="189">
        <v>277.43</v>
      </c>
      <c r="L58" s="189">
        <v>39.22</v>
      </c>
      <c r="M58" s="189">
        <v>33.450000000000003</v>
      </c>
      <c r="N58" s="189">
        <v>855.7</v>
      </c>
      <c r="O58" s="189">
        <v>0</v>
      </c>
      <c r="P58" s="189">
        <v>0.52</v>
      </c>
      <c r="Q58" s="189">
        <v>4.5</v>
      </c>
    </row>
    <row r="59" spans="1:17" customFormat="1">
      <c r="A59" s="6" t="s">
        <v>1631</v>
      </c>
      <c r="B59" s="189">
        <v>2.41</v>
      </c>
      <c r="C59" s="189">
        <v>35.200000000000003</v>
      </c>
      <c r="D59" s="189">
        <v>19.28</v>
      </c>
      <c r="E59" s="189">
        <v>3.9</v>
      </c>
      <c r="F59" s="189">
        <v>21.25</v>
      </c>
      <c r="G59" s="189">
        <v>52.03</v>
      </c>
      <c r="H59" s="189">
        <v>21.68</v>
      </c>
      <c r="I59" s="189">
        <v>3.82</v>
      </c>
      <c r="J59" s="189">
        <v>1.3</v>
      </c>
      <c r="K59" s="189">
        <v>288.44</v>
      </c>
      <c r="L59" s="189">
        <v>39.4</v>
      </c>
      <c r="M59" s="189">
        <v>32.090000000000003</v>
      </c>
      <c r="N59" s="189">
        <v>789.6</v>
      </c>
      <c r="O59" s="189">
        <v>0</v>
      </c>
      <c r="P59" s="189">
        <v>0.51</v>
      </c>
      <c r="Q59" s="189">
        <v>4.5</v>
      </c>
    </row>
    <row r="60" spans="1:17" customFormat="1">
      <c r="A60" s="6" t="s">
        <v>1632</v>
      </c>
      <c r="B60" s="189">
        <v>2.89</v>
      </c>
      <c r="C60" s="189">
        <v>36.340000000000003</v>
      </c>
      <c r="D60" s="189">
        <v>20.27</v>
      </c>
      <c r="E60" s="189">
        <v>3.59</v>
      </c>
      <c r="F60" s="189">
        <v>16.86</v>
      </c>
      <c r="G60" s="189">
        <v>52.02</v>
      </c>
      <c r="H60" s="189">
        <v>21.72</v>
      </c>
      <c r="I60" s="189">
        <v>3.78</v>
      </c>
      <c r="J60" s="189">
        <v>1.19</v>
      </c>
      <c r="K60" s="189">
        <v>271.02999999999997</v>
      </c>
      <c r="L60" s="189">
        <v>39.65</v>
      </c>
      <c r="M60" s="189">
        <v>31.07</v>
      </c>
      <c r="N60" s="189">
        <v>801.4</v>
      </c>
      <c r="O60" s="189">
        <v>0</v>
      </c>
      <c r="P60" s="189">
        <v>0.5</v>
      </c>
      <c r="Q60" s="189">
        <v>4.42</v>
      </c>
    </row>
    <row r="61" spans="1:17" customFormat="1">
      <c r="A61" s="6" t="s">
        <v>1633</v>
      </c>
      <c r="B61" s="189">
        <v>3.12</v>
      </c>
      <c r="C61" s="189">
        <v>34.479999999999997</v>
      </c>
      <c r="D61" s="189">
        <v>19.47</v>
      </c>
      <c r="E61" s="189">
        <v>3.22</v>
      </c>
      <c r="F61" s="189">
        <v>20.6</v>
      </c>
      <c r="G61" s="189">
        <v>52.02</v>
      </c>
      <c r="H61" s="189">
        <v>21.72</v>
      </c>
      <c r="I61" s="189">
        <v>3.85</v>
      </c>
      <c r="J61" s="189">
        <v>1.18</v>
      </c>
      <c r="K61" s="189">
        <v>281.89</v>
      </c>
      <c r="L61" s="189">
        <v>39.590000000000003</v>
      </c>
      <c r="M61" s="189">
        <v>31.48</v>
      </c>
      <c r="N61" s="189">
        <v>718.3</v>
      </c>
      <c r="O61" s="189">
        <v>0</v>
      </c>
      <c r="P61" s="189">
        <v>0.47</v>
      </c>
      <c r="Q61" s="189">
        <v>4.38</v>
      </c>
    </row>
    <row r="62" spans="1:17" customFormat="1">
      <c r="A62" s="6" t="s">
        <v>1634</v>
      </c>
      <c r="B62" s="189">
        <v>3.26</v>
      </c>
      <c r="C62" s="189">
        <v>34.92</v>
      </c>
      <c r="D62" s="189">
        <v>19.809999999999999</v>
      </c>
      <c r="E62" s="189">
        <v>3.36</v>
      </c>
      <c r="F62" s="189">
        <v>18.21</v>
      </c>
      <c r="G62" s="189">
        <v>52.02</v>
      </c>
      <c r="H62" s="189">
        <v>21.72</v>
      </c>
      <c r="I62" s="189">
        <v>3.86</v>
      </c>
      <c r="J62" s="189">
        <v>1.39</v>
      </c>
      <c r="K62" s="189">
        <v>286.45999999999998</v>
      </c>
      <c r="L62" s="189">
        <v>39.71</v>
      </c>
      <c r="M62" s="189">
        <v>30.18</v>
      </c>
      <c r="N62" s="189">
        <v>834.4</v>
      </c>
      <c r="O62" s="189">
        <v>0</v>
      </c>
      <c r="P62" s="189">
        <v>0.47</v>
      </c>
      <c r="Q62" s="189">
        <v>4.37</v>
      </c>
    </row>
    <row r="63" spans="1:17" customFormat="1">
      <c r="A63" s="6" t="s">
        <v>1635</v>
      </c>
      <c r="B63" s="189">
        <v>3.54</v>
      </c>
      <c r="C63" s="189">
        <v>33.159999999999997</v>
      </c>
      <c r="D63" s="189">
        <v>19.12</v>
      </c>
      <c r="E63" s="189">
        <v>3.78</v>
      </c>
      <c r="F63" s="189">
        <v>25.51</v>
      </c>
      <c r="G63" s="189">
        <v>52.13</v>
      </c>
      <c r="H63" s="189">
        <v>19.55</v>
      </c>
      <c r="I63" s="189">
        <v>3.91</v>
      </c>
      <c r="J63" s="189">
        <v>1.22</v>
      </c>
      <c r="K63" s="189">
        <v>281.51</v>
      </c>
      <c r="L63" s="189">
        <v>39.89</v>
      </c>
      <c r="M63" s="189">
        <v>29.64</v>
      </c>
      <c r="N63" s="189">
        <v>641.5</v>
      </c>
      <c r="O63" s="189">
        <v>0</v>
      </c>
      <c r="P63" s="189">
        <v>0.47</v>
      </c>
      <c r="Q63" s="189">
        <v>4.3499999999999996</v>
      </c>
    </row>
    <row r="64" spans="1:17" customFormat="1">
      <c r="A64" s="6" t="s">
        <v>1636</v>
      </c>
      <c r="B64" s="189">
        <v>3.77</v>
      </c>
      <c r="C64" s="189">
        <v>33.93</v>
      </c>
      <c r="D64" s="189">
        <v>19.71</v>
      </c>
      <c r="E64" s="189">
        <v>4.4800000000000004</v>
      </c>
      <c r="F64" s="189">
        <v>24.47</v>
      </c>
      <c r="G64" s="189">
        <v>52.2</v>
      </c>
      <c r="H64" s="189">
        <v>19.16</v>
      </c>
      <c r="I64" s="189">
        <v>3.92</v>
      </c>
      <c r="J64" s="189">
        <v>1.1499999999999999</v>
      </c>
      <c r="K64" s="189">
        <v>271.04000000000002</v>
      </c>
      <c r="L64" s="189">
        <v>39.82</v>
      </c>
      <c r="M64" s="189">
        <v>29.91</v>
      </c>
      <c r="N64" s="189">
        <v>782.5</v>
      </c>
      <c r="O64" s="189">
        <v>0</v>
      </c>
      <c r="P64" s="189">
        <v>0.47</v>
      </c>
      <c r="Q64" s="189">
        <v>4.3499999999999996</v>
      </c>
    </row>
    <row r="65" spans="1:17" customFormat="1">
      <c r="A65" s="6" t="s">
        <v>1637</v>
      </c>
      <c r="B65" s="189">
        <v>3.58</v>
      </c>
      <c r="C65" s="189">
        <v>32.799999999999997</v>
      </c>
      <c r="D65" s="189">
        <v>18.97</v>
      </c>
      <c r="E65" s="189">
        <v>4.51</v>
      </c>
      <c r="F65" s="189">
        <v>22.02</v>
      </c>
      <c r="G65" s="189">
        <v>52.2</v>
      </c>
      <c r="H65" s="189">
        <v>19.16</v>
      </c>
      <c r="I65" s="189">
        <v>3.94</v>
      </c>
      <c r="J65" s="189">
        <v>1.25</v>
      </c>
      <c r="K65" s="189">
        <v>290.02999999999997</v>
      </c>
      <c r="L65" s="189">
        <v>40.28</v>
      </c>
      <c r="M65" s="189">
        <v>28.49</v>
      </c>
      <c r="N65" s="189">
        <v>710.9</v>
      </c>
      <c r="O65" s="189">
        <v>0</v>
      </c>
      <c r="P65" s="189">
        <v>0.39</v>
      </c>
      <c r="Q65" s="189">
        <v>4.3099999999999996</v>
      </c>
    </row>
    <row r="66" spans="1:17" customFormat="1">
      <c r="A66" s="6" t="s">
        <v>1638</v>
      </c>
      <c r="B66" s="189">
        <v>3.68</v>
      </c>
      <c r="C66" s="189">
        <v>34.700000000000003</v>
      </c>
      <c r="D66" s="189">
        <v>20.04</v>
      </c>
      <c r="E66" s="189">
        <v>4.2699999999999996</v>
      </c>
      <c r="F66" s="189">
        <v>15.72</v>
      </c>
      <c r="G66" s="189">
        <v>52.2</v>
      </c>
      <c r="H66" s="189">
        <v>19.16</v>
      </c>
      <c r="I66" s="189">
        <v>4.0199999999999996</v>
      </c>
      <c r="J66" s="189">
        <v>1.53</v>
      </c>
      <c r="K66" s="189">
        <v>277.01</v>
      </c>
      <c r="L66" s="189">
        <v>40.049999999999997</v>
      </c>
      <c r="M66" s="189">
        <v>27.99</v>
      </c>
      <c r="N66" s="189">
        <v>562.1</v>
      </c>
      <c r="O66" s="189">
        <v>0</v>
      </c>
      <c r="P66" s="189">
        <v>0.42</v>
      </c>
      <c r="Q66" s="189">
        <v>4.3</v>
      </c>
    </row>
    <row r="67" spans="1:17" customFormat="1">
      <c r="A67" s="6" t="s">
        <v>1639</v>
      </c>
      <c r="B67" s="189">
        <v>4.43</v>
      </c>
      <c r="C67" s="189">
        <v>34.89</v>
      </c>
      <c r="D67" s="189">
        <v>20.74</v>
      </c>
      <c r="E67" s="189">
        <v>4.28</v>
      </c>
      <c r="F67" s="189">
        <v>20.57</v>
      </c>
      <c r="G67" s="189">
        <v>50.31</v>
      </c>
      <c r="H67" s="189">
        <v>19.98</v>
      </c>
      <c r="I67" s="189">
        <v>3.98</v>
      </c>
      <c r="J67" s="189">
        <v>1.26</v>
      </c>
      <c r="K67" s="189">
        <v>287.70999999999998</v>
      </c>
      <c r="L67" s="189">
        <v>39.979999999999997</v>
      </c>
      <c r="M67" s="189">
        <v>27.21</v>
      </c>
      <c r="N67" s="189">
        <v>653.79999999999995</v>
      </c>
      <c r="O67" s="189">
        <v>0</v>
      </c>
      <c r="P67" s="189">
        <v>0.42</v>
      </c>
      <c r="Q67" s="189">
        <v>4.3</v>
      </c>
    </row>
    <row r="68" spans="1:17" customFormat="1">
      <c r="A68" s="6" t="s">
        <v>1640</v>
      </c>
      <c r="B68" s="189">
        <v>4.2</v>
      </c>
      <c r="C68" s="189">
        <v>33.43</v>
      </c>
      <c r="D68" s="189">
        <v>19.79</v>
      </c>
      <c r="E68" s="189">
        <v>3.93</v>
      </c>
      <c r="F68" s="189">
        <v>22.97</v>
      </c>
      <c r="G68" s="189">
        <v>49.21</v>
      </c>
      <c r="H68" s="189">
        <v>20.12</v>
      </c>
      <c r="I68" s="189">
        <v>4</v>
      </c>
      <c r="J68" s="189">
        <v>1.1599999999999999</v>
      </c>
      <c r="K68" s="189">
        <v>288.72000000000003</v>
      </c>
      <c r="L68" s="189">
        <v>40.01</v>
      </c>
      <c r="M68" s="189">
        <v>27.24</v>
      </c>
      <c r="N68" s="189">
        <v>399.7</v>
      </c>
      <c r="O68" s="189">
        <v>0</v>
      </c>
      <c r="P68" s="189">
        <v>0.4</v>
      </c>
      <c r="Q68" s="189">
        <v>4.3099999999999996</v>
      </c>
    </row>
    <row r="69" spans="1:17" customFormat="1">
      <c r="A69" s="6" t="s">
        <v>1641</v>
      </c>
      <c r="B69" s="189">
        <v>4.3600000000000003</v>
      </c>
      <c r="C69" s="189">
        <v>31.03</v>
      </c>
      <c r="D69" s="189">
        <v>18.66</v>
      </c>
      <c r="E69" s="189">
        <v>4.5999999999999996</v>
      </c>
      <c r="F69" s="189">
        <v>27</v>
      </c>
      <c r="G69" s="189">
        <v>49.21</v>
      </c>
      <c r="H69" s="189">
        <v>20.12</v>
      </c>
      <c r="I69" s="189">
        <v>3.94</v>
      </c>
      <c r="J69" s="189">
        <v>0.92</v>
      </c>
      <c r="K69" s="189">
        <v>277.81</v>
      </c>
      <c r="L69" s="189">
        <v>39.08</v>
      </c>
      <c r="M69" s="189">
        <v>28.33</v>
      </c>
      <c r="N69" s="189">
        <v>185</v>
      </c>
      <c r="O69" s="189">
        <v>0</v>
      </c>
      <c r="P69" s="189">
        <v>0.38</v>
      </c>
      <c r="Q69" s="189">
        <v>4.26</v>
      </c>
    </row>
    <row r="70" spans="1:17" customFormat="1">
      <c r="A70" s="6" t="s">
        <v>1642</v>
      </c>
      <c r="B70" s="189">
        <v>4.83</v>
      </c>
      <c r="C70" s="189">
        <v>31.87</v>
      </c>
      <c r="D70" s="189">
        <v>19.48</v>
      </c>
      <c r="E70" s="189">
        <v>4.3</v>
      </c>
      <c r="F70" s="189">
        <v>27.51</v>
      </c>
      <c r="G70" s="189">
        <v>49.21</v>
      </c>
      <c r="H70" s="189">
        <v>20.12</v>
      </c>
      <c r="I70" s="189">
        <v>3.8</v>
      </c>
      <c r="J70" s="189">
        <v>0.81</v>
      </c>
      <c r="K70" s="189">
        <v>291.47000000000003</v>
      </c>
      <c r="L70" s="189">
        <v>39.19</v>
      </c>
      <c r="M70" s="189">
        <v>28.06</v>
      </c>
      <c r="N70" s="189">
        <v>235.9</v>
      </c>
      <c r="O70" s="189">
        <v>0</v>
      </c>
      <c r="P70" s="189">
        <v>0.39</v>
      </c>
      <c r="Q70" s="189">
        <v>4.2699999999999996</v>
      </c>
    </row>
    <row r="71" spans="1:17" customFormat="1">
      <c r="A71" s="6" t="s">
        <v>1643</v>
      </c>
      <c r="B71" s="189">
        <v>7.52</v>
      </c>
      <c r="C71" s="189">
        <v>35.22</v>
      </c>
      <c r="D71" s="189">
        <v>23.39</v>
      </c>
      <c r="E71" s="189">
        <v>3.97</v>
      </c>
      <c r="F71" s="189">
        <v>29.64</v>
      </c>
      <c r="G71" s="189">
        <v>48.86</v>
      </c>
      <c r="H71" s="189">
        <v>18.690000000000001</v>
      </c>
      <c r="I71" s="189">
        <v>3.55</v>
      </c>
      <c r="J71" s="189">
        <v>0.43</v>
      </c>
      <c r="K71" s="189">
        <v>290.04000000000002</v>
      </c>
      <c r="L71" s="189">
        <v>38.94</v>
      </c>
      <c r="M71" s="189">
        <v>28.66</v>
      </c>
      <c r="N71" s="189">
        <v>150.5</v>
      </c>
      <c r="O71" s="189">
        <v>0</v>
      </c>
      <c r="P71" s="189">
        <v>0.4</v>
      </c>
      <c r="Q71" s="189">
        <v>4.3099999999999996</v>
      </c>
    </row>
    <row r="72" spans="1:17" customFormat="1">
      <c r="A72" s="6" t="s">
        <v>1644</v>
      </c>
      <c r="B72" s="189">
        <v>7.18</v>
      </c>
      <c r="C72" s="189">
        <v>36.93</v>
      </c>
      <c r="D72" s="189">
        <v>24.01</v>
      </c>
      <c r="E72" s="189">
        <v>5.39</v>
      </c>
      <c r="F72" s="189">
        <v>27.53</v>
      </c>
      <c r="G72" s="189">
        <v>48.65</v>
      </c>
      <c r="H72" s="189">
        <v>18.43</v>
      </c>
      <c r="I72" s="189">
        <v>3.25</v>
      </c>
      <c r="J72" s="189">
        <v>0.14000000000000001</v>
      </c>
      <c r="K72" s="189">
        <v>18.260000000000002</v>
      </c>
      <c r="L72" s="189">
        <v>38.340000000000003</v>
      </c>
      <c r="M72" s="189">
        <v>31.92</v>
      </c>
      <c r="N72" s="189">
        <v>108.5</v>
      </c>
      <c r="O72" s="189">
        <v>0</v>
      </c>
      <c r="P72" s="189">
        <v>0.43</v>
      </c>
      <c r="Q72" s="189">
        <v>4.37</v>
      </c>
    </row>
    <row r="73" spans="1:17" customFormat="1">
      <c r="A73" s="6" t="s">
        <v>1645</v>
      </c>
      <c r="B73" s="189">
        <v>6.9</v>
      </c>
      <c r="C73" s="189">
        <v>34.32</v>
      </c>
      <c r="D73" s="189">
        <v>22.42</v>
      </c>
      <c r="E73" s="189">
        <v>7.07</v>
      </c>
      <c r="F73" s="189">
        <v>20.81</v>
      </c>
      <c r="G73" s="189">
        <v>48.65</v>
      </c>
      <c r="H73" s="189">
        <v>18.43</v>
      </c>
      <c r="I73" s="189">
        <v>3.13</v>
      </c>
      <c r="J73" s="189">
        <v>1.33</v>
      </c>
      <c r="K73" s="189">
        <v>38.340000000000003</v>
      </c>
      <c r="L73" s="189">
        <v>36.58</v>
      </c>
      <c r="M73" s="189">
        <v>37.520000000000003</v>
      </c>
      <c r="N73" s="189">
        <v>90.8</v>
      </c>
      <c r="O73" s="189">
        <v>0</v>
      </c>
      <c r="P73" s="189">
        <v>0.42</v>
      </c>
      <c r="Q73" s="189">
        <v>4.4000000000000004</v>
      </c>
    </row>
    <row r="74" spans="1:17" customFormat="1">
      <c r="A74" s="6" t="s">
        <v>1646</v>
      </c>
      <c r="B74" s="189">
        <v>7.22</v>
      </c>
      <c r="C74" s="189">
        <v>35.840000000000003</v>
      </c>
      <c r="D74" s="189">
        <v>23.47</v>
      </c>
      <c r="E74" s="189">
        <v>5.31</v>
      </c>
      <c r="F74" s="189">
        <v>18.399999999999999</v>
      </c>
      <c r="G74" s="189">
        <v>48.65</v>
      </c>
      <c r="H74" s="189">
        <v>18.43</v>
      </c>
      <c r="I74" s="189">
        <v>3.25</v>
      </c>
      <c r="J74" s="189">
        <v>1.19</v>
      </c>
      <c r="K74" s="189">
        <v>52.41</v>
      </c>
      <c r="L74" s="189">
        <v>34.869999999999997</v>
      </c>
      <c r="M74" s="189">
        <v>40.43</v>
      </c>
      <c r="N74" s="189">
        <v>107.9</v>
      </c>
      <c r="O74" s="189">
        <v>0</v>
      </c>
      <c r="P74" s="189">
        <v>0.41</v>
      </c>
      <c r="Q74" s="189">
        <v>4.43</v>
      </c>
    </row>
    <row r="75" spans="1:17" customFormat="1">
      <c r="A75" s="6" t="s">
        <v>1647</v>
      </c>
      <c r="B75" s="189">
        <v>7.76</v>
      </c>
      <c r="C75" s="189">
        <v>34.6</v>
      </c>
      <c r="D75" s="189">
        <v>23.25</v>
      </c>
      <c r="E75" s="189">
        <v>5.01</v>
      </c>
      <c r="F75" s="189">
        <v>21.47</v>
      </c>
      <c r="G75" s="189">
        <v>49.53</v>
      </c>
      <c r="H75" s="189">
        <v>19.239999999999998</v>
      </c>
      <c r="I75" s="189">
        <v>3.52</v>
      </c>
      <c r="J75" s="189">
        <v>1.17</v>
      </c>
      <c r="K75" s="189">
        <v>38.07</v>
      </c>
      <c r="L75" s="189">
        <v>34.53</v>
      </c>
      <c r="M75" s="189">
        <v>40.74</v>
      </c>
      <c r="N75" s="189">
        <v>95.9</v>
      </c>
      <c r="O75" s="189">
        <v>0</v>
      </c>
      <c r="P75" s="189">
        <v>0.41</v>
      </c>
      <c r="Q75" s="189">
        <v>4.49</v>
      </c>
    </row>
    <row r="76" spans="1:17" customFormat="1">
      <c r="A76" s="6" t="s">
        <v>1648</v>
      </c>
      <c r="B76" s="189">
        <v>7.57</v>
      </c>
      <c r="C76" s="189">
        <v>37.92</v>
      </c>
      <c r="D76" s="189">
        <v>24.84</v>
      </c>
      <c r="E76" s="189">
        <v>6.12</v>
      </c>
      <c r="F76" s="189">
        <v>13.91</v>
      </c>
      <c r="G76" s="189">
        <v>50.04</v>
      </c>
      <c r="H76" s="189">
        <v>19.38</v>
      </c>
      <c r="I76" s="189">
        <v>3.57</v>
      </c>
      <c r="J76" s="189">
        <v>1.19</v>
      </c>
      <c r="K76" s="189">
        <v>33.11</v>
      </c>
      <c r="L76" s="189">
        <v>34.39</v>
      </c>
      <c r="M76" s="189">
        <v>40.380000000000003</v>
      </c>
      <c r="N76" s="189">
        <v>114.5</v>
      </c>
      <c r="O76" s="189">
        <v>0</v>
      </c>
      <c r="P76" s="189">
        <v>0.42</v>
      </c>
      <c r="Q76" s="189">
        <v>4.53</v>
      </c>
    </row>
    <row r="77" spans="1:17" customFormat="1">
      <c r="A77" s="6" t="s">
        <v>1649</v>
      </c>
      <c r="B77" s="189">
        <v>7.84</v>
      </c>
      <c r="C77" s="189">
        <v>38.619999999999997</v>
      </c>
      <c r="D77" s="189">
        <v>25.42</v>
      </c>
      <c r="E77" s="189">
        <v>4.87</v>
      </c>
      <c r="F77" s="189">
        <v>16.7</v>
      </c>
      <c r="G77" s="189">
        <v>50.04</v>
      </c>
      <c r="H77" s="189">
        <v>19.38</v>
      </c>
      <c r="I77" s="189">
        <v>3.52</v>
      </c>
      <c r="J77" s="189">
        <v>0.78</v>
      </c>
      <c r="K77" s="189">
        <v>20.64</v>
      </c>
      <c r="L77" s="189">
        <v>34.58</v>
      </c>
      <c r="M77" s="189">
        <v>39.229999999999997</v>
      </c>
      <c r="N77" s="189">
        <v>133.1</v>
      </c>
      <c r="O77" s="189">
        <v>0</v>
      </c>
      <c r="P77" s="189">
        <v>0.45</v>
      </c>
      <c r="Q77" s="189">
        <v>4.63</v>
      </c>
    </row>
    <row r="78" spans="1:17" customFormat="1">
      <c r="A78" s="6" t="s">
        <v>1650</v>
      </c>
      <c r="B78" s="189">
        <v>11.19</v>
      </c>
      <c r="C78" s="189">
        <v>40.909999999999997</v>
      </c>
      <c r="D78" s="189">
        <v>29.3</v>
      </c>
      <c r="E78" s="189">
        <v>22.48</v>
      </c>
      <c r="F78" s="189">
        <v>16.18</v>
      </c>
      <c r="G78" s="189">
        <v>50.04</v>
      </c>
      <c r="H78" s="189">
        <v>19.38</v>
      </c>
      <c r="I78" s="189">
        <v>3.7</v>
      </c>
      <c r="J78" s="189">
        <v>0.6</v>
      </c>
      <c r="K78" s="189">
        <v>45.93</v>
      </c>
      <c r="L78" s="189">
        <v>34.9</v>
      </c>
      <c r="M78" s="189">
        <v>37.950000000000003</v>
      </c>
      <c r="N78" s="189">
        <v>75.5</v>
      </c>
      <c r="O78" s="189">
        <v>0</v>
      </c>
      <c r="P78" s="189">
        <v>0.5</v>
      </c>
      <c r="Q78" s="189">
        <v>4.66</v>
      </c>
    </row>
    <row r="79" spans="1:17" customFormat="1">
      <c r="A79" s="6" t="s">
        <v>1651</v>
      </c>
      <c r="B79" s="189">
        <v>12.24</v>
      </c>
      <c r="C79" s="189">
        <v>42.21</v>
      </c>
      <c r="D79" s="189">
        <v>30.82</v>
      </c>
      <c r="E79" s="189">
        <v>46.67</v>
      </c>
      <c r="F79" s="189">
        <v>12.65</v>
      </c>
      <c r="G79" s="189">
        <v>50.4</v>
      </c>
      <c r="H79" s="189">
        <v>17.88</v>
      </c>
      <c r="I79" s="189">
        <v>3.58</v>
      </c>
      <c r="J79" s="189">
        <v>0.23</v>
      </c>
      <c r="K79" s="189">
        <v>195.91</v>
      </c>
      <c r="L79" s="189">
        <v>34.799999999999997</v>
      </c>
      <c r="M79" s="189">
        <v>40.75</v>
      </c>
      <c r="N79" s="189">
        <v>39.6</v>
      </c>
      <c r="O79" s="189">
        <v>0</v>
      </c>
      <c r="P79" s="189">
        <v>0.52</v>
      </c>
      <c r="Q79" s="189">
        <v>4.71</v>
      </c>
    </row>
    <row r="80" spans="1:17" customFormat="1">
      <c r="A80" s="6" t="s">
        <v>1652</v>
      </c>
      <c r="B80" s="189">
        <v>15.2</v>
      </c>
      <c r="C80" s="189">
        <v>42.41</v>
      </c>
      <c r="D80" s="189">
        <v>33.299999999999997</v>
      </c>
      <c r="E80" s="189">
        <v>43.64</v>
      </c>
      <c r="F80" s="189">
        <v>12.87</v>
      </c>
      <c r="G80" s="189">
        <v>50.6</v>
      </c>
      <c r="H80" s="189">
        <v>17.61</v>
      </c>
      <c r="I80" s="189">
        <v>3.58</v>
      </c>
      <c r="J80" s="189">
        <v>7.0000000000000007E-2</v>
      </c>
      <c r="K80" s="189">
        <v>144.21</v>
      </c>
      <c r="L80" s="189">
        <v>34.51</v>
      </c>
      <c r="M80" s="189">
        <v>41.87</v>
      </c>
      <c r="N80" s="189">
        <v>26.8</v>
      </c>
      <c r="O80" s="189">
        <v>0</v>
      </c>
      <c r="P80" s="189">
        <v>0.59</v>
      </c>
      <c r="Q80" s="189">
        <v>4.74</v>
      </c>
    </row>
    <row r="81" spans="1:17" customFormat="1">
      <c r="A81" s="6" t="s">
        <v>1653</v>
      </c>
      <c r="B81" s="189">
        <v>15.77</v>
      </c>
      <c r="C81" s="189">
        <v>45.85</v>
      </c>
      <c r="D81" s="189">
        <v>35.56</v>
      </c>
      <c r="E81" s="189">
        <v>28.32</v>
      </c>
      <c r="F81" s="189">
        <v>9.3699999999999992</v>
      </c>
      <c r="G81" s="189">
        <v>50.6</v>
      </c>
      <c r="H81" s="189">
        <v>17.61</v>
      </c>
      <c r="I81" s="189">
        <v>3.56</v>
      </c>
      <c r="J81" s="189">
        <v>0.22</v>
      </c>
      <c r="K81" s="189">
        <v>103.09</v>
      </c>
      <c r="L81" s="189">
        <v>34.369999999999997</v>
      </c>
      <c r="M81" s="189">
        <v>43.74</v>
      </c>
      <c r="N81" s="189">
        <v>12.3</v>
      </c>
      <c r="O81" s="189">
        <v>0</v>
      </c>
      <c r="P81" s="189">
        <v>0.61</v>
      </c>
      <c r="Q81" s="189">
        <v>4.79</v>
      </c>
    </row>
    <row r="82" spans="1:17" customFormat="1">
      <c r="A82" s="6" t="s">
        <v>1654</v>
      </c>
      <c r="B82" s="189">
        <v>16.68</v>
      </c>
      <c r="C82" s="189">
        <v>47.82</v>
      </c>
      <c r="D82" s="189">
        <v>37.32</v>
      </c>
      <c r="E82" s="189">
        <v>28.53</v>
      </c>
      <c r="F82" s="189">
        <v>9.15</v>
      </c>
      <c r="G82" s="189">
        <v>50.6</v>
      </c>
      <c r="H82" s="189">
        <v>17.61</v>
      </c>
      <c r="I82" s="189">
        <v>3.76</v>
      </c>
      <c r="J82" s="189">
        <v>0.32</v>
      </c>
      <c r="K82" s="189">
        <v>87.03</v>
      </c>
      <c r="L82" s="189">
        <v>34.26</v>
      </c>
      <c r="M82" s="189">
        <v>43.16</v>
      </c>
      <c r="N82" s="189">
        <v>2</v>
      </c>
      <c r="O82" s="189">
        <v>0</v>
      </c>
      <c r="P82" s="189">
        <v>0.7</v>
      </c>
      <c r="Q82" s="189">
        <v>4.88</v>
      </c>
    </row>
    <row r="83" spans="1:17" customFormat="1">
      <c r="A83" s="6" t="s">
        <v>1655</v>
      </c>
      <c r="B83" s="189">
        <v>11.38</v>
      </c>
      <c r="C83" s="189">
        <v>42.53</v>
      </c>
      <c r="D83" s="189">
        <v>30.3</v>
      </c>
      <c r="E83" s="189">
        <v>22.9</v>
      </c>
      <c r="F83" s="189">
        <v>11.91</v>
      </c>
      <c r="G83" s="189">
        <v>64.02</v>
      </c>
      <c r="H83" s="189">
        <v>22.61</v>
      </c>
      <c r="I83" s="189">
        <v>4.45</v>
      </c>
      <c r="J83" s="189">
        <v>0.28000000000000003</v>
      </c>
      <c r="K83" s="189">
        <v>196.78</v>
      </c>
      <c r="L83" s="189">
        <v>33.36</v>
      </c>
      <c r="M83" s="189">
        <v>49.85</v>
      </c>
      <c r="N83" s="189">
        <v>0</v>
      </c>
      <c r="O83" s="189">
        <v>0</v>
      </c>
      <c r="P83" s="189">
        <v>0.63</v>
      </c>
      <c r="Q83" s="189">
        <v>4.92</v>
      </c>
    </row>
    <row r="84" spans="1:17" customFormat="1">
      <c r="A84" s="6" t="s">
        <v>1656</v>
      </c>
      <c r="B84" s="189">
        <v>10.119999999999999</v>
      </c>
      <c r="C84" s="189">
        <v>41.3</v>
      </c>
      <c r="D84" s="189">
        <v>28.65</v>
      </c>
      <c r="E84" s="189">
        <v>18.190000000000001</v>
      </c>
      <c r="F84" s="189">
        <v>11.26</v>
      </c>
      <c r="G84" s="189">
        <v>71.790000000000006</v>
      </c>
      <c r="H84" s="189">
        <v>24.12</v>
      </c>
      <c r="I84" s="189">
        <v>4.75</v>
      </c>
      <c r="J84" s="189">
        <v>0.3</v>
      </c>
      <c r="K84" s="189">
        <v>185.78</v>
      </c>
      <c r="L84" s="189">
        <v>32.909999999999997</v>
      </c>
      <c r="M84" s="189">
        <v>51.14</v>
      </c>
      <c r="N84" s="189">
        <v>0</v>
      </c>
      <c r="O84" s="189">
        <v>0</v>
      </c>
      <c r="P84" s="189">
        <v>0.59</v>
      </c>
      <c r="Q84" s="189">
        <v>4.97</v>
      </c>
    </row>
    <row r="85" spans="1:17" customFormat="1">
      <c r="A85" s="6" t="s">
        <v>1657</v>
      </c>
      <c r="B85" s="189">
        <v>18.55</v>
      </c>
      <c r="C85" s="189">
        <v>46.97</v>
      </c>
      <c r="D85" s="189">
        <v>38.369999999999997</v>
      </c>
      <c r="E85" s="189">
        <v>19.989999999999998</v>
      </c>
      <c r="F85" s="189">
        <v>8.2799999999999994</v>
      </c>
      <c r="G85" s="189">
        <v>71.790000000000006</v>
      </c>
      <c r="H85" s="189">
        <v>24.12</v>
      </c>
      <c r="I85" s="189">
        <v>4.63</v>
      </c>
      <c r="J85" s="189">
        <v>0.37</v>
      </c>
      <c r="K85" s="189">
        <v>77.989999999999995</v>
      </c>
      <c r="L85" s="189">
        <v>32.79</v>
      </c>
      <c r="M85" s="189">
        <v>50.74</v>
      </c>
      <c r="N85" s="189">
        <v>0</v>
      </c>
      <c r="O85" s="189">
        <v>0</v>
      </c>
      <c r="P85" s="189">
        <v>0.72</v>
      </c>
      <c r="Q85" s="189">
        <v>5.0999999999999996</v>
      </c>
    </row>
    <row r="86" spans="1:17" customFormat="1">
      <c r="A86" s="6" t="s">
        <v>1658</v>
      </c>
      <c r="B86" s="189">
        <v>28.72</v>
      </c>
      <c r="C86" s="189">
        <v>52.44</v>
      </c>
      <c r="D86" s="189">
        <v>49.38</v>
      </c>
      <c r="E86" s="189">
        <v>20.67</v>
      </c>
      <c r="F86" s="189">
        <v>5.4</v>
      </c>
      <c r="G86" s="189">
        <v>71.790000000000006</v>
      </c>
      <c r="H86" s="189">
        <v>24.12</v>
      </c>
      <c r="I86" s="189">
        <v>4.57</v>
      </c>
      <c r="J86" s="189">
        <v>0.15</v>
      </c>
      <c r="K86" s="189">
        <v>133.72</v>
      </c>
      <c r="L86" s="189">
        <v>32.99</v>
      </c>
      <c r="M86" s="189">
        <v>51.27</v>
      </c>
      <c r="N86" s="189">
        <v>0</v>
      </c>
      <c r="O86" s="189">
        <v>0</v>
      </c>
      <c r="P86" s="189">
        <v>0.88</v>
      </c>
      <c r="Q86" s="189">
        <v>5.13</v>
      </c>
    </row>
    <row r="87" spans="1:17" customFormat="1">
      <c r="A87" s="6" t="s">
        <v>1659</v>
      </c>
      <c r="B87" s="189">
        <v>36.880000000000003</v>
      </c>
      <c r="C87" s="189">
        <v>56.1</v>
      </c>
      <c r="D87" s="189">
        <v>57.84</v>
      </c>
      <c r="E87" s="189">
        <v>20.53</v>
      </c>
      <c r="F87" s="189">
        <v>4.07</v>
      </c>
      <c r="G87" s="189">
        <v>76.12</v>
      </c>
      <c r="H87" s="189">
        <v>24.39</v>
      </c>
      <c r="I87" s="189">
        <v>4.93</v>
      </c>
      <c r="J87" s="189">
        <v>0.24</v>
      </c>
      <c r="K87" s="189">
        <v>104.26</v>
      </c>
      <c r="L87" s="189">
        <v>33.07</v>
      </c>
      <c r="M87" s="189">
        <v>50.91</v>
      </c>
      <c r="N87" s="189">
        <v>0</v>
      </c>
      <c r="O87" s="189">
        <v>0</v>
      </c>
      <c r="P87" s="189">
        <v>1.1000000000000001</v>
      </c>
      <c r="Q87" s="189">
        <v>5.21</v>
      </c>
    </row>
    <row r="88" spans="1:17" customFormat="1">
      <c r="A88" s="6" t="s">
        <v>1660</v>
      </c>
      <c r="B88" s="189">
        <v>22.26</v>
      </c>
      <c r="C88" s="189">
        <v>50.5</v>
      </c>
      <c r="D88" s="189">
        <v>43.19</v>
      </c>
      <c r="E88" s="189">
        <v>17.75</v>
      </c>
      <c r="F88" s="189">
        <v>3.93</v>
      </c>
      <c r="G88" s="189">
        <v>78.62</v>
      </c>
      <c r="H88" s="189">
        <v>24.44</v>
      </c>
      <c r="I88" s="189">
        <v>6.22</v>
      </c>
      <c r="J88" s="189">
        <v>0.25</v>
      </c>
      <c r="K88" s="189">
        <v>174.63</v>
      </c>
      <c r="L88" s="189">
        <v>32.409999999999997</v>
      </c>
      <c r="M88" s="189">
        <v>58.99</v>
      </c>
      <c r="N88" s="189">
        <v>0</v>
      </c>
      <c r="O88" s="189">
        <v>0</v>
      </c>
      <c r="P88" s="189">
        <v>0.87</v>
      </c>
      <c r="Q88" s="189">
        <v>5.32</v>
      </c>
    </row>
    <row r="89" spans="1:17" customFormat="1">
      <c r="A89" s="6" t="s">
        <v>1661</v>
      </c>
      <c r="B89" s="189">
        <v>22.48</v>
      </c>
      <c r="C89" s="189">
        <v>50.48</v>
      </c>
      <c r="D89" s="189">
        <v>43.36</v>
      </c>
      <c r="E89" s="189">
        <v>11.39</v>
      </c>
      <c r="F89" s="189">
        <v>3.74</v>
      </c>
      <c r="G89" s="189">
        <v>78.62</v>
      </c>
      <c r="H89" s="189">
        <v>24.44</v>
      </c>
      <c r="I89" s="189">
        <v>7.02</v>
      </c>
      <c r="J89" s="189">
        <v>0.26</v>
      </c>
      <c r="K89" s="189">
        <v>194.87</v>
      </c>
      <c r="L89" s="189">
        <v>31.56</v>
      </c>
      <c r="M89" s="189">
        <v>62.8</v>
      </c>
      <c r="N89" s="189">
        <v>0</v>
      </c>
      <c r="O89" s="189">
        <v>0</v>
      </c>
      <c r="P89" s="189">
        <v>0.78</v>
      </c>
      <c r="Q89" s="189">
        <v>5.46</v>
      </c>
    </row>
    <row r="90" spans="1:17" customFormat="1">
      <c r="A90" s="6" t="s">
        <v>1662</v>
      </c>
      <c r="B90" s="189">
        <v>19.329999999999998</v>
      </c>
      <c r="C90" s="189">
        <v>47.15</v>
      </c>
      <c r="D90" s="189">
        <v>39.090000000000003</v>
      </c>
      <c r="E90" s="189">
        <v>16.12</v>
      </c>
      <c r="F90" s="189">
        <v>4.8899999999999997</v>
      </c>
      <c r="G90" s="189">
        <v>78.62</v>
      </c>
      <c r="H90" s="189">
        <v>24.44</v>
      </c>
      <c r="I90" s="189">
        <v>6.57</v>
      </c>
      <c r="J90" s="189">
        <v>0.21</v>
      </c>
      <c r="K90" s="189">
        <v>200.49</v>
      </c>
      <c r="L90" s="189">
        <v>31.45</v>
      </c>
      <c r="M90" s="189">
        <v>57.75</v>
      </c>
      <c r="N90" s="189">
        <v>0</v>
      </c>
      <c r="O90" s="189">
        <v>0</v>
      </c>
      <c r="P90" s="189">
        <v>0.74</v>
      </c>
      <c r="Q90" s="189">
        <v>5.52</v>
      </c>
    </row>
    <row r="91" spans="1:17" customFormat="1">
      <c r="A91" s="6" t="s">
        <v>1663</v>
      </c>
      <c r="B91" s="189">
        <v>18.399999999999999</v>
      </c>
      <c r="C91" s="189">
        <v>45.74</v>
      </c>
      <c r="D91" s="189">
        <v>37.61</v>
      </c>
      <c r="E91" s="189">
        <v>16.489999999999998</v>
      </c>
      <c r="F91" s="189">
        <v>6.32</v>
      </c>
      <c r="G91" s="189">
        <v>78.89</v>
      </c>
      <c r="H91" s="189">
        <v>23.36</v>
      </c>
      <c r="I91" s="189">
        <v>6.17</v>
      </c>
      <c r="J91" s="189">
        <v>0.19</v>
      </c>
      <c r="K91" s="189">
        <v>212.74</v>
      </c>
      <c r="L91" s="189">
        <v>31.28</v>
      </c>
      <c r="M91" s="189">
        <v>59.06</v>
      </c>
      <c r="N91" s="189">
        <v>0</v>
      </c>
      <c r="O91" s="189">
        <v>0</v>
      </c>
      <c r="P91" s="189">
        <v>0.71</v>
      </c>
      <c r="Q91" s="189">
        <v>5.53</v>
      </c>
    </row>
    <row r="92" spans="1:17" customFormat="1">
      <c r="A92" s="6" t="s">
        <v>1664</v>
      </c>
      <c r="B92" s="189">
        <v>17.989999999999998</v>
      </c>
      <c r="C92" s="189">
        <v>48.39</v>
      </c>
      <c r="D92" s="189">
        <v>38.659999999999997</v>
      </c>
      <c r="E92" s="189">
        <v>13.6</v>
      </c>
      <c r="F92" s="189">
        <v>4.53</v>
      </c>
      <c r="G92" s="189">
        <v>79.05</v>
      </c>
      <c r="H92" s="189">
        <v>23.17</v>
      </c>
      <c r="I92" s="189">
        <v>5.87</v>
      </c>
      <c r="J92" s="189">
        <v>0.17</v>
      </c>
      <c r="K92" s="189">
        <v>228.28</v>
      </c>
      <c r="L92" s="189">
        <v>31.16</v>
      </c>
      <c r="M92" s="189">
        <v>59.09</v>
      </c>
      <c r="N92" s="189">
        <v>0</v>
      </c>
      <c r="O92" s="189">
        <v>0</v>
      </c>
      <c r="P92" s="189">
        <v>0.74</v>
      </c>
      <c r="Q92" s="189">
        <v>5.66</v>
      </c>
    </row>
    <row r="93" spans="1:17" customFormat="1">
      <c r="A93" s="6" t="s">
        <v>1665</v>
      </c>
      <c r="B93" s="189">
        <v>17.559999999999999</v>
      </c>
      <c r="C93" s="189">
        <v>46.79</v>
      </c>
      <c r="D93" s="189">
        <v>37.49</v>
      </c>
      <c r="E93" s="189">
        <v>14.92</v>
      </c>
      <c r="F93" s="189">
        <v>4.4800000000000004</v>
      </c>
      <c r="G93" s="189">
        <v>79.05</v>
      </c>
      <c r="H93" s="189">
        <v>23.17</v>
      </c>
      <c r="I93" s="189">
        <v>5.83</v>
      </c>
      <c r="J93" s="189">
        <v>0.15</v>
      </c>
      <c r="K93" s="189">
        <v>221.6</v>
      </c>
      <c r="L93" s="189">
        <v>30.97</v>
      </c>
      <c r="M93" s="189">
        <v>58.5</v>
      </c>
      <c r="N93" s="189">
        <v>0</v>
      </c>
      <c r="O93" s="189">
        <v>0</v>
      </c>
      <c r="P93" s="189">
        <v>0.77</v>
      </c>
      <c r="Q93" s="189">
        <v>5.64</v>
      </c>
    </row>
    <row r="94" spans="1:17" customFormat="1">
      <c r="A94" s="6" t="s">
        <v>1666</v>
      </c>
      <c r="B94" s="189">
        <v>18.899999999999999</v>
      </c>
      <c r="C94" s="189">
        <v>47.73</v>
      </c>
      <c r="D94" s="189">
        <v>39.049999999999997</v>
      </c>
      <c r="E94" s="189">
        <v>13.35</v>
      </c>
      <c r="F94" s="189">
        <v>4.62</v>
      </c>
      <c r="G94" s="189">
        <v>79.05</v>
      </c>
      <c r="H94" s="189">
        <v>23.17</v>
      </c>
      <c r="I94" s="189">
        <v>6.31</v>
      </c>
      <c r="J94" s="189">
        <v>0.16</v>
      </c>
      <c r="K94" s="189">
        <v>186.78</v>
      </c>
      <c r="L94" s="189">
        <v>31.02</v>
      </c>
      <c r="M94" s="189">
        <v>58.83</v>
      </c>
      <c r="N94" s="189">
        <v>0</v>
      </c>
      <c r="O94" s="189">
        <v>0</v>
      </c>
      <c r="P94" s="189">
        <v>0.77</v>
      </c>
      <c r="Q94" s="189">
        <v>5.63</v>
      </c>
    </row>
    <row r="95" spans="1:17" customFormat="1">
      <c r="A95" s="6" t="s">
        <v>1667</v>
      </c>
      <c r="B95" s="189">
        <v>20.73</v>
      </c>
      <c r="C95" s="189">
        <v>49.5</v>
      </c>
      <c r="D95" s="189">
        <v>41.44</v>
      </c>
      <c r="E95" s="189">
        <v>12.16</v>
      </c>
      <c r="F95" s="189">
        <v>4.25</v>
      </c>
      <c r="G95" s="189">
        <v>78.88</v>
      </c>
      <c r="H95" s="189">
        <v>23.16</v>
      </c>
      <c r="I95" s="189">
        <v>6.65</v>
      </c>
      <c r="J95" s="189">
        <v>0.14000000000000001</v>
      </c>
      <c r="K95" s="189">
        <v>213.42</v>
      </c>
      <c r="L95" s="189">
        <v>30.92</v>
      </c>
      <c r="M95" s="189">
        <v>58.86</v>
      </c>
      <c r="N95" s="189">
        <v>0</v>
      </c>
      <c r="O95" s="189">
        <v>0</v>
      </c>
      <c r="P95" s="189">
        <v>0.8</v>
      </c>
      <c r="Q95" s="189">
        <v>5.72</v>
      </c>
    </row>
    <row r="96" spans="1:17" customFormat="1">
      <c r="A96" s="6" t="s">
        <v>1668</v>
      </c>
      <c r="B96" s="189">
        <v>19.649999999999999</v>
      </c>
      <c r="C96" s="189">
        <v>48.09</v>
      </c>
      <c r="D96" s="189">
        <v>39.840000000000003</v>
      </c>
      <c r="E96" s="189">
        <v>13.44</v>
      </c>
      <c r="F96" s="189">
        <v>4.87</v>
      </c>
      <c r="G96" s="189">
        <v>78.78</v>
      </c>
      <c r="H96" s="189">
        <v>23.16</v>
      </c>
      <c r="I96" s="189">
        <v>6.77</v>
      </c>
      <c r="J96" s="189">
        <v>0.17</v>
      </c>
      <c r="K96" s="189">
        <v>198.05</v>
      </c>
      <c r="L96" s="189">
        <v>30.86</v>
      </c>
      <c r="M96" s="189">
        <v>58.58</v>
      </c>
      <c r="N96" s="189">
        <v>0</v>
      </c>
      <c r="O96" s="189">
        <v>0</v>
      </c>
      <c r="P96" s="189">
        <v>0.79</v>
      </c>
      <c r="Q96" s="189">
        <v>5.75</v>
      </c>
    </row>
    <row r="97" spans="1:22" customFormat="1">
      <c r="A97" s="6" t="s">
        <v>1669</v>
      </c>
      <c r="B97" s="189">
        <v>20.88</v>
      </c>
      <c r="C97" s="189">
        <v>45.84</v>
      </c>
      <c r="D97" s="189">
        <v>39.65</v>
      </c>
      <c r="E97" s="189">
        <v>12.22</v>
      </c>
      <c r="F97" s="189">
        <v>4.4000000000000004</v>
      </c>
      <c r="G97" s="189">
        <v>78.78</v>
      </c>
      <c r="H97" s="189">
        <v>23.16</v>
      </c>
      <c r="I97" s="189">
        <v>6.85</v>
      </c>
      <c r="J97" s="189">
        <v>0.16</v>
      </c>
      <c r="K97" s="189">
        <v>193.89</v>
      </c>
      <c r="L97" s="189">
        <v>30.49</v>
      </c>
      <c r="M97" s="189">
        <v>62.4</v>
      </c>
      <c r="N97" s="189">
        <v>0</v>
      </c>
      <c r="O97" s="189">
        <v>0</v>
      </c>
      <c r="P97" s="189">
        <v>0.79</v>
      </c>
      <c r="Q97" s="189">
        <v>5.71</v>
      </c>
    </row>
    <row r="98" spans="1:22" customFormat="1">
      <c r="A98" s="6" t="s">
        <v>1670</v>
      </c>
      <c r="B98" s="189">
        <v>23.36</v>
      </c>
      <c r="C98" s="189">
        <v>47.71</v>
      </c>
      <c r="D98" s="189">
        <v>42.62</v>
      </c>
      <c r="E98" s="189">
        <v>10.86</v>
      </c>
      <c r="F98" s="189">
        <v>4.04</v>
      </c>
      <c r="G98" s="189">
        <v>78.78</v>
      </c>
      <c r="H98" s="189">
        <v>23.16</v>
      </c>
      <c r="I98" s="189">
        <v>6.78</v>
      </c>
      <c r="J98" s="189">
        <v>0.15</v>
      </c>
      <c r="K98" s="189">
        <v>194.69</v>
      </c>
      <c r="L98" s="189">
        <v>30.35</v>
      </c>
      <c r="M98" s="189">
        <v>64.680000000000007</v>
      </c>
      <c r="N98" s="189">
        <v>0</v>
      </c>
      <c r="O98" s="189">
        <v>0</v>
      </c>
      <c r="P98" s="189">
        <v>0.79</v>
      </c>
      <c r="Q98" s="189">
        <v>5.75</v>
      </c>
    </row>
    <row r="99" spans="1:22" customFormat="1">
      <c r="A99" s="6" t="s">
        <v>1671</v>
      </c>
      <c r="B99" s="189">
        <v>23.58</v>
      </c>
      <c r="C99" s="189">
        <v>46.04</v>
      </c>
      <c r="D99" s="189">
        <v>41.92</v>
      </c>
      <c r="E99" s="189">
        <v>10.77</v>
      </c>
      <c r="F99" s="189">
        <v>3.59</v>
      </c>
      <c r="G99" s="189">
        <v>76.349999999999994</v>
      </c>
      <c r="H99" s="189">
        <v>24.54</v>
      </c>
      <c r="I99" s="189">
        <v>6.79</v>
      </c>
      <c r="J99" s="189">
        <v>0.14000000000000001</v>
      </c>
      <c r="K99" s="189">
        <v>218.15</v>
      </c>
      <c r="L99" s="189">
        <v>30.15</v>
      </c>
      <c r="M99" s="189">
        <v>64.319999999999993</v>
      </c>
      <c r="N99" s="189">
        <v>0</v>
      </c>
      <c r="O99" s="189">
        <v>0</v>
      </c>
      <c r="P99" s="189">
        <v>0.8</v>
      </c>
      <c r="Q99" s="189">
        <v>5.83</v>
      </c>
    </row>
    <row r="100" spans="1:22" customFormat="1">
      <c r="A100" s="6" t="s">
        <v>1672</v>
      </c>
      <c r="B100" s="189">
        <v>25.03</v>
      </c>
      <c r="C100" s="189">
        <v>47.69</v>
      </c>
      <c r="D100" s="189">
        <v>43.94</v>
      </c>
      <c r="E100" s="189">
        <v>9.64</v>
      </c>
      <c r="F100" s="189">
        <v>3.89</v>
      </c>
      <c r="G100" s="189">
        <v>74.94</v>
      </c>
      <c r="H100" s="189">
        <v>24.79</v>
      </c>
      <c r="I100" s="189">
        <v>6.89</v>
      </c>
      <c r="J100" s="189">
        <v>0.14000000000000001</v>
      </c>
      <c r="K100" s="189">
        <v>203.08</v>
      </c>
      <c r="L100" s="189">
        <v>30.03</v>
      </c>
      <c r="M100" s="189">
        <v>61.89</v>
      </c>
      <c r="N100" s="189">
        <v>0</v>
      </c>
      <c r="O100" s="189">
        <v>0</v>
      </c>
      <c r="P100" s="189">
        <v>0.8</v>
      </c>
      <c r="Q100" s="189">
        <v>5.84</v>
      </c>
    </row>
    <row r="101" spans="1:22" customFormat="1">
      <c r="A101" s="6" t="s">
        <v>1673</v>
      </c>
      <c r="B101" s="189">
        <v>25.6</v>
      </c>
      <c r="C101" s="189">
        <v>46.53</v>
      </c>
      <c r="D101" s="189">
        <v>43.8</v>
      </c>
      <c r="E101" s="189">
        <v>9.8000000000000007</v>
      </c>
      <c r="F101" s="189">
        <v>3.71</v>
      </c>
      <c r="G101" s="189">
        <v>74.94</v>
      </c>
      <c r="H101" s="189">
        <v>24.79</v>
      </c>
      <c r="I101" s="189">
        <v>6.96</v>
      </c>
      <c r="J101" s="189">
        <v>0.15</v>
      </c>
      <c r="K101" s="189">
        <v>161.56</v>
      </c>
      <c r="L101" s="189">
        <v>30.16</v>
      </c>
      <c r="M101" s="189">
        <v>64.67</v>
      </c>
      <c r="N101" s="189">
        <v>0</v>
      </c>
      <c r="O101" s="189">
        <v>0</v>
      </c>
      <c r="P101" s="189">
        <v>0.82</v>
      </c>
      <c r="Q101" s="189">
        <v>5.88</v>
      </c>
    </row>
    <row r="102" spans="1:22" customFormat="1">
      <c r="A102" s="6" t="s">
        <v>1674</v>
      </c>
      <c r="B102" s="189">
        <v>27.1</v>
      </c>
      <c r="C102" s="189">
        <v>45.71</v>
      </c>
      <c r="D102" s="189">
        <v>44.57</v>
      </c>
      <c r="E102" s="189">
        <v>8.4600000000000009</v>
      </c>
      <c r="F102" s="189">
        <v>3.82</v>
      </c>
      <c r="G102" s="189">
        <v>74.94</v>
      </c>
      <c r="H102" s="189">
        <v>24.79</v>
      </c>
      <c r="I102" s="189">
        <v>7.12</v>
      </c>
      <c r="J102" s="189">
        <v>0.18</v>
      </c>
      <c r="K102" s="189">
        <v>175.25</v>
      </c>
      <c r="L102" s="189">
        <v>30.02</v>
      </c>
      <c r="M102" s="189">
        <v>65.63</v>
      </c>
      <c r="N102" s="189">
        <v>0</v>
      </c>
      <c r="O102" s="189">
        <v>0</v>
      </c>
      <c r="P102" s="189">
        <v>0.78</v>
      </c>
      <c r="Q102" s="189">
        <v>5.88</v>
      </c>
    </row>
    <row r="103" spans="1:22" customFormat="1">
      <c r="A103" s="6" t="s">
        <v>1675</v>
      </c>
      <c r="B103" s="189">
        <v>27.03</v>
      </c>
      <c r="C103" s="189">
        <v>45.65</v>
      </c>
      <c r="D103" s="189">
        <v>44.48</v>
      </c>
      <c r="E103" s="189">
        <v>8.4700000000000006</v>
      </c>
      <c r="F103" s="189">
        <v>3.49</v>
      </c>
      <c r="G103" s="189">
        <v>73.44</v>
      </c>
      <c r="H103" s="189">
        <v>24.11</v>
      </c>
      <c r="I103" s="189">
        <v>7.14</v>
      </c>
      <c r="J103" s="189">
        <v>0.19</v>
      </c>
      <c r="K103" s="189">
        <v>196.56</v>
      </c>
      <c r="L103" s="189">
        <v>29.68</v>
      </c>
      <c r="M103" s="189">
        <v>70.84</v>
      </c>
      <c r="N103" s="189">
        <v>0</v>
      </c>
      <c r="O103" s="189">
        <v>0</v>
      </c>
      <c r="P103" s="189">
        <v>0.78</v>
      </c>
      <c r="Q103" s="189">
        <v>5.98</v>
      </c>
    </row>
    <row r="104" spans="1:22" customFormat="1">
      <c r="A104" s="6" t="s">
        <v>1676</v>
      </c>
      <c r="B104" s="189">
        <v>28.35</v>
      </c>
      <c r="C104" s="189">
        <v>46.29</v>
      </c>
      <c r="D104" s="189">
        <v>45.87</v>
      </c>
      <c r="E104" s="189">
        <v>7.29</v>
      </c>
      <c r="F104" s="189">
        <v>3.96</v>
      </c>
      <c r="G104" s="189">
        <v>72.56</v>
      </c>
      <c r="H104" s="189">
        <v>23.99</v>
      </c>
      <c r="I104" s="189">
        <v>6.97</v>
      </c>
      <c r="J104" s="189">
        <v>0.12</v>
      </c>
      <c r="K104" s="189">
        <v>182.82</v>
      </c>
      <c r="L104" s="189">
        <v>29.51</v>
      </c>
      <c r="M104" s="189">
        <v>64.989999999999995</v>
      </c>
      <c r="N104" s="189">
        <v>0</v>
      </c>
      <c r="O104" s="189">
        <v>0</v>
      </c>
      <c r="P104" s="189">
        <v>0.76</v>
      </c>
      <c r="Q104" s="189">
        <v>5.99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1.98</v>
      </c>
      <c r="C106" s="183">
        <f>MIN(C9:C104)</f>
        <v>27.08</v>
      </c>
      <c r="D106" s="183">
        <f t="shared" ref="D106:Q106" si="0">MIN(D9:D104)</f>
        <v>16.440000000000001</v>
      </c>
      <c r="E106" s="183">
        <f t="shared" si="0"/>
        <v>3.22</v>
      </c>
      <c r="F106" s="183">
        <f t="shared" si="0"/>
        <v>3.49</v>
      </c>
      <c r="G106" s="183">
        <f t="shared" si="0"/>
        <v>35.29</v>
      </c>
      <c r="H106" s="183">
        <f t="shared" si="0"/>
        <v>10.76</v>
      </c>
      <c r="I106" s="183">
        <f t="shared" si="0"/>
        <v>3.13</v>
      </c>
      <c r="J106" s="183">
        <f t="shared" si="0"/>
        <v>0.03</v>
      </c>
      <c r="K106" s="183">
        <f t="shared" si="0"/>
        <v>18.260000000000002</v>
      </c>
      <c r="L106" s="183">
        <f t="shared" si="0"/>
        <v>27.24</v>
      </c>
      <c r="M106" s="183">
        <f t="shared" si="0"/>
        <v>27.21</v>
      </c>
      <c r="N106" s="183">
        <f t="shared" si="0"/>
        <v>0</v>
      </c>
      <c r="O106" s="183">
        <f t="shared" si="0"/>
        <v>0</v>
      </c>
      <c r="P106" s="183">
        <f t="shared" si="0"/>
        <v>0.38</v>
      </c>
      <c r="Q106" s="183">
        <f t="shared" si="0"/>
        <v>4.26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36.880000000000003</v>
      </c>
      <c r="C107" s="184">
        <f t="shared" ref="C107:Q107" si="1">MAX(C9:C104)</f>
        <v>56.1</v>
      </c>
      <c r="D107" s="184">
        <f t="shared" si="1"/>
        <v>57.84</v>
      </c>
      <c r="E107" s="184">
        <f t="shared" si="1"/>
        <v>46.67</v>
      </c>
      <c r="F107" s="184">
        <f t="shared" si="1"/>
        <v>49.95</v>
      </c>
      <c r="G107" s="184">
        <f t="shared" si="1"/>
        <v>79.05</v>
      </c>
      <c r="H107" s="184">
        <f t="shared" si="1"/>
        <v>24.79</v>
      </c>
      <c r="I107" s="184">
        <f t="shared" si="1"/>
        <v>8.6300000000000008</v>
      </c>
      <c r="J107" s="184">
        <f t="shared" si="1"/>
        <v>1.64</v>
      </c>
      <c r="K107" s="184">
        <f t="shared" si="1"/>
        <v>308.38</v>
      </c>
      <c r="L107" s="184">
        <f t="shared" si="1"/>
        <v>40.28</v>
      </c>
      <c r="M107" s="184">
        <f t="shared" si="1"/>
        <v>75.819999999999993</v>
      </c>
      <c r="N107" s="184">
        <f t="shared" si="1"/>
        <v>855.7</v>
      </c>
      <c r="O107" s="184">
        <f t="shared" si="1"/>
        <v>0</v>
      </c>
      <c r="P107" s="184">
        <f t="shared" si="1"/>
        <v>1.1000000000000001</v>
      </c>
      <c r="Q107" s="184">
        <f t="shared" si="1"/>
        <v>6.22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19.824583333333337</v>
      </c>
      <c r="C108" s="183">
        <f t="shared" ref="C108:Q108" si="2">AVERAGE(C9:C104)</f>
        <v>44.327187499999987</v>
      </c>
      <c r="D108" s="183">
        <f t="shared" si="2"/>
        <v>38.01281250000001</v>
      </c>
      <c r="E108" s="183">
        <f t="shared" si="2"/>
        <v>10.429270833333332</v>
      </c>
      <c r="F108" s="183">
        <f t="shared" si="2"/>
        <v>11.775625</v>
      </c>
      <c r="G108" s="183">
        <f t="shared" si="2"/>
        <v>53.309687499999988</v>
      </c>
      <c r="H108" s="183">
        <f t="shared" si="2"/>
        <v>18.355208333333341</v>
      </c>
      <c r="I108" s="183">
        <f t="shared" si="2"/>
        <v>5.7886458333333328</v>
      </c>
      <c r="J108" s="183">
        <f t="shared" si="2"/>
        <v>0.59958333333333302</v>
      </c>
      <c r="K108" s="183">
        <f t="shared" si="2"/>
        <v>216.60031249999997</v>
      </c>
      <c r="L108" s="183">
        <f t="shared" si="2"/>
        <v>32.881354166666668</v>
      </c>
      <c r="M108" s="183">
        <f t="shared" si="2"/>
        <v>50.234062499999965</v>
      </c>
      <c r="N108" s="183">
        <f t="shared" si="2"/>
        <v>150.88124999999997</v>
      </c>
      <c r="O108" s="183">
        <f t="shared" si="2"/>
        <v>0</v>
      </c>
      <c r="P108" s="183">
        <f t="shared" si="2"/>
        <v>0.70239583333333355</v>
      </c>
      <c r="Q108" s="183">
        <f t="shared" si="2"/>
        <v>5.4326041666666649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10.542359959172904</v>
      </c>
      <c r="C109" s="183">
        <f t="shared" ref="C109:Q109" si="3">STDEV(C9:C104)</f>
        <v>6.7330038190716417</v>
      </c>
      <c r="D109" s="183">
        <f t="shared" si="3"/>
        <v>11.784183753804074</v>
      </c>
      <c r="E109" s="183">
        <f t="shared" si="3"/>
        <v>7.3901210366545085</v>
      </c>
      <c r="F109" s="183">
        <f t="shared" si="3"/>
        <v>9.9179293055822093</v>
      </c>
      <c r="G109" s="183">
        <f t="shared" si="3"/>
        <v>13.512682888630414</v>
      </c>
      <c r="H109" s="183">
        <f t="shared" si="3"/>
        <v>4.798102251859385</v>
      </c>
      <c r="I109" s="183">
        <f t="shared" si="3"/>
        <v>1.5495748957233935</v>
      </c>
      <c r="J109" s="183">
        <f t="shared" si="3"/>
        <v>0.47519285097109298</v>
      </c>
      <c r="K109" s="183">
        <f t="shared" si="3"/>
        <v>76.47322524845768</v>
      </c>
      <c r="L109" s="183">
        <f t="shared" si="3"/>
        <v>4.2259632647895611</v>
      </c>
      <c r="M109" s="183">
        <f t="shared" si="3"/>
        <v>13.790324417246254</v>
      </c>
      <c r="N109" s="183">
        <f t="shared" si="3"/>
        <v>246.40159958148769</v>
      </c>
      <c r="O109" s="183">
        <f t="shared" si="3"/>
        <v>0</v>
      </c>
      <c r="P109" s="183">
        <f t="shared" si="3"/>
        <v>0.17060724234437064</v>
      </c>
      <c r="Q109" s="183">
        <f t="shared" si="3"/>
        <v>0.69702109730462514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16/06/2023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1677</v>
      </c>
      <c r="B9" s="189">
        <v>24.55</v>
      </c>
      <c r="C9" s="189">
        <v>42.53</v>
      </c>
      <c r="D9" s="189">
        <v>40.869999999999997</v>
      </c>
      <c r="E9" s="189">
        <v>8.3699999999999992</v>
      </c>
      <c r="F9" s="189">
        <v>3.86</v>
      </c>
      <c r="G9" s="189">
        <v>72.56</v>
      </c>
      <c r="H9" s="189">
        <v>23.99</v>
      </c>
      <c r="I9" s="189">
        <v>6.95</v>
      </c>
      <c r="J9" s="189">
        <v>0.19</v>
      </c>
      <c r="K9" s="189">
        <v>172.28</v>
      </c>
      <c r="L9" s="189">
        <v>29.76</v>
      </c>
      <c r="M9" s="189">
        <v>64.81</v>
      </c>
      <c r="N9" s="189">
        <v>0</v>
      </c>
      <c r="O9" s="189">
        <v>0</v>
      </c>
      <c r="P9" s="189">
        <v>0.74</v>
      </c>
      <c r="Q9" s="189">
        <v>6.01</v>
      </c>
    </row>
    <row r="10" spans="1:21" customFormat="1">
      <c r="A10" s="6" t="s">
        <v>1678</v>
      </c>
      <c r="B10" s="189">
        <v>29.07</v>
      </c>
      <c r="C10" s="189">
        <v>45.31</v>
      </c>
      <c r="D10" s="189">
        <v>45.94</v>
      </c>
      <c r="E10" s="189">
        <v>7.53</v>
      </c>
      <c r="F10" s="189">
        <v>4.26</v>
      </c>
      <c r="G10" s="189">
        <v>72.56</v>
      </c>
      <c r="H10" s="189">
        <v>23.99</v>
      </c>
      <c r="I10" s="189">
        <v>6.82</v>
      </c>
      <c r="J10" s="189">
        <v>0.23</v>
      </c>
      <c r="K10" s="189">
        <v>174.06</v>
      </c>
      <c r="L10" s="189">
        <v>29.68</v>
      </c>
      <c r="M10" s="189">
        <v>65.19</v>
      </c>
      <c r="N10" s="189">
        <v>0</v>
      </c>
      <c r="O10" s="189">
        <v>0</v>
      </c>
      <c r="P10" s="189">
        <v>0.74</v>
      </c>
      <c r="Q10" s="189">
        <v>5.98</v>
      </c>
    </row>
    <row r="11" spans="1:21" customFormat="1">
      <c r="A11" s="6" t="s">
        <v>1679</v>
      </c>
      <c r="B11" s="189">
        <v>24.68</v>
      </c>
      <c r="C11" s="189">
        <v>41.82</v>
      </c>
      <c r="D11" s="189">
        <v>40.6</v>
      </c>
      <c r="E11" s="189">
        <v>8.6</v>
      </c>
      <c r="F11" s="189">
        <v>6.15</v>
      </c>
      <c r="G11" s="189">
        <v>70.87</v>
      </c>
      <c r="H11" s="189">
        <v>21.08</v>
      </c>
      <c r="I11" s="189">
        <v>6.69</v>
      </c>
      <c r="J11" s="189">
        <v>0.2</v>
      </c>
      <c r="K11" s="189">
        <v>187.75</v>
      </c>
      <c r="L11" s="189">
        <v>29.99</v>
      </c>
      <c r="M11" s="189">
        <v>60.16</v>
      </c>
      <c r="N11" s="189">
        <v>0</v>
      </c>
      <c r="O11" s="189">
        <v>0</v>
      </c>
      <c r="P11" s="189">
        <v>0.68</v>
      </c>
      <c r="Q11" s="189">
        <v>6.04</v>
      </c>
    </row>
    <row r="12" spans="1:21" customFormat="1">
      <c r="A12" s="6" t="s">
        <v>1680</v>
      </c>
      <c r="B12" s="189">
        <v>26.36</v>
      </c>
      <c r="C12" s="189">
        <v>41.73</v>
      </c>
      <c r="D12" s="189">
        <v>41.9</v>
      </c>
      <c r="E12" s="189">
        <v>7.57</v>
      </c>
      <c r="F12" s="189">
        <v>10.48</v>
      </c>
      <c r="G12" s="189">
        <v>69.89</v>
      </c>
      <c r="H12" s="189">
        <v>20.22</v>
      </c>
      <c r="I12" s="189">
        <v>6.53</v>
      </c>
      <c r="J12" s="189">
        <v>0.4</v>
      </c>
      <c r="K12" s="189">
        <v>238.28</v>
      </c>
      <c r="L12" s="189">
        <v>31.06</v>
      </c>
      <c r="M12" s="189">
        <v>50.13</v>
      </c>
      <c r="N12" s="189">
        <v>0</v>
      </c>
      <c r="O12" s="189">
        <v>0</v>
      </c>
      <c r="P12" s="189">
        <v>0.67</v>
      </c>
      <c r="Q12" s="189">
        <v>6.04</v>
      </c>
    </row>
    <row r="13" spans="1:21" customFormat="1">
      <c r="A13" s="6" t="s">
        <v>1681</v>
      </c>
      <c r="B13" s="189">
        <v>24.07</v>
      </c>
      <c r="C13" s="189">
        <v>38.31</v>
      </c>
      <c r="D13" s="189">
        <v>38.270000000000003</v>
      </c>
      <c r="E13" s="189">
        <v>7.23</v>
      </c>
      <c r="F13" s="189">
        <v>14.83</v>
      </c>
      <c r="G13" s="189">
        <v>69.89</v>
      </c>
      <c r="H13" s="189">
        <v>20.22</v>
      </c>
      <c r="I13" s="189">
        <v>6.16</v>
      </c>
      <c r="J13" s="189">
        <v>0.45</v>
      </c>
      <c r="K13" s="189">
        <v>246.37</v>
      </c>
      <c r="L13" s="189">
        <v>31.81</v>
      </c>
      <c r="M13" s="189">
        <v>46.51</v>
      </c>
      <c r="N13" s="189">
        <v>0</v>
      </c>
      <c r="O13" s="189">
        <v>0</v>
      </c>
      <c r="P13" s="189">
        <v>0.63</v>
      </c>
      <c r="Q13" s="189">
        <v>6.04</v>
      </c>
    </row>
    <row r="14" spans="1:21" customFormat="1">
      <c r="A14" s="6" t="s">
        <v>1682</v>
      </c>
      <c r="B14" s="189">
        <v>22.53</v>
      </c>
      <c r="C14" s="189">
        <v>40.090000000000003</v>
      </c>
      <c r="D14" s="189">
        <v>37.97</v>
      </c>
      <c r="E14" s="189">
        <v>6.67</v>
      </c>
      <c r="F14" s="189">
        <v>15.22</v>
      </c>
      <c r="G14" s="189">
        <v>69.89</v>
      </c>
      <c r="H14" s="189">
        <v>20.22</v>
      </c>
      <c r="I14" s="189">
        <v>5.7</v>
      </c>
      <c r="J14" s="189">
        <v>0.34</v>
      </c>
      <c r="K14" s="189">
        <v>234.89</v>
      </c>
      <c r="L14" s="189">
        <v>31.9</v>
      </c>
      <c r="M14" s="189">
        <v>46.04</v>
      </c>
      <c r="N14" s="189">
        <v>0</v>
      </c>
      <c r="O14" s="189">
        <v>0</v>
      </c>
      <c r="P14" s="189">
        <v>0.61</v>
      </c>
      <c r="Q14" s="189">
        <v>6.02</v>
      </c>
    </row>
    <row r="15" spans="1:21" customFormat="1">
      <c r="A15" s="6" t="s">
        <v>1683</v>
      </c>
      <c r="B15" s="189">
        <v>20.61</v>
      </c>
      <c r="C15" s="189">
        <v>35.549999999999997</v>
      </c>
      <c r="D15" s="189">
        <v>34.049999999999997</v>
      </c>
      <c r="E15" s="189">
        <v>6.91</v>
      </c>
      <c r="F15" s="189">
        <v>17.2</v>
      </c>
      <c r="G15" s="189">
        <v>61.72</v>
      </c>
      <c r="H15" s="189">
        <v>18.29</v>
      </c>
      <c r="I15" s="189">
        <v>5.46</v>
      </c>
      <c r="J15" s="189">
        <v>0.23</v>
      </c>
      <c r="K15" s="189">
        <v>199.7</v>
      </c>
      <c r="L15" s="189">
        <v>31.45</v>
      </c>
      <c r="M15" s="189">
        <v>47.65</v>
      </c>
      <c r="N15" s="189">
        <v>0</v>
      </c>
      <c r="O15" s="189">
        <v>0</v>
      </c>
      <c r="P15" s="189">
        <v>0.57999999999999996</v>
      </c>
      <c r="Q15" s="189">
        <v>5.99</v>
      </c>
    </row>
    <row r="16" spans="1:21" customFormat="1">
      <c r="A16" s="6" t="s">
        <v>1684</v>
      </c>
      <c r="B16" s="189">
        <v>22.3</v>
      </c>
      <c r="C16" s="189">
        <v>41.54</v>
      </c>
      <c r="D16" s="189">
        <v>38.54</v>
      </c>
      <c r="E16" s="189">
        <v>6.81</v>
      </c>
      <c r="F16" s="189">
        <v>12.94</v>
      </c>
      <c r="G16" s="189">
        <v>56.99</v>
      </c>
      <c r="H16" s="189">
        <v>17.95</v>
      </c>
      <c r="I16" s="189">
        <v>5.22</v>
      </c>
      <c r="J16" s="189">
        <v>0.23</v>
      </c>
      <c r="K16" s="189">
        <v>205.29</v>
      </c>
      <c r="L16" s="189">
        <v>31.15</v>
      </c>
      <c r="M16" s="189">
        <v>49.21</v>
      </c>
      <c r="N16" s="189">
        <v>0</v>
      </c>
      <c r="O16" s="189">
        <v>0</v>
      </c>
      <c r="P16" s="189">
        <v>0.61</v>
      </c>
      <c r="Q16" s="189">
        <v>5.96</v>
      </c>
    </row>
    <row r="17" spans="1:17" customFormat="1">
      <c r="A17" s="6" t="s">
        <v>1685</v>
      </c>
      <c r="B17" s="189">
        <v>20.53</v>
      </c>
      <c r="C17" s="189">
        <v>37.409999999999997</v>
      </c>
      <c r="D17" s="189">
        <v>34.96</v>
      </c>
      <c r="E17" s="189">
        <v>7.11</v>
      </c>
      <c r="F17" s="189">
        <v>13.97</v>
      </c>
      <c r="G17" s="189">
        <v>56.99</v>
      </c>
      <c r="H17" s="189">
        <v>17.95</v>
      </c>
      <c r="I17" s="189">
        <v>5.05</v>
      </c>
      <c r="J17" s="189">
        <v>0.22</v>
      </c>
      <c r="K17" s="189">
        <v>193.02</v>
      </c>
      <c r="L17" s="189">
        <v>30.72</v>
      </c>
      <c r="M17" s="189">
        <v>52.78</v>
      </c>
      <c r="N17" s="189">
        <v>0</v>
      </c>
      <c r="O17" s="189">
        <v>0</v>
      </c>
      <c r="P17" s="189">
        <v>0.57999999999999996</v>
      </c>
      <c r="Q17" s="189">
        <v>5.9</v>
      </c>
    </row>
    <row r="18" spans="1:17" customFormat="1">
      <c r="A18" s="6" t="s">
        <v>1686</v>
      </c>
      <c r="B18" s="189">
        <v>24.4</v>
      </c>
      <c r="C18" s="189">
        <v>40.18</v>
      </c>
      <c r="D18" s="189">
        <v>39.51</v>
      </c>
      <c r="E18" s="189">
        <v>7.55</v>
      </c>
      <c r="F18" s="189">
        <v>11.3</v>
      </c>
      <c r="G18" s="189">
        <v>56.99</v>
      </c>
      <c r="H18" s="189">
        <v>17.95</v>
      </c>
      <c r="I18" s="189">
        <v>5.28</v>
      </c>
      <c r="J18" s="189">
        <v>0.18</v>
      </c>
      <c r="K18" s="189">
        <v>174.78</v>
      </c>
      <c r="L18" s="189">
        <v>30.31</v>
      </c>
      <c r="M18" s="189">
        <v>54.74</v>
      </c>
      <c r="N18" s="189">
        <v>0</v>
      </c>
      <c r="O18" s="189">
        <v>0</v>
      </c>
      <c r="P18" s="189">
        <v>0.59</v>
      </c>
      <c r="Q18" s="189">
        <v>5.82</v>
      </c>
    </row>
    <row r="19" spans="1:17" customFormat="1">
      <c r="A19" s="6" t="s">
        <v>1687</v>
      </c>
      <c r="B19" s="189">
        <v>20.39</v>
      </c>
      <c r="C19" s="189">
        <v>39.24</v>
      </c>
      <c r="D19" s="189">
        <v>35.81</v>
      </c>
      <c r="E19" s="189">
        <v>7.55</v>
      </c>
      <c r="F19" s="189">
        <v>12.7</v>
      </c>
      <c r="G19" s="189">
        <v>52.87</v>
      </c>
      <c r="H19" s="189">
        <v>17.350000000000001</v>
      </c>
      <c r="I19" s="189">
        <v>4.9800000000000004</v>
      </c>
      <c r="J19" s="189">
        <v>0.16</v>
      </c>
      <c r="K19" s="189">
        <v>199.83</v>
      </c>
      <c r="L19" s="189">
        <v>30.21</v>
      </c>
      <c r="M19" s="189">
        <v>53.18</v>
      </c>
      <c r="N19" s="189">
        <v>0</v>
      </c>
      <c r="O19" s="189">
        <v>0</v>
      </c>
      <c r="P19" s="189">
        <v>0.57999999999999996</v>
      </c>
      <c r="Q19" s="189">
        <v>5.86</v>
      </c>
    </row>
    <row r="20" spans="1:17" customFormat="1">
      <c r="A20" s="6" t="s">
        <v>1688</v>
      </c>
      <c r="B20" s="189">
        <v>22.17</v>
      </c>
      <c r="C20" s="189">
        <v>38.92</v>
      </c>
      <c r="D20" s="189">
        <v>37.07</v>
      </c>
      <c r="E20" s="189">
        <v>7.46</v>
      </c>
      <c r="F20" s="189">
        <v>12.15</v>
      </c>
      <c r="G20" s="189">
        <v>50.36</v>
      </c>
      <c r="H20" s="189">
        <v>17.239999999999998</v>
      </c>
      <c r="I20" s="189">
        <v>5.17</v>
      </c>
      <c r="J20" s="189">
        <v>0.13</v>
      </c>
      <c r="K20" s="189">
        <v>181.28</v>
      </c>
      <c r="L20" s="189">
        <v>29.99</v>
      </c>
      <c r="M20" s="189">
        <v>56.38</v>
      </c>
      <c r="N20" s="189">
        <v>0</v>
      </c>
      <c r="O20" s="189">
        <v>0</v>
      </c>
      <c r="P20" s="189">
        <v>0.57999999999999996</v>
      </c>
      <c r="Q20" s="189">
        <v>5.81</v>
      </c>
    </row>
    <row r="21" spans="1:17" customFormat="1">
      <c r="A21" s="6" t="s">
        <v>1689</v>
      </c>
      <c r="B21" s="189">
        <v>23.78</v>
      </c>
      <c r="C21" s="189">
        <v>43.02</v>
      </c>
      <c r="D21" s="189">
        <v>40.5</v>
      </c>
      <c r="E21" s="189">
        <v>7.89</v>
      </c>
      <c r="F21" s="189">
        <v>8.7799999999999994</v>
      </c>
      <c r="G21" s="189">
        <v>50.36</v>
      </c>
      <c r="H21" s="189">
        <v>17.239999999999998</v>
      </c>
      <c r="I21" s="189">
        <v>5.25</v>
      </c>
      <c r="J21" s="189">
        <v>0.11</v>
      </c>
      <c r="K21" s="189">
        <v>197.3</v>
      </c>
      <c r="L21" s="189">
        <v>29.91</v>
      </c>
      <c r="M21" s="189">
        <v>54.9</v>
      </c>
      <c r="N21" s="189">
        <v>0</v>
      </c>
      <c r="O21" s="189">
        <v>0</v>
      </c>
      <c r="P21" s="189">
        <v>0.6</v>
      </c>
      <c r="Q21" s="189">
        <v>5.82</v>
      </c>
    </row>
    <row r="22" spans="1:17" customFormat="1">
      <c r="A22" s="6" t="s">
        <v>1690</v>
      </c>
      <c r="B22" s="189">
        <v>22.68</v>
      </c>
      <c r="C22" s="189">
        <v>40.119999999999997</v>
      </c>
      <c r="D22" s="189">
        <v>38.1</v>
      </c>
      <c r="E22" s="189">
        <v>7.78</v>
      </c>
      <c r="F22" s="189">
        <v>9.94</v>
      </c>
      <c r="G22" s="189">
        <v>50.36</v>
      </c>
      <c r="H22" s="189">
        <v>17.239999999999998</v>
      </c>
      <c r="I22" s="189">
        <v>5.2</v>
      </c>
      <c r="J22" s="189">
        <v>0.18</v>
      </c>
      <c r="K22" s="189">
        <v>169.24</v>
      </c>
      <c r="L22" s="189">
        <v>29.99</v>
      </c>
      <c r="M22" s="189">
        <v>54.97</v>
      </c>
      <c r="N22" s="189">
        <v>0</v>
      </c>
      <c r="O22" s="189">
        <v>0</v>
      </c>
      <c r="P22" s="189">
        <v>0.57999999999999996</v>
      </c>
      <c r="Q22" s="189">
        <v>5.77</v>
      </c>
    </row>
    <row r="23" spans="1:17" customFormat="1">
      <c r="A23" s="6" t="s">
        <v>1691</v>
      </c>
      <c r="B23" s="189">
        <v>21.03</v>
      </c>
      <c r="C23" s="189">
        <v>40.67</v>
      </c>
      <c r="D23" s="189">
        <v>37.07</v>
      </c>
      <c r="E23" s="189">
        <v>8.08</v>
      </c>
      <c r="F23" s="189">
        <v>8.9700000000000006</v>
      </c>
      <c r="G23" s="189">
        <v>52.19</v>
      </c>
      <c r="H23" s="189">
        <v>15.55</v>
      </c>
      <c r="I23" s="189">
        <v>5.33</v>
      </c>
      <c r="J23" s="189">
        <v>0.2</v>
      </c>
      <c r="K23" s="189">
        <v>170.85</v>
      </c>
      <c r="L23" s="189">
        <v>29.67</v>
      </c>
      <c r="M23" s="189">
        <v>58.91</v>
      </c>
      <c r="N23" s="189">
        <v>0</v>
      </c>
      <c r="O23" s="189">
        <v>0</v>
      </c>
      <c r="P23" s="189">
        <v>0.57999999999999996</v>
      </c>
      <c r="Q23" s="189">
        <v>5.79</v>
      </c>
    </row>
    <row r="24" spans="1:17" customFormat="1">
      <c r="A24" s="6" t="s">
        <v>1692</v>
      </c>
      <c r="B24" s="189">
        <v>24.85</v>
      </c>
      <c r="C24" s="189">
        <v>43.09</v>
      </c>
      <c r="D24" s="189">
        <v>41.4</v>
      </c>
      <c r="E24" s="189">
        <v>7.5</v>
      </c>
      <c r="F24" s="189">
        <v>8.0299999999999994</v>
      </c>
      <c r="G24" s="189">
        <v>53.25</v>
      </c>
      <c r="H24" s="189">
        <v>15.25</v>
      </c>
      <c r="I24" s="189">
        <v>5.23</v>
      </c>
      <c r="J24" s="189">
        <v>0.17</v>
      </c>
      <c r="K24" s="189">
        <v>181.07</v>
      </c>
      <c r="L24" s="189">
        <v>29.29</v>
      </c>
      <c r="M24" s="189">
        <v>61.28</v>
      </c>
      <c r="N24" s="189">
        <v>0</v>
      </c>
      <c r="O24" s="189">
        <v>0</v>
      </c>
      <c r="P24" s="189">
        <v>0.59</v>
      </c>
      <c r="Q24" s="189">
        <v>5.77</v>
      </c>
    </row>
    <row r="25" spans="1:17" customFormat="1">
      <c r="A25" s="6" t="s">
        <v>1693</v>
      </c>
      <c r="B25" s="189">
        <v>23.57</v>
      </c>
      <c r="C25" s="189">
        <v>42.61</v>
      </c>
      <c r="D25" s="189">
        <v>40.119999999999997</v>
      </c>
      <c r="E25" s="189">
        <v>7.83</v>
      </c>
      <c r="F25" s="189">
        <v>6.66</v>
      </c>
      <c r="G25" s="189">
        <v>53.25</v>
      </c>
      <c r="H25" s="189">
        <v>15.25</v>
      </c>
      <c r="I25" s="189">
        <v>5.35</v>
      </c>
      <c r="J25" s="189">
        <v>0.18</v>
      </c>
      <c r="K25" s="189">
        <v>170.81</v>
      </c>
      <c r="L25" s="189">
        <v>29.1</v>
      </c>
      <c r="M25" s="189">
        <v>62.38</v>
      </c>
      <c r="N25" s="189">
        <v>0</v>
      </c>
      <c r="O25" s="189">
        <v>0</v>
      </c>
      <c r="P25" s="189">
        <v>0.56000000000000005</v>
      </c>
      <c r="Q25" s="189">
        <v>5.8</v>
      </c>
    </row>
    <row r="26" spans="1:17" customFormat="1">
      <c r="A26" s="6" t="s">
        <v>1694</v>
      </c>
      <c r="B26" s="189">
        <v>25.93</v>
      </c>
      <c r="C26" s="189">
        <v>43.82</v>
      </c>
      <c r="D26" s="189">
        <v>42.64</v>
      </c>
      <c r="E26" s="189">
        <v>7.66</v>
      </c>
      <c r="F26" s="189">
        <v>6.35</v>
      </c>
      <c r="G26" s="189">
        <v>53.25</v>
      </c>
      <c r="H26" s="189">
        <v>15.25</v>
      </c>
      <c r="I26" s="189">
        <v>5.28</v>
      </c>
      <c r="J26" s="189">
        <v>0.18</v>
      </c>
      <c r="K26" s="189">
        <v>171.14</v>
      </c>
      <c r="L26" s="189">
        <v>28.81</v>
      </c>
      <c r="M26" s="189">
        <v>66.06</v>
      </c>
      <c r="N26" s="189">
        <v>0</v>
      </c>
      <c r="O26" s="189">
        <v>0</v>
      </c>
      <c r="P26" s="189">
        <v>0.56999999999999995</v>
      </c>
      <c r="Q26" s="189">
        <v>5.72</v>
      </c>
    </row>
    <row r="27" spans="1:17" customFormat="1">
      <c r="A27" s="6" t="s">
        <v>1695</v>
      </c>
      <c r="B27" s="189">
        <v>23.67</v>
      </c>
      <c r="C27" s="189">
        <v>41.2</v>
      </c>
      <c r="D27" s="189">
        <v>39.46</v>
      </c>
      <c r="E27" s="189">
        <v>7.61</v>
      </c>
      <c r="F27" s="189">
        <v>6.54</v>
      </c>
      <c r="G27" s="189">
        <v>49.85</v>
      </c>
      <c r="H27" s="189">
        <v>15.32</v>
      </c>
      <c r="I27" s="189">
        <v>5.24</v>
      </c>
      <c r="J27" s="189">
        <v>0.15</v>
      </c>
      <c r="K27" s="189">
        <v>187.5</v>
      </c>
      <c r="L27" s="189">
        <v>28.47</v>
      </c>
      <c r="M27" s="189">
        <v>67.13</v>
      </c>
      <c r="N27" s="189">
        <v>0</v>
      </c>
      <c r="O27" s="189">
        <v>0</v>
      </c>
      <c r="P27" s="189">
        <v>0.55000000000000004</v>
      </c>
      <c r="Q27" s="189">
        <v>5.78</v>
      </c>
    </row>
    <row r="28" spans="1:17" customFormat="1">
      <c r="A28" s="6" t="s">
        <v>1696</v>
      </c>
      <c r="B28" s="189">
        <v>26.42</v>
      </c>
      <c r="C28" s="189">
        <v>45.24</v>
      </c>
      <c r="D28" s="189">
        <v>43.78</v>
      </c>
      <c r="E28" s="189">
        <v>7.84</v>
      </c>
      <c r="F28" s="189">
        <v>6.39</v>
      </c>
      <c r="G28" s="189">
        <v>47.79</v>
      </c>
      <c r="H28" s="189">
        <v>15.34</v>
      </c>
      <c r="I28" s="189">
        <v>5.19</v>
      </c>
      <c r="J28" s="189">
        <v>0.2</v>
      </c>
      <c r="K28" s="189">
        <v>196.05</v>
      </c>
      <c r="L28" s="189">
        <v>28.7</v>
      </c>
      <c r="M28" s="189">
        <v>61.02</v>
      </c>
      <c r="N28" s="189">
        <v>0</v>
      </c>
      <c r="O28" s="189">
        <v>0</v>
      </c>
      <c r="P28" s="189">
        <v>0.57999999999999996</v>
      </c>
      <c r="Q28" s="189">
        <v>5.79</v>
      </c>
    </row>
    <row r="29" spans="1:17" customFormat="1">
      <c r="A29" s="6" t="s">
        <v>1697</v>
      </c>
      <c r="B29" s="189">
        <v>23.92</v>
      </c>
      <c r="C29" s="189">
        <v>41.07</v>
      </c>
      <c r="D29" s="189">
        <v>39.590000000000003</v>
      </c>
      <c r="E29" s="189">
        <v>7.83</v>
      </c>
      <c r="F29" s="189">
        <v>8.3699999999999992</v>
      </c>
      <c r="G29" s="189">
        <v>47.79</v>
      </c>
      <c r="H29" s="189">
        <v>15.34</v>
      </c>
      <c r="I29" s="189">
        <v>5.33</v>
      </c>
      <c r="J29" s="189">
        <v>0.17</v>
      </c>
      <c r="K29" s="189">
        <v>231.01</v>
      </c>
      <c r="L29" s="189">
        <v>28.68</v>
      </c>
      <c r="M29" s="189">
        <v>60.63</v>
      </c>
      <c r="N29" s="189">
        <v>0</v>
      </c>
      <c r="O29" s="189">
        <v>0</v>
      </c>
      <c r="P29" s="189">
        <v>0.54</v>
      </c>
      <c r="Q29" s="189">
        <v>5.79</v>
      </c>
    </row>
    <row r="30" spans="1:17" customFormat="1">
      <c r="A30" s="6" t="s">
        <v>1698</v>
      </c>
      <c r="B30" s="189">
        <v>25.57</v>
      </c>
      <c r="C30" s="189">
        <v>44.62</v>
      </c>
      <c r="D30" s="189">
        <v>42.77</v>
      </c>
      <c r="E30" s="189">
        <v>7.96</v>
      </c>
      <c r="F30" s="189">
        <v>7.26</v>
      </c>
      <c r="G30" s="189">
        <v>47.79</v>
      </c>
      <c r="H30" s="189">
        <v>15.34</v>
      </c>
      <c r="I30" s="189">
        <v>5.23</v>
      </c>
      <c r="J30" s="189">
        <v>0.14000000000000001</v>
      </c>
      <c r="K30" s="189">
        <v>204.91</v>
      </c>
      <c r="L30" s="189">
        <v>28.61</v>
      </c>
      <c r="M30" s="189">
        <v>60.69</v>
      </c>
      <c r="N30" s="189">
        <v>0.4</v>
      </c>
      <c r="O30" s="189">
        <v>0</v>
      </c>
      <c r="P30" s="189">
        <v>0.56999999999999995</v>
      </c>
      <c r="Q30" s="189">
        <v>5.81</v>
      </c>
    </row>
    <row r="31" spans="1:17" customFormat="1">
      <c r="A31" s="6" t="s">
        <v>1699</v>
      </c>
      <c r="B31" s="189">
        <v>25.6</v>
      </c>
      <c r="C31" s="189">
        <v>42.63</v>
      </c>
      <c r="D31" s="189">
        <v>41.76</v>
      </c>
      <c r="E31" s="189">
        <v>8.1199999999999992</v>
      </c>
      <c r="F31" s="189">
        <v>7.54</v>
      </c>
      <c r="G31" s="189">
        <v>46.84</v>
      </c>
      <c r="H31" s="189">
        <v>15.7</v>
      </c>
      <c r="I31" s="189">
        <v>5.16</v>
      </c>
      <c r="J31" s="189">
        <v>0.19</v>
      </c>
      <c r="K31" s="189">
        <v>204.1</v>
      </c>
      <c r="L31" s="189">
        <v>28.52</v>
      </c>
      <c r="M31" s="189">
        <v>61.06</v>
      </c>
      <c r="N31" s="189">
        <v>8.5</v>
      </c>
      <c r="O31" s="189">
        <v>0</v>
      </c>
      <c r="P31" s="189">
        <v>0.56000000000000005</v>
      </c>
      <c r="Q31" s="189">
        <v>5.82</v>
      </c>
    </row>
    <row r="32" spans="1:17" customFormat="1">
      <c r="A32" s="6" t="s">
        <v>1700</v>
      </c>
      <c r="B32" s="189">
        <v>25.37</v>
      </c>
      <c r="C32" s="189">
        <v>44.52</v>
      </c>
      <c r="D32" s="189">
        <v>42.57</v>
      </c>
      <c r="E32" s="189">
        <v>9.01</v>
      </c>
      <c r="F32" s="189">
        <v>6.52</v>
      </c>
      <c r="G32" s="189">
        <v>46.29</v>
      </c>
      <c r="H32" s="189">
        <v>15.77</v>
      </c>
      <c r="I32" s="189">
        <v>5.32</v>
      </c>
      <c r="J32" s="189">
        <v>0.17</v>
      </c>
      <c r="K32" s="189">
        <v>192.12</v>
      </c>
      <c r="L32" s="189">
        <v>28.62</v>
      </c>
      <c r="M32" s="189">
        <v>62.79</v>
      </c>
      <c r="N32" s="189">
        <v>21.8</v>
      </c>
      <c r="O32" s="189">
        <v>0</v>
      </c>
      <c r="P32" s="189">
        <v>0.57999999999999996</v>
      </c>
      <c r="Q32" s="189">
        <v>5.84</v>
      </c>
    </row>
    <row r="33" spans="1:17" customFormat="1">
      <c r="A33" s="6" t="s">
        <v>1701</v>
      </c>
      <c r="B33" s="189">
        <v>25.23</v>
      </c>
      <c r="C33" s="189">
        <v>42.03</v>
      </c>
      <c r="D33" s="189">
        <v>41.15</v>
      </c>
      <c r="E33" s="189">
        <v>9.7100000000000009</v>
      </c>
      <c r="F33" s="189">
        <v>7.14</v>
      </c>
      <c r="G33" s="189">
        <v>46.29</v>
      </c>
      <c r="H33" s="189">
        <v>15.77</v>
      </c>
      <c r="I33" s="189">
        <v>5.32</v>
      </c>
      <c r="J33" s="189">
        <v>0.22</v>
      </c>
      <c r="K33" s="189">
        <v>162.76</v>
      </c>
      <c r="L33" s="189">
        <v>29</v>
      </c>
      <c r="M33" s="189">
        <v>62.23</v>
      </c>
      <c r="N33" s="189">
        <v>37.4</v>
      </c>
      <c r="O33" s="189">
        <v>0</v>
      </c>
      <c r="P33" s="189">
        <v>0.56999999999999995</v>
      </c>
      <c r="Q33" s="189">
        <v>5.75</v>
      </c>
    </row>
    <row r="34" spans="1:17" customFormat="1">
      <c r="A34" s="6" t="s">
        <v>1702</v>
      </c>
      <c r="B34" s="189">
        <v>25.49</v>
      </c>
      <c r="C34" s="189">
        <v>45.13</v>
      </c>
      <c r="D34" s="189">
        <v>42.97</v>
      </c>
      <c r="E34" s="189">
        <v>9.6199999999999992</v>
      </c>
      <c r="F34" s="189">
        <v>6.13</v>
      </c>
      <c r="G34" s="189">
        <v>46.29</v>
      </c>
      <c r="H34" s="189">
        <v>15.77</v>
      </c>
      <c r="I34" s="189">
        <v>5.43</v>
      </c>
      <c r="J34" s="189">
        <v>0.13</v>
      </c>
      <c r="K34" s="189">
        <v>166.16</v>
      </c>
      <c r="L34" s="189">
        <v>29.65</v>
      </c>
      <c r="M34" s="189">
        <v>61.64</v>
      </c>
      <c r="N34" s="189">
        <v>56.7</v>
      </c>
      <c r="O34" s="189">
        <v>0</v>
      </c>
      <c r="P34" s="189">
        <v>0.59</v>
      </c>
      <c r="Q34" s="189">
        <v>5.83</v>
      </c>
    </row>
    <row r="35" spans="1:17" customFormat="1">
      <c r="A35" s="6" t="s">
        <v>1703</v>
      </c>
      <c r="B35" s="189">
        <v>24.88</v>
      </c>
      <c r="C35" s="189">
        <v>42.91</v>
      </c>
      <c r="D35" s="189">
        <v>41.32</v>
      </c>
      <c r="E35" s="189">
        <v>10.9</v>
      </c>
      <c r="F35" s="189">
        <v>7.47</v>
      </c>
      <c r="G35" s="189">
        <v>49.12</v>
      </c>
      <c r="H35" s="189">
        <v>15.66</v>
      </c>
      <c r="I35" s="189">
        <v>5.54</v>
      </c>
      <c r="J35" s="189">
        <v>0.18</v>
      </c>
      <c r="K35" s="189">
        <v>188.61</v>
      </c>
      <c r="L35" s="189">
        <v>30.24</v>
      </c>
      <c r="M35" s="189">
        <v>59.59</v>
      </c>
      <c r="N35" s="189">
        <v>73.599999999999994</v>
      </c>
      <c r="O35" s="189">
        <v>0</v>
      </c>
      <c r="P35" s="189">
        <v>0.62</v>
      </c>
      <c r="Q35" s="189">
        <v>5.81</v>
      </c>
    </row>
    <row r="36" spans="1:17" customFormat="1">
      <c r="A36" s="6" t="s">
        <v>1704</v>
      </c>
      <c r="B36" s="189">
        <v>25.19</v>
      </c>
      <c r="C36" s="189">
        <v>45.51</v>
      </c>
      <c r="D36" s="189">
        <v>42.93</v>
      </c>
      <c r="E36" s="189">
        <v>10.88</v>
      </c>
      <c r="F36" s="189">
        <v>7.65</v>
      </c>
      <c r="G36" s="189">
        <v>50.76</v>
      </c>
      <c r="H36" s="189">
        <v>15.63</v>
      </c>
      <c r="I36" s="189">
        <v>5.96</v>
      </c>
      <c r="J36" s="189">
        <v>0.19</v>
      </c>
      <c r="K36" s="189">
        <v>178.57</v>
      </c>
      <c r="L36" s="189">
        <v>30.91</v>
      </c>
      <c r="M36" s="189">
        <v>58.24</v>
      </c>
      <c r="N36" s="189">
        <v>85.4</v>
      </c>
      <c r="O36" s="189">
        <v>0</v>
      </c>
      <c r="P36" s="189">
        <v>0.65</v>
      </c>
      <c r="Q36" s="189">
        <v>5.87</v>
      </c>
    </row>
    <row r="37" spans="1:17" customFormat="1">
      <c r="A37" s="6" t="s">
        <v>1705</v>
      </c>
      <c r="B37" s="189">
        <v>23.45</v>
      </c>
      <c r="C37" s="189">
        <v>40.840000000000003</v>
      </c>
      <c r="D37" s="189">
        <v>39.090000000000003</v>
      </c>
      <c r="E37" s="189">
        <v>12.4</v>
      </c>
      <c r="F37" s="189">
        <v>9.4499999999999993</v>
      </c>
      <c r="G37" s="189">
        <v>50.76</v>
      </c>
      <c r="H37" s="189">
        <v>15.63</v>
      </c>
      <c r="I37" s="189">
        <v>6.34</v>
      </c>
      <c r="J37" s="189">
        <v>0.2</v>
      </c>
      <c r="K37" s="189">
        <v>216.74</v>
      </c>
      <c r="L37" s="189">
        <v>31.87</v>
      </c>
      <c r="M37" s="189">
        <v>55.23</v>
      </c>
      <c r="N37" s="189">
        <v>91.4</v>
      </c>
      <c r="O37" s="189">
        <v>0</v>
      </c>
      <c r="P37" s="189">
        <v>0.65</v>
      </c>
      <c r="Q37" s="189">
        <v>5.81</v>
      </c>
    </row>
    <row r="38" spans="1:17" customFormat="1">
      <c r="A38" s="6" t="s">
        <v>1706</v>
      </c>
      <c r="B38" s="189">
        <v>25.54</v>
      </c>
      <c r="C38" s="189">
        <v>46.33</v>
      </c>
      <c r="D38" s="189">
        <v>43.64</v>
      </c>
      <c r="E38" s="189">
        <v>11.33</v>
      </c>
      <c r="F38" s="189">
        <v>7.93</v>
      </c>
      <c r="G38" s="189">
        <v>50.76</v>
      </c>
      <c r="H38" s="189">
        <v>15.63</v>
      </c>
      <c r="I38" s="189">
        <v>6.84</v>
      </c>
      <c r="J38" s="189">
        <v>0.25</v>
      </c>
      <c r="K38" s="189">
        <v>273.23</v>
      </c>
      <c r="L38" s="189">
        <v>32.909999999999997</v>
      </c>
      <c r="M38" s="189">
        <v>47.47</v>
      </c>
      <c r="N38" s="189">
        <v>103.8</v>
      </c>
      <c r="O38" s="189">
        <v>0</v>
      </c>
      <c r="P38" s="189">
        <v>0.64</v>
      </c>
      <c r="Q38" s="189">
        <v>5.83</v>
      </c>
    </row>
    <row r="39" spans="1:17" customFormat="1">
      <c r="A39" s="6" t="s">
        <v>1707</v>
      </c>
      <c r="B39" s="189">
        <v>24.38</v>
      </c>
      <c r="C39" s="189">
        <v>45.51</v>
      </c>
      <c r="D39" s="189">
        <v>42.29</v>
      </c>
      <c r="E39" s="189">
        <v>14.79</v>
      </c>
      <c r="F39" s="189">
        <v>12.07</v>
      </c>
      <c r="G39" s="189">
        <v>50.23</v>
      </c>
      <c r="H39" s="189">
        <v>15.95</v>
      </c>
      <c r="I39" s="189">
        <v>7</v>
      </c>
      <c r="J39" s="189">
        <v>0.47</v>
      </c>
      <c r="K39" s="189">
        <v>296.95</v>
      </c>
      <c r="L39" s="189">
        <v>33.71</v>
      </c>
      <c r="M39" s="189">
        <v>42.22</v>
      </c>
      <c r="N39" s="189">
        <v>107.6</v>
      </c>
      <c r="O39" s="189">
        <v>0</v>
      </c>
      <c r="P39" s="189">
        <v>0.65</v>
      </c>
      <c r="Q39" s="189">
        <v>5.88</v>
      </c>
    </row>
    <row r="40" spans="1:17" customFormat="1">
      <c r="A40" s="6" t="s">
        <v>1708</v>
      </c>
      <c r="B40" s="189">
        <v>24.42</v>
      </c>
      <c r="C40" s="189">
        <v>43.15</v>
      </c>
      <c r="D40" s="189">
        <v>41.08</v>
      </c>
      <c r="E40" s="189">
        <v>14.73</v>
      </c>
      <c r="F40" s="189">
        <v>13.46</v>
      </c>
      <c r="G40" s="189">
        <v>49.93</v>
      </c>
      <c r="H40" s="189">
        <v>16.010000000000002</v>
      </c>
      <c r="I40" s="189">
        <v>6.78</v>
      </c>
      <c r="J40" s="189">
        <v>0.4</v>
      </c>
      <c r="K40" s="189">
        <v>293.33</v>
      </c>
      <c r="L40" s="189">
        <v>34.33</v>
      </c>
      <c r="M40" s="189">
        <v>41.33</v>
      </c>
      <c r="N40" s="189">
        <v>112.7</v>
      </c>
      <c r="O40" s="189">
        <v>0</v>
      </c>
      <c r="P40" s="189">
        <v>0.63</v>
      </c>
      <c r="Q40" s="189">
        <v>5.78</v>
      </c>
    </row>
    <row r="41" spans="1:17" customFormat="1">
      <c r="A41" s="6" t="s">
        <v>1709</v>
      </c>
      <c r="B41" s="189">
        <v>24.02</v>
      </c>
      <c r="C41" s="189">
        <v>44.72</v>
      </c>
      <c r="D41" s="189">
        <v>41.59</v>
      </c>
      <c r="E41" s="189">
        <v>14.87</v>
      </c>
      <c r="F41" s="189">
        <v>15.54</v>
      </c>
      <c r="G41" s="189">
        <v>49.93</v>
      </c>
      <c r="H41" s="189">
        <v>16.010000000000002</v>
      </c>
      <c r="I41" s="189">
        <v>6.69</v>
      </c>
      <c r="J41" s="189">
        <v>0.68</v>
      </c>
      <c r="K41" s="189">
        <v>317.83999999999997</v>
      </c>
      <c r="L41" s="189">
        <v>34.869999999999997</v>
      </c>
      <c r="M41" s="189">
        <v>39.33</v>
      </c>
      <c r="N41" s="189">
        <v>112.8</v>
      </c>
      <c r="O41" s="189">
        <v>0</v>
      </c>
      <c r="P41" s="189">
        <v>0.62</v>
      </c>
      <c r="Q41" s="189">
        <v>5.74</v>
      </c>
    </row>
    <row r="42" spans="1:17" customFormat="1">
      <c r="A42" s="6" t="s">
        <v>1710</v>
      </c>
      <c r="B42" s="189">
        <v>22.37</v>
      </c>
      <c r="C42" s="189">
        <v>43.35</v>
      </c>
      <c r="D42" s="189">
        <v>39.54</v>
      </c>
      <c r="E42" s="189">
        <v>12.65</v>
      </c>
      <c r="F42" s="189">
        <v>15.49</v>
      </c>
      <c r="G42" s="189">
        <v>49.93</v>
      </c>
      <c r="H42" s="189">
        <v>16.010000000000002</v>
      </c>
      <c r="I42" s="189">
        <v>6.44</v>
      </c>
      <c r="J42" s="189">
        <v>1</v>
      </c>
      <c r="K42" s="189">
        <v>308.55</v>
      </c>
      <c r="L42" s="189">
        <v>34.94</v>
      </c>
      <c r="M42" s="189">
        <v>38.51</v>
      </c>
      <c r="N42" s="189">
        <v>113.4</v>
      </c>
      <c r="O42" s="189">
        <v>0</v>
      </c>
      <c r="P42" s="189">
        <v>0.62</v>
      </c>
      <c r="Q42" s="189">
        <v>5.69</v>
      </c>
    </row>
    <row r="43" spans="1:17" customFormat="1">
      <c r="A43" s="6" t="s">
        <v>1711</v>
      </c>
      <c r="B43" s="189">
        <v>21.98</v>
      </c>
      <c r="C43" s="189">
        <v>45.66</v>
      </c>
      <c r="D43" s="189">
        <v>40.44</v>
      </c>
      <c r="E43" s="189">
        <v>11.87</v>
      </c>
      <c r="F43" s="189">
        <v>12.76</v>
      </c>
      <c r="G43" s="189">
        <v>59.19</v>
      </c>
      <c r="H43" s="189">
        <v>21.93</v>
      </c>
      <c r="I43" s="189">
        <v>6.31</v>
      </c>
      <c r="J43" s="189">
        <v>1.04</v>
      </c>
      <c r="K43" s="189">
        <v>304.94</v>
      </c>
      <c r="L43" s="189">
        <v>35.5</v>
      </c>
      <c r="M43" s="189">
        <v>36.96</v>
      </c>
      <c r="N43" s="189">
        <v>129.9</v>
      </c>
      <c r="O43" s="189">
        <v>0</v>
      </c>
      <c r="P43" s="189">
        <v>0.63</v>
      </c>
      <c r="Q43" s="189">
        <v>5.64</v>
      </c>
    </row>
    <row r="44" spans="1:17" customFormat="1">
      <c r="A44" s="6" t="s">
        <v>1712</v>
      </c>
      <c r="B44" s="189">
        <v>21.61</v>
      </c>
      <c r="C44" s="189">
        <v>45.69</v>
      </c>
      <c r="D44" s="189">
        <v>40.15</v>
      </c>
      <c r="E44" s="189">
        <v>10.94</v>
      </c>
      <c r="F44" s="189">
        <v>14.92</v>
      </c>
      <c r="G44" s="189">
        <v>64.55</v>
      </c>
      <c r="H44" s="189">
        <v>22.97</v>
      </c>
      <c r="I44" s="189">
        <v>6.29</v>
      </c>
      <c r="J44" s="189">
        <v>0.93</v>
      </c>
      <c r="K44" s="189">
        <v>302.94</v>
      </c>
      <c r="L44" s="189">
        <v>36.03</v>
      </c>
      <c r="M44" s="189">
        <v>35.92</v>
      </c>
      <c r="N44" s="189">
        <v>141.80000000000001</v>
      </c>
      <c r="O44" s="189">
        <v>0</v>
      </c>
      <c r="P44" s="189">
        <v>0.64</v>
      </c>
      <c r="Q44" s="189">
        <v>5.67</v>
      </c>
    </row>
    <row r="45" spans="1:17" customFormat="1">
      <c r="A45" s="6" t="s">
        <v>1713</v>
      </c>
      <c r="B45" s="189">
        <v>20.25</v>
      </c>
      <c r="C45" s="189">
        <v>45.12</v>
      </c>
      <c r="D45" s="189">
        <v>38.770000000000003</v>
      </c>
      <c r="E45" s="189">
        <v>10.86</v>
      </c>
      <c r="F45" s="189">
        <v>14.47</v>
      </c>
      <c r="G45" s="189">
        <v>64.55</v>
      </c>
      <c r="H45" s="189">
        <v>22.97</v>
      </c>
      <c r="I45" s="189">
        <v>6.34</v>
      </c>
      <c r="J45" s="189">
        <v>1.1499999999999999</v>
      </c>
      <c r="K45" s="189">
        <v>298.99</v>
      </c>
      <c r="L45" s="189">
        <v>36.58</v>
      </c>
      <c r="M45" s="189">
        <v>34.270000000000003</v>
      </c>
      <c r="N45" s="189">
        <v>150.30000000000001</v>
      </c>
      <c r="O45" s="189">
        <v>0</v>
      </c>
      <c r="P45" s="189">
        <v>0.64</v>
      </c>
      <c r="Q45" s="189">
        <v>5.61</v>
      </c>
    </row>
    <row r="46" spans="1:17" customFormat="1">
      <c r="A46" s="6" t="s">
        <v>1714</v>
      </c>
      <c r="B46" s="189">
        <v>18.53</v>
      </c>
      <c r="C46" s="189">
        <v>43.42</v>
      </c>
      <c r="D46" s="189">
        <v>36.51</v>
      </c>
      <c r="E46" s="189">
        <v>11.13</v>
      </c>
      <c r="F46" s="189">
        <v>17.57</v>
      </c>
      <c r="G46" s="189">
        <v>64.55</v>
      </c>
      <c r="H46" s="189">
        <v>22.97</v>
      </c>
      <c r="I46" s="189">
        <v>6.41</v>
      </c>
      <c r="J46" s="189">
        <v>0.98</v>
      </c>
      <c r="K46" s="189">
        <v>311.54000000000002</v>
      </c>
      <c r="L46" s="189">
        <v>37.39</v>
      </c>
      <c r="M46" s="189">
        <v>33.520000000000003</v>
      </c>
      <c r="N46" s="189">
        <v>164.7</v>
      </c>
      <c r="O46" s="189">
        <v>0</v>
      </c>
      <c r="P46" s="189">
        <v>0.65</v>
      </c>
      <c r="Q46" s="189">
        <v>5.57</v>
      </c>
    </row>
    <row r="47" spans="1:17" customFormat="1">
      <c r="A47" s="6" t="s">
        <v>1715</v>
      </c>
      <c r="B47" s="189">
        <v>17.29</v>
      </c>
      <c r="C47" s="189">
        <v>42.22</v>
      </c>
      <c r="D47" s="189">
        <v>34.880000000000003</v>
      </c>
      <c r="E47" s="189">
        <v>9.84</v>
      </c>
      <c r="F47" s="189">
        <v>18.53</v>
      </c>
      <c r="G47" s="189">
        <v>64.13</v>
      </c>
      <c r="H47" s="189">
        <v>24.89</v>
      </c>
      <c r="I47" s="189">
        <v>6.19</v>
      </c>
      <c r="J47" s="189">
        <v>0.98</v>
      </c>
      <c r="K47" s="189">
        <v>285.94</v>
      </c>
      <c r="L47" s="189">
        <v>37.43</v>
      </c>
      <c r="M47" s="189">
        <v>33.1</v>
      </c>
      <c r="N47" s="189">
        <v>171.7</v>
      </c>
      <c r="O47" s="189">
        <v>0</v>
      </c>
      <c r="P47" s="189">
        <v>0.63</v>
      </c>
      <c r="Q47" s="189">
        <v>5.5</v>
      </c>
    </row>
    <row r="48" spans="1:17" customFormat="1">
      <c r="A48" s="6" t="s">
        <v>1716</v>
      </c>
      <c r="B48" s="189">
        <v>15.82</v>
      </c>
      <c r="C48" s="189">
        <v>43.2</v>
      </c>
      <c r="D48" s="189">
        <v>34.21</v>
      </c>
      <c r="E48" s="189">
        <v>8.82</v>
      </c>
      <c r="F48" s="189">
        <v>16.739999999999998</v>
      </c>
      <c r="G48" s="189">
        <v>63.88</v>
      </c>
      <c r="H48" s="189">
        <v>25.23</v>
      </c>
      <c r="I48" s="189">
        <v>6.06</v>
      </c>
      <c r="J48" s="189">
        <v>0.95</v>
      </c>
      <c r="K48" s="189">
        <v>289.2</v>
      </c>
      <c r="L48" s="189">
        <v>37.97</v>
      </c>
      <c r="M48" s="189">
        <v>31.54</v>
      </c>
      <c r="N48" s="189">
        <v>170.2</v>
      </c>
      <c r="O48" s="189">
        <v>0</v>
      </c>
      <c r="P48" s="189">
        <v>0.63</v>
      </c>
      <c r="Q48" s="189">
        <v>5.41</v>
      </c>
    </row>
    <row r="49" spans="1:17" customFormat="1">
      <c r="A49" s="6" t="s">
        <v>1717</v>
      </c>
      <c r="B49" s="189">
        <v>15.58</v>
      </c>
      <c r="C49" s="189">
        <v>41.63</v>
      </c>
      <c r="D49" s="189">
        <v>33.200000000000003</v>
      </c>
      <c r="E49" s="189">
        <v>5.62</v>
      </c>
      <c r="F49" s="189">
        <v>17.91</v>
      </c>
      <c r="G49" s="189">
        <v>63.88</v>
      </c>
      <c r="H49" s="189">
        <v>25.23</v>
      </c>
      <c r="I49" s="189">
        <v>6.02</v>
      </c>
      <c r="J49" s="189">
        <v>0.94</v>
      </c>
      <c r="K49" s="189">
        <v>296.67</v>
      </c>
      <c r="L49" s="189">
        <v>38.409999999999997</v>
      </c>
      <c r="M49" s="189">
        <v>29.96</v>
      </c>
      <c r="N49" s="189">
        <v>177.5</v>
      </c>
      <c r="O49" s="189">
        <v>0</v>
      </c>
      <c r="P49" s="189">
        <v>0.61</v>
      </c>
      <c r="Q49" s="189">
        <v>5.34</v>
      </c>
    </row>
    <row r="50" spans="1:17" customFormat="1">
      <c r="A50" s="6" t="s">
        <v>1718</v>
      </c>
      <c r="B50" s="189">
        <v>14.67</v>
      </c>
      <c r="C50" s="189">
        <v>41.34</v>
      </c>
      <c r="D50" s="189">
        <v>32.32</v>
      </c>
      <c r="E50" s="189">
        <v>7.58</v>
      </c>
      <c r="F50" s="189">
        <v>18.66</v>
      </c>
      <c r="G50" s="189">
        <v>63.88</v>
      </c>
      <c r="H50" s="189">
        <v>25.23</v>
      </c>
      <c r="I50" s="189">
        <v>5.98</v>
      </c>
      <c r="J50" s="189">
        <v>0.93</v>
      </c>
      <c r="K50" s="189">
        <v>299.06</v>
      </c>
      <c r="L50" s="189">
        <v>39.090000000000003</v>
      </c>
      <c r="M50" s="189">
        <v>28.02</v>
      </c>
      <c r="N50" s="189">
        <v>181.5</v>
      </c>
      <c r="O50" s="189">
        <v>0</v>
      </c>
      <c r="P50" s="189">
        <v>0.61</v>
      </c>
      <c r="Q50" s="189">
        <v>5.29</v>
      </c>
    </row>
    <row r="51" spans="1:17" customFormat="1">
      <c r="A51" s="6" t="s">
        <v>1719</v>
      </c>
      <c r="B51" s="189">
        <v>14.36</v>
      </c>
      <c r="C51" s="189">
        <v>43.29</v>
      </c>
      <c r="D51" s="189">
        <v>33.08</v>
      </c>
      <c r="E51" s="189">
        <v>6.62</v>
      </c>
      <c r="F51" s="189">
        <v>15.66</v>
      </c>
      <c r="G51" s="189">
        <v>64.56</v>
      </c>
      <c r="H51" s="189">
        <v>26.31</v>
      </c>
      <c r="I51" s="189">
        <v>5.84</v>
      </c>
      <c r="J51" s="189">
        <v>1.02</v>
      </c>
      <c r="K51" s="189">
        <v>289.19</v>
      </c>
      <c r="L51" s="189">
        <v>39.29</v>
      </c>
      <c r="M51" s="189">
        <v>25.98</v>
      </c>
      <c r="N51" s="189">
        <v>184.5</v>
      </c>
      <c r="O51" s="189">
        <v>0</v>
      </c>
      <c r="P51" s="189">
        <v>0.6</v>
      </c>
      <c r="Q51" s="189">
        <v>5.26</v>
      </c>
    </row>
    <row r="52" spans="1:17" customFormat="1">
      <c r="A52" s="6" t="s">
        <v>1720</v>
      </c>
      <c r="B52" s="189">
        <v>13.46</v>
      </c>
      <c r="C52" s="189">
        <v>39.4</v>
      </c>
      <c r="D52" s="189">
        <v>30.34</v>
      </c>
      <c r="E52" s="189">
        <v>7.14</v>
      </c>
      <c r="F52" s="189">
        <v>18.760000000000002</v>
      </c>
      <c r="G52" s="189">
        <v>64.95</v>
      </c>
      <c r="H52" s="189">
        <v>26.5</v>
      </c>
      <c r="I52" s="189">
        <v>5.65</v>
      </c>
      <c r="J52" s="189">
        <v>1.1000000000000001</v>
      </c>
      <c r="K52" s="189">
        <v>303.66000000000003</v>
      </c>
      <c r="L52" s="189">
        <v>39.43</v>
      </c>
      <c r="M52" s="189">
        <v>25.98</v>
      </c>
      <c r="N52" s="189">
        <v>196.6</v>
      </c>
      <c r="O52" s="189">
        <v>0</v>
      </c>
      <c r="P52" s="189">
        <v>0.56999999999999995</v>
      </c>
      <c r="Q52" s="189">
        <v>5.22</v>
      </c>
    </row>
    <row r="53" spans="1:17" customFormat="1">
      <c r="A53" s="6" t="s">
        <v>1721</v>
      </c>
      <c r="B53" s="189">
        <v>13.49</v>
      </c>
      <c r="C53" s="189">
        <v>41.48</v>
      </c>
      <c r="D53" s="189">
        <v>31.45</v>
      </c>
      <c r="E53" s="189">
        <v>6.12</v>
      </c>
      <c r="F53" s="189">
        <v>15.14</v>
      </c>
      <c r="G53" s="189">
        <v>64.95</v>
      </c>
      <c r="H53" s="189">
        <v>26.5</v>
      </c>
      <c r="I53" s="189">
        <v>5.58</v>
      </c>
      <c r="J53" s="189">
        <v>1.28</v>
      </c>
      <c r="K53" s="189">
        <v>303.77999999999997</v>
      </c>
      <c r="L53" s="189">
        <v>39.619999999999997</v>
      </c>
      <c r="M53" s="189">
        <v>25.31</v>
      </c>
      <c r="N53" s="189">
        <v>211</v>
      </c>
      <c r="O53" s="189">
        <v>0</v>
      </c>
      <c r="P53" s="189">
        <v>0.56999999999999995</v>
      </c>
      <c r="Q53" s="189">
        <v>5.14</v>
      </c>
    </row>
    <row r="54" spans="1:17" customFormat="1">
      <c r="A54" s="6" t="s">
        <v>1722</v>
      </c>
      <c r="B54" s="189">
        <v>11.93</v>
      </c>
      <c r="C54" s="189">
        <v>39.03</v>
      </c>
      <c r="D54" s="189">
        <v>28.91</v>
      </c>
      <c r="E54" s="189">
        <v>6.11</v>
      </c>
      <c r="F54" s="189">
        <v>18.91</v>
      </c>
      <c r="G54" s="189">
        <v>64.95</v>
      </c>
      <c r="H54" s="189">
        <v>26.5</v>
      </c>
      <c r="I54" s="189">
        <v>5.51</v>
      </c>
      <c r="J54" s="189">
        <v>0.98</v>
      </c>
      <c r="K54" s="189">
        <v>289.27999999999997</v>
      </c>
      <c r="L54" s="189">
        <v>40.119999999999997</v>
      </c>
      <c r="M54" s="189">
        <v>24.84</v>
      </c>
      <c r="N54" s="189">
        <v>218.7</v>
      </c>
      <c r="O54" s="189">
        <v>0</v>
      </c>
      <c r="P54" s="189">
        <v>0.55000000000000004</v>
      </c>
      <c r="Q54" s="189">
        <v>5.08</v>
      </c>
    </row>
    <row r="55" spans="1:17" customFormat="1">
      <c r="A55" s="6" t="s">
        <v>1723</v>
      </c>
      <c r="B55" s="189">
        <v>11.84</v>
      </c>
      <c r="C55" s="189">
        <v>38.44</v>
      </c>
      <c r="D55" s="189">
        <v>28.53</v>
      </c>
      <c r="E55" s="189">
        <v>6</v>
      </c>
      <c r="F55" s="189">
        <v>19.03</v>
      </c>
      <c r="G55" s="189">
        <v>63.02</v>
      </c>
      <c r="H55" s="189">
        <v>25.14</v>
      </c>
      <c r="I55" s="189">
        <v>5.39</v>
      </c>
      <c r="J55" s="189">
        <v>1.03</v>
      </c>
      <c r="K55" s="189">
        <v>311.11</v>
      </c>
      <c r="L55" s="189">
        <v>40.54</v>
      </c>
      <c r="M55" s="189">
        <v>24.77</v>
      </c>
      <c r="N55" s="189">
        <v>382.3</v>
      </c>
      <c r="O55" s="189">
        <v>0</v>
      </c>
      <c r="P55" s="189">
        <v>0.53</v>
      </c>
      <c r="Q55" s="189">
        <v>5.05</v>
      </c>
    </row>
    <row r="56" spans="1:17" customFormat="1">
      <c r="A56" s="6" t="s">
        <v>1724</v>
      </c>
      <c r="B56" s="189">
        <v>11.99</v>
      </c>
      <c r="C56" s="189">
        <v>38.369999999999997</v>
      </c>
      <c r="D56" s="189">
        <v>28.61</v>
      </c>
      <c r="E56" s="189">
        <v>5.33</v>
      </c>
      <c r="F56" s="189">
        <v>18.59</v>
      </c>
      <c r="G56" s="189">
        <v>61.9</v>
      </c>
      <c r="H56" s="189">
        <v>24.9</v>
      </c>
      <c r="I56" s="189">
        <v>5.22</v>
      </c>
      <c r="J56" s="189">
        <v>1.21</v>
      </c>
      <c r="K56" s="189">
        <v>296.57</v>
      </c>
      <c r="L56" s="189">
        <v>40.44</v>
      </c>
      <c r="M56" s="189">
        <v>24.28</v>
      </c>
      <c r="N56" s="189">
        <v>798.4</v>
      </c>
      <c r="O56" s="189">
        <v>0</v>
      </c>
      <c r="P56" s="189">
        <v>0.53</v>
      </c>
      <c r="Q56" s="189">
        <v>5.0199999999999996</v>
      </c>
    </row>
    <row r="57" spans="1:17" customFormat="1">
      <c r="A57" s="6" t="s">
        <v>1725</v>
      </c>
      <c r="B57" s="189">
        <v>11.88</v>
      </c>
      <c r="C57" s="189">
        <v>37.67</v>
      </c>
      <c r="D57" s="189">
        <v>28.16</v>
      </c>
      <c r="E57" s="189">
        <v>5.28</v>
      </c>
      <c r="F57" s="189">
        <v>14.07</v>
      </c>
      <c r="G57" s="189">
        <v>61.9</v>
      </c>
      <c r="H57" s="189">
        <v>24.9</v>
      </c>
      <c r="I57" s="189">
        <v>5.05</v>
      </c>
      <c r="J57" s="189">
        <v>1.29</v>
      </c>
      <c r="K57" s="189">
        <v>309.83</v>
      </c>
      <c r="L57" s="189">
        <v>40.72</v>
      </c>
      <c r="M57" s="189">
        <v>23.82</v>
      </c>
      <c r="N57" s="189">
        <v>855.2</v>
      </c>
      <c r="O57" s="189">
        <v>0</v>
      </c>
      <c r="P57" s="189">
        <v>0.54</v>
      </c>
      <c r="Q57" s="189">
        <v>4.97</v>
      </c>
    </row>
    <row r="58" spans="1:17" customFormat="1">
      <c r="A58" s="6" t="s">
        <v>1726</v>
      </c>
      <c r="B58" s="189">
        <v>10.41</v>
      </c>
      <c r="C58" s="189">
        <v>41.6</v>
      </c>
      <c r="D58" s="189">
        <v>29.04</v>
      </c>
      <c r="E58" s="189">
        <v>5.46</v>
      </c>
      <c r="F58" s="189">
        <v>16.53</v>
      </c>
      <c r="G58" s="189">
        <v>61.9</v>
      </c>
      <c r="H58" s="189">
        <v>24.9</v>
      </c>
      <c r="I58" s="189">
        <v>4.99</v>
      </c>
      <c r="J58" s="189">
        <v>1.1200000000000001</v>
      </c>
      <c r="K58" s="189">
        <v>293.69</v>
      </c>
      <c r="L58" s="189">
        <v>40.729999999999997</v>
      </c>
      <c r="M58" s="189">
        <v>23.25</v>
      </c>
      <c r="N58" s="189">
        <v>856.2</v>
      </c>
      <c r="O58" s="189">
        <v>0</v>
      </c>
      <c r="P58" s="189">
        <v>0.54</v>
      </c>
      <c r="Q58" s="189">
        <v>5.05</v>
      </c>
    </row>
    <row r="59" spans="1:17" customFormat="1">
      <c r="A59" s="6" t="s">
        <v>1727</v>
      </c>
      <c r="B59" s="189">
        <v>9.2799999999999994</v>
      </c>
      <c r="C59" s="189">
        <v>37.630000000000003</v>
      </c>
      <c r="D59" s="189">
        <v>26.06</v>
      </c>
      <c r="E59" s="189">
        <v>5.45</v>
      </c>
      <c r="F59" s="189">
        <v>21.73</v>
      </c>
      <c r="G59" s="189">
        <v>58.75</v>
      </c>
      <c r="H59" s="189">
        <v>23.39</v>
      </c>
      <c r="I59" s="189">
        <v>5.12</v>
      </c>
      <c r="J59" s="189">
        <v>1.07</v>
      </c>
      <c r="K59" s="189">
        <v>284.42</v>
      </c>
      <c r="L59" s="189">
        <v>41.07</v>
      </c>
      <c r="M59" s="189">
        <v>22.61</v>
      </c>
      <c r="N59" s="189">
        <v>792</v>
      </c>
      <c r="O59" s="189">
        <v>0</v>
      </c>
      <c r="P59" s="189">
        <v>0.5</v>
      </c>
      <c r="Q59" s="189">
        <v>5.0599999999999996</v>
      </c>
    </row>
    <row r="60" spans="1:17" customFormat="1">
      <c r="A60" s="6" t="s">
        <v>1728</v>
      </c>
      <c r="B60" s="189">
        <v>9.51</v>
      </c>
      <c r="C60" s="189">
        <v>38.17</v>
      </c>
      <c r="D60" s="189">
        <v>26.53</v>
      </c>
      <c r="E60" s="189">
        <v>5.56</v>
      </c>
      <c r="F60" s="189">
        <v>16.8</v>
      </c>
      <c r="G60" s="189">
        <v>56.93</v>
      </c>
      <c r="H60" s="189">
        <v>22.95</v>
      </c>
      <c r="I60" s="189">
        <v>5.0599999999999996</v>
      </c>
      <c r="J60" s="189">
        <v>0.93</v>
      </c>
      <c r="K60" s="189">
        <v>262.12</v>
      </c>
      <c r="L60" s="189">
        <v>41.41</v>
      </c>
      <c r="M60" s="189">
        <v>21.61</v>
      </c>
      <c r="N60" s="189">
        <v>835.6</v>
      </c>
      <c r="O60" s="189">
        <v>0</v>
      </c>
      <c r="P60" s="189">
        <v>0.49</v>
      </c>
      <c r="Q60" s="189">
        <v>5</v>
      </c>
    </row>
    <row r="61" spans="1:17" customFormat="1">
      <c r="A61" s="6" t="s">
        <v>1729</v>
      </c>
      <c r="B61" s="189">
        <v>9.33</v>
      </c>
      <c r="C61" s="189">
        <v>38.49</v>
      </c>
      <c r="D61" s="189">
        <v>26.55</v>
      </c>
      <c r="E61" s="189">
        <v>5.25</v>
      </c>
      <c r="F61" s="189">
        <v>16.09</v>
      </c>
      <c r="G61" s="189">
        <v>56.93</v>
      </c>
      <c r="H61" s="189">
        <v>22.95</v>
      </c>
      <c r="I61" s="189">
        <v>4.8099999999999996</v>
      </c>
      <c r="J61" s="189">
        <v>1.27</v>
      </c>
      <c r="K61" s="189">
        <v>287.31</v>
      </c>
      <c r="L61" s="189">
        <v>41.36</v>
      </c>
      <c r="M61" s="189">
        <v>20.94</v>
      </c>
      <c r="N61" s="189">
        <v>850.5</v>
      </c>
      <c r="O61" s="189">
        <v>0</v>
      </c>
      <c r="P61" s="189">
        <v>0.49</v>
      </c>
      <c r="Q61" s="189">
        <v>4.95</v>
      </c>
    </row>
    <row r="62" spans="1:17" customFormat="1">
      <c r="A62" s="6" t="s">
        <v>1730</v>
      </c>
      <c r="B62" s="189">
        <v>9.19</v>
      </c>
      <c r="C62" s="189">
        <v>37.17</v>
      </c>
      <c r="D62" s="189">
        <v>25.74</v>
      </c>
      <c r="E62" s="189">
        <v>5.63</v>
      </c>
      <c r="F62" s="189">
        <v>20.350000000000001</v>
      </c>
      <c r="G62" s="189">
        <v>56.93</v>
      </c>
      <c r="H62" s="189">
        <v>22.95</v>
      </c>
      <c r="I62" s="189">
        <v>4.74</v>
      </c>
      <c r="J62" s="189">
        <v>0.88</v>
      </c>
      <c r="K62" s="189">
        <v>317.20999999999998</v>
      </c>
      <c r="L62" s="189">
        <v>41.72</v>
      </c>
      <c r="M62" s="189">
        <v>20.52</v>
      </c>
      <c r="N62" s="189">
        <v>828.5</v>
      </c>
      <c r="O62" s="189">
        <v>0</v>
      </c>
      <c r="P62" s="189">
        <v>0.47</v>
      </c>
      <c r="Q62" s="189">
        <v>4.9000000000000004</v>
      </c>
    </row>
    <row r="63" spans="1:17" customFormat="1">
      <c r="A63" s="6" t="s">
        <v>1731</v>
      </c>
      <c r="B63" s="189">
        <v>10.49</v>
      </c>
      <c r="C63" s="189">
        <v>39.07</v>
      </c>
      <c r="D63" s="189">
        <v>27.78</v>
      </c>
      <c r="E63" s="189">
        <v>5.71</v>
      </c>
      <c r="F63" s="189">
        <v>20.58</v>
      </c>
      <c r="G63" s="189">
        <v>53.6</v>
      </c>
      <c r="H63" s="189">
        <v>21.68</v>
      </c>
      <c r="I63" s="189">
        <v>4.79</v>
      </c>
      <c r="J63" s="189">
        <v>1</v>
      </c>
      <c r="K63" s="189">
        <v>311.32</v>
      </c>
      <c r="L63" s="189">
        <v>41.74</v>
      </c>
      <c r="M63" s="189">
        <v>20.079999999999998</v>
      </c>
      <c r="N63" s="189">
        <v>758.2</v>
      </c>
      <c r="O63" s="189">
        <v>0</v>
      </c>
      <c r="P63" s="189">
        <v>0.47</v>
      </c>
      <c r="Q63" s="189">
        <v>4.8899999999999997</v>
      </c>
    </row>
    <row r="64" spans="1:17" customFormat="1">
      <c r="A64" s="6" t="s">
        <v>1732</v>
      </c>
      <c r="B64" s="189">
        <v>9.14</v>
      </c>
      <c r="C64" s="189">
        <v>37.770000000000003</v>
      </c>
      <c r="D64" s="189">
        <v>26.02</v>
      </c>
      <c r="E64" s="189">
        <v>5.56</v>
      </c>
      <c r="F64" s="189">
        <v>16.579999999999998</v>
      </c>
      <c r="G64" s="189">
        <v>51.67</v>
      </c>
      <c r="H64" s="189">
        <v>21.46</v>
      </c>
      <c r="I64" s="189">
        <v>4.6399999999999997</v>
      </c>
      <c r="J64" s="189">
        <v>1.37</v>
      </c>
      <c r="K64" s="189">
        <v>262.97000000000003</v>
      </c>
      <c r="L64" s="189">
        <v>41.63</v>
      </c>
      <c r="M64" s="189">
        <v>20.239999999999998</v>
      </c>
      <c r="N64" s="189">
        <v>758.9</v>
      </c>
      <c r="O64" s="189">
        <v>0</v>
      </c>
      <c r="P64" s="189">
        <v>0.47</v>
      </c>
      <c r="Q64" s="189">
        <v>4.9000000000000004</v>
      </c>
    </row>
    <row r="65" spans="1:17" customFormat="1">
      <c r="A65" s="6" t="s">
        <v>1733</v>
      </c>
      <c r="B65" s="189">
        <v>8.6</v>
      </c>
      <c r="C65" s="189">
        <v>38.08</v>
      </c>
      <c r="D65" s="189">
        <v>25.75</v>
      </c>
      <c r="E65" s="189">
        <v>5.71</v>
      </c>
      <c r="F65" s="189">
        <v>19.37</v>
      </c>
      <c r="G65" s="189">
        <v>51.67</v>
      </c>
      <c r="H65" s="189">
        <v>21.46</v>
      </c>
      <c r="I65" s="189">
        <v>4.6399999999999997</v>
      </c>
      <c r="J65" s="189">
        <v>1.08</v>
      </c>
      <c r="K65" s="189">
        <v>283.82</v>
      </c>
      <c r="L65" s="189">
        <v>41.77</v>
      </c>
      <c r="M65" s="189">
        <v>19.739999999999998</v>
      </c>
      <c r="N65" s="189">
        <v>738.7</v>
      </c>
      <c r="O65" s="189">
        <v>0</v>
      </c>
      <c r="P65" s="189">
        <v>0.4</v>
      </c>
      <c r="Q65" s="189">
        <v>4.82</v>
      </c>
    </row>
    <row r="66" spans="1:17" customFormat="1">
      <c r="A66" s="6" t="s">
        <v>1734</v>
      </c>
      <c r="B66" s="189">
        <v>8.07</v>
      </c>
      <c r="C66" s="189">
        <v>36.83</v>
      </c>
      <c r="D66" s="189">
        <v>24.67</v>
      </c>
      <c r="E66" s="189">
        <v>6.3</v>
      </c>
      <c r="F66" s="189">
        <v>18.190000000000001</v>
      </c>
      <c r="G66" s="189">
        <v>51.67</v>
      </c>
      <c r="H66" s="189">
        <v>21.46</v>
      </c>
      <c r="I66" s="189">
        <v>4.8</v>
      </c>
      <c r="J66" s="189">
        <v>1.1299999999999999</v>
      </c>
      <c r="K66" s="189">
        <v>280.82</v>
      </c>
      <c r="L66" s="189">
        <v>41.86</v>
      </c>
      <c r="M66" s="189">
        <v>19.63</v>
      </c>
      <c r="N66" s="189">
        <v>654.4</v>
      </c>
      <c r="O66" s="189">
        <v>0</v>
      </c>
      <c r="P66" s="189">
        <v>0.42</v>
      </c>
      <c r="Q66" s="189">
        <v>4.8</v>
      </c>
    </row>
    <row r="67" spans="1:17" customFormat="1">
      <c r="A67" s="6" t="s">
        <v>1735</v>
      </c>
      <c r="B67" s="189">
        <v>7.37</v>
      </c>
      <c r="C67" s="189">
        <v>35.6</v>
      </c>
      <c r="D67" s="189">
        <v>23.46</v>
      </c>
      <c r="E67" s="189">
        <v>5.69</v>
      </c>
      <c r="F67" s="189">
        <v>24.41</v>
      </c>
      <c r="G67" s="189">
        <v>50.77</v>
      </c>
      <c r="H67" s="189">
        <v>22.28</v>
      </c>
      <c r="I67" s="189">
        <v>4.76</v>
      </c>
      <c r="J67" s="189">
        <v>1.1000000000000001</v>
      </c>
      <c r="K67" s="189">
        <v>289.24</v>
      </c>
      <c r="L67" s="189">
        <v>42.04</v>
      </c>
      <c r="M67" s="189">
        <v>19.940000000000001</v>
      </c>
      <c r="N67" s="189">
        <v>665.3</v>
      </c>
      <c r="O67" s="189">
        <v>0</v>
      </c>
      <c r="P67" s="189">
        <v>0.4</v>
      </c>
      <c r="Q67" s="189">
        <v>4.8</v>
      </c>
    </row>
    <row r="68" spans="1:17" customFormat="1">
      <c r="A68" s="6" t="s">
        <v>1736</v>
      </c>
      <c r="B68" s="189">
        <v>7.7</v>
      </c>
      <c r="C68" s="189">
        <v>37.99</v>
      </c>
      <c r="D68" s="189">
        <v>24.98</v>
      </c>
      <c r="E68" s="189">
        <v>6.42</v>
      </c>
      <c r="F68" s="189">
        <v>21.57</v>
      </c>
      <c r="G68" s="189">
        <v>50.23</v>
      </c>
      <c r="H68" s="189">
        <v>22.42</v>
      </c>
      <c r="I68" s="189">
        <v>4.5</v>
      </c>
      <c r="J68" s="189">
        <v>0.99</v>
      </c>
      <c r="K68" s="189">
        <v>311.48</v>
      </c>
      <c r="L68" s="189">
        <v>41.84</v>
      </c>
      <c r="M68" s="189">
        <v>18.95</v>
      </c>
      <c r="N68" s="189">
        <v>636.70000000000005</v>
      </c>
      <c r="O68" s="189">
        <v>0</v>
      </c>
      <c r="P68" s="189">
        <v>0.41</v>
      </c>
      <c r="Q68" s="189">
        <v>4.7699999999999996</v>
      </c>
    </row>
    <row r="69" spans="1:17" customFormat="1">
      <c r="A69" s="6" t="s">
        <v>1737</v>
      </c>
      <c r="B69" s="189">
        <v>7.34</v>
      </c>
      <c r="C69" s="189">
        <v>37.32</v>
      </c>
      <c r="D69" s="189">
        <v>24.33</v>
      </c>
      <c r="E69" s="189">
        <v>5.95</v>
      </c>
      <c r="F69" s="189">
        <v>21.72</v>
      </c>
      <c r="G69" s="189">
        <v>50.23</v>
      </c>
      <c r="H69" s="189">
        <v>22.42</v>
      </c>
      <c r="I69" s="189">
        <v>4.5199999999999996</v>
      </c>
      <c r="J69" s="189">
        <v>1.0900000000000001</v>
      </c>
      <c r="K69" s="189">
        <v>296.58999999999997</v>
      </c>
      <c r="L69" s="189">
        <v>41.93</v>
      </c>
      <c r="M69" s="189">
        <v>18.18</v>
      </c>
      <c r="N69" s="189">
        <v>601.9</v>
      </c>
      <c r="O69" s="189">
        <v>0</v>
      </c>
      <c r="P69" s="189">
        <v>0.4</v>
      </c>
      <c r="Q69" s="189">
        <v>4.75</v>
      </c>
    </row>
    <row r="70" spans="1:17" customFormat="1">
      <c r="A70" s="6" t="s">
        <v>1738</v>
      </c>
      <c r="B70" s="189">
        <v>8.39</v>
      </c>
      <c r="C70" s="189">
        <v>38.94</v>
      </c>
      <c r="D70" s="189">
        <v>26.03</v>
      </c>
      <c r="E70" s="189">
        <v>6.05</v>
      </c>
      <c r="F70" s="189">
        <v>18.3</v>
      </c>
      <c r="G70" s="189">
        <v>50.23</v>
      </c>
      <c r="H70" s="189">
        <v>22.42</v>
      </c>
      <c r="I70" s="189">
        <v>4.57</v>
      </c>
      <c r="J70" s="189">
        <v>1.48</v>
      </c>
      <c r="K70" s="189">
        <v>313.38</v>
      </c>
      <c r="L70" s="189">
        <v>41.57</v>
      </c>
      <c r="M70" s="189">
        <v>19.170000000000002</v>
      </c>
      <c r="N70" s="189">
        <v>559.79999999999995</v>
      </c>
      <c r="O70" s="189">
        <v>0</v>
      </c>
      <c r="P70" s="189">
        <v>0.42</v>
      </c>
      <c r="Q70" s="189">
        <v>4.76</v>
      </c>
    </row>
    <row r="71" spans="1:17" customFormat="1">
      <c r="A71" s="6" t="s">
        <v>1739</v>
      </c>
      <c r="B71" s="189">
        <v>7.13</v>
      </c>
      <c r="C71" s="189">
        <v>35.909999999999997</v>
      </c>
      <c r="D71" s="189">
        <v>23.44</v>
      </c>
      <c r="E71" s="189">
        <v>6.06</v>
      </c>
      <c r="F71" s="189">
        <v>23.32</v>
      </c>
      <c r="G71" s="189">
        <v>52.25</v>
      </c>
      <c r="H71" s="189">
        <v>26.93</v>
      </c>
      <c r="I71" s="189">
        <v>4.41</v>
      </c>
      <c r="J71" s="189">
        <v>1.0900000000000001</v>
      </c>
      <c r="K71" s="189">
        <v>297.02999999999997</v>
      </c>
      <c r="L71" s="189">
        <v>41.54</v>
      </c>
      <c r="M71" s="189">
        <v>18.510000000000002</v>
      </c>
      <c r="N71" s="189">
        <v>512.5</v>
      </c>
      <c r="O71" s="189">
        <v>0</v>
      </c>
      <c r="P71" s="189">
        <v>0.4</v>
      </c>
      <c r="Q71" s="189">
        <v>4.7699999999999996</v>
      </c>
    </row>
    <row r="72" spans="1:17" customFormat="1">
      <c r="A72" s="6" t="s">
        <v>1740</v>
      </c>
      <c r="B72" s="189">
        <v>7.24</v>
      </c>
      <c r="C72" s="189">
        <v>39.229999999999997</v>
      </c>
      <c r="D72" s="189">
        <v>25.25</v>
      </c>
      <c r="E72" s="189">
        <v>5.7</v>
      </c>
      <c r="F72" s="189">
        <v>21.48</v>
      </c>
      <c r="G72" s="189">
        <v>53.42</v>
      </c>
      <c r="H72" s="189">
        <v>27.72</v>
      </c>
      <c r="I72" s="189">
        <v>4.41</v>
      </c>
      <c r="J72" s="189">
        <v>0.95</v>
      </c>
      <c r="K72" s="189">
        <v>273.32</v>
      </c>
      <c r="L72" s="189">
        <v>41.62</v>
      </c>
      <c r="M72" s="189">
        <v>18.45</v>
      </c>
      <c r="N72" s="189">
        <v>472.7</v>
      </c>
      <c r="O72" s="189">
        <v>0</v>
      </c>
      <c r="P72" s="189">
        <v>0.39</v>
      </c>
      <c r="Q72" s="189">
        <v>4.76</v>
      </c>
    </row>
    <row r="73" spans="1:17" customFormat="1">
      <c r="A73" s="6" t="s">
        <v>1741</v>
      </c>
      <c r="B73" s="189">
        <v>6.27</v>
      </c>
      <c r="C73" s="189">
        <v>35.869999999999997</v>
      </c>
      <c r="D73" s="189">
        <v>22.73</v>
      </c>
      <c r="E73" s="189">
        <v>6.03</v>
      </c>
      <c r="F73" s="189">
        <v>21.85</v>
      </c>
      <c r="G73" s="189">
        <v>53.42</v>
      </c>
      <c r="H73" s="189">
        <v>27.72</v>
      </c>
      <c r="I73" s="189">
        <v>4.67</v>
      </c>
      <c r="J73" s="189">
        <v>1.07</v>
      </c>
      <c r="K73" s="189">
        <v>269.08999999999997</v>
      </c>
      <c r="L73" s="189">
        <v>41.7</v>
      </c>
      <c r="M73" s="189">
        <v>18.239999999999998</v>
      </c>
      <c r="N73" s="189">
        <v>426.2</v>
      </c>
      <c r="O73" s="189">
        <v>0</v>
      </c>
      <c r="P73" s="189">
        <v>0.39</v>
      </c>
      <c r="Q73" s="189">
        <v>4.7300000000000004</v>
      </c>
    </row>
    <row r="74" spans="1:17" customFormat="1">
      <c r="A74" s="6" t="s">
        <v>1742</v>
      </c>
      <c r="B74" s="189">
        <v>6.77</v>
      </c>
      <c r="C74" s="189">
        <v>38.61</v>
      </c>
      <c r="D74" s="189">
        <v>24.55</v>
      </c>
      <c r="E74" s="189">
        <v>6.29</v>
      </c>
      <c r="F74" s="189">
        <v>20.6</v>
      </c>
      <c r="G74" s="189">
        <v>53.42</v>
      </c>
      <c r="H74" s="189">
        <v>27.72</v>
      </c>
      <c r="I74" s="189">
        <v>4.74</v>
      </c>
      <c r="J74" s="189">
        <v>1.02</v>
      </c>
      <c r="K74" s="189">
        <v>265.17</v>
      </c>
      <c r="L74" s="189">
        <v>41.51</v>
      </c>
      <c r="M74" s="189">
        <v>18.86</v>
      </c>
      <c r="N74" s="189">
        <v>361.4</v>
      </c>
      <c r="O74" s="189">
        <v>0</v>
      </c>
      <c r="P74" s="189">
        <v>0.39</v>
      </c>
      <c r="Q74" s="189">
        <v>4.71</v>
      </c>
    </row>
    <row r="75" spans="1:17" customFormat="1">
      <c r="A75" s="6" t="s">
        <v>1743</v>
      </c>
      <c r="B75" s="189">
        <v>5.86</v>
      </c>
      <c r="C75" s="189">
        <v>34.28</v>
      </c>
      <c r="D75" s="189">
        <v>21.56</v>
      </c>
      <c r="E75" s="189">
        <v>6.1</v>
      </c>
      <c r="F75" s="189">
        <v>22.53</v>
      </c>
      <c r="G75" s="189">
        <v>52.22</v>
      </c>
      <c r="H75" s="189">
        <v>27.26</v>
      </c>
      <c r="I75" s="189">
        <v>4.38</v>
      </c>
      <c r="J75" s="189">
        <v>1.04</v>
      </c>
      <c r="K75" s="189">
        <v>280.20999999999998</v>
      </c>
      <c r="L75" s="189">
        <v>41.27</v>
      </c>
      <c r="M75" s="189">
        <v>19.170000000000002</v>
      </c>
      <c r="N75" s="189">
        <v>310.60000000000002</v>
      </c>
      <c r="O75" s="189">
        <v>0</v>
      </c>
      <c r="P75" s="189">
        <v>0.38</v>
      </c>
      <c r="Q75" s="189">
        <v>4.67</v>
      </c>
    </row>
    <row r="76" spans="1:17" customFormat="1">
      <c r="A76" s="6" t="s">
        <v>1744</v>
      </c>
      <c r="B76" s="189">
        <v>6.25</v>
      </c>
      <c r="C76" s="189">
        <v>38.25</v>
      </c>
      <c r="D76" s="189">
        <v>23.95</v>
      </c>
      <c r="E76" s="189">
        <v>6.19</v>
      </c>
      <c r="F76" s="189">
        <v>20.07</v>
      </c>
      <c r="G76" s="189">
        <v>51.53</v>
      </c>
      <c r="H76" s="189">
        <v>27.18</v>
      </c>
      <c r="I76" s="189">
        <v>4.32</v>
      </c>
      <c r="J76" s="189">
        <v>1</v>
      </c>
      <c r="K76" s="189">
        <v>286.33999999999997</v>
      </c>
      <c r="L76" s="189">
        <v>41.17</v>
      </c>
      <c r="M76" s="189">
        <v>19.14</v>
      </c>
      <c r="N76" s="189">
        <v>229.9</v>
      </c>
      <c r="O76" s="189">
        <v>0</v>
      </c>
      <c r="P76" s="189">
        <v>0.4</v>
      </c>
      <c r="Q76" s="189">
        <v>4.6500000000000004</v>
      </c>
    </row>
    <row r="77" spans="1:17" customFormat="1">
      <c r="A77" s="6" t="s">
        <v>1745</v>
      </c>
      <c r="B77" s="189">
        <v>6.13</v>
      </c>
      <c r="C77" s="189">
        <v>39.79</v>
      </c>
      <c r="D77" s="189">
        <v>24.66</v>
      </c>
      <c r="E77" s="189">
        <v>6.45</v>
      </c>
      <c r="F77" s="189">
        <v>21.74</v>
      </c>
      <c r="G77" s="189">
        <v>51.53</v>
      </c>
      <c r="H77" s="189">
        <v>27.18</v>
      </c>
      <c r="I77" s="189">
        <v>4.2</v>
      </c>
      <c r="J77" s="189">
        <v>0.86</v>
      </c>
      <c r="K77" s="189">
        <v>262.33</v>
      </c>
      <c r="L77" s="189">
        <v>40.619999999999997</v>
      </c>
      <c r="M77" s="189">
        <v>19.64</v>
      </c>
      <c r="N77" s="189">
        <v>139.19999999999999</v>
      </c>
      <c r="O77" s="189">
        <v>0</v>
      </c>
      <c r="P77" s="189">
        <v>0.4</v>
      </c>
      <c r="Q77" s="189">
        <v>4.7</v>
      </c>
    </row>
    <row r="78" spans="1:17" customFormat="1">
      <c r="A78" s="6" t="s">
        <v>1746</v>
      </c>
      <c r="B78" s="189">
        <v>5.88</v>
      </c>
      <c r="C78" s="189">
        <v>40.22</v>
      </c>
      <c r="D78" s="189">
        <v>24.69</v>
      </c>
      <c r="E78" s="189">
        <v>7.88</v>
      </c>
      <c r="F78" s="189">
        <v>23.51</v>
      </c>
      <c r="G78" s="189">
        <v>51.53</v>
      </c>
      <c r="H78" s="189">
        <v>27.18</v>
      </c>
      <c r="I78" s="189">
        <v>4.22</v>
      </c>
      <c r="J78" s="189">
        <v>0.98</v>
      </c>
      <c r="K78" s="189">
        <v>266.85000000000002</v>
      </c>
      <c r="L78" s="189">
        <v>40.369999999999997</v>
      </c>
      <c r="M78" s="189">
        <v>19.36</v>
      </c>
      <c r="N78" s="189">
        <v>141.30000000000001</v>
      </c>
      <c r="O78" s="189">
        <v>0</v>
      </c>
      <c r="P78" s="189">
        <v>0.4</v>
      </c>
      <c r="Q78" s="189">
        <v>4.78</v>
      </c>
    </row>
    <row r="79" spans="1:17" customFormat="1">
      <c r="A79" s="6" t="s">
        <v>1747</v>
      </c>
      <c r="B79" s="189">
        <v>6.14</v>
      </c>
      <c r="C79" s="189">
        <v>37.549999999999997</v>
      </c>
      <c r="D79" s="189">
        <v>23.5</v>
      </c>
      <c r="E79" s="189">
        <v>8.3699999999999992</v>
      </c>
      <c r="F79" s="189">
        <v>26.54</v>
      </c>
      <c r="G79" s="189">
        <v>50.08</v>
      </c>
      <c r="H79" s="189">
        <v>26.39</v>
      </c>
      <c r="I79" s="189">
        <v>4.21</v>
      </c>
      <c r="J79" s="189">
        <v>0.85</v>
      </c>
      <c r="K79" s="189">
        <v>261.7</v>
      </c>
      <c r="L79" s="189">
        <v>39.94</v>
      </c>
      <c r="M79" s="189">
        <v>20.100000000000001</v>
      </c>
      <c r="N79" s="189">
        <v>82.1</v>
      </c>
      <c r="O79" s="189">
        <v>0</v>
      </c>
      <c r="P79" s="189">
        <v>0.4</v>
      </c>
      <c r="Q79" s="189">
        <v>4.7</v>
      </c>
    </row>
    <row r="80" spans="1:17" customFormat="1">
      <c r="A80" s="6" t="s">
        <v>1748</v>
      </c>
      <c r="B80" s="189">
        <v>6.03</v>
      </c>
      <c r="C80" s="189">
        <v>37.89</v>
      </c>
      <c r="D80" s="189">
        <v>23.59</v>
      </c>
      <c r="E80" s="189">
        <v>10.41</v>
      </c>
      <c r="F80" s="189">
        <v>32.35</v>
      </c>
      <c r="G80" s="189">
        <v>49.25</v>
      </c>
      <c r="H80" s="189">
        <v>26.25</v>
      </c>
      <c r="I80" s="189">
        <v>4.05</v>
      </c>
      <c r="J80" s="189">
        <v>0.63</v>
      </c>
      <c r="K80" s="189">
        <v>256.25</v>
      </c>
      <c r="L80" s="189">
        <v>39.479999999999997</v>
      </c>
      <c r="M80" s="189">
        <v>21.11</v>
      </c>
      <c r="N80" s="189">
        <v>52.8</v>
      </c>
      <c r="O80" s="189">
        <v>0</v>
      </c>
      <c r="P80" s="189">
        <v>0.39</v>
      </c>
      <c r="Q80" s="189">
        <v>4.67</v>
      </c>
    </row>
    <row r="81" spans="1:17" customFormat="1">
      <c r="A81" s="6" t="s">
        <v>1749</v>
      </c>
      <c r="B81" s="189">
        <v>4.99</v>
      </c>
      <c r="C81" s="189">
        <v>34.380000000000003</v>
      </c>
      <c r="D81" s="189">
        <v>20.92</v>
      </c>
      <c r="E81" s="189">
        <v>9.94</v>
      </c>
      <c r="F81" s="189">
        <v>31.73</v>
      </c>
      <c r="G81" s="189">
        <v>49.25</v>
      </c>
      <c r="H81" s="189">
        <v>26.25</v>
      </c>
      <c r="I81" s="189">
        <v>3.87</v>
      </c>
      <c r="J81" s="189">
        <v>0.68</v>
      </c>
      <c r="K81" s="189">
        <v>257.95999999999998</v>
      </c>
      <c r="L81" s="189">
        <v>39.090000000000003</v>
      </c>
      <c r="M81" s="189">
        <v>21.26</v>
      </c>
      <c r="N81" s="189">
        <v>27.9</v>
      </c>
      <c r="O81" s="189">
        <v>0</v>
      </c>
      <c r="P81" s="189">
        <v>0.38</v>
      </c>
      <c r="Q81" s="189">
        <v>4.66</v>
      </c>
    </row>
    <row r="82" spans="1:17" customFormat="1">
      <c r="A82" s="6" t="s">
        <v>1750</v>
      </c>
      <c r="B82" s="189">
        <v>5.42</v>
      </c>
      <c r="C82" s="189">
        <v>35.119999999999997</v>
      </c>
      <c r="D82" s="189">
        <v>21.64</v>
      </c>
      <c r="E82" s="189">
        <v>10.119999999999999</v>
      </c>
      <c r="F82" s="189">
        <v>31.15</v>
      </c>
      <c r="G82" s="189">
        <v>49.25</v>
      </c>
      <c r="H82" s="189">
        <v>26.25</v>
      </c>
      <c r="I82" s="189">
        <v>3.63</v>
      </c>
      <c r="J82" s="189">
        <v>0.71</v>
      </c>
      <c r="K82" s="189">
        <v>261.92</v>
      </c>
      <c r="L82" s="189">
        <v>38.659999999999997</v>
      </c>
      <c r="M82" s="189">
        <v>21.81</v>
      </c>
      <c r="N82" s="189">
        <v>6</v>
      </c>
      <c r="O82" s="189">
        <v>0</v>
      </c>
      <c r="P82" s="189">
        <v>0.38</v>
      </c>
      <c r="Q82" s="189">
        <v>4.6399999999999997</v>
      </c>
    </row>
    <row r="83" spans="1:17" customFormat="1">
      <c r="A83" s="6" t="s">
        <v>1751</v>
      </c>
      <c r="B83" s="189">
        <v>4.93</v>
      </c>
      <c r="C83" s="189">
        <v>31.41</v>
      </c>
      <c r="D83" s="189">
        <v>19.32</v>
      </c>
      <c r="E83" s="189">
        <v>9.3800000000000008</v>
      </c>
      <c r="F83" s="189">
        <v>35.18</v>
      </c>
      <c r="G83" s="189">
        <v>47.5</v>
      </c>
      <c r="H83" s="189">
        <v>22.58</v>
      </c>
      <c r="I83" s="189">
        <v>3.56</v>
      </c>
      <c r="J83" s="189">
        <v>0.68</v>
      </c>
      <c r="K83" s="189">
        <v>259.07</v>
      </c>
      <c r="L83" s="189">
        <v>38.42</v>
      </c>
      <c r="M83" s="189">
        <v>21.36</v>
      </c>
      <c r="N83" s="189">
        <v>0</v>
      </c>
      <c r="O83" s="189">
        <v>0</v>
      </c>
      <c r="P83" s="189">
        <v>0.35</v>
      </c>
      <c r="Q83" s="189">
        <v>4.63</v>
      </c>
    </row>
    <row r="84" spans="1:17" customFormat="1">
      <c r="A84" s="6" t="s">
        <v>1752</v>
      </c>
      <c r="B84" s="189">
        <v>4.5999999999999996</v>
      </c>
      <c r="C84" s="189">
        <v>30.01</v>
      </c>
      <c r="D84" s="189">
        <v>18.32</v>
      </c>
      <c r="E84" s="189">
        <v>9.7200000000000006</v>
      </c>
      <c r="F84" s="189">
        <v>31.54</v>
      </c>
      <c r="G84" s="189">
        <v>46.48</v>
      </c>
      <c r="H84" s="189">
        <v>21.5</v>
      </c>
      <c r="I84" s="189">
        <v>3.57</v>
      </c>
      <c r="J84" s="189">
        <v>0.64</v>
      </c>
      <c r="K84" s="189">
        <v>253.6</v>
      </c>
      <c r="L84" s="189">
        <v>38.01</v>
      </c>
      <c r="M84" s="189">
        <v>22.16</v>
      </c>
      <c r="N84" s="189">
        <v>0</v>
      </c>
      <c r="O84" s="189">
        <v>0</v>
      </c>
      <c r="P84" s="189">
        <v>0.37</v>
      </c>
      <c r="Q84" s="189">
        <v>4.6399999999999997</v>
      </c>
    </row>
    <row r="85" spans="1:17" customFormat="1">
      <c r="A85" s="6" t="s">
        <v>1753</v>
      </c>
      <c r="B85" s="189">
        <v>4.62</v>
      </c>
      <c r="C85" s="189">
        <v>29.72</v>
      </c>
      <c r="D85" s="189">
        <v>18.18</v>
      </c>
      <c r="E85" s="189">
        <v>10.119999999999999</v>
      </c>
      <c r="F85" s="189">
        <v>28.55</v>
      </c>
      <c r="G85" s="189">
        <v>46.48</v>
      </c>
      <c r="H85" s="189">
        <v>21.5</v>
      </c>
      <c r="I85" s="189">
        <v>3.5</v>
      </c>
      <c r="J85" s="189">
        <v>0.61</v>
      </c>
      <c r="K85" s="189">
        <v>256.36</v>
      </c>
      <c r="L85" s="189">
        <v>37.590000000000003</v>
      </c>
      <c r="M85" s="189">
        <v>23.43</v>
      </c>
      <c r="N85" s="189">
        <v>0</v>
      </c>
      <c r="O85" s="189">
        <v>0</v>
      </c>
      <c r="P85" s="189">
        <v>0.41</v>
      </c>
      <c r="Q85" s="189">
        <v>4.6100000000000003</v>
      </c>
    </row>
    <row r="86" spans="1:17" customFormat="1">
      <c r="A86" s="6" t="s">
        <v>1754</v>
      </c>
      <c r="B86" s="189">
        <v>4.9400000000000004</v>
      </c>
      <c r="C86" s="189">
        <v>31.37</v>
      </c>
      <c r="D86" s="189">
        <v>19.309999999999999</v>
      </c>
      <c r="E86" s="189">
        <v>9.1199999999999992</v>
      </c>
      <c r="F86" s="189">
        <v>24.54</v>
      </c>
      <c r="G86" s="189">
        <v>46.48</v>
      </c>
      <c r="H86" s="189">
        <v>21.5</v>
      </c>
      <c r="I86" s="189">
        <v>3.6</v>
      </c>
      <c r="J86" s="189">
        <v>0.66</v>
      </c>
      <c r="K86" s="189">
        <v>255.33</v>
      </c>
      <c r="L86" s="189">
        <v>37.36</v>
      </c>
      <c r="M86" s="189">
        <v>23.87</v>
      </c>
      <c r="N86" s="189">
        <v>0</v>
      </c>
      <c r="O86" s="189">
        <v>0</v>
      </c>
      <c r="P86" s="189">
        <v>0.44</v>
      </c>
      <c r="Q86" s="189">
        <v>4.59</v>
      </c>
    </row>
    <row r="87" spans="1:17" customFormat="1">
      <c r="A87" s="6" t="s">
        <v>1755</v>
      </c>
      <c r="B87" s="189">
        <v>4.82</v>
      </c>
      <c r="C87" s="189">
        <v>31.14</v>
      </c>
      <c r="D87" s="189">
        <v>19.09</v>
      </c>
      <c r="E87" s="189">
        <v>10.39</v>
      </c>
      <c r="F87" s="189">
        <v>25.36</v>
      </c>
      <c r="G87" s="189">
        <v>47.42</v>
      </c>
      <c r="H87" s="189">
        <v>21.11</v>
      </c>
      <c r="I87" s="189">
        <v>3.92</v>
      </c>
      <c r="J87" s="189">
        <v>0.54</v>
      </c>
      <c r="K87" s="189">
        <v>254.67</v>
      </c>
      <c r="L87" s="189">
        <v>37.06</v>
      </c>
      <c r="M87" s="189">
        <v>24.68</v>
      </c>
      <c r="N87" s="189">
        <v>0</v>
      </c>
      <c r="O87" s="189">
        <v>0</v>
      </c>
      <c r="P87" s="189">
        <v>0.47</v>
      </c>
      <c r="Q87" s="189">
        <v>4.6100000000000003</v>
      </c>
    </row>
    <row r="88" spans="1:17" customFormat="1">
      <c r="A88" s="6" t="s">
        <v>1756</v>
      </c>
      <c r="B88" s="189">
        <v>4.91</v>
      </c>
      <c r="C88" s="189">
        <v>31.98</v>
      </c>
      <c r="D88" s="189">
        <v>19.600000000000001</v>
      </c>
      <c r="E88" s="189">
        <v>10.99</v>
      </c>
      <c r="F88" s="189">
        <v>22.97</v>
      </c>
      <c r="G88" s="189">
        <v>47.97</v>
      </c>
      <c r="H88" s="189">
        <v>21.04</v>
      </c>
      <c r="I88" s="189">
        <v>4.22</v>
      </c>
      <c r="J88" s="189">
        <v>0.53</v>
      </c>
      <c r="K88" s="189">
        <v>258.58999999999997</v>
      </c>
      <c r="L88" s="189">
        <v>36.700000000000003</v>
      </c>
      <c r="M88" s="189">
        <v>25.62</v>
      </c>
      <c r="N88" s="189">
        <v>0</v>
      </c>
      <c r="O88" s="189">
        <v>0</v>
      </c>
      <c r="P88" s="189">
        <v>0.5</v>
      </c>
      <c r="Q88" s="189">
        <v>4.59</v>
      </c>
    </row>
    <row r="89" spans="1:17" customFormat="1">
      <c r="A89" s="6" t="s">
        <v>1757</v>
      </c>
      <c r="B89" s="189">
        <v>5.0599999999999996</v>
      </c>
      <c r="C89" s="189">
        <v>32.369999999999997</v>
      </c>
      <c r="D89" s="189">
        <v>19.93</v>
      </c>
      <c r="E89" s="189">
        <v>13.66</v>
      </c>
      <c r="F89" s="189">
        <v>20.28</v>
      </c>
      <c r="G89" s="189">
        <v>47.97</v>
      </c>
      <c r="H89" s="189">
        <v>21.04</v>
      </c>
      <c r="I89" s="189">
        <v>4.53</v>
      </c>
      <c r="J89" s="189">
        <v>0.31</v>
      </c>
      <c r="K89" s="189">
        <v>227.63</v>
      </c>
      <c r="L89" s="189">
        <v>36.18</v>
      </c>
      <c r="M89" s="189">
        <v>27.87</v>
      </c>
      <c r="N89" s="189">
        <v>0</v>
      </c>
      <c r="O89" s="189">
        <v>0</v>
      </c>
      <c r="P89" s="189">
        <v>0.57999999999999996</v>
      </c>
      <c r="Q89" s="189">
        <v>4.6100000000000003</v>
      </c>
    </row>
    <row r="90" spans="1:17" customFormat="1">
      <c r="A90" s="6" t="s">
        <v>1758</v>
      </c>
      <c r="B90" s="189">
        <v>5.44</v>
      </c>
      <c r="C90" s="189">
        <v>34.83</v>
      </c>
      <c r="D90" s="189">
        <v>21.52</v>
      </c>
      <c r="E90" s="189">
        <v>20.09</v>
      </c>
      <c r="F90" s="189">
        <v>16.489999999999998</v>
      </c>
      <c r="G90" s="189">
        <v>47.97</v>
      </c>
      <c r="H90" s="189">
        <v>21.04</v>
      </c>
      <c r="I90" s="189">
        <v>4.8600000000000003</v>
      </c>
      <c r="J90" s="189">
        <v>0.47</v>
      </c>
      <c r="K90" s="189">
        <v>252.93</v>
      </c>
      <c r="L90" s="189">
        <v>35.880000000000003</v>
      </c>
      <c r="M90" s="189">
        <v>28.32</v>
      </c>
      <c r="N90" s="189">
        <v>0</v>
      </c>
      <c r="O90" s="189">
        <v>0</v>
      </c>
      <c r="P90" s="189">
        <v>0.69</v>
      </c>
      <c r="Q90" s="189">
        <v>4.63</v>
      </c>
    </row>
    <row r="91" spans="1:17" customFormat="1">
      <c r="A91" s="6" t="s">
        <v>1759</v>
      </c>
      <c r="B91" s="189">
        <v>6.11</v>
      </c>
      <c r="C91" s="189">
        <v>36.68</v>
      </c>
      <c r="D91" s="189">
        <v>23.02</v>
      </c>
      <c r="E91" s="189">
        <v>12.51</v>
      </c>
      <c r="F91" s="189">
        <v>19.14</v>
      </c>
      <c r="G91" s="189">
        <v>52.24</v>
      </c>
      <c r="H91" s="189">
        <v>20.7</v>
      </c>
      <c r="I91" s="189">
        <v>5.76</v>
      </c>
      <c r="J91" s="189">
        <v>0.72</v>
      </c>
      <c r="K91" s="189">
        <v>261.89</v>
      </c>
      <c r="L91" s="189">
        <v>36.07</v>
      </c>
      <c r="M91" s="189">
        <v>27.51</v>
      </c>
      <c r="N91" s="189">
        <v>0</v>
      </c>
      <c r="O91" s="189">
        <v>0</v>
      </c>
      <c r="P91" s="189">
        <v>0.56000000000000005</v>
      </c>
      <c r="Q91" s="189">
        <v>4.67</v>
      </c>
    </row>
    <row r="92" spans="1:17" customFormat="1">
      <c r="A92" s="6" t="s">
        <v>1760</v>
      </c>
      <c r="B92" s="189">
        <v>6.88</v>
      </c>
      <c r="C92" s="189">
        <v>38.6</v>
      </c>
      <c r="D92" s="189">
        <v>24.64</v>
      </c>
      <c r="E92" s="189">
        <v>9.9499999999999993</v>
      </c>
      <c r="F92" s="189">
        <v>18.39</v>
      </c>
      <c r="G92" s="189">
        <v>54.71</v>
      </c>
      <c r="H92" s="189">
        <v>20.64</v>
      </c>
      <c r="I92" s="189">
        <v>6.38</v>
      </c>
      <c r="J92" s="189">
        <v>0.81</v>
      </c>
      <c r="K92" s="189">
        <v>265.16000000000003</v>
      </c>
      <c r="L92" s="189">
        <v>36.06</v>
      </c>
      <c r="M92" s="189">
        <v>27.84</v>
      </c>
      <c r="N92" s="189">
        <v>0</v>
      </c>
      <c r="O92" s="189">
        <v>0</v>
      </c>
      <c r="P92" s="189">
        <v>0.51</v>
      </c>
      <c r="Q92" s="189">
        <v>4.78</v>
      </c>
    </row>
    <row r="93" spans="1:17" customFormat="1">
      <c r="A93" s="6" t="s">
        <v>1761</v>
      </c>
      <c r="B93" s="189">
        <v>6.72</v>
      </c>
      <c r="C93" s="189">
        <v>35.44</v>
      </c>
      <c r="D93" s="189">
        <v>22.86</v>
      </c>
      <c r="E93" s="189">
        <v>10.99</v>
      </c>
      <c r="F93" s="189">
        <v>21.15</v>
      </c>
      <c r="G93" s="189">
        <v>54.71</v>
      </c>
      <c r="H93" s="189">
        <v>20.64</v>
      </c>
      <c r="I93" s="189">
        <v>5.61</v>
      </c>
      <c r="J93" s="189">
        <v>0.67</v>
      </c>
      <c r="K93" s="189">
        <v>257.61</v>
      </c>
      <c r="L93" s="189">
        <v>35.82</v>
      </c>
      <c r="M93" s="189">
        <v>28.49</v>
      </c>
      <c r="N93" s="189">
        <v>0</v>
      </c>
      <c r="O93" s="189">
        <v>0</v>
      </c>
      <c r="P93" s="189">
        <v>0.5</v>
      </c>
      <c r="Q93" s="189">
        <v>4.76</v>
      </c>
    </row>
    <row r="94" spans="1:17" customFormat="1">
      <c r="A94" s="6" t="s">
        <v>1762</v>
      </c>
      <c r="B94" s="189">
        <v>6.97</v>
      </c>
      <c r="C94" s="189">
        <v>36.31</v>
      </c>
      <c r="D94" s="189">
        <v>23.51</v>
      </c>
      <c r="E94" s="189">
        <v>11.93</v>
      </c>
      <c r="F94" s="189">
        <v>17.059999999999999</v>
      </c>
      <c r="G94" s="189">
        <v>54.71</v>
      </c>
      <c r="H94" s="189">
        <v>20.64</v>
      </c>
      <c r="I94" s="189">
        <v>4.8499999999999996</v>
      </c>
      <c r="J94" s="189">
        <v>0.83</v>
      </c>
      <c r="K94" s="189">
        <v>259.66000000000003</v>
      </c>
      <c r="L94" s="189">
        <v>35.67</v>
      </c>
      <c r="M94" s="189">
        <v>28.93</v>
      </c>
      <c r="N94" s="189">
        <v>0</v>
      </c>
      <c r="O94" s="189">
        <v>0</v>
      </c>
      <c r="P94" s="189">
        <v>0.55000000000000004</v>
      </c>
      <c r="Q94" s="189">
        <v>4.72</v>
      </c>
    </row>
    <row r="95" spans="1:17" customFormat="1">
      <c r="A95" s="6" t="s">
        <v>1763</v>
      </c>
      <c r="B95" s="189">
        <v>6.66</v>
      </c>
      <c r="C95" s="189">
        <v>34.5</v>
      </c>
      <c r="D95" s="189">
        <v>22.32</v>
      </c>
      <c r="E95" s="189">
        <v>15.58</v>
      </c>
      <c r="F95" s="189">
        <v>19.02</v>
      </c>
      <c r="G95" s="189">
        <v>54.73</v>
      </c>
      <c r="H95" s="189">
        <v>19.260000000000002</v>
      </c>
      <c r="I95" s="189">
        <v>4.71</v>
      </c>
      <c r="J95" s="189">
        <v>0.71</v>
      </c>
      <c r="K95" s="189">
        <v>261.87</v>
      </c>
      <c r="L95" s="189">
        <v>35.450000000000003</v>
      </c>
      <c r="M95" s="189">
        <v>29.47</v>
      </c>
      <c r="N95" s="189">
        <v>0</v>
      </c>
      <c r="O95" s="189">
        <v>0</v>
      </c>
      <c r="P95" s="189">
        <v>0.72</v>
      </c>
      <c r="Q95" s="189">
        <v>4.7</v>
      </c>
    </row>
    <row r="96" spans="1:17" customFormat="1">
      <c r="A96" s="6" t="s">
        <v>1764</v>
      </c>
      <c r="B96" s="189">
        <v>7.44</v>
      </c>
      <c r="C96" s="189">
        <v>38.19</v>
      </c>
      <c r="D96" s="189">
        <v>24.87</v>
      </c>
      <c r="E96" s="189">
        <v>16.079999999999998</v>
      </c>
      <c r="F96" s="189">
        <v>11.28</v>
      </c>
      <c r="G96" s="189">
        <v>54.74</v>
      </c>
      <c r="H96" s="189">
        <v>19.02</v>
      </c>
      <c r="I96" s="189">
        <v>5.18</v>
      </c>
      <c r="J96" s="189">
        <v>0.68</v>
      </c>
      <c r="K96" s="189">
        <v>259.69</v>
      </c>
      <c r="L96" s="189">
        <v>35.200000000000003</v>
      </c>
      <c r="M96" s="189">
        <v>30.3</v>
      </c>
      <c r="N96" s="189">
        <v>0</v>
      </c>
      <c r="O96" s="189">
        <v>0</v>
      </c>
      <c r="P96" s="189">
        <v>0.74</v>
      </c>
      <c r="Q96" s="189">
        <v>4.6900000000000004</v>
      </c>
    </row>
    <row r="97" spans="1:22" customFormat="1">
      <c r="A97" s="6" t="s">
        <v>1765</v>
      </c>
      <c r="B97" s="189">
        <v>7.18</v>
      </c>
      <c r="C97" s="189">
        <v>38.840000000000003</v>
      </c>
      <c r="D97" s="189">
        <v>25</v>
      </c>
      <c r="E97" s="189">
        <v>22.22</v>
      </c>
      <c r="F97" s="189">
        <v>12.23</v>
      </c>
      <c r="G97" s="189">
        <v>54.74</v>
      </c>
      <c r="H97" s="189">
        <v>19.02</v>
      </c>
      <c r="I97" s="189">
        <v>6.34</v>
      </c>
      <c r="J97" s="189">
        <v>0.56000000000000005</v>
      </c>
      <c r="K97" s="189">
        <v>257.08999999999997</v>
      </c>
      <c r="L97" s="189">
        <v>35.01</v>
      </c>
      <c r="M97" s="189">
        <v>30.74</v>
      </c>
      <c r="N97" s="189">
        <v>0</v>
      </c>
      <c r="O97" s="189">
        <v>0</v>
      </c>
      <c r="P97" s="189">
        <v>0.84</v>
      </c>
      <c r="Q97" s="189">
        <v>4.79</v>
      </c>
    </row>
    <row r="98" spans="1:22" customFormat="1">
      <c r="A98" s="6" t="s">
        <v>1766</v>
      </c>
      <c r="B98" s="189">
        <v>7.09</v>
      </c>
      <c r="C98" s="189">
        <v>37.86</v>
      </c>
      <c r="D98" s="189">
        <v>24.42</v>
      </c>
      <c r="E98" s="189">
        <v>25.74</v>
      </c>
      <c r="F98" s="189">
        <v>12.3</v>
      </c>
      <c r="G98" s="189">
        <v>54.74</v>
      </c>
      <c r="H98" s="189">
        <v>19.02</v>
      </c>
      <c r="I98" s="189">
        <v>8.4700000000000006</v>
      </c>
      <c r="J98" s="189">
        <v>0.57999999999999996</v>
      </c>
      <c r="K98" s="189">
        <v>256.37</v>
      </c>
      <c r="L98" s="189">
        <v>34.75</v>
      </c>
      <c r="M98" s="189">
        <v>31.47</v>
      </c>
      <c r="N98" s="189">
        <v>0</v>
      </c>
      <c r="O98" s="189">
        <v>0</v>
      </c>
      <c r="P98" s="189">
        <v>1.01</v>
      </c>
      <c r="Q98" s="189">
        <v>4.79</v>
      </c>
    </row>
    <row r="99" spans="1:22" customFormat="1">
      <c r="A99" s="6" t="s">
        <v>1767</v>
      </c>
      <c r="B99" s="189">
        <v>7.09</v>
      </c>
      <c r="C99" s="189">
        <v>36.590000000000003</v>
      </c>
      <c r="D99" s="189">
        <v>23.76</v>
      </c>
      <c r="E99" s="189">
        <v>31.98</v>
      </c>
      <c r="F99" s="189">
        <v>12.41</v>
      </c>
      <c r="G99" s="189">
        <v>58.63</v>
      </c>
      <c r="H99" s="189">
        <v>22.25</v>
      </c>
      <c r="I99" s="189">
        <v>10.88</v>
      </c>
      <c r="J99" s="189">
        <v>0.51</v>
      </c>
      <c r="K99" s="189">
        <v>254.94</v>
      </c>
      <c r="L99" s="189">
        <v>34.47</v>
      </c>
      <c r="M99" s="189">
        <v>31.97</v>
      </c>
      <c r="N99" s="189">
        <v>0</v>
      </c>
      <c r="O99" s="189">
        <v>0</v>
      </c>
      <c r="P99" s="189">
        <v>1.29</v>
      </c>
      <c r="Q99" s="189">
        <v>4.79</v>
      </c>
    </row>
    <row r="100" spans="1:22" customFormat="1">
      <c r="A100" s="6" t="s">
        <v>1768</v>
      </c>
      <c r="B100" s="189">
        <v>7.67</v>
      </c>
      <c r="C100" s="189">
        <v>37.53</v>
      </c>
      <c r="D100" s="189">
        <v>24.71</v>
      </c>
      <c r="E100" s="189">
        <v>26.3</v>
      </c>
      <c r="F100" s="189">
        <v>10.86</v>
      </c>
      <c r="G100" s="189">
        <v>60.89</v>
      </c>
      <c r="H100" s="189">
        <v>22.81</v>
      </c>
      <c r="I100" s="189">
        <v>13.13</v>
      </c>
      <c r="J100" s="189">
        <v>0.64</v>
      </c>
      <c r="K100" s="189">
        <v>261.67</v>
      </c>
      <c r="L100" s="189">
        <v>34.31</v>
      </c>
      <c r="M100" s="189">
        <v>32.25</v>
      </c>
      <c r="N100" s="189">
        <v>0</v>
      </c>
      <c r="O100" s="189">
        <v>0</v>
      </c>
      <c r="P100" s="189">
        <v>1.1599999999999999</v>
      </c>
      <c r="Q100" s="189">
        <v>4.79</v>
      </c>
    </row>
    <row r="101" spans="1:22" customFormat="1">
      <c r="A101" s="6" t="s">
        <v>1769</v>
      </c>
      <c r="B101" s="189">
        <v>8.49</v>
      </c>
      <c r="C101" s="189">
        <v>40.43</v>
      </c>
      <c r="D101" s="189">
        <v>26.89</v>
      </c>
      <c r="E101" s="189">
        <v>20.2</v>
      </c>
      <c r="F101" s="189">
        <v>9.75</v>
      </c>
      <c r="G101" s="189">
        <v>60.89</v>
      </c>
      <c r="H101" s="189">
        <v>22.81</v>
      </c>
      <c r="I101" s="189">
        <v>14.38</v>
      </c>
      <c r="J101" s="189">
        <v>0.56999999999999995</v>
      </c>
      <c r="K101" s="189">
        <v>252.34</v>
      </c>
      <c r="L101" s="189">
        <v>34.07</v>
      </c>
      <c r="M101" s="189">
        <v>32.659999999999997</v>
      </c>
      <c r="N101" s="189">
        <v>0</v>
      </c>
      <c r="O101" s="189">
        <v>0</v>
      </c>
      <c r="P101" s="189">
        <v>1.1100000000000001</v>
      </c>
      <c r="Q101" s="189">
        <v>4.8499999999999996</v>
      </c>
    </row>
    <row r="102" spans="1:22" customFormat="1">
      <c r="A102" s="6" t="s">
        <v>1770</v>
      </c>
      <c r="B102" s="189">
        <v>8.59</v>
      </c>
      <c r="C102" s="189">
        <v>38.76</v>
      </c>
      <c r="D102" s="189">
        <v>26.1</v>
      </c>
      <c r="E102" s="189">
        <v>21.97</v>
      </c>
      <c r="F102" s="189">
        <v>11.24</v>
      </c>
      <c r="G102" s="189">
        <v>60.89</v>
      </c>
      <c r="H102" s="189">
        <v>22.81</v>
      </c>
      <c r="I102" s="189">
        <v>12.93</v>
      </c>
      <c r="J102" s="189">
        <v>0.61</v>
      </c>
      <c r="K102" s="189">
        <v>255.55</v>
      </c>
      <c r="L102" s="189">
        <v>34.020000000000003</v>
      </c>
      <c r="M102" s="189">
        <v>32.369999999999997</v>
      </c>
      <c r="N102" s="189">
        <v>0</v>
      </c>
      <c r="O102" s="189">
        <v>0</v>
      </c>
      <c r="P102" s="189">
        <v>1.23</v>
      </c>
      <c r="Q102" s="189">
        <v>4.91</v>
      </c>
    </row>
    <row r="103" spans="1:22" customFormat="1">
      <c r="A103" s="6" t="s">
        <v>1771</v>
      </c>
      <c r="B103" s="189">
        <v>9.18</v>
      </c>
      <c r="C103" s="189">
        <v>39.47</v>
      </c>
      <c r="D103" s="189">
        <v>26.94</v>
      </c>
      <c r="E103" s="189">
        <v>23.07</v>
      </c>
      <c r="F103" s="189">
        <v>11.36</v>
      </c>
      <c r="G103" s="189">
        <v>64.5</v>
      </c>
      <c r="H103" s="189">
        <v>24.64</v>
      </c>
      <c r="I103" s="189">
        <v>11.96</v>
      </c>
      <c r="J103" s="189">
        <v>0.55000000000000004</v>
      </c>
      <c r="K103" s="189">
        <v>252.95</v>
      </c>
      <c r="L103" s="189">
        <v>33.94</v>
      </c>
      <c r="M103" s="189">
        <v>32.229999999999997</v>
      </c>
      <c r="N103" s="189">
        <v>0</v>
      </c>
      <c r="O103" s="189">
        <v>0</v>
      </c>
      <c r="P103" s="189">
        <v>1.21</v>
      </c>
      <c r="Q103" s="189">
        <v>4.93</v>
      </c>
    </row>
    <row r="104" spans="1:22" customFormat="1">
      <c r="A104" s="6" t="s">
        <v>1772</v>
      </c>
      <c r="B104" s="189">
        <v>9.3800000000000008</v>
      </c>
      <c r="C104" s="189">
        <v>41.34</v>
      </c>
      <c r="D104" s="189">
        <v>28.08</v>
      </c>
      <c r="E104" s="189">
        <v>25.39</v>
      </c>
      <c r="F104" s="189">
        <v>9.52</v>
      </c>
      <c r="G104" s="189">
        <v>66.59</v>
      </c>
      <c r="H104" s="189">
        <v>24.96</v>
      </c>
      <c r="I104" s="189">
        <v>12.97</v>
      </c>
      <c r="J104" s="189">
        <v>0.56000000000000005</v>
      </c>
      <c r="K104" s="189">
        <v>251.89</v>
      </c>
      <c r="L104" s="189">
        <v>33.840000000000003</v>
      </c>
      <c r="M104" s="189">
        <v>32.57</v>
      </c>
      <c r="N104" s="189">
        <v>0</v>
      </c>
      <c r="O104" s="189">
        <v>0</v>
      </c>
      <c r="P104" s="189">
        <v>1.41</v>
      </c>
      <c r="Q104" s="189">
        <v>4.9800000000000004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4.5999999999999996</v>
      </c>
      <c r="C106" s="183">
        <f>MIN(C9:C104)</f>
        <v>29.72</v>
      </c>
      <c r="D106" s="183">
        <f t="shared" ref="D106:Q106" si="0">MIN(D9:D104)</f>
        <v>18.18</v>
      </c>
      <c r="E106" s="183">
        <f t="shared" si="0"/>
        <v>5.25</v>
      </c>
      <c r="F106" s="183">
        <f t="shared" si="0"/>
        <v>3.86</v>
      </c>
      <c r="G106" s="183">
        <f t="shared" si="0"/>
        <v>46.29</v>
      </c>
      <c r="H106" s="183">
        <f t="shared" si="0"/>
        <v>15.25</v>
      </c>
      <c r="I106" s="183">
        <f t="shared" si="0"/>
        <v>3.5</v>
      </c>
      <c r="J106" s="183">
        <f t="shared" si="0"/>
        <v>0.11</v>
      </c>
      <c r="K106" s="183">
        <f t="shared" si="0"/>
        <v>162.76</v>
      </c>
      <c r="L106" s="183">
        <f t="shared" si="0"/>
        <v>28.47</v>
      </c>
      <c r="M106" s="183">
        <f t="shared" si="0"/>
        <v>18.18</v>
      </c>
      <c r="N106" s="183">
        <f t="shared" si="0"/>
        <v>0</v>
      </c>
      <c r="O106" s="183">
        <f t="shared" si="0"/>
        <v>0</v>
      </c>
      <c r="P106" s="183">
        <f t="shared" si="0"/>
        <v>0.35</v>
      </c>
      <c r="Q106" s="183">
        <f t="shared" si="0"/>
        <v>4.59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29.07</v>
      </c>
      <c r="C107" s="184">
        <f t="shared" ref="C107:Q107" si="1">MAX(C9:C104)</f>
        <v>46.33</v>
      </c>
      <c r="D107" s="184">
        <f t="shared" si="1"/>
        <v>45.94</v>
      </c>
      <c r="E107" s="184">
        <f t="shared" si="1"/>
        <v>31.98</v>
      </c>
      <c r="F107" s="184">
        <f t="shared" si="1"/>
        <v>35.18</v>
      </c>
      <c r="G107" s="184">
        <f t="shared" si="1"/>
        <v>72.56</v>
      </c>
      <c r="H107" s="184">
        <f t="shared" si="1"/>
        <v>27.72</v>
      </c>
      <c r="I107" s="184">
        <f t="shared" si="1"/>
        <v>14.38</v>
      </c>
      <c r="J107" s="184">
        <f t="shared" si="1"/>
        <v>1.48</v>
      </c>
      <c r="K107" s="184">
        <f t="shared" si="1"/>
        <v>317.83999999999997</v>
      </c>
      <c r="L107" s="184">
        <f t="shared" si="1"/>
        <v>42.04</v>
      </c>
      <c r="M107" s="184">
        <f t="shared" si="1"/>
        <v>67.13</v>
      </c>
      <c r="N107" s="184">
        <f t="shared" si="1"/>
        <v>856.2</v>
      </c>
      <c r="O107" s="184">
        <f t="shared" si="1"/>
        <v>0</v>
      </c>
      <c r="P107" s="184">
        <f t="shared" si="1"/>
        <v>1.41</v>
      </c>
      <c r="Q107" s="184">
        <f t="shared" si="1"/>
        <v>6.04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14.452083333333341</v>
      </c>
      <c r="C108" s="183">
        <f t="shared" ref="C108:Q108" si="2">AVERAGE(C9:C104)</f>
        <v>39.435520833333335</v>
      </c>
      <c r="D108" s="183">
        <f t="shared" si="2"/>
        <v>31.148125000000007</v>
      </c>
      <c r="E108" s="183">
        <f t="shared" si="2"/>
        <v>9.9715625000000028</v>
      </c>
      <c r="F108" s="183">
        <f t="shared" si="2"/>
        <v>15.939270833333337</v>
      </c>
      <c r="G108" s="183">
        <f t="shared" si="2"/>
        <v>55.35489583333333</v>
      </c>
      <c r="H108" s="183">
        <f t="shared" si="2"/>
        <v>21.276875000000008</v>
      </c>
      <c r="I108" s="183">
        <f t="shared" si="2"/>
        <v>5.7464583333333357</v>
      </c>
      <c r="J108" s="183">
        <f t="shared" si="2"/>
        <v>0.66000000000000014</v>
      </c>
      <c r="K108" s="183">
        <f t="shared" si="2"/>
        <v>252.48406249999991</v>
      </c>
      <c r="L108" s="183">
        <f t="shared" si="2"/>
        <v>35.738645833333337</v>
      </c>
      <c r="M108" s="183">
        <f t="shared" si="2"/>
        <v>35.929999999999986</v>
      </c>
      <c r="N108" s="183">
        <f t="shared" si="2"/>
        <v>180.82395833333331</v>
      </c>
      <c r="O108" s="183">
        <f t="shared" si="2"/>
        <v>0</v>
      </c>
      <c r="P108" s="183">
        <f t="shared" si="2"/>
        <v>0.59218749999999976</v>
      </c>
      <c r="Q108" s="183">
        <f t="shared" si="2"/>
        <v>5.2362500000000001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8.0345540493502003</v>
      </c>
      <c r="C109" s="183">
        <f t="shared" ref="C109:Q109" si="3">STDEV(C9:C104)</f>
        <v>3.831613888302793</v>
      </c>
      <c r="D109" s="183">
        <f t="shared" si="3"/>
        <v>8.1076925541507503</v>
      </c>
      <c r="E109" s="183">
        <f t="shared" si="3"/>
        <v>5.3413174657322804</v>
      </c>
      <c r="F109" s="183">
        <f t="shared" si="3"/>
        <v>6.8756083359245235</v>
      </c>
      <c r="G109" s="183">
        <f t="shared" si="3"/>
        <v>7.0301225556123912</v>
      </c>
      <c r="H109" s="183">
        <f t="shared" si="3"/>
        <v>3.9335430158947413</v>
      </c>
      <c r="I109" s="183">
        <f t="shared" si="3"/>
        <v>2.035991406851196</v>
      </c>
      <c r="J109" s="183">
        <f t="shared" si="3"/>
        <v>0.37691266613731195</v>
      </c>
      <c r="K109" s="183">
        <f t="shared" si="3"/>
        <v>45.13657421364038</v>
      </c>
      <c r="L109" s="183">
        <f t="shared" si="3"/>
        <v>4.5486364920054205</v>
      </c>
      <c r="M109" s="183">
        <f t="shared" si="3"/>
        <v>15.857203244483005</v>
      </c>
      <c r="N109" s="183">
        <f t="shared" si="3"/>
        <v>270.50843113421251</v>
      </c>
      <c r="O109" s="183">
        <f t="shared" si="3"/>
        <v>0</v>
      </c>
      <c r="P109" s="183">
        <f t="shared" si="3"/>
        <v>0.20258956758613508</v>
      </c>
      <c r="Q109" s="183">
        <f t="shared" si="3"/>
        <v>0.51553600109114794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17/06/2023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1773</v>
      </c>
      <c r="B9" s="189">
        <v>8.31</v>
      </c>
      <c r="C9" s="189">
        <v>38.11</v>
      </c>
      <c r="D9" s="189">
        <v>25.54</v>
      </c>
      <c r="E9" s="189">
        <v>32.43</v>
      </c>
      <c r="F9" s="189">
        <v>9.41</v>
      </c>
      <c r="G9" s="189">
        <v>66.59</v>
      </c>
      <c r="H9" s="189">
        <v>24.96</v>
      </c>
      <c r="I9" s="189">
        <v>14.25</v>
      </c>
      <c r="J9" s="189">
        <v>0.28999999999999998</v>
      </c>
      <c r="K9" s="189">
        <v>229.07</v>
      </c>
      <c r="L9" s="189">
        <v>33.200000000000003</v>
      </c>
      <c r="M9" s="189">
        <v>34.92</v>
      </c>
      <c r="N9" s="189">
        <v>0</v>
      </c>
      <c r="O9" s="189">
        <v>0</v>
      </c>
      <c r="P9" s="189">
        <v>1.62</v>
      </c>
      <c r="Q9" s="189">
        <v>4.9400000000000004</v>
      </c>
    </row>
    <row r="10" spans="1:21" customFormat="1">
      <c r="A10" s="6" t="s">
        <v>1774</v>
      </c>
      <c r="B10" s="189">
        <v>8.36</v>
      </c>
      <c r="C10" s="189">
        <v>38.57</v>
      </c>
      <c r="D10" s="189">
        <v>25.81</v>
      </c>
      <c r="E10" s="189">
        <v>27.06</v>
      </c>
      <c r="F10" s="189">
        <v>8.9600000000000009</v>
      </c>
      <c r="G10" s="189">
        <v>66.59</v>
      </c>
      <c r="H10" s="189">
        <v>24.96</v>
      </c>
      <c r="I10" s="189">
        <v>16.260000000000002</v>
      </c>
      <c r="J10" s="189">
        <v>0.3</v>
      </c>
      <c r="K10" s="189">
        <v>218.87</v>
      </c>
      <c r="L10" s="189">
        <v>32.75</v>
      </c>
      <c r="M10" s="189">
        <v>35.67</v>
      </c>
      <c r="N10" s="189">
        <v>0</v>
      </c>
      <c r="O10" s="189">
        <v>0</v>
      </c>
      <c r="P10" s="189">
        <v>1.36</v>
      </c>
      <c r="Q10" s="189">
        <v>4.9400000000000004</v>
      </c>
    </row>
    <row r="11" spans="1:21" customFormat="1">
      <c r="A11" s="6" t="s">
        <v>1775</v>
      </c>
      <c r="B11" s="189">
        <v>8.85</v>
      </c>
      <c r="C11" s="189">
        <v>38.86</v>
      </c>
      <c r="D11" s="189">
        <v>26.36</v>
      </c>
      <c r="E11" s="189">
        <v>17.11</v>
      </c>
      <c r="F11" s="189">
        <v>13.64</v>
      </c>
      <c r="G11" s="189">
        <v>70.41</v>
      </c>
      <c r="H11" s="189">
        <v>25.1</v>
      </c>
      <c r="I11" s="189">
        <v>17.89</v>
      </c>
      <c r="J11" s="189">
        <v>0.35</v>
      </c>
      <c r="K11" s="189">
        <v>235.02</v>
      </c>
      <c r="L11" s="189">
        <v>32.58</v>
      </c>
      <c r="M11" s="189">
        <v>35.06</v>
      </c>
      <c r="N11" s="189">
        <v>0</v>
      </c>
      <c r="O11" s="189">
        <v>0</v>
      </c>
      <c r="P11" s="189">
        <v>1.03</v>
      </c>
      <c r="Q11" s="189">
        <v>5.01</v>
      </c>
    </row>
    <row r="12" spans="1:21" customFormat="1">
      <c r="A12" s="6" t="s">
        <v>1776</v>
      </c>
      <c r="B12" s="189">
        <v>8.44</v>
      </c>
      <c r="C12" s="189">
        <v>34.1</v>
      </c>
      <c r="D12" s="189">
        <v>23.54</v>
      </c>
      <c r="E12" s="189">
        <v>12.17</v>
      </c>
      <c r="F12" s="189">
        <v>18.05</v>
      </c>
      <c r="G12" s="189">
        <v>72.62</v>
      </c>
      <c r="H12" s="189">
        <v>25.15</v>
      </c>
      <c r="I12" s="189">
        <v>15.32</v>
      </c>
      <c r="J12" s="189">
        <v>0.26</v>
      </c>
      <c r="K12" s="189">
        <v>228.3</v>
      </c>
      <c r="L12" s="189">
        <v>32.479999999999997</v>
      </c>
      <c r="M12" s="189">
        <v>34.92</v>
      </c>
      <c r="N12" s="189">
        <v>0</v>
      </c>
      <c r="O12" s="189">
        <v>0</v>
      </c>
      <c r="P12" s="189">
        <v>0.84</v>
      </c>
      <c r="Q12" s="189">
        <v>5.0599999999999996</v>
      </c>
    </row>
    <row r="13" spans="1:21" customFormat="1">
      <c r="A13" s="6" t="s">
        <v>1777</v>
      </c>
      <c r="B13" s="189">
        <v>10.34</v>
      </c>
      <c r="C13" s="189">
        <v>41.2</v>
      </c>
      <c r="D13" s="189">
        <v>28.77</v>
      </c>
      <c r="E13" s="189">
        <v>10.33</v>
      </c>
      <c r="F13" s="189">
        <v>12.88</v>
      </c>
      <c r="G13" s="189">
        <v>72.62</v>
      </c>
      <c r="H13" s="189">
        <v>25.15</v>
      </c>
      <c r="I13" s="189">
        <v>10.73</v>
      </c>
      <c r="J13" s="189">
        <v>0.25</v>
      </c>
      <c r="K13" s="189">
        <v>220.96</v>
      </c>
      <c r="L13" s="189">
        <v>32.21</v>
      </c>
      <c r="M13" s="189">
        <v>35.46</v>
      </c>
      <c r="N13" s="189">
        <v>0</v>
      </c>
      <c r="O13" s="189">
        <v>0</v>
      </c>
      <c r="P13" s="189">
        <v>0.88</v>
      </c>
      <c r="Q13" s="189">
        <v>5.01</v>
      </c>
    </row>
    <row r="14" spans="1:21" customFormat="1">
      <c r="A14" s="6" t="s">
        <v>1778</v>
      </c>
      <c r="B14" s="189">
        <v>9.49</v>
      </c>
      <c r="C14" s="189">
        <v>36.96</v>
      </c>
      <c r="D14" s="189">
        <v>25.88</v>
      </c>
      <c r="E14" s="189">
        <v>9.92</v>
      </c>
      <c r="F14" s="189">
        <v>16.86</v>
      </c>
      <c r="G14" s="189">
        <v>72.62</v>
      </c>
      <c r="H14" s="189">
        <v>25.15</v>
      </c>
      <c r="I14" s="189">
        <v>9.23</v>
      </c>
      <c r="J14" s="189">
        <v>0.27</v>
      </c>
      <c r="K14" s="189">
        <v>214.76</v>
      </c>
      <c r="L14" s="189">
        <v>32.090000000000003</v>
      </c>
      <c r="M14" s="189">
        <v>35.29</v>
      </c>
      <c r="N14" s="189">
        <v>0</v>
      </c>
      <c r="O14" s="189">
        <v>0</v>
      </c>
      <c r="P14" s="189">
        <v>0.8</v>
      </c>
      <c r="Q14" s="189">
        <v>5.0599999999999996</v>
      </c>
    </row>
    <row r="15" spans="1:21" customFormat="1">
      <c r="A15" s="6" t="s">
        <v>1779</v>
      </c>
      <c r="B15" s="189">
        <v>10.54</v>
      </c>
      <c r="C15" s="189">
        <v>39.21</v>
      </c>
      <c r="D15" s="189">
        <v>27.9</v>
      </c>
      <c r="E15" s="189">
        <v>9.06</v>
      </c>
      <c r="F15" s="189">
        <v>13.93</v>
      </c>
      <c r="G15" s="189">
        <v>66.09</v>
      </c>
      <c r="H15" s="189">
        <v>22.67</v>
      </c>
      <c r="I15" s="189">
        <v>9.2200000000000006</v>
      </c>
      <c r="J15" s="189">
        <v>0.34</v>
      </c>
      <c r="K15" s="189">
        <v>238.11</v>
      </c>
      <c r="L15" s="189">
        <v>31.97</v>
      </c>
      <c r="M15" s="189">
        <v>35.869999999999997</v>
      </c>
      <c r="N15" s="189">
        <v>0</v>
      </c>
      <c r="O15" s="189">
        <v>0</v>
      </c>
      <c r="P15" s="189">
        <v>0.84</v>
      </c>
      <c r="Q15" s="189">
        <v>4.99</v>
      </c>
    </row>
    <row r="16" spans="1:21" customFormat="1">
      <c r="A16" s="6" t="s">
        <v>1780</v>
      </c>
      <c r="B16" s="189">
        <v>10.01</v>
      </c>
      <c r="C16" s="189">
        <v>37.979999999999997</v>
      </c>
      <c r="D16" s="189">
        <v>26.82</v>
      </c>
      <c r="E16" s="189">
        <v>9.39</v>
      </c>
      <c r="F16" s="189">
        <v>17.239999999999998</v>
      </c>
      <c r="G16" s="189">
        <v>62.31</v>
      </c>
      <c r="H16" s="189">
        <v>22.18</v>
      </c>
      <c r="I16" s="189">
        <v>8.57</v>
      </c>
      <c r="J16" s="189">
        <v>0.23</v>
      </c>
      <c r="K16" s="189">
        <v>202.42</v>
      </c>
      <c r="L16" s="189">
        <v>31.91</v>
      </c>
      <c r="M16" s="189">
        <v>36.46</v>
      </c>
      <c r="N16" s="189">
        <v>0</v>
      </c>
      <c r="O16" s="189">
        <v>0</v>
      </c>
      <c r="P16" s="189">
        <v>0.76</v>
      </c>
      <c r="Q16" s="189">
        <v>5.08</v>
      </c>
    </row>
    <row r="17" spans="1:17" customFormat="1">
      <c r="A17" s="6" t="s">
        <v>1781</v>
      </c>
      <c r="B17" s="189">
        <v>9.92</v>
      </c>
      <c r="C17" s="189">
        <v>34.590000000000003</v>
      </c>
      <c r="D17" s="189">
        <v>24.98</v>
      </c>
      <c r="E17" s="189">
        <v>6.41</v>
      </c>
      <c r="F17" s="189">
        <v>16.41</v>
      </c>
      <c r="G17" s="189">
        <v>62.31</v>
      </c>
      <c r="H17" s="189">
        <v>22.18</v>
      </c>
      <c r="I17" s="189">
        <v>8.49</v>
      </c>
      <c r="J17" s="189">
        <v>0.18</v>
      </c>
      <c r="K17" s="189">
        <v>171.75</v>
      </c>
      <c r="L17" s="189">
        <v>31.42</v>
      </c>
      <c r="M17" s="189">
        <v>38.44</v>
      </c>
      <c r="N17" s="189">
        <v>0</v>
      </c>
      <c r="O17" s="189">
        <v>0</v>
      </c>
      <c r="P17" s="189">
        <v>0.74</v>
      </c>
      <c r="Q17" s="189">
        <v>5</v>
      </c>
    </row>
    <row r="18" spans="1:17" customFormat="1">
      <c r="A18" s="6" t="s">
        <v>1782</v>
      </c>
      <c r="B18" s="189">
        <v>11.18</v>
      </c>
      <c r="C18" s="189">
        <v>41.09</v>
      </c>
      <c r="D18" s="189">
        <v>29.39</v>
      </c>
      <c r="E18" s="189">
        <v>6.64</v>
      </c>
      <c r="F18" s="189">
        <v>11.27</v>
      </c>
      <c r="G18" s="189">
        <v>62.31</v>
      </c>
      <c r="H18" s="189">
        <v>22.18</v>
      </c>
      <c r="I18" s="189">
        <v>8.25</v>
      </c>
      <c r="J18" s="189">
        <v>0.14000000000000001</v>
      </c>
      <c r="K18" s="189">
        <v>145.81</v>
      </c>
      <c r="L18" s="189">
        <v>30.95</v>
      </c>
      <c r="M18" s="189">
        <v>42.08</v>
      </c>
      <c r="N18" s="189">
        <v>0</v>
      </c>
      <c r="O18" s="189">
        <v>0</v>
      </c>
      <c r="P18" s="189">
        <v>0.79</v>
      </c>
      <c r="Q18" s="189">
        <v>5.0599999999999996</v>
      </c>
    </row>
    <row r="19" spans="1:17" customFormat="1">
      <c r="A19" s="6" t="s">
        <v>1783</v>
      </c>
      <c r="B19" s="189">
        <v>11.98</v>
      </c>
      <c r="C19" s="189">
        <v>40.659999999999997</v>
      </c>
      <c r="D19" s="189">
        <v>29.81</v>
      </c>
      <c r="E19" s="189">
        <v>6.95</v>
      </c>
      <c r="F19" s="189">
        <v>9.83</v>
      </c>
      <c r="G19" s="189">
        <v>52.95</v>
      </c>
      <c r="H19" s="189">
        <v>21.65</v>
      </c>
      <c r="I19" s="189">
        <v>8.23</v>
      </c>
      <c r="J19" s="189">
        <v>0.15</v>
      </c>
      <c r="K19" s="189">
        <v>152.11000000000001</v>
      </c>
      <c r="L19" s="189">
        <v>30.5</v>
      </c>
      <c r="M19" s="189">
        <v>44.6</v>
      </c>
      <c r="N19" s="189">
        <v>0</v>
      </c>
      <c r="O19" s="189">
        <v>0</v>
      </c>
      <c r="P19" s="189">
        <v>0.8</v>
      </c>
      <c r="Q19" s="189">
        <v>5.0999999999999996</v>
      </c>
    </row>
    <row r="20" spans="1:17" customFormat="1">
      <c r="A20" s="6" t="s">
        <v>1784</v>
      </c>
      <c r="B20" s="189">
        <v>24.11</v>
      </c>
      <c r="C20" s="189">
        <v>45.41</v>
      </c>
      <c r="D20" s="189">
        <v>42.01</v>
      </c>
      <c r="E20" s="189">
        <v>8.0500000000000007</v>
      </c>
      <c r="F20" s="189">
        <v>6.98</v>
      </c>
      <c r="G20" s="189">
        <v>47.26</v>
      </c>
      <c r="H20" s="189">
        <v>21.54</v>
      </c>
      <c r="I20" s="189">
        <v>8.35</v>
      </c>
      <c r="J20" s="189">
        <v>0.18</v>
      </c>
      <c r="K20" s="189">
        <v>240.01</v>
      </c>
      <c r="L20" s="189">
        <v>30.54</v>
      </c>
      <c r="M20" s="189">
        <v>40.61</v>
      </c>
      <c r="N20" s="189">
        <v>0</v>
      </c>
      <c r="O20" s="189">
        <v>0</v>
      </c>
      <c r="P20" s="189">
        <v>0.72</v>
      </c>
      <c r="Q20" s="189">
        <v>5.13</v>
      </c>
    </row>
    <row r="21" spans="1:17" customFormat="1">
      <c r="A21" s="6" t="s">
        <v>1785</v>
      </c>
      <c r="B21" s="189">
        <v>24.27</v>
      </c>
      <c r="C21" s="189">
        <v>46.91</v>
      </c>
      <c r="D21" s="189">
        <v>42.93</v>
      </c>
      <c r="E21" s="189">
        <v>7.85</v>
      </c>
      <c r="F21" s="189">
        <v>4.54</v>
      </c>
      <c r="G21" s="189">
        <v>47.26</v>
      </c>
      <c r="H21" s="189">
        <v>21.54</v>
      </c>
      <c r="I21" s="189">
        <v>8.0399999999999991</v>
      </c>
      <c r="J21" s="189">
        <v>0.13</v>
      </c>
      <c r="K21" s="189">
        <v>243.97</v>
      </c>
      <c r="L21" s="189">
        <v>31.1</v>
      </c>
      <c r="M21" s="189">
        <v>38.6</v>
      </c>
      <c r="N21" s="189">
        <v>0</v>
      </c>
      <c r="O21" s="189">
        <v>0</v>
      </c>
      <c r="P21" s="189">
        <v>0.75</v>
      </c>
      <c r="Q21" s="189">
        <v>5.15</v>
      </c>
    </row>
    <row r="22" spans="1:17" customFormat="1">
      <c r="A22" s="6" t="s">
        <v>1786</v>
      </c>
      <c r="B22" s="189">
        <v>19.66</v>
      </c>
      <c r="C22" s="189">
        <v>48.17</v>
      </c>
      <c r="D22" s="189">
        <v>39.880000000000003</v>
      </c>
      <c r="E22" s="189">
        <v>10.06</v>
      </c>
      <c r="F22" s="189">
        <v>4.4400000000000004</v>
      </c>
      <c r="G22" s="189">
        <v>47.26</v>
      </c>
      <c r="H22" s="189">
        <v>21.54</v>
      </c>
      <c r="I22" s="189">
        <v>7.88</v>
      </c>
      <c r="J22" s="189">
        <v>0.31</v>
      </c>
      <c r="K22" s="189">
        <v>220.39</v>
      </c>
      <c r="L22" s="189">
        <v>30.98</v>
      </c>
      <c r="M22" s="189">
        <v>38.99</v>
      </c>
      <c r="N22" s="189">
        <v>0</v>
      </c>
      <c r="O22" s="189">
        <v>0</v>
      </c>
      <c r="P22" s="189">
        <v>0.85</v>
      </c>
      <c r="Q22" s="189">
        <v>5.31</v>
      </c>
    </row>
    <row r="23" spans="1:17" customFormat="1">
      <c r="A23" s="6" t="s">
        <v>1787</v>
      </c>
      <c r="B23" s="189">
        <v>16.32</v>
      </c>
      <c r="C23" s="189">
        <v>46.19</v>
      </c>
      <c r="D23" s="189">
        <v>36.18</v>
      </c>
      <c r="E23" s="189">
        <v>8.8800000000000008</v>
      </c>
      <c r="F23" s="189">
        <v>5.24</v>
      </c>
      <c r="G23" s="189">
        <v>49.79</v>
      </c>
      <c r="H23" s="189">
        <v>20.41</v>
      </c>
      <c r="I23" s="189">
        <v>7.89</v>
      </c>
      <c r="J23" s="189">
        <v>0.23</v>
      </c>
      <c r="K23" s="189">
        <v>171.53</v>
      </c>
      <c r="L23" s="189">
        <v>30.05</v>
      </c>
      <c r="M23" s="189">
        <v>47.17</v>
      </c>
      <c r="N23" s="189">
        <v>0</v>
      </c>
      <c r="O23" s="189">
        <v>0</v>
      </c>
      <c r="P23" s="189">
        <v>0.83</v>
      </c>
      <c r="Q23" s="189">
        <v>5.33</v>
      </c>
    </row>
    <row r="24" spans="1:17" customFormat="1">
      <c r="A24" s="6" t="s">
        <v>1788</v>
      </c>
      <c r="B24" s="189">
        <v>16.21</v>
      </c>
      <c r="C24" s="189">
        <v>45.68</v>
      </c>
      <c r="D24" s="189">
        <v>35.82</v>
      </c>
      <c r="E24" s="189">
        <v>8.49</v>
      </c>
      <c r="F24" s="189">
        <v>6.31</v>
      </c>
      <c r="G24" s="189">
        <v>51.25</v>
      </c>
      <c r="H24" s="189">
        <v>20.2</v>
      </c>
      <c r="I24" s="189">
        <v>8.3699999999999992</v>
      </c>
      <c r="J24" s="189">
        <v>0.2</v>
      </c>
      <c r="K24" s="189">
        <v>185.44</v>
      </c>
      <c r="L24" s="189">
        <v>29.48</v>
      </c>
      <c r="M24" s="189">
        <v>49.46</v>
      </c>
      <c r="N24" s="189">
        <v>0</v>
      </c>
      <c r="O24" s="189">
        <v>0</v>
      </c>
      <c r="P24" s="189">
        <v>0.77</v>
      </c>
      <c r="Q24" s="189">
        <v>5.41</v>
      </c>
    </row>
    <row r="25" spans="1:17" customFormat="1">
      <c r="A25" s="6" t="s">
        <v>1789</v>
      </c>
      <c r="B25" s="189">
        <v>17.84</v>
      </c>
      <c r="C25" s="189">
        <v>48.14</v>
      </c>
      <c r="D25" s="189">
        <v>38.409999999999997</v>
      </c>
      <c r="E25" s="189">
        <v>7.82</v>
      </c>
      <c r="F25" s="189">
        <v>5.77</v>
      </c>
      <c r="G25" s="189">
        <v>51.25</v>
      </c>
      <c r="H25" s="189">
        <v>20.2</v>
      </c>
      <c r="I25" s="189">
        <v>8.24</v>
      </c>
      <c r="J25" s="189">
        <v>0.28999999999999998</v>
      </c>
      <c r="K25" s="189">
        <v>181.05</v>
      </c>
      <c r="L25" s="189">
        <v>29.46</v>
      </c>
      <c r="M25" s="189">
        <v>47.55</v>
      </c>
      <c r="N25" s="189">
        <v>0</v>
      </c>
      <c r="O25" s="189">
        <v>0</v>
      </c>
      <c r="P25" s="189">
        <v>0.81</v>
      </c>
      <c r="Q25" s="189">
        <v>5.46</v>
      </c>
    </row>
    <row r="26" spans="1:17" customFormat="1">
      <c r="A26" s="6" t="s">
        <v>1790</v>
      </c>
      <c r="B26" s="189">
        <v>17.91</v>
      </c>
      <c r="C26" s="189">
        <v>46.6</v>
      </c>
      <c r="D26" s="189">
        <v>37.659999999999997</v>
      </c>
      <c r="E26" s="189">
        <v>8.49</v>
      </c>
      <c r="F26" s="189">
        <v>6.18</v>
      </c>
      <c r="G26" s="189">
        <v>51.25</v>
      </c>
      <c r="H26" s="189">
        <v>20.2</v>
      </c>
      <c r="I26" s="189">
        <v>8.41</v>
      </c>
      <c r="J26" s="189">
        <v>0.21</v>
      </c>
      <c r="K26" s="189">
        <v>175.62</v>
      </c>
      <c r="L26" s="189">
        <v>29.26</v>
      </c>
      <c r="M26" s="189">
        <v>49.35</v>
      </c>
      <c r="N26" s="189">
        <v>0</v>
      </c>
      <c r="O26" s="189">
        <v>0</v>
      </c>
      <c r="P26" s="189">
        <v>0.79</v>
      </c>
      <c r="Q26" s="189">
        <v>5.45</v>
      </c>
    </row>
    <row r="27" spans="1:17" customFormat="1">
      <c r="A27" s="6" t="s">
        <v>1791</v>
      </c>
      <c r="B27" s="189">
        <v>17.82</v>
      </c>
      <c r="C27" s="189">
        <v>46.45</v>
      </c>
      <c r="D27" s="189">
        <v>37.51</v>
      </c>
      <c r="E27" s="189">
        <v>8.89</v>
      </c>
      <c r="F27" s="189">
        <v>5.69</v>
      </c>
      <c r="G27" s="189">
        <v>49.25</v>
      </c>
      <c r="H27" s="189">
        <v>18.510000000000002</v>
      </c>
      <c r="I27" s="189">
        <v>8.32</v>
      </c>
      <c r="J27" s="189">
        <v>0.18</v>
      </c>
      <c r="K27" s="189">
        <v>181.91</v>
      </c>
      <c r="L27" s="189">
        <v>28.89</v>
      </c>
      <c r="M27" s="189">
        <v>52.47</v>
      </c>
      <c r="N27" s="189">
        <v>0</v>
      </c>
      <c r="O27" s="189">
        <v>0</v>
      </c>
      <c r="P27" s="189">
        <v>0.75</v>
      </c>
      <c r="Q27" s="189">
        <v>5.47</v>
      </c>
    </row>
    <row r="28" spans="1:17" customFormat="1">
      <c r="A28" s="6" t="s">
        <v>1792</v>
      </c>
      <c r="B28" s="189">
        <v>19.73</v>
      </c>
      <c r="C28" s="189">
        <v>49.91</v>
      </c>
      <c r="D28" s="189">
        <v>40.85</v>
      </c>
      <c r="E28" s="189">
        <v>7.82</v>
      </c>
      <c r="F28" s="189">
        <v>4.79</v>
      </c>
      <c r="G28" s="189">
        <v>48.03</v>
      </c>
      <c r="H28" s="189">
        <v>18.21</v>
      </c>
      <c r="I28" s="189">
        <v>8.0399999999999991</v>
      </c>
      <c r="J28" s="189">
        <v>0.15</v>
      </c>
      <c r="K28" s="189">
        <v>174.26</v>
      </c>
      <c r="L28" s="189">
        <v>28.65</v>
      </c>
      <c r="M28" s="189">
        <v>53.55</v>
      </c>
      <c r="N28" s="189">
        <v>0</v>
      </c>
      <c r="O28" s="189">
        <v>0</v>
      </c>
      <c r="P28" s="189">
        <v>0.77</v>
      </c>
      <c r="Q28" s="189">
        <v>5.5</v>
      </c>
    </row>
    <row r="29" spans="1:17" customFormat="1">
      <c r="A29" s="6" t="s">
        <v>1793</v>
      </c>
      <c r="B29" s="189">
        <v>20.03</v>
      </c>
      <c r="C29" s="189">
        <v>48.14</v>
      </c>
      <c r="D29" s="189">
        <v>40.17</v>
      </c>
      <c r="E29" s="189">
        <v>7.73</v>
      </c>
      <c r="F29" s="189">
        <v>4.68</v>
      </c>
      <c r="G29" s="189">
        <v>48.03</v>
      </c>
      <c r="H29" s="189">
        <v>18.21</v>
      </c>
      <c r="I29" s="189">
        <v>8.25</v>
      </c>
      <c r="J29" s="189">
        <v>0.14000000000000001</v>
      </c>
      <c r="K29" s="189">
        <v>190.92</v>
      </c>
      <c r="L29" s="189">
        <v>28.41</v>
      </c>
      <c r="M29" s="189">
        <v>54.79</v>
      </c>
      <c r="N29" s="189">
        <v>0</v>
      </c>
      <c r="O29" s="189">
        <v>0</v>
      </c>
      <c r="P29" s="189">
        <v>0.76</v>
      </c>
      <c r="Q29" s="189">
        <v>5.53</v>
      </c>
    </row>
    <row r="30" spans="1:17" customFormat="1">
      <c r="A30" s="6" t="s">
        <v>1794</v>
      </c>
      <c r="B30" s="189">
        <v>19.989999999999998</v>
      </c>
      <c r="C30" s="189">
        <v>48.66</v>
      </c>
      <c r="D30" s="189">
        <v>40.409999999999997</v>
      </c>
      <c r="E30" s="189">
        <v>7.78</v>
      </c>
      <c r="F30" s="189">
        <v>4.76</v>
      </c>
      <c r="G30" s="189">
        <v>48.03</v>
      </c>
      <c r="H30" s="189">
        <v>18.21</v>
      </c>
      <c r="I30" s="189">
        <v>8.23</v>
      </c>
      <c r="J30" s="189">
        <v>0.14000000000000001</v>
      </c>
      <c r="K30" s="189">
        <v>167.95</v>
      </c>
      <c r="L30" s="189">
        <v>28.53</v>
      </c>
      <c r="M30" s="189">
        <v>51.26</v>
      </c>
      <c r="N30" s="189">
        <v>0.3</v>
      </c>
      <c r="O30" s="189">
        <v>0</v>
      </c>
      <c r="P30" s="189">
        <v>0.71</v>
      </c>
      <c r="Q30" s="189">
        <v>5.59</v>
      </c>
    </row>
    <row r="31" spans="1:17" customFormat="1">
      <c r="A31" s="6" t="s">
        <v>1795</v>
      </c>
      <c r="B31" s="189">
        <v>20.59</v>
      </c>
      <c r="C31" s="189">
        <v>47.14</v>
      </c>
      <c r="D31" s="189">
        <v>40.090000000000003</v>
      </c>
      <c r="E31" s="189">
        <v>7.37</v>
      </c>
      <c r="F31" s="189">
        <v>5.18</v>
      </c>
      <c r="G31" s="189">
        <v>47.15</v>
      </c>
      <c r="H31" s="189">
        <v>17.64</v>
      </c>
      <c r="I31" s="189">
        <v>7.96</v>
      </c>
      <c r="J31" s="189">
        <v>0.24</v>
      </c>
      <c r="K31" s="189">
        <v>163.35</v>
      </c>
      <c r="L31" s="189">
        <v>28.68</v>
      </c>
      <c r="M31" s="189">
        <v>54.41</v>
      </c>
      <c r="N31" s="189">
        <v>10</v>
      </c>
      <c r="O31" s="189">
        <v>0</v>
      </c>
      <c r="P31" s="189">
        <v>0.73</v>
      </c>
      <c r="Q31" s="189">
        <v>5.53</v>
      </c>
    </row>
    <row r="32" spans="1:17" customFormat="1">
      <c r="A32" s="6" t="s">
        <v>1796</v>
      </c>
      <c r="B32" s="189">
        <v>20.09</v>
      </c>
      <c r="C32" s="189">
        <v>47.14</v>
      </c>
      <c r="D32" s="189">
        <v>39.69</v>
      </c>
      <c r="E32" s="189">
        <v>11.31</v>
      </c>
      <c r="F32" s="189">
        <v>6.2</v>
      </c>
      <c r="G32" s="189">
        <v>46.62</v>
      </c>
      <c r="H32" s="189">
        <v>17.54</v>
      </c>
      <c r="I32" s="189">
        <v>7.84</v>
      </c>
      <c r="J32" s="189">
        <v>0.23</v>
      </c>
      <c r="K32" s="189">
        <v>190.06</v>
      </c>
      <c r="L32" s="189">
        <v>29.11</v>
      </c>
      <c r="M32" s="189">
        <v>49.34</v>
      </c>
      <c r="N32" s="189">
        <v>22</v>
      </c>
      <c r="O32" s="189">
        <v>0</v>
      </c>
      <c r="P32" s="189">
        <v>0.69</v>
      </c>
      <c r="Q32" s="189">
        <v>5.63</v>
      </c>
    </row>
    <row r="33" spans="1:17" customFormat="1">
      <c r="A33" s="6" t="s">
        <v>1797</v>
      </c>
      <c r="B33" s="189">
        <v>22.27</v>
      </c>
      <c r="C33" s="189">
        <v>51.03</v>
      </c>
      <c r="D33" s="189">
        <v>43.48</v>
      </c>
      <c r="E33" s="189">
        <v>8.5299999999999994</v>
      </c>
      <c r="F33" s="189">
        <v>4.97</v>
      </c>
      <c r="G33" s="189">
        <v>46.62</v>
      </c>
      <c r="H33" s="189">
        <v>17.54</v>
      </c>
      <c r="I33" s="189">
        <v>7.7</v>
      </c>
      <c r="J33" s="189">
        <v>0.24</v>
      </c>
      <c r="K33" s="189">
        <v>171.28</v>
      </c>
      <c r="L33" s="189">
        <v>29.25</v>
      </c>
      <c r="M33" s="189">
        <v>54.57</v>
      </c>
      <c r="N33" s="189">
        <v>32.299999999999997</v>
      </c>
      <c r="O33" s="189">
        <v>0</v>
      </c>
      <c r="P33" s="189">
        <v>0.75</v>
      </c>
      <c r="Q33" s="189">
        <v>5.64</v>
      </c>
    </row>
    <row r="34" spans="1:17" customFormat="1">
      <c r="A34" s="6" t="s">
        <v>1798</v>
      </c>
      <c r="B34" s="189">
        <v>21.86</v>
      </c>
      <c r="C34" s="189">
        <v>47.88</v>
      </c>
      <c r="D34" s="189">
        <v>41.5</v>
      </c>
      <c r="E34" s="189">
        <v>8.49</v>
      </c>
      <c r="F34" s="189">
        <v>5.23</v>
      </c>
      <c r="G34" s="189">
        <v>46.62</v>
      </c>
      <c r="H34" s="189">
        <v>17.54</v>
      </c>
      <c r="I34" s="189">
        <v>7.96</v>
      </c>
      <c r="J34" s="189">
        <v>0.13</v>
      </c>
      <c r="K34" s="189">
        <v>138.32</v>
      </c>
      <c r="L34" s="189">
        <v>29.64</v>
      </c>
      <c r="M34" s="189">
        <v>54.03</v>
      </c>
      <c r="N34" s="189">
        <v>41.7</v>
      </c>
      <c r="O34" s="189">
        <v>0</v>
      </c>
      <c r="P34" s="189">
        <v>0.71</v>
      </c>
      <c r="Q34" s="189">
        <v>5.65</v>
      </c>
    </row>
    <row r="35" spans="1:17" customFormat="1">
      <c r="A35" s="6" t="s">
        <v>1799</v>
      </c>
      <c r="B35" s="189">
        <v>20.73</v>
      </c>
      <c r="C35" s="189">
        <v>46.47</v>
      </c>
      <c r="D35" s="189">
        <v>39.86</v>
      </c>
      <c r="E35" s="189">
        <v>10.16</v>
      </c>
      <c r="F35" s="189">
        <v>7.33</v>
      </c>
      <c r="G35" s="189">
        <v>47.08</v>
      </c>
      <c r="H35" s="189">
        <v>17.84</v>
      </c>
      <c r="I35" s="189">
        <v>8</v>
      </c>
      <c r="J35" s="189">
        <v>0.28000000000000003</v>
      </c>
      <c r="K35" s="189">
        <v>248.55</v>
      </c>
      <c r="L35" s="189">
        <v>30.3</v>
      </c>
      <c r="M35" s="189">
        <v>47.52</v>
      </c>
      <c r="N35" s="189">
        <v>53.6</v>
      </c>
      <c r="O35" s="189">
        <v>0</v>
      </c>
      <c r="P35" s="189">
        <v>0.7</v>
      </c>
      <c r="Q35" s="189">
        <v>5.7</v>
      </c>
    </row>
    <row r="36" spans="1:17" customFormat="1">
      <c r="A36" s="6" t="s">
        <v>1800</v>
      </c>
      <c r="B36" s="189">
        <v>22.55</v>
      </c>
      <c r="C36" s="189">
        <v>49.1</v>
      </c>
      <c r="D36" s="189">
        <v>42.69</v>
      </c>
      <c r="E36" s="189">
        <v>8.81</v>
      </c>
      <c r="F36" s="189">
        <v>7.67</v>
      </c>
      <c r="G36" s="189">
        <v>47.36</v>
      </c>
      <c r="H36" s="189">
        <v>17.95</v>
      </c>
      <c r="I36" s="189">
        <v>7.89</v>
      </c>
      <c r="J36" s="189">
        <v>0.21</v>
      </c>
      <c r="K36" s="189">
        <v>217.91</v>
      </c>
      <c r="L36" s="189">
        <v>31.18</v>
      </c>
      <c r="M36" s="189">
        <v>44.09</v>
      </c>
      <c r="N36" s="189">
        <v>68.900000000000006</v>
      </c>
      <c r="O36" s="189">
        <v>0</v>
      </c>
      <c r="P36" s="189">
        <v>0.71</v>
      </c>
      <c r="Q36" s="189">
        <v>5.7</v>
      </c>
    </row>
    <row r="37" spans="1:17" customFormat="1">
      <c r="A37" s="6" t="s">
        <v>1801</v>
      </c>
      <c r="B37" s="189">
        <v>21.01</v>
      </c>
      <c r="C37" s="189">
        <v>44.64</v>
      </c>
      <c r="D37" s="189">
        <v>39.119999999999997</v>
      </c>
      <c r="E37" s="189">
        <v>8.94</v>
      </c>
      <c r="F37" s="189">
        <v>10.14</v>
      </c>
      <c r="G37" s="189">
        <v>47.36</v>
      </c>
      <c r="H37" s="189">
        <v>17.95</v>
      </c>
      <c r="I37" s="189">
        <v>7.98</v>
      </c>
      <c r="J37" s="189">
        <v>0.41</v>
      </c>
      <c r="K37" s="189">
        <v>260.95999999999998</v>
      </c>
      <c r="L37" s="189">
        <v>32.090000000000003</v>
      </c>
      <c r="M37" s="189">
        <v>39.630000000000003</v>
      </c>
      <c r="N37" s="189">
        <v>85</v>
      </c>
      <c r="O37" s="189">
        <v>0</v>
      </c>
      <c r="P37" s="189">
        <v>0.67</v>
      </c>
      <c r="Q37" s="189">
        <v>5.69</v>
      </c>
    </row>
    <row r="38" spans="1:17" customFormat="1">
      <c r="A38" s="6" t="s">
        <v>1802</v>
      </c>
      <c r="B38" s="189">
        <v>22.07</v>
      </c>
      <c r="C38" s="189">
        <v>46.63</v>
      </c>
      <c r="D38" s="189">
        <v>41.02</v>
      </c>
      <c r="E38" s="189">
        <v>8.4</v>
      </c>
      <c r="F38" s="189">
        <v>8.5299999999999994</v>
      </c>
      <c r="G38" s="189">
        <v>47.36</v>
      </c>
      <c r="H38" s="189">
        <v>17.95</v>
      </c>
      <c r="I38" s="189">
        <v>7.73</v>
      </c>
      <c r="J38" s="189">
        <v>0.61</v>
      </c>
      <c r="K38" s="189">
        <v>262.52999999999997</v>
      </c>
      <c r="L38" s="189">
        <v>32.85</v>
      </c>
      <c r="M38" s="189">
        <v>37.01</v>
      </c>
      <c r="N38" s="189">
        <v>97.5</v>
      </c>
      <c r="O38" s="189">
        <v>0</v>
      </c>
      <c r="P38" s="189">
        <v>0.71</v>
      </c>
      <c r="Q38" s="189">
        <v>5.6</v>
      </c>
    </row>
    <row r="39" spans="1:17" customFormat="1">
      <c r="A39" s="6" t="s">
        <v>1803</v>
      </c>
      <c r="B39" s="189">
        <v>20.91</v>
      </c>
      <c r="C39" s="189">
        <v>50.98</v>
      </c>
      <c r="D39" s="189">
        <v>42.36</v>
      </c>
      <c r="E39" s="189">
        <v>10.96</v>
      </c>
      <c r="F39" s="189">
        <v>10.97</v>
      </c>
      <c r="G39" s="189">
        <v>47.84</v>
      </c>
      <c r="H39" s="189">
        <v>17.54</v>
      </c>
      <c r="I39" s="189">
        <v>7.48</v>
      </c>
      <c r="J39" s="189">
        <v>0.61</v>
      </c>
      <c r="K39" s="189">
        <v>281.01</v>
      </c>
      <c r="L39" s="189">
        <v>33.53</v>
      </c>
      <c r="M39" s="189">
        <v>35.9</v>
      </c>
      <c r="N39" s="189">
        <v>110.3</v>
      </c>
      <c r="O39" s="189">
        <v>0</v>
      </c>
      <c r="P39" s="189">
        <v>0.83</v>
      </c>
      <c r="Q39" s="189">
        <v>5.73</v>
      </c>
    </row>
    <row r="40" spans="1:17" customFormat="1">
      <c r="A40" s="6" t="s">
        <v>1804</v>
      </c>
      <c r="B40" s="189">
        <v>21.82</v>
      </c>
      <c r="C40" s="189">
        <v>49.58</v>
      </c>
      <c r="D40" s="189">
        <v>42.36</v>
      </c>
      <c r="E40" s="189">
        <v>9.92</v>
      </c>
      <c r="F40" s="189">
        <v>9.18</v>
      </c>
      <c r="G40" s="189">
        <v>48.11</v>
      </c>
      <c r="H40" s="189">
        <v>17.47</v>
      </c>
      <c r="I40" s="189">
        <v>7.78</v>
      </c>
      <c r="J40" s="189">
        <v>0.74</v>
      </c>
      <c r="K40" s="189">
        <v>271.27999999999997</v>
      </c>
      <c r="L40" s="189">
        <v>34.07</v>
      </c>
      <c r="M40" s="189">
        <v>34.299999999999997</v>
      </c>
      <c r="N40" s="189">
        <v>117.2</v>
      </c>
      <c r="O40" s="189">
        <v>0</v>
      </c>
      <c r="P40" s="189">
        <v>0.78</v>
      </c>
      <c r="Q40" s="189">
        <v>5.73</v>
      </c>
    </row>
    <row r="41" spans="1:17" customFormat="1">
      <c r="A41" s="6" t="s">
        <v>1805</v>
      </c>
      <c r="B41" s="189">
        <v>20.170000000000002</v>
      </c>
      <c r="C41" s="189">
        <v>44.73</v>
      </c>
      <c r="D41" s="189">
        <v>38.5</v>
      </c>
      <c r="E41" s="189">
        <v>10.220000000000001</v>
      </c>
      <c r="F41" s="189">
        <v>12.35</v>
      </c>
      <c r="G41" s="189">
        <v>48.11</v>
      </c>
      <c r="H41" s="189">
        <v>17.47</v>
      </c>
      <c r="I41" s="189">
        <v>8.2200000000000006</v>
      </c>
      <c r="J41" s="189">
        <v>0.67</v>
      </c>
      <c r="K41" s="189">
        <v>267.51</v>
      </c>
      <c r="L41" s="189">
        <v>34.549999999999997</v>
      </c>
      <c r="M41" s="189">
        <v>33.58</v>
      </c>
      <c r="N41" s="189">
        <v>122.8</v>
      </c>
      <c r="O41" s="189">
        <v>0</v>
      </c>
      <c r="P41" s="189">
        <v>0.76</v>
      </c>
      <c r="Q41" s="189">
        <v>5.62</v>
      </c>
    </row>
    <row r="42" spans="1:17" customFormat="1">
      <c r="A42" s="6" t="s">
        <v>1806</v>
      </c>
      <c r="B42" s="189">
        <v>19.11</v>
      </c>
      <c r="C42" s="189">
        <v>44.92</v>
      </c>
      <c r="D42" s="189">
        <v>37.75</v>
      </c>
      <c r="E42" s="189">
        <v>11.14</v>
      </c>
      <c r="F42" s="189">
        <v>12.94</v>
      </c>
      <c r="G42" s="189">
        <v>48.11</v>
      </c>
      <c r="H42" s="189">
        <v>17.47</v>
      </c>
      <c r="I42" s="189">
        <v>8.15</v>
      </c>
      <c r="J42" s="189">
        <v>0.79</v>
      </c>
      <c r="K42" s="189">
        <v>274.37</v>
      </c>
      <c r="L42" s="189">
        <v>35.26</v>
      </c>
      <c r="M42" s="189">
        <v>32.39</v>
      </c>
      <c r="N42" s="189">
        <v>135</v>
      </c>
      <c r="O42" s="189">
        <v>0</v>
      </c>
      <c r="P42" s="189">
        <v>0.75</v>
      </c>
      <c r="Q42" s="189">
        <v>5.51</v>
      </c>
    </row>
    <row r="43" spans="1:17" customFormat="1">
      <c r="A43" s="6" t="s">
        <v>1807</v>
      </c>
      <c r="B43" s="189">
        <v>18.36</v>
      </c>
      <c r="C43" s="189">
        <v>45.59</v>
      </c>
      <c r="D43" s="189">
        <v>37.5</v>
      </c>
      <c r="E43" s="189">
        <v>11.83</v>
      </c>
      <c r="F43" s="189">
        <v>14.55</v>
      </c>
      <c r="G43" s="189">
        <v>51.06</v>
      </c>
      <c r="H43" s="189">
        <v>20.37</v>
      </c>
      <c r="I43" s="189">
        <v>8.02</v>
      </c>
      <c r="J43" s="189">
        <v>0.99</v>
      </c>
      <c r="K43" s="189">
        <v>300.51</v>
      </c>
      <c r="L43" s="189">
        <v>35.74</v>
      </c>
      <c r="M43" s="189">
        <v>30.44</v>
      </c>
      <c r="N43" s="189">
        <v>141.9</v>
      </c>
      <c r="O43" s="189">
        <v>0</v>
      </c>
      <c r="P43" s="189">
        <v>0.75</v>
      </c>
      <c r="Q43" s="189">
        <v>5.48</v>
      </c>
    </row>
    <row r="44" spans="1:17" customFormat="1">
      <c r="A44" s="6" t="s">
        <v>1808</v>
      </c>
      <c r="B44" s="189">
        <v>18.53</v>
      </c>
      <c r="C44" s="189">
        <v>47.06</v>
      </c>
      <c r="D44" s="189">
        <v>38.4</v>
      </c>
      <c r="E44" s="189">
        <v>10.16</v>
      </c>
      <c r="F44" s="189">
        <v>10.36</v>
      </c>
      <c r="G44" s="189">
        <v>52.76</v>
      </c>
      <c r="H44" s="189">
        <v>20.89</v>
      </c>
      <c r="I44" s="189">
        <v>7.93</v>
      </c>
      <c r="J44" s="189">
        <v>0.94</v>
      </c>
      <c r="K44" s="189">
        <v>300.99</v>
      </c>
      <c r="L44" s="189">
        <v>36.520000000000003</v>
      </c>
      <c r="M44" s="189">
        <v>28.73</v>
      </c>
      <c r="N44" s="189">
        <v>151.6</v>
      </c>
      <c r="O44" s="189">
        <v>0</v>
      </c>
      <c r="P44" s="189">
        <v>0.75</v>
      </c>
      <c r="Q44" s="189">
        <v>5.43</v>
      </c>
    </row>
    <row r="45" spans="1:17" customFormat="1">
      <c r="A45" s="6" t="s">
        <v>1809</v>
      </c>
      <c r="B45" s="189">
        <v>16.61</v>
      </c>
      <c r="C45" s="189">
        <v>46.5</v>
      </c>
      <c r="D45" s="189">
        <v>36.57</v>
      </c>
      <c r="E45" s="189">
        <v>11.67</v>
      </c>
      <c r="F45" s="189">
        <v>18.16</v>
      </c>
      <c r="G45" s="189">
        <v>52.76</v>
      </c>
      <c r="H45" s="189">
        <v>20.89</v>
      </c>
      <c r="I45" s="189">
        <v>7.83</v>
      </c>
      <c r="J45" s="189">
        <v>0.92</v>
      </c>
      <c r="K45" s="189">
        <v>318.26</v>
      </c>
      <c r="L45" s="189">
        <v>37.130000000000003</v>
      </c>
      <c r="M45" s="189">
        <v>27.78</v>
      </c>
      <c r="N45" s="189">
        <v>157.30000000000001</v>
      </c>
      <c r="O45" s="189">
        <v>0</v>
      </c>
      <c r="P45" s="189">
        <v>0.76</v>
      </c>
      <c r="Q45" s="189">
        <v>5.46</v>
      </c>
    </row>
    <row r="46" spans="1:17" customFormat="1">
      <c r="A46" s="6" t="s">
        <v>1810</v>
      </c>
      <c r="B46" s="189">
        <v>16.600000000000001</v>
      </c>
      <c r="C46" s="189">
        <v>48.22</v>
      </c>
      <c r="D46" s="189">
        <v>37.46</v>
      </c>
      <c r="E46" s="189">
        <v>11.64</v>
      </c>
      <c r="F46" s="189">
        <v>14.94</v>
      </c>
      <c r="G46" s="189">
        <v>52.76</v>
      </c>
      <c r="H46" s="189">
        <v>20.89</v>
      </c>
      <c r="I46" s="189">
        <v>7.66</v>
      </c>
      <c r="J46" s="189">
        <v>0.97</v>
      </c>
      <c r="K46" s="189">
        <v>303.02999999999997</v>
      </c>
      <c r="L46" s="189">
        <v>37.700000000000003</v>
      </c>
      <c r="M46" s="189">
        <v>27.22</v>
      </c>
      <c r="N46" s="189">
        <v>164.2</v>
      </c>
      <c r="O46" s="189">
        <v>0</v>
      </c>
      <c r="P46" s="189">
        <v>0.75</v>
      </c>
      <c r="Q46" s="189">
        <v>5.43</v>
      </c>
    </row>
    <row r="47" spans="1:17" customFormat="1">
      <c r="A47" s="6" t="s">
        <v>1811</v>
      </c>
      <c r="B47" s="189">
        <v>14.96</v>
      </c>
      <c r="C47" s="189">
        <v>46.43</v>
      </c>
      <c r="D47" s="189">
        <v>35.21</v>
      </c>
      <c r="E47" s="189">
        <v>10.47</v>
      </c>
      <c r="F47" s="189">
        <v>20.59</v>
      </c>
      <c r="G47" s="189">
        <v>53.59</v>
      </c>
      <c r="H47" s="189">
        <v>23.58</v>
      </c>
      <c r="I47" s="189">
        <v>7.54</v>
      </c>
      <c r="J47" s="189">
        <v>0.79</v>
      </c>
      <c r="K47" s="189">
        <v>288.07</v>
      </c>
      <c r="L47" s="189">
        <v>37.93</v>
      </c>
      <c r="M47" s="189">
        <v>27.07</v>
      </c>
      <c r="N47" s="189">
        <v>175.2</v>
      </c>
      <c r="O47" s="189">
        <v>0</v>
      </c>
      <c r="P47" s="189">
        <v>0.73</v>
      </c>
      <c r="Q47" s="189">
        <v>5.36</v>
      </c>
    </row>
    <row r="48" spans="1:17" customFormat="1">
      <c r="A48" s="6" t="s">
        <v>1812</v>
      </c>
      <c r="B48" s="189">
        <v>13.33</v>
      </c>
      <c r="C48" s="189">
        <v>40.98</v>
      </c>
      <c r="D48" s="189">
        <v>31.06</v>
      </c>
      <c r="E48" s="189">
        <v>10.81</v>
      </c>
      <c r="F48" s="189">
        <v>19.350000000000001</v>
      </c>
      <c r="G48" s="189">
        <v>54.1</v>
      </c>
      <c r="H48" s="189">
        <v>24.07</v>
      </c>
      <c r="I48" s="189">
        <v>7.43</v>
      </c>
      <c r="J48" s="189">
        <v>0.98</v>
      </c>
      <c r="K48" s="189">
        <v>335</v>
      </c>
      <c r="L48" s="189">
        <v>38.619999999999997</v>
      </c>
      <c r="M48" s="189">
        <v>25.95</v>
      </c>
      <c r="N48" s="189">
        <v>183.9</v>
      </c>
      <c r="O48" s="189">
        <v>0</v>
      </c>
      <c r="P48" s="189">
        <v>0.7</v>
      </c>
      <c r="Q48" s="189">
        <v>5.31</v>
      </c>
    </row>
    <row r="49" spans="1:17" customFormat="1">
      <c r="A49" s="6" t="s">
        <v>1813</v>
      </c>
      <c r="B49" s="189">
        <v>13.29</v>
      </c>
      <c r="C49" s="189">
        <v>42.46</v>
      </c>
      <c r="D49" s="189">
        <v>31.8</v>
      </c>
      <c r="E49" s="189">
        <v>10.49</v>
      </c>
      <c r="F49" s="189">
        <v>16.96</v>
      </c>
      <c r="G49" s="189">
        <v>54.1</v>
      </c>
      <c r="H49" s="189">
        <v>24.07</v>
      </c>
      <c r="I49" s="189">
        <v>7.07</v>
      </c>
      <c r="J49" s="189">
        <v>0.78</v>
      </c>
      <c r="K49" s="189">
        <v>353.61</v>
      </c>
      <c r="L49" s="189">
        <v>38.61</v>
      </c>
      <c r="M49" s="189">
        <v>26.54</v>
      </c>
      <c r="N49" s="189">
        <v>186.8</v>
      </c>
      <c r="O49" s="189">
        <v>0</v>
      </c>
      <c r="P49" s="189">
        <v>0.69</v>
      </c>
      <c r="Q49" s="189">
        <v>5.22</v>
      </c>
    </row>
    <row r="50" spans="1:17" customFormat="1">
      <c r="A50" s="6" t="s">
        <v>1814</v>
      </c>
      <c r="B50" s="189">
        <v>13.53</v>
      </c>
      <c r="C50" s="189">
        <v>42.7</v>
      </c>
      <c r="D50" s="189">
        <v>32.119999999999997</v>
      </c>
      <c r="E50" s="189">
        <v>12.68</v>
      </c>
      <c r="F50" s="189">
        <v>17.52</v>
      </c>
      <c r="G50" s="189">
        <v>54.1</v>
      </c>
      <c r="H50" s="189">
        <v>24.07</v>
      </c>
      <c r="I50" s="189">
        <v>6.89</v>
      </c>
      <c r="J50" s="189">
        <v>0.74</v>
      </c>
      <c r="K50" s="189">
        <v>323.69</v>
      </c>
      <c r="L50" s="189">
        <v>38.94</v>
      </c>
      <c r="M50" s="189">
        <v>26.22</v>
      </c>
      <c r="N50" s="189">
        <v>195.6</v>
      </c>
      <c r="O50" s="189">
        <v>0</v>
      </c>
      <c r="P50" s="189">
        <v>0.67</v>
      </c>
      <c r="Q50" s="189">
        <v>5.17</v>
      </c>
    </row>
    <row r="51" spans="1:17" customFormat="1">
      <c r="A51" s="6" t="s">
        <v>1815</v>
      </c>
      <c r="B51" s="189">
        <v>12.38</v>
      </c>
      <c r="C51" s="189">
        <v>41.34</v>
      </c>
      <c r="D51" s="189">
        <v>30.48</v>
      </c>
      <c r="E51" s="189">
        <v>11.6</v>
      </c>
      <c r="F51" s="189">
        <v>17.940000000000001</v>
      </c>
      <c r="G51" s="189">
        <v>59.27</v>
      </c>
      <c r="H51" s="189">
        <v>24.32</v>
      </c>
      <c r="I51" s="189">
        <v>6.78</v>
      </c>
      <c r="J51" s="189">
        <v>1.07</v>
      </c>
      <c r="K51" s="189">
        <v>297.73</v>
      </c>
      <c r="L51" s="189">
        <v>39.369999999999997</v>
      </c>
      <c r="M51" s="189">
        <v>25.47</v>
      </c>
      <c r="N51" s="189">
        <v>202.1</v>
      </c>
      <c r="O51" s="189">
        <v>0</v>
      </c>
      <c r="P51" s="189">
        <v>0.66</v>
      </c>
      <c r="Q51" s="189">
        <v>5.15</v>
      </c>
    </row>
    <row r="52" spans="1:17" customFormat="1">
      <c r="A52" s="6" t="s">
        <v>1816</v>
      </c>
      <c r="B52" s="189">
        <v>11.46</v>
      </c>
      <c r="C52" s="189">
        <v>39.71</v>
      </c>
      <c r="D52" s="189">
        <v>28.89</v>
      </c>
      <c r="E52" s="189">
        <v>11.29</v>
      </c>
      <c r="F52" s="189">
        <v>17.62</v>
      </c>
      <c r="G52" s="189">
        <v>62.26</v>
      </c>
      <c r="H52" s="189">
        <v>24.37</v>
      </c>
      <c r="I52" s="189">
        <v>6.51</v>
      </c>
      <c r="J52" s="189">
        <v>1.06</v>
      </c>
      <c r="K52" s="189">
        <v>287.74</v>
      </c>
      <c r="L52" s="189">
        <v>39.450000000000003</v>
      </c>
      <c r="M52" s="189">
        <v>25.07</v>
      </c>
      <c r="N52" s="189">
        <v>214.8</v>
      </c>
      <c r="O52" s="189">
        <v>0</v>
      </c>
      <c r="P52" s="189">
        <v>0.63</v>
      </c>
      <c r="Q52" s="189">
        <v>5.14</v>
      </c>
    </row>
    <row r="53" spans="1:17" customFormat="1">
      <c r="A53" s="6" t="s">
        <v>1817</v>
      </c>
      <c r="B53" s="189">
        <v>11.44</v>
      </c>
      <c r="C53" s="189">
        <v>42.01</v>
      </c>
      <c r="D53" s="189">
        <v>30.08</v>
      </c>
      <c r="E53" s="189">
        <v>9.69</v>
      </c>
      <c r="F53" s="189">
        <v>15.32</v>
      </c>
      <c r="G53" s="189">
        <v>62.26</v>
      </c>
      <c r="H53" s="189">
        <v>24.37</v>
      </c>
      <c r="I53" s="189">
        <v>6.45</v>
      </c>
      <c r="J53" s="189">
        <v>1.25</v>
      </c>
      <c r="K53" s="189">
        <v>295.95</v>
      </c>
      <c r="L53" s="189">
        <v>39.630000000000003</v>
      </c>
      <c r="M53" s="189">
        <v>24.07</v>
      </c>
      <c r="N53" s="189">
        <v>221.7</v>
      </c>
      <c r="O53" s="189">
        <v>0</v>
      </c>
      <c r="P53" s="189">
        <v>0.64</v>
      </c>
      <c r="Q53" s="189">
        <v>5.07</v>
      </c>
    </row>
    <row r="54" spans="1:17" customFormat="1">
      <c r="A54" s="6" t="s">
        <v>1818</v>
      </c>
      <c r="B54" s="189">
        <v>10.029999999999999</v>
      </c>
      <c r="C54" s="189">
        <v>37.71</v>
      </c>
      <c r="D54" s="189">
        <v>26.7</v>
      </c>
      <c r="E54" s="189">
        <v>11.77</v>
      </c>
      <c r="F54" s="189">
        <v>22.17</v>
      </c>
      <c r="G54" s="189">
        <v>62.26</v>
      </c>
      <c r="H54" s="189">
        <v>24.37</v>
      </c>
      <c r="I54" s="189">
        <v>6.39</v>
      </c>
      <c r="J54" s="189">
        <v>0.77</v>
      </c>
      <c r="K54" s="189">
        <v>294</v>
      </c>
      <c r="L54" s="189">
        <v>40.03</v>
      </c>
      <c r="M54" s="189">
        <v>24.25</v>
      </c>
      <c r="N54" s="189">
        <v>230.5</v>
      </c>
      <c r="O54" s="189">
        <v>0</v>
      </c>
      <c r="P54" s="189">
        <v>0.57999999999999996</v>
      </c>
      <c r="Q54" s="189">
        <v>5.01</v>
      </c>
    </row>
    <row r="55" spans="1:17" customFormat="1">
      <c r="A55" s="6" t="s">
        <v>1819</v>
      </c>
      <c r="B55" s="189">
        <v>9.8699999999999992</v>
      </c>
      <c r="C55" s="189">
        <v>37.200000000000003</v>
      </c>
      <c r="D55" s="189">
        <v>26.3</v>
      </c>
      <c r="E55" s="189">
        <v>12.98</v>
      </c>
      <c r="F55" s="189">
        <v>27.12</v>
      </c>
      <c r="G55" s="189">
        <v>64.95</v>
      </c>
      <c r="H55" s="189">
        <v>26.14</v>
      </c>
      <c r="I55" s="189">
        <v>6.18</v>
      </c>
      <c r="J55" s="189">
        <v>0.56000000000000005</v>
      </c>
      <c r="K55" s="189">
        <v>309.89</v>
      </c>
      <c r="L55" s="189">
        <v>40.79</v>
      </c>
      <c r="M55" s="189">
        <v>23.31</v>
      </c>
      <c r="N55" s="189">
        <v>401.6</v>
      </c>
      <c r="O55" s="189">
        <v>0</v>
      </c>
      <c r="P55" s="189">
        <v>0.55000000000000004</v>
      </c>
      <c r="Q55" s="189">
        <v>4.97</v>
      </c>
    </row>
    <row r="56" spans="1:17" customFormat="1">
      <c r="A56" s="6" t="s">
        <v>1820</v>
      </c>
      <c r="B56" s="189">
        <v>9.74</v>
      </c>
      <c r="C56" s="189">
        <v>36.07</v>
      </c>
      <c r="D56" s="189">
        <v>25.61</v>
      </c>
      <c r="E56" s="189">
        <v>11.97</v>
      </c>
      <c r="F56" s="189">
        <v>28.14</v>
      </c>
      <c r="G56" s="189">
        <v>66.5</v>
      </c>
      <c r="H56" s="189">
        <v>26.46</v>
      </c>
      <c r="I56" s="189">
        <v>5.65</v>
      </c>
      <c r="J56" s="189">
        <v>0.69</v>
      </c>
      <c r="K56" s="189">
        <v>332.31</v>
      </c>
      <c r="L56" s="189">
        <v>41.08</v>
      </c>
      <c r="M56" s="189">
        <v>23.31</v>
      </c>
      <c r="N56" s="189">
        <v>757.9</v>
      </c>
      <c r="O56" s="189">
        <v>0</v>
      </c>
      <c r="P56" s="189">
        <v>0.56000000000000005</v>
      </c>
      <c r="Q56" s="189">
        <v>4.96</v>
      </c>
    </row>
    <row r="57" spans="1:17" customFormat="1">
      <c r="A57" s="6" t="s">
        <v>1821</v>
      </c>
      <c r="B57" s="189">
        <v>9.6999999999999993</v>
      </c>
      <c r="C57" s="189">
        <v>40.799999999999997</v>
      </c>
      <c r="D57" s="189">
        <v>28.04</v>
      </c>
      <c r="E57" s="189">
        <v>9.66</v>
      </c>
      <c r="F57" s="189">
        <v>21.26</v>
      </c>
      <c r="G57" s="189">
        <v>66.5</v>
      </c>
      <c r="H57" s="189">
        <v>26.46</v>
      </c>
      <c r="I57" s="189">
        <v>5.28</v>
      </c>
      <c r="J57" s="189">
        <v>1.17</v>
      </c>
      <c r="K57" s="189">
        <v>297.43</v>
      </c>
      <c r="L57" s="189">
        <v>40.700000000000003</v>
      </c>
      <c r="M57" s="189">
        <v>23.57</v>
      </c>
      <c r="N57" s="189">
        <v>787.4</v>
      </c>
      <c r="O57" s="189">
        <v>0</v>
      </c>
      <c r="P57" s="189">
        <v>0.57999999999999996</v>
      </c>
      <c r="Q57" s="189">
        <v>4.9400000000000004</v>
      </c>
    </row>
    <row r="58" spans="1:17" customFormat="1">
      <c r="A58" s="6" t="s">
        <v>1822</v>
      </c>
      <c r="B58" s="189">
        <v>9.17</v>
      </c>
      <c r="C58" s="189">
        <v>42.12</v>
      </c>
      <c r="D58" s="189">
        <v>28.32</v>
      </c>
      <c r="E58" s="189">
        <v>8.5299999999999994</v>
      </c>
      <c r="F58" s="189">
        <v>15.2</v>
      </c>
      <c r="G58" s="189">
        <v>66.5</v>
      </c>
      <c r="H58" s="189">
        <v>26.46</v>
      </c>
      <c r="I58" s="189">
        <v>5.27</v>
      </c>
      <c r="J58" s="189">
        <v>1.1200000000000001</v>
      </c>
      <c r="K58" s="189">
        <v>296.56</v>
      </c>
      <c r="L58" s="189">
        <v>41.02</v>
      </c>
      <c r="M58" s="189">
        <v>23.08</v>
      </c>
      <c r="N58" s="189">
        <v>844.9</v>
      </c>
      <c r="O58" s="189">
        <v>0</v>
      </c>
      <c r="P58" s="189">
        <v>0.6</v>
      </c>
      <c r="Q58" s="189">
        <v>4.92</v>
      </c>
    </row>
    <row r="59" spans="1:17" customFormat="1">
      <c r="A59" s="6" t="s">
        <v>1823</v>
      </c>
      <c r="B59" s="189">
        <v>6.51</v>
      </c>
      <c r="C59" s="189">
        <v>39.92</v>
      </c>
      <c r="D59" s="189">
        <v>25.03</v>
      </c>
      <c r="E59" s="189">
        <v>10.119999999999999</v>
      </c>
      <c r="F59" s="189">
        <v>26.4</v>
      </c>
      <c r="G59" s="189">
        <v>60.49</v>
      </c>
      <c r="H59" s="189">
        <v>25.07</v>
      </c>
      <c r="I59" s="189">
        <v>5.62</v>
      </c>
      <c r="J59" s="189">
        <v>0.56000000000000005</v>
      </c>
      <c r="K59" s="189">
        <v>288.61</v>
      </c>
      <c r="L59" s="189">
        <v>41.41</v>
      </c>
      <c r="M59" s="189">
        <v>22.31</v>
      </c>
      <c r="N59" s="189">
        <v>791.4</v>
      </c>
      <c r="O59" s="189">
        <v>0</v>
      </c>
      <c r="P59" s="189">
        <v>0.54</v>
      </c>
      <c r="Q59" s="189">
        <v>4.9800000000000004</v>
      </c>
    </row>
    <row r="60" spans="1:17" customFormat="1">
      <c r="A60" s="6" t="s">
        <v>1824</v>
      </c>
      <c r="B60" s="189">
        <v>6.21</v>
      </c>
      <c r="C60" s="189">
        <v>41.82</v>
      </c>
      <c r="D60" s="189">
        <v>25.79</v>
      </c>
      <c r="E60" s="189">
        <v>8.93</v>
      </c>
      <c r="F60" s="189">
        <v>19.52</v>
      </c>
      <c r="G60" s="189">
        <v>57.02</v>
      </c>
      <c r="H60" s="189">
        <v>24.64</v>
      </c>
      <c r="I60" s="189">
        <v>5.66</v>
      </c>
      <c r="J60" s="189">
        <v>0.74</v>
      </c>
      <c r="K60" s="189">
        <v>263.23</v>
      </c>
      <c r="L60" s="189">
        <v>41.59</v>
      </c>
      <c r="M60" s="189">
        <v>22.81</v>
      </c>
      <c r="N60" s="189">
        <v>859.2</v>
      </c>
      <c r="O60" s="189">
        <v>0</v>
      </c>
      <c r="P60" s="189">
        <v>0.53</v>
      </c>
      <c r="Q60" s="189">
        <v>4.95</v>
      </c>
    </row>
    <row r="61" spans="1:17" customFormat="1">
      <c r="A61" s="6" t="s">
        <v>1825</v>
      </c>
      <c r="B61" s="189">
        <v>5.66</v>
      </c>
      <c r="C61" s="189">
        <v>39.17</v>
      </c>
      <c r="D61" s="189">
        <v>23.96</v>
      </c>
      <c r="E61" s="189">
        <v>8.8800000000000008</v>
      </c>
      <c r="F61" s="189">
        <v>20.91</v>
      </c>
      <c r="G61" s="189">
        <v>57.02</v>
      </c>
      <c r="H61" s="189">
        <v>24.64</v>
      </c>
      <c r="I61" s="189">
        <v>5.2</v>
      </c>
      <c r="J61" s="189">
        <v>0.69</v>
      </c>
      <c r="K61" s="189">
        <v>289.04000000000002</v>
      </c>
      <c r="L61" s="189">
        <v>42.04</v>
      </c>
      <c r="M61" s="189">
        <v>21.67</v>
      </c>
      <c r="N61" s="189">
        <v>847.5</v>
      </c>
      <c r="O61" s="189">
        <v>0</v>
      </c>
      <c r="P61" s="189">
        <v>0.52</v>
      </c>
      <c r="Q61" s="189">
        <v>4.9000000000000004</v>
      </c>
    </row>
    <row r="62" spans="1:17" customFormat="1">
      <c r="A62" s="6" t="s">
        <v>1826</v>
      </c>
      <c r="B62" s="189">
        <v>3.7</v>
      </c>
      <c r="C62" s="189">
        <v>36.89</v>
      </c>
      <c r="D62" s="189">
        <v>21.19</v>
      </c>
      <c r="E62" s="189">
        <v>8.25</v>
      </c>
      <c r="F62" s="189">
        <v>14.37</v>
      </c>
      <c r="G62" s="189">
        <v>57.02</v>
      </c>
      <c r="H62" s="189">
        <v>24.64</v>
      </c>
      <c r="I62" s="189">
        <v>5.1100000000000003</v>
      </c>
      <c r="J62" s="189">
        <v>0.85</v>
      </c>
      <c r="K62" s="189">
        <v>259.66000000000003</v>
      </c>
      <c r="L62" s="189">
        <v>41.9</v>
      </c>
      <c r="M62" s="189">
        <v>20.79</v>
      </c>
      <c r="N62" s="189">
        <v>834.2</v>
      </c>
      <c r="O62" s="189">
        <v>0</v>
      </c>
      <c r="P62" s="189">
        <v>0.49</v>
      </c>
      <c r="Q62" s="189">
        <v>4.79</v>
      </c>
    </row>
    <row r="63" spans="1:17" customFormat="1">
      <c r="A63" s="6" t="s">
        <v>1827</v>
      </c>
      <c r="B63" s="189">
        <v>3.18</v>
      </c>
      <c r="C63" s="189">
        <v>39.15</v>
      </c>
      <c r="D63" s="189">
        <v>21.96</v>
      </c>
      <c r="E63" s="189">
        <v>8.3800000000000008</v>
      </c>
      <c r="F63" s="189">
        <v>18.12</v>
      </c>
      <c r="G63" s="189">
        <v>54.93</v>
      </c>
      <c r="H63" s="189">
        <v>23.46</v>
      </c>
      <c r="I63" s="189">
        <v>5.24</v>
      </c>
      <c r="J63" s="189">
        <v>0.63</v>
      </c>
      <c r="K63" s="189">
        <v>283.49</v>
      </c>
      <c r="L63" s="189">
        <v>42.29</v>
      </c>
      <c r="M63" s="189">
        <v>19.78</v>
      </c>
      <c r="N63" s="189">
        <v>790.1</v>
      </c>
      <c r="O63" s="189">
        <v>0</v>
      </c>
      <c r="P63" s="189">
        <v>0.49</v>
      </c>
      <c r="Q63" s="189">
        <v>4.7300000000000004</v>
      </c>
    </row>
    <row r="64" spans="1:17" customFormat="1">
      <c r="A64" s="6" t="s">
        <v>1828</v>
      </c>
      <c r="B64" s="189">
        <v>3.55</v>
      </c>
      <c r="C64" s="189">
        <v>40.270000000000003</v>
      </c>
      <c r="D64" s="189">
        <v>22.84</v>
      </c>
      <c r="E64" s="189">
        <v>9.14</v>
      </c>
      <c r="F64" s="189">
        <v>20.61</v>
      </c>
      <c r="G64" s="189">
        <v>53.72</v>
      </c>
      <c r="H64" s="189">
        <v>23.24</v>
      </c>
      <c r="I64" s="189">
        <v>5.0999999999999996</v>
      </c>
      <c r="J64" s="189">
        <v>0.26</v>
      </c>
      <c r="K64" s="189">
        <v>285.07</v>
      </c>
      <c r="L64" s="189">
        <v>42.33</v>
      </c>
      <c r="M64" s="189">
        <v>19.850000000000001</v>
      </c>
      <c r="N64" s="189">
        <v>744</v>
      </c>
      <c r="O64" s="189">
        <v>0</v>
      </c>
      <c r="P64" s="189">
        <v>0.48</v>
      </c>
      <c r="Q64" s="189">
        <v>4.8099999999999996</v>
      </c>
    </row>
    <row r="65" spans="1:17" customFormat="1">
      <c r="A65" s="6" t="s">
        <v>1829</v>
      </c>
      <c r="B65" s="189">
        <v>3.95</v>
      </c>
      <c r="C65" s="189">
        <v>43.18</v>
      </c>
      <c r="D65" s="189">
        <v>24.68</v>
      </c>
      <c r="E65" s="189">
        <v>9.49</v>
      </c>
      <c r="F65" s="189">
        <v>18.170000000000002</v>
      </c>
      <c r="G65" s="189">
        <v>53.72</v>
      </c>
      <c r="H65" s="189">
        <v>23.24</v>
      </c>
      <c r="I65" s="189">
        <v>5.01</v>
      </c>
      <c r="J65" s="189">
        <v>0.87</v>
      </c>
      <c r="K65" s="189">
        <v>287.57</v>
      </c>
      <c r="L65" s="189">
        <v>42.23</v>
      </c>
      <c r="M65" s="189">
        <v>20.38</v>
      </c>
      <c r="N65" s="189">
        <v>686.5</v>
      </c>
      <c r="O65" s="189">
        <v>0</v>
      </c>
      <c r="P65" s="189">
        <v>0.43</v>
      </c>
      <c r="Q65" s="189">
        <v>4.84</v>
      </c>
    </row>
    <row r="66" spans="1:17" customFormat="1">
      <c r="A66" s="6" t="s">
        <v>1830</v>
      </c>
      <c r="B66" s="189">
        <v>4.2699999999999996</v>
      </c>
      <c r="C66" s="189">
        <v>43.17</v>
      </c>
      <c r="D66" s="189">
        <v>24.94</v>
      </c>
      <c r="E66" s="189">
        <v>9.61</v>
      </c>
      <c r="F66" s="189">
        <v>18.28</v>
      </c>
      <c r="G66" s="189">
        <v>53.72</v>
      </c>
      <c r="H66" s="189">
        <v>23.24</v>
      </c>
      <c r="I66" s="189">
        <v>5.0599999999999996</v>
      </c>
      <c r="J66" s="189">
        <v>0.7</v>
      </c>
      <c r="K66" s="189">
        <v>293.23</v>
      </c>
      <c r="L66" s="189">
        <v>42</v>
      </c>
      <c r="M66" s="189">
        <v>19.88</v>
      </c>
      <c r="N66" s="189">
        <v>617.70000000000005</v>
      </c>
      <c r="O66" s="189">
        <v>0</v>
      </c>
      <c r="P66" s="189">
        <v>0.45</v>
      </c>
      <c r="Q66" s="189">
        <v>4.9000000000000004</v>
      </c>
    </row>
    <row r="67" spans="1:17" customFormat="1">
      <c r="A67" s="6" t="s">
        <v>1831</v>
      </c>
      <c r="B67" s="189">
        <v>4.2699999999999996</v>
      </c>
      <c r="C67" s="189">
        <v>42.52</v>
      </c>
      <c r="D67" s="189">
        <v>24.6</v>
      </c>
      <c r="E67" s="189">
        <v>11.05</v>
      </c>
      <c r="F67" s="189">
        <v>22.95</v>
      </c>
      <c r="G67" s="189">
        <v>52.92</v>
      </c>
      <c r="H67" s="189">
        <v>21.94</v>
      </c>
      <c r="I67" s="189">
        <v>5.21</v>
      </c>
      <c r="J67" s="189">
        <v>0.65</v>
      </c>
      <c r="K67" s="189">
        <v>274.73</v>
      </c>
      <c r="L67" s="189">
        <v>41.98</v>
      </c>
      <c r="M67" s="189">
        <v>20.61</v>
      </c>
      <c r="N67" s="189">
        <v>611.9</v>
      </c>
      <c r="O67" s="189">
        <v>0</v>
      </c>
      <c r="P67" s="189">
        <v>0.45</v>
      </c>
      <c r="Q67" s="189">
        <v>4.99</v>
      </c>
    </row>
    <row r="68" spans="1:17" customFormat="1">
      <c r="A68" s="6" t="s">
        <v>1832</v>
      </c>
      <c r="B68" s="189">
        <v>4.5999999999999996</v>
      </c>
      <c r="C68" s="189">
        <v>44.66</v>
      </c>
      <c r="D68" s="189">
        <v>25.98</v>
      </c>
      <c r="E68" s="189">
        <v>10.81</v>
      </c>
      <c r="F68" s="189">
        <v>20.74</v>
      </c>
      <c r="G68" s="189">
        <v>52.46</v>
      </c>
      <c r="H68" s="189">
        <v>21.71</v>
      </c>
      <c r="I68" s="189">
        <v>5.13</v>
      </c>
      <c r="J68" s="189">
        <v>0.63</v>
      </c>
      <c r="K68" s="189">
        <v>289.83999999999997</v>
      </c>
      <c r="L68" s="189">
        <v>42.31</v>
      </c>
      <c r="M68" s="189">
        <v>19.829999999999998</v>
      </c>
      <c r="N68" s="189">
        <v>629.1</v>
      </c>
      <c r="O68" s="189">
        <v>0</v>
      </c>
      <c r="P68" s="189">
        <v>0.44</v>
      </c>
      <c r="Q68" s="189">
        <v>5.0199999999999996</v>
      </c>
    </row>
    <row r="69" spans="1:17" customFormat="1">
      <c r="A69" s="6" t="s">
        <v>1833</v>
      </c>
      <c r="B69" s="189">
        <v>4.88</v>
      </c>
      <c r="C69" s="189">
        <v>46.55</v>
      </c>
      <c r="D69" s="189">
        <v>27.19</v>
      </c>
      <c r="E69" s="189">
        <v>11.91</v>
      </c>
      <c r="F69" s="189">
        <v>19.920000000000002</v>
      </c>
      <c r="G69" s="189">
        <v>52.46</v>
      </c>
      <c r="H69" s="189">
        <v>21.71</v>
      </c>
      <c r="I69" s="189">
        <v>5.14</v>
      </c>
      <c r="J69" s="189">
        <v>0.67</v>
      </c>
      <c r="K69" s="189">
        <v>289.89999999999998</v>
      </c>
      <c r="L69" s="189">
        <v>42.19</v>
      </c>
      <c r="M69" s="189">
        <v>19.75</v>
      </c>
      <c r="N69" s="189">
        <v>583.29999999999995</v>
      </c>
      <c r="O69" s="189">
        <v>0</v>
      </c>
      <c r="P69" s="189">
        <v>0.47</v>
      </c>
      <c r="Q69" s="189">
        <v>5.07</v>
      </c>
    </row>
    <row r="70" spans="1:17" customFormat="1">
      <c r="A70" s="6" t="s">
        <v>1834</v>
      </c>
      <c r="B70" s="189">
        <v>5.33</v>
      </c>
      <c r="C70" s="189">
        <v>50.17</v>
      </c>
      <c r="D70" s="189">
        <v>29.44</v>
      </c>
      <c r="E70" s="189">
        <v>10.98</v>
      </c>
      <c r="F70" s="189">
        <v>16.25</v>
      </c>
      <c r="G70" s="189">
        <v>52.46</v>
      </c>
      <c r="H70" s="189">
        <v>21.71</v>
      </c>
      <c r="I70" s="189">
        <v>5.39</v>
      </c>
      <c r="J70" s="189">
        <v>0.94</v>
      </c>
      <c r="K70" s="189">
        <v>274.14999999999998</v>
      </c>
      <c r="L70" s="189">
        <v>41.61</v>
      </c>
      <c r="M70" s="189">
        <v>20.350000000000001</v>
      </c>
      <c r="N70" s="189">
        <v>510.6</v>
      </c>
      <c r="O70" s="189">
        <v>0</v>
      </c>
      <c r="P70" s="189">
        <v>0.47</v>
      </c>
      <c r="Q70" s="189">
        <v>5.12</v>
      </c>
    </row>
    <row r="71" spans="1:17" customFormat="1">
      <c r="A71" s="6" t="s">
        <v>1835</v>
      </c>
      <c r="B71" s="189">
        <v>5.0199999999999996</v>
      </c>
      <c r="C71" s="189">
        <v>47.12</v>
      </c>
      <c r="D71" s="189">
        <v>27.6</v>
      </c>
      <c r="E71" s="189">
        <v>12.29</v>
      </c>
      <c r="F71" s="189">
        <v>19.63</v>
      </c>
      <c r="G71" s="189">
        <v>52.33</v>
      </c>
      <c r="H71" s="189">
        <v>21.08</v>
      </c>
      <c r="I71" s="189">
        <v>5.59</v>
      </c>
      <c r="J71" s="189">
        <v>0.8</v>
      </c>
      <c r="K71" s="189">
        <v>295.99</v>
      </c>
      <c r="L71" s="189">
        <v>41.57</v>
      </c>
      <c r="M71" s="189">
        <v>19.96</v>
      </c>
      <c r="N71" s="189">
        <v>452.5</v>
      </c>
      <c r="O71" s="189">
        <v>0</v>
      </c>
      <c r="P71" s="189">
        <v>0.46</v>
      </c>
      <c r="Q71" s="189">
        <v>5.13</v>
      </c>
    </row>
    <row r="72" spans="1:17" customFormat="1">
      <c r="A72" s="6" t="s">
        <v>1836</v>
      </c>
      <c r="B72" s="189">
        <v>4.7300000000000004</v>
      </c>
      <c r="C72" s="189">
        <v>44.41</v>
      </c>
      <c r="D72" s="189">
        <v>25.96</v>
      </c>
      <c r="E72" s="189">
        <v>13.11</v>
      </c>
      <c r="F72" s="189">
        <v>22.3</v>
      </c>
      <c r="G72" s="189">
        <v>52.25</v>
      </c>
      <c r="H72" s="189">
        <v>20.97</v>
      </c>
      <c r="I72" s="189">
        <v>5.66</v>
      </c>
      <c r="J72" s="189">
        <v>0.57999999999999996</v>
      </c>
      <c r="K72" s="189">
        <v>248.54</v>
      </c>
      <c r="L72" s="189">
        <v>41.6</v>
      </c>
      <c r="M72" s="189">
        <v>22.29</v>
      </c>
      <c r="N72" s="189">
        <v>399.3</v>
      </c>
      <c r="O72" s="189">
        <v>0</v>
      </c>
      <c r="P72" s="189">
        <v>0.45</v>
      </c>
      <c r="Q72" s="189">
        <v>5.13</v>
      </c>
    </row>
    <row r="73" spans="1:17" customFormat="1">
      <c r="A73" s="6" t="s">
        <v>1837</v>
      </c>
      <c r="B73" s="189">
        <v>4.3600000000000003</v>
      </c>
      <c r="C73" s="189">
        <v>44.69</v>
      </c>
      <c r="D73" s="189">
        <v>25.8</v>
      </c>
      <c r="E73" s="189">
        <v>11.9</v>
      </c>
      <c r="F73" s="189">
        <v>16.78</v>
      </c>
      <c r="G73" s="189">
        <v>52.25</v>
      </c>
      <c r="H73" s="189">
        <v>20.97</v>
      </c>
      <c r="I73" s="189">
        <v>5.45</v>
      </c>
      <c r="J73" s="189">
        <v>1.1599999999999999</v>
      </c>
      <c r="K73" s="189">
        <v>283.82</v>
      </c>
      <c r="L73" s="189">
        <v>41.11</v>
      </c>
      <c r="M73" s="189">
        <v>21.91</v>
      </c>
      <c r="N73" s="189">
        <v>338.1</v>
      </c>
      <c r="O73" s="189">
        <v>0</v>
      </c>
      <c r="P73" s="189">
        <v>0.47</v>
      </c>
      <c r="Q73" s="189">
        <v>5.07</v>
      </c>
    </row>
    <row r="74" spans="1:17" customFormat="1">
      <c r="A74" s="6" t="s">
        <v>1838</v>
      </c>
      <c r="B74" s="189">
        <v>4.5</v>
      </c>
      <c r="C74" s="189">
        <v>46.17</v>
      </c>
      <c r="D74" s="189">
        <v>26.69</v>
      </c>
      <c r="E74" s="189">
        <v>12.7</v>
      </c>
      <c r="F74" s="189">
        <v>18.54</v>
      </c>
      <c r="G74" s="189">
        <v>52.25</v>
      </c>
      <c r="H74" s="189">
        <v>20.97</v>
      </c>
      <c r="I74" s="189">
        <v>5.44</v>
      </c>
      <c r="J74" s="189">
        <v>1.05</v>
      </c>
      <c r="K74" s="189">
        <v>288.35000000000002</v>
      </c>
      <c r="L74" s="189">
        <v>40.840000000000003</v>
      </c>
      <c r="M74" s="189">
        <v>22.72</v>
      </c>
      <c r="N74" s="189">
        <v>266.7</v>
      </c>
      <c r="O74" s="189">
        <v>0</v>
      </c>
      <c r="P74" s="189">
        <v>0.46</v>
      </c>
      <c r="Q74" s="189">
        <v>5</v>
      </c>
    </row>
    <row r="75" spans="1:17" customFormat="1">
      <c r="A75" s="6" t="s">
        <v>1839</v>
      </c>
      <c r="B75" s="189">
        <v>4.3</v>
      </c>
      <c r="C75" s="189">
        <v>41.75</v>
      </c>
      <c r="D75" s="189">
        <v>24.22</v>
      </c>
      <c r="E75" s="189">
        <v>14.31</v>
      </c>
      <c r="F75" s="189">
        <v>24.79</v>
      </c>
      <c r="G75" s="189">
        <v>54.26</v>
      </c>
      <c r="H75" s="189">
        <v>19.64</v>
      </c>
      <c r="I75" s="189">
        <v>5.33</v>
      </c>
      <c r="J75" s="189">
        <v>1.02</v>
      </c>
      <c r="K75" s="189">
        <v>258.18</v>
      </c>
      <c r="L75" s="189">
        <v>40.380000000000003</v>
      </c>
      <c r="M75" s="189">
        <v>23.1</v>
      </c>
      <c r="N75" s="189">
        <v>239</v>
      </c>
      <c r="O75" s="189">
        <v>0</v>
      </c>
      <c r="P75" s="189">
        <v>0.45</v>
      </c>
      <c r="Q75" s="189">
        <v>4.97</v>
      </c>
    </row>
    <row r="76" spans="1:17" customFormat="1">
      <c r="A76" s="6" t="s">
        <v>1840</v>
      </c>
      <c r="B76" s="189">
        <v>3.97</v>
      </c>
      <c r="C76" s="189">
        <v>40.130000000000003</v>
      </c>
      <c r="D76" s="189">
        <v>23.1</v>
      </c>
      <c r="E76" s="189">
        <v>15.69</v>
      </c>
      <c r="F76" s="189">
        <v>27.11</v>
      </c>
      <c r="G76" s="189">
        <v>55.42</v>
      </c>
      <c r="H76" s="189">
        <v>19.399999999999999</v>
      </c>
      <c r="I76" s="189">
        <v>5.13</v>
      </c>
      <c r="J76" s="189">
        <v>0.99</v>
      </c>
      <c r="K76" s="189">
        <v>262.83999999999997</v>
      </c>
      <c r="L76" s="189">
        <v>40.22</v>
      </c>
      <c r="M76" s="189">
        <v>22.94</v>
      </c>
      <c r="N76" s="189">
        <v>203.2</v>
      </c>
      <c r="O76" s="189">
        <v>0</v>
      </c>
      <c r="P76" s="189">
        <v>0.44</v>
      </c>
      <c r="Q76" s="189">
        <v>4.92</v>
      </c>
    </row>
    <row r="77" spans="1:17" customFormat="1">
      <c r="A77" s="6" t="s">
        <v>1841</v>
      </c>
      <c r="B77" s="189">
        <v>3.69</v>
      </c>
      <c r="C77" s="189">
        <v>41.18</v>
      </c>
      <c r="D77" s="189">
        <v>23.43</v>
      </c>
      <c r="E77" s="189">
        <v>15.59</v>
      </c>
      <c r="F77" s="189">
        <v>20.059999999999999</v>
      </c>
      <c r="G77" s="189">
        <v>55.42</v>
      </c>
      <c r="H77" s="189">
        <v>19.399999999999999</v>
      </c>
      <c r="I77" s="189">
        <v>5.21</v>
      </c>
      <c r="J77" s="189">
        <v>0.98</v>
      </c>
      <c r="K77" s="189">
        <v>265.27</v>
      </c>
      <c r="L77" s="189">
        <v>40.01</v>
      </c>
      <c r="M77" s="189">
        <v>22.56</v>
      </c>
      <c r="N77" s="189">
        <v>145.5</v>
      </c>
      <c r="O77" s="189">
        <v>0</v>
      </c>
      <c r="P77" s="189">
        <v>0.44</v>
      </c>
      <c r="Q77" s="189">
        <v>4.8600000000000003</v>
      </c>
    </row>
    <row r="78" spans="1:17" customFormat="1">
      <c r="A78" s="6" t="s">
        <v>1842</v>
      </c>
      <c r="B78" s="189">
        <v>3.42</v>
      </c>
      <c r="C78" s="189">
        <v>42.3</v>
      </c>
      <c r="D78" s="189">
        <v>23.79</v>
      </c>
      <c r="E78" s="189">
        <v>15.85</v>
      </c>
      <c r="F78" s="189">
        <v>24.65</v>
      </c>
      <c r="G78" s="189">
        <v>55.42</v>
      </c>
      <c r="H78" s="189">
        <v>19.399999999999999</v>
      </c>
      <c r="I78" s="189">
        <v>5.13</v>
      </c>
      <c r="J78" s="189">
        <v>0.97</v>
      </c>
      <c r="K78" s="189">
        <v>266.08</v>
      </c>
      <c r="L78" s="189">
        <v>39.880000000000003</v>
      </c>
      <c r="M78" s="189">
        <v>23.47</v>
      </c>
      <c r="N78" s="189">
        <v>152.1</v>
      </c>
      <c r="O78" s="189">
        <v>0</v>
      </c>
      <c r="P78" s="189">
        <v>0.47</v>
      </c>
      <c r="Q78" s="189">
        <v>4.95</v>
      </c>
    </row>
    <row r="79" spans="1:17" customFormat="1">
      <c r="A79" s="6" t="s">
        <v>1843</v>
      </c>
      <c r="B79" s="189">
        <v>3.26</v>
      </c>
      <c r="C79" s="189">
        <v>40.29</v>
      </c>
      <c r="D79" s="189">
        <v>22.62</v>
      </c>
      <c r="E79" s="189">
        <v>16.32</v>
      </c>
      <c r="F79" s="189">
        <v>30.4</v>
      </c>
      <c r="G79" s="189">
        <v>51.81</v>
      </c>
      <c r="H79" s="189">
        <v>19.84</v>
      </c>
      <c r="I79" s="189">
        <v>5.01</v>
      </c>
      <c r="J79" s="189">
        <v>0.82</v>
      </c>
      <c r="K79" s="189">
        <v>261.08999999999997</v>
      </c>
      <c r="L79" s="189">
        <v>39.619999999999997</v>
      </c>
      <c r="M79" s="189">
        <v>23.79</v>
      </c>
      <c r="N79" s="189">
        <v>99.4</v>
      </c>
      <c r="O79" s="189">
        <v>0</v>
      </c>
      <c r="P79" s="189">
        <v>0.44</v>
      </c>
      <c r="Q79" s="189">
        <v>4.96</v>
      </c>
    </row>
    <row r="80" spans="1:17" customFormat="1">
      <c r="A80" s="6" t="s">
        <v>1844</v>
      </c>
      <c r="B80" s="189">
        <v>3.66</v>
      </c>
      <c r="C80" s="189">
        <v>38.08</v>
      </c>
      <c r="D80" s="189">
        <v>21.79</v>
      </c>
      <c r="E80" s="189">
        <v>16.04</v>
      </c>
      <c r="F80" s="189">
        <v>27.92</v>
      </c>
      <c r="G80" s="189">
        <v>49.71</v>
      </c>
      <c r="H80" s="189">
        <v>19.920000000000002</v>
      </c>
      <c r="I80" s="189">
        <v>5</v>
      </c>
      <c r="J80" s="189">
        <v>0.92</v>
      </c>
      <c r="K80" s="189">
        <v>267.12</v>
      </c>
      <c r="L80" s="189">
        <v>39.28</v>
      </c>
      <c r="M80" s="189">
        <v>23.84</v>
      </c>
      <c r="N80" s="189">
        <v>63.5</v>
      </c>
      <c r="O80" s="189">
        <v>0</v>
      </c>
      <c r="P80" s="189">
        <v>0.44</v>
      </c>
      <c r="Q80" s="189">
        <v>4.84</v>
      </c>
    </row>
    <row r="81" spans="1:17" customFormat="1">
      <c r="A81" s="6" t="s">
        <v>1845</v>
      </c>
      <c r="B81" s="189">
        <v>3.22</v>
      </c>
      <c r="C81" s="189">
        <v>37.29</v>
      </c>
      <c r="D81" s="189">
        <v>21.02</v>
      </c>
      <c r="E81" s="189">
        <v>13.47</v>
      </c>
      <c r="F81" s="189">
        <v>35.549999999999997</v>
      </c>
      <c r="G81" s="189">
        <v>49.71</v>
      </c>
      <c r="H81" s="189">
        <v>19.920000000000002</v>
      </c>
      <c r="I81" s="189">
        <v>4.97</v>
      </c>
      <c r="J81" s="189">
        <v>0.68</v>
      </c>
      <c r="K81" s="189">
        <v>270.05</v>
      </c>
      <c r="L81" s="189">
        <v>38.86</v>
      </c>
      <c r="M81" s="189">
        <v>24.83</v>
      </c>
      <c r="N81" s="189">
        <v>27.3</v>
      </c>
      <c r="O81" s="189">
        <v>0</v>
      </c>
      <c r="P81" s="189">
        <v>0.41</v>
      </c>
      <c r="Q81" s="189">
        <v>4.7699999999999996</v>
      </c>
    </row>
    <row r="82" spans="1:17" customFormat="1">
      <c r="A82" s="6" t="s">
        <v>1846</v>
      </c>
      <c r="B82" s="189">
        <v>2.72</v>
      </c>
      <c r="C82" s="189">
        <v>34.6</v>
      </c>
      <c r="D82" s="189">
        <v>19.21</v>
      </c>
      <c r="E82" s="189">
        <v>18.95</v>
      </c>
      <c r="F82" s="189">
        <v>39.020000000000003</v>
      </c>
      <c r="G82" s="189">
        <v>49.71</v>
      </c>
      <c r="H82" s="189">
        <v>19.920000000000002</v>
      </c>
      <c r="I82" s="189">
        <v>4.84</v>
      </c>
      <c r="J82" s="189">
        <v>0.66</v>
      </c>
      <c r="K82" s="189">
        <v>264.94</v>
      </c>
      <c r="L82" s="189">
        <v>38.51</v>
      </c>
      <c r="M82" s="189">
        <v>25.11</v>
      </c>
      <c r="N82" s="189">
        <v>8</v>
      </c>
      <c r="O82" s="189">
        <v>0</v>
      </c>
      <c r="P82" s="189">
        <v>0.41</v>
      </c>
      <c r="Q82" s="189">
        <v>4.74</v>
      </c>
    </row>
    <row r="83" spans="1:17" customFormat="1">
      <c r="A83" s="6" t="s">
        <v>1847</v>
      </c>
      <c r="B83" s="189">
        <v>2.58</v>
      </c>
      <c r="C83" s="189">
        <v>32.950000000000003</v>
      </c>
      <c r="D83" s="189">
        <v>18.239999999999998</v>
      </c>
      <c r="E83" s="189">
        <v>15.67</v>
      </c>
      <c r="F83" s="189">
        <v>40.03</v>
      </c>
      <c r="G83" s="189">
        <v>49.26</v>
      </c>
      <c r="H83" s="189">
        <v>19.25</v>
      </c>
      <c r="I83" s="189">
        <v>4.3899999999999997</v>
      </c>
      <c r="J83" s="189">
        <v>0.88</v>
      </c>
      <c r="K83" s="189">
        <v>268.11</v>
      </c>
      <c r="L83" s="189">
        <v>38.28</v>
      </c>
      <c r="M83" s="189">
        <v>25.08</v>
      </c>
      <c r="N83" s="189">
        <v>0</v>
      </c>
      <c r="O83" s="189">
        <v>0</v>
      </c>
      <c r="P83" s="189">
        <v>0.36</v>
      </c>
      <c r="Q83" s="189">
        <v>4.68</v>
      </c>
    </row>
    <row r="84" spans="1:17" customFormat="1">
      <c r="A84" s="6" t="s">
        <v>1848</v>
      </c>
      <c r="B84" s="189">
        <v>2.31</v>
      </c>
      <c r="C84" s="189">
        <v>31.16</v>
      </c>
      <c r="D84" s="189">
        <v>17.09</v>
      </c>
      <c r="E84" s="189">
        <v>19.11</v>
      </c>
      <c r="F84" s="189">
        <v>44.07</v>
      </c>
      <c r="G84" s="189">
        <v>49</v>
      </c>
      <c r="H84" s="189">
        <v>19.05</v>
      </c>
      <c r="I84" s="189">
        <v>4.12</v>
      </c>
      <c r="J84" s="189">
        <v>0.67</v>
      </c>
      <c r="K84" s="189">
        <v>253.97</v>
      </c>
      <c r="L84" s="189">
        <v>38</v>
      </c>
      <c r="M84" s="189">
        <v>25.78</v>
      </c>
      <c r="N84" s="189">
        <v>0</v>
      </c>
      <c r="O84" s="189">
        <v>0</v>
      </c>
      <c r="P84" s="189">
        <v>0.34</v>
      </c>
      <c r="Q84" s="189">
        <v>4.62</v>
      </c>
    </row>
    <row r="85" spans="1:17" customFormat="1">
      <c r="A85" s="6" t="s">
        <v>1849</v>
      </c>
      <c r="B85" s="189">
        <v>2</v>
      </c>
      <c r="C85" s="189">
        <v>29.11</v>
      </c>
      <c r="D85" s="189">
        <v>15.77</v>
      </c>
      <c r="E85" s="189">
        <v>18.899999999999999</v>
      </c>
      <c r="F85" s="189">
        <v>42.97</v>
      </c>
      <c r="G85" s="189">
        <v>49</v>
      </c>
      <c r="H85" s="189">
        <v>19.05</v>
      </c>
      <c r="I85" s="189">
        <v>3.94</v>
      </c>
      <c r="J85" s="189">
        <v>0.48</v>
      </c>
      <c r="K85" s="189">
        <v>258.44</v>
      </c>
      <c r="L85" s="189">
        <v>37.659999999999997</v>
      </c>
      <c r="M85" s="189">
        <v>27.02</v>
      </c>
      <c r="N85" s="189">
        <v>0</v>
      </c>
      <c r="O85" s="189">
        <v>0</v>
      </c>
      <c r="P85" s="189">
        <v>0.35</v>
      </c>
      <c r="Q85" s="189">
        <v>4.57</v>
      </c>
    </row>
    <row r="86" spans="1:17" customFormat="1">
      <c r="A86" s="6" t="s">
        <v>1850</v>
      </c>
      <c r="B86" s="189">
        <v>1.96</v>
      </c>
      <c r="C86" s="189">
        <v>28.98</v>
      </c>
      <c r="D86" s="189">
        <v>15.67</v>
      </c>
      <c r="E86" s="189">
        <v>17.86</v>
      </c>
      <c r="F86" s="189">
        <v>39.090000000000003</v>
      </c>
      <c r="G86" s="189">
        <v>49</v>
      </c>
      <c r="H86" s="189">
        <v>19.05</v>
      </c>
      <c r="I86" s="189">
        <v>3.64</v>
      </c>
      <c r="J86" s="189">
        <v>0.45</v>
      </c>
      <c r="K86" s="189">
        <v>263.61</v>
      </c>
      <c r="L86" s="189">
        <v>37.299999999999997</v>
      </c>
      <c r="M86" s="189">
        <v>28.44</v>
      </c>
      <c r="N86" s="189">
        <v>0</v>
      </c>
      <c r="O86" s="189">
        <v>0</v>
      </c>
      <c r="P86" s="189">
        <v>0.39</v>
      </c>
      <c r="Q86" s="189">
        <v>4.58</v>
      </c>
    </row>
    <row r="87" spans="1:17" customFormat="1">
      <c r="A87" s="6" t="s">
        <v>1851</v>
      </c>
      <c r="B87" s="189">
        <v>2.4300000000000002</v>
      </c>
      <c r="C87" s="189">
        <v>30.83</v>
      </c>
      <c r="D87" s="189">
        <v>17.010000000000002</v>
      </c>
      <c r="E87" s="189">
        <v>14.38</v>
      </c>
      <c r="F87" s="189">
        <v>33.15</v>
      </c>
      <c r="G87" s="189">
        <v>46.81</v>
      </c>
      <c r="H87" s="189">
        <v>16.47</v>
      </c>
      <c r="I87" s="189">
        <v>3.66</v>
      </c>
      <c r="J87" s="189">
        <v>0.69</v>
      </c>
      <c r="K87" s="189">
        <v>262.89999999999998</v>
      </c>
      <c r="L87" s="189">
        <v>37.200000000000003</v>
      </c>
      <c r="M87" s="189">
        <v>28.65</v>
      </c>
      <c r="N87" s="189">
        <v>0</v>
      </c>
      <c r="O87" s="189">
        <v>0</v>
      </c>
      <c r="P87" s="189">
        <v>0.4</v>
      </c>
      <c r="Q87" s="189">
        <v>4.5599999999999996</v>
      </c>
    </row>
    <row r="88" spans="1:17" customFormat="1">
      <c r="A88" s="6" t="s">
        <v>1852</v>
      </c>
      <c r="B88" s="189">
        <v>3.1</v>
      </c>
      <c r="C88" s="189">
        <v>32.729999999999997</v>
      </c>
      <c r="D88" s="189">
        <v>18.54</v>
      </c>
      <c r="E88" s="189">
        <v>11.48</v>
      </c>
      <c r="F88" s="189">
        <v>26.77</v>
      </c>
      <c r="G88" s="189">
        <v>45.54</v>
      </c>
      <c r="H88" s="189">
        <v>16.010000000000002</v>
      </c>
      <c r="I88" s="189">
        <v>3.82</v>
      </c>
      <c r="J88" s="189">
        <v>0.75</v>
      </c>
      <c r="K88" s="189">
        <v>257.72000000000003</v>
      </c>
      <c r="L88" s="189">
        <v>37.11</v>
      </c>
      <c r="M88" s="189">
        <v>28.69</v>
      </c>
      <c r="N88" s="189">
        <v>0</v>
      </c>
      <c r="O88" s="189">
        <v>0</v>
      </c>
      <c r="P88" s="189">
        <v>0.41</v>
      </c>
      <c r="Q88" s="189">
        <v>4.59</v>
      </c>
    </row>
    <row r="89" spans="1:17" customFormat="1">
      <c r="A89" s="6" t="s">
        <v>1853</v>
      </c>
      <c r="B89" s="189">
        <v>3.17</v>
      </c>
      <c r="C89" s="189">
        <v>31.99</v>
      </c>
      <c r="D89" s="189">
        <v>18.21</v>
      </c>
      <c r="E89" s="189">
        <v>9.99</v>
      </c>
      <c r="F89" s="189">
        <v>25.4</v>
      </c>
      <c r="G89" s="189">
        <v>45.54</v>
      </c>
      <c r="H89" s="189">
        <v>16.010000000000002</v>
      </c>
      <c r="I89" s="189">
        <v>4.0599999999999996</v>
      </c>
      <c r="J89" s="189">
        <v>0.68</v>
      </c>
      <c r="K89" s="189">
        <v>257.45</v>
      </c>
      <c r="L89" s="189">
        <v>36.880000000000003</v>
      </c>
      <c r="M89" s="189">
        <v>29.03</v>
      </c>
      <c r="N89" s="189">
        <v>0</v>
      </c>
      <c r="O89" s="189">
        <v>0</v>
      </c>
      <c r="P89" s="189">
        <v>0.42</v>
      </c>
      <c r="Q89" s="189">
        <v>4.62</v>
      </c>
    </row>
    <row r="90" spans="1:17" customFormat="1">
      <c r="A90" s="6" t="s">
        <v>1854</v>
      </c>
      <c r="B90" s="189">
        <v>3.42</v>
      </c>
      <c r="C90" s="189">
        <v>31.98</v>
      </c>
      <c r="D90" s="189">
        <v>18.41</v>
      </c>
      <c r="E90" s="189">
        <v>8.6199999999999992</v>
      </c>
      <c r="F90" s="189">
        <v>24.63</v>
      </c>
      <c r="G90" s="189">
        <v>45.54</v>
      </c>
      <c r="H90" s="189">
        <v>16.010000000000002</v>
      </c>
      <c r="I90" s="189">
        <v>4.2</v>
      </c>
      <c r="J90" s="189">
        <v>0.69</v>
      </c>
      <c r="K90" s="189">
        <v>260.98</v>
      </c>
      <c r="L90" s="189">
        <v>36.76</v>
      </c>
      <c r="M90" s="189">
        <v>28.44</v>
      </c>
      <c r="N90" s="189">
        <v>0</v>
      </c>
      <c r="O90" s="189">
        <v>0</v>
      </c>
      <c r="P90" s="189">
        <v>0.41</v>
      </c>
      <c r="Q90" s="189">
        <v>4.5999999999999996</v>
      </c>
    </row>
    <row r="91" spans="1:17" customFormat="1">
      <c r="A91" s="6" t="s">
        <v>1855</v>
      </c>
      <c r="B91" s="189">
        <v>3.56</v>
      </c>
      <c r="C91" s="189">
        <v>30.76</v>
      </c>
      <c r="D91" s="189">
        <v>17.88</v>
      </c>
      <c r="E91" s="189">
        <v>10.54</v>
      </c>
      <c r="F91" s="189">
        <v>23.43</v>
      </c>
      <c r="G91" s="189">
        <v>48.02</v>
      </c>
      <c r="H91" s="189">
        <v>15.11</v>
      </c>
      <c r="I91" s="189">
        <v>4.17</v>
      </c>
      <c r="J91" s="189">
        <v>0.69</v>
      </c>
      <c r="K91" s="189">
        <v>259.95</v>
      </c>
      <c r="L91" s="189">
        <v>36.56</v>
      </c>
      <c r="M91" s="189">
        <v>28.51</v>
      </c>
      <c r="N91" s="189">
        <v>0</v>
      </c>
      <c r="O91" s="189">
        <v>0</v>
      </c>
      <c r="P91" s="189">
        <v>0.44</v>
      </c>
      <c r="Q91" s="189">
        <v>4.58</v>
      </c>
    </row>
    <row r="92" spans="1:17" customFormat="1">
      <c r="A92" s="6" t="s">
        <v>1856</v>
      </c>
      <c r="B92" s="189">
        <v>3.75</v>
      </c>
      <c r="C92" s="189">
        <v>30.66</v>
      </c>
      <c r="D92" s="189">
        <v>17.98</v>
      </c>
      <c r="E92" s="189">
        <v>14.7</v>
      </c>
      <c r="F92" s="189">
        <v>21.31</v>
      </c>
      <c r="G92" s="189">
        <v>49.46</v>
      </c>
      <c r="H92" s="189">
        <v>14.95</v>
      </c>
      <c r="I92" s="189">
        <v>4.1500000000000004</v>
      </c>
      <c r="J92" s="189">
        <v>0.59</v>
      </c>
      <c r="K92" s="189">
        <v>259.05</v>
      </c>
      <c r="L92" s="189">
        <v>36.29</v>
      </c>
      <c r="M92" s="189">
        <v>29.15</v>
      </c>
      <c r="N92" s="189">
        <v>0</v>
      </c>
      <c r="O92" s="189">
        <v>0</v>
      </c>
      <c r="P92" s="189">
        <v>0.61</v>
      </c>
      <c r="Q92" s="189">
        <v>4.58</v>
      </c>
    </row>
    <row r="93" spans="1:17" customFormat="1">
      <c r="A93" s="6" t="s">
        <v>1857</v>
      </c>
      <c r="B93" s="189">
        <v>4.12</v>
      </c>
      <c r="C93" s="189">
        <v>32.049999999999997</v>
      </c>
      <c r="D93" s="189">
        <v>19.010000000000002</v>
      </c>
      <c r="E93" s="189">
        <v>14.96</v>
      </c>
      <c r="F93" s="189">
        <v>18.399999999999999</v>
      </c>
      <c r="G93" s="189">
        <v>49.46</v>
      </c>
      <c r="H93" s="189">
        <v>14.95</v>
      </c>
      <c r="I93" s="189">
        <v>4.5199999999999996</v>
      </c>
      <c r="J93" s="189">
        <v>0.66</v>
      </c>
      <c r="K93" s="189">
        <v>263.57</v>
      </c>
      <c r="L93" s="189">
        <v>36.07</v>
      </c>
      <c r="M93" s="189">
        <v>29.79</v>
      </c>
      <c r="N93" s="189">
        <v>0</v>
      </c>
      <c r="O93" s="189">
        <v>0</v>
      </c>
      <c r="P93" s="189">
        <v>0.71</v>
      </c>
      <c r="Q93" s="189">
        <v>4.58</v>
      </c>
    </row>
    <row r="94" spans="1:17" customFormat="1">
      <c r="A94" s="6" t="s">
        <v>1858</v>
      </c>
      <c r="B94" s="189">
        <v>4.5199999999999996</v>
      </c>
      <c r="C94" s="189">
        <v>33.08</v>
      </c>
      <c r="D94" s="189">
        <v>19.86</v>
      </c>
      <c r="E94" s="189">
        <v>14.94</v>
      </c>
      <c r="F94" s="189">
        <v>17.62</v>
      </c>
      <c r="G94" s="189">
        <v>49.46</v>
      </c>
      <c r="H94" s="189">
        <v>14.95</v>
      </c>
      <c r="I94" s="189">
        <v>5.6</v>
      </c>
      <c r="J94" s="189">
        <v>0.79</v>
      </c>
      <c r="K94" s="189">
        <v>256.25</v>
      </c>
      <c r="L94" s="189">
        <v>35.97</v>
      </c>
      <c r="M94" s="189">
        <v>30.27</v>
      </c>
      <c r="N94" s="189">
        <v>0</v>
      </c>
      <c r="O94" s="189">
        <v>0</v>
      </c>
      <c r="P94" s="189">
        <v>0.69</v>
      </c>
      <c r="Q94" s="189">
        <v>4.58</v>
      </c>
    </row>
    <row r="95" spans="1:17" customFormat="1">
      <c r="A95" s="6" t="s">
        <v>1859</v>
      </c>
      <c r="B95" s="189">
        <v>5.12</v>
      </c>
      <c r="C95" s="189">
        <v>36.369999999999997</v>
      </c>
      <c r="D95" s="189">
        <v>22.07</v>
      </c>
      <c r="E95" s="189">
        <v>14.51</v>
      </c>
      <c r="F95" s="189">
        <v>16.14</v>
      </c>
      <c r="G95" s="189">
        <v>50.4</v>
      </c>
      <c r="H95" s="189">
        <v>15.83</v>
      </c>
      <c r="I95" s="189">
        <v>6.44</v>
      </c>
      <c r="J95" s="189">
        <v>0.65</v>
      </c>
      <c r="K95" s="189">
        <v>256.47000000000003</v>
      </c>
      <c r="L95" s="189">
        <v>35.83</v>
      </c>
      <c r="M95" s="189">
        <v>30.79</v>
      </c>
      <c r="N95" s="189">
        <v>0</v>
      </c>
      <c r="O95" s="189">
        <v>0</v>
      </c>
      <c r="P95" s="189">
        <v>0.69</v>
      </c>
      <c r="Q95" s="189">
        <v>4.6500000000000004</v>
      </c>
    </row>
    <row r="96" spans="1:17" customFormat="1">
      <c r="A96" s="6" t="s">
        <v>1860</v>
      </c>
      <c r="B96" s="189">
        <v>5.23</v>
      </c>
      <c r="C96" s="189">
        <v>36.520000000000003</v>
      </c>
      <c r="D96" s="189">
        <v>22.23</v>
      </c>
      <c r="E96" s="189">
        <v>15.05</v>
      </c>
      <c r="F96" s="189">
        <v>14.94</v>
      </c>
      <c r="G96" s="189">
        <v>50.94</v>
      </c>
      <c r="H96" s="189">
        <v>15.98</v>
      </c>
      <c r="I96" s="189">
        <v>6.65</v>
      </c>
      <c r="J96" s="189">
        <v>0.32</v>
      </c>
      <c r="K96" s="189">
        <v>229.76</v>
      </c>
      <c r="L96" s="189">
        <v>35.39</v>
      </c>
      <c r="M96" s="189">
        <v>32.69</v>
      </c>
      <c r="N96" s="189">
        <v>0</v>
      </c>
      <c r="O96" s="189">
        <v>0</v>
      </c>
      <c r="P96" s="189">
        <v>0.69</v>
      </c>
      <c r="Q96" s="189">
        <v>4.75</v>
      </c>
    </row>
    <row r="97" spans="1:22" customFormat="1">
      <c r="A97" s="6" t="s">
        <v>1861</v>
      </c>
      <c r="B97" s="189">
        <v>6.14</v>
      </c>
      <c r="C97" s="189">
        <v>39.82</v>
      </c>
      <c r="D97" s="189">
        <v>24.69</v>
      </c>
      <c r="E97" s="189">
        <v>13.81</v>
      </c>
      <c r="F97" s="189">
        <v>12.39</v>
      </c>
      <c r="G97" s="189">
        <v>50.94</v>
      </c>
      <c r="H97" s="189">
        <v>15.98</v>
      </c>
      <c r="I97" s="189">
        <v>7.27</v>
      </c>
      <c r="J97" s="189">
        <v>0.55000000000000004</v>
      </c>
      <c r="K97" s="189">
        <v>255.89</v>
      </c>
      <c r="L97" s="189">
        <v>34.97</v>
      </c>
      <c r="M97" s="189">
        <v>33.4</v>
      </c>
      <c r="N97" s="189">
        <v>0</v>
      </c>
      <c r="O97" s="189">
        <v>0</v>
      </c>
      <c r="P97" s="189">
        <v>0.78</v>
      </c>
      <c r="Q97" s="189">
        <v>4.79</v>
      </c>
    </row>
    <row r="98" spans="1:22" customFormat="1">
      <c r="A98" s="6" t="s">
        <v>1862</v>
      </c>
      <c r="B98" s="189">
        <v>6.13</v>
      </c>
      <c r="C98" s="189">
        <v>37.82</v>
      </c>
      <c r="D98" s="189">
        <v>23.63</v>
      </c>
      <c r="E98" s="189">
        <v>12.71</v>
      </c>
      <c r="F98" s="189">
        <v>14.54</v>
      </c>
      <c r="G98" s="189">
        <v>50.94</v>
      </c>
      <c r="H98" s="189">
        <v>15.98</v>
      </c>
      <c r="I98" s="189">
        <v>8.17</v>
      </c>
      <c r="J98" s="189">
        <v>0.6</v>
      </c>
      <c r="K98" s="189">
        <v>263.47000000000003</v>
      </c>
      <c r="L98" s="189">
        <v>34.950000000000003</v>
      </c>
      <c r="M98" s="189">
        <v>33.270000000000003</v>
      </c>
      <c r="N98" s="189">
        <v>0</v>
      </c>
      <c r="O98" s="189">
        <v>0</v>
      </c>
      <c r="P98" s="189">
        <v>0.71</v>
      </c>
      <c r="Q98" s="189">
        <v>4.82</v>
      </c>
    </row>
    <row r="99" spans="1:22" customFormat="1">
      <c r="A99" s="6" t="s">
        <v>1863</v>
      </c>
      <c r="B99" s="189">
        <v>5.91</v>
      </c>
      <c r="C99" s="189">
        <v>34.5</v>
      </c>
      <c r="D99" s="189">
        <v>21.71</v>
      </c>
      <c r="E99" s="189">
        <v>14.9</v>
      </c>
      <c r="F99" s="189">
        <v>17.489999999999998</v>
      </c>
      <c r="G99" s="189">
        <v>50.97</v>
      </c>
      <c r="H99" s="189">
        <v>17.64</v>
      </c>
      <c r="I99" s="189">
        <v>8.16</v>
      </c>
      <c r="J99" s="189">
        <v>0.6</v>
      </c>
      <c r="K99" s="189">
        <v>262.54000000000002</v>
      </c>
      <c r="L99" s="189">
        <v>34.909999999999997</v>
      </c>
      <c r="M99" s="189">
        <v>33.4</v>
      </c>
      <c r="N99" s="189">
        <v>0</v>
      </c>
      <c r="O99" s="189">
        <v>0</v>
      </c>
      <c r="P99" s="189">
        <v>0.62</v>
      </c>
      <c r="Q99" s="189">
        <v>4.84</v>
      </c>
    </row>
    <row r="100" spans="1:22" customFormat="1">
      <c r="A100" s="6" t="s">
        <v>1864</v>
      </c>
      <c r="B100" s="189">
        <v>6.09</v>
      </c>
      <c r="C100" s="189">
        <v>33.270000000000003</v>
      </c>
      <c r="D100" s="189">
        <v>21.22</v>
      </c>
      <c r="E100" s="189">
        <v>12.39</v>
      </c>
      <c r="F100" s="189">
        <v>18.43</v>
      </c>
      <c r="G100" s="189">
        <v>50.98</v>
      </c>
      <c r="H100" s="189">
        <v>17.93</v>
      </c>
      <c r="I100" s="189">
        <v>7</v>
      </c>
      <c r="J100" s="189">
        <v>0.5</v>
      </c>
      <c r="K100" s="189">
        <v>259.89999999999998</v>
      </c>
      <c r="L100" s="189">
        <v>34.840000000000003</v>
      </c>
      <c r="M100" s="189">
        <v>33.75</v>
      </c>
      <c r="N100" s="189">
        <v>0</v>
      </c>
      <c r="O100" s="189">
        <v>0</v>
      </c>
      <c r="P100" s="189">
        <v>0.56999999999999995</v>
      </c>
      <c r="Q100" s="189">
        <v>4.82</v>
      </c>
    </row>
    <row r="101" spans="1:22" customFormat="1">
      <c r="A101" s="6" t="s">
        <v>1865</v>
      </c>
      <c r="B101" s="189">
        <v>6.02</v>
      </c>
      <c r="C101" s="189">
        <v>32.85</v>
      </c>
      <c r="D101" s="189">
        <v>20.95</v>
      </c>
      <c r="E101" s="189">
        <v>14.69</v>
      </c>
      <c r="F101" s="189">
        <v>19.53</v>
      </c>
      <c r="G101" s="189">
        <v>50.98</v>
      </c>
      <c r="H101" s="189">
        <v>17.93</v>
      </c>
      <c r="I101" s="189">
        <v>5.83</v>
      </c>
      <c r="J101" s="189">
        <v>0.44</v>
      </c>
      <c r="K101" s="189">
        <v>257.52999999999997</v>
      </c>
      <c r="L101" s="189">
        <v>34.67</v>
      </c>
      <c r="M101" s="189">
        <v>34.43</v>
      </c>
      <c r="N101" s="189">
        <v>0</v>
      </c>
      <c r="O101" s="189">
        <v>0</v>
      </c>
      <c r="P101" s="189">
        <v>0.72</v>
      </c>
      <c r="Q101" s="189">
        <v>4.7699999999999996</v>
      </c>
    </row>
    <row r="102" spans="1:22" customFormat="1">
      <c r="A102" s="6" t="s">
        <v>1866</v>
      </c>
      <c r="B102" s="189">
        <v>6.21</v>
      </c>
      <c r="C102" s="189">
        <v>32.68</v>
      </c>
      <c r="D102" s="189">
        <v>21.01</v>
      </c>
      <c r="E102" s="189">
        <v>16.43</v>
      </c>
      <c r="F102" s="189">
        <v>17.55</v>
      </c>
      <c r="G102" s="189">
        <v>50.98</v>
      </c>
      <c r="H102" s="189">
        <v>17.93</v>
      </c>
      <c r="I102" s="189">
        <v>5.44</v>
      </c>
      <c r="J102" s="189">
        <v>0.56999999999999995</v>
      </c>
      <c r="K102" s="189">
        <v>259.11</v>
      </c>
      <c r="L102" s="189">
        <v>34.590000000000003</v>
      </c>
      <c r="M102" s="189">
        <v>34.520000000000003</v>
      </c>
      <c r="N102" s="189">
        <v>0</v>
      </c>
      <c r="O102" s="189">
        <v>0</v>
      </c>
      <c r="P102" s="189">
        <v>0.74</v>
      </c>
      <c r="Q102" s="189">
        <v>4.75</v>
      </c>
    </row>
    <row r="103" spans="1:22" customFormat="1">
      <c r="A103" s="6" t="s">
        <v>1867</v>
      </c>
      <c r="B103" s="189">
        <v>6.92</v>
      </c>
      <c r="C103" s="189">
        <v>33.83</v>
      </c>
      <c r="D103" s="189">
        <v>22.18</v>
      </c>
      <c r="E103" s="189">
        <v>15.58</v>
      </c>
      <c r="F103" s="189">
        <v>15.63</v>
      </c>
      <c r="G103" s="189">
        <v>50.13</v>
      </c>
      <c r="H103" s="189">
        <v>18.45</v>
      </c>
      <c r="I103" s="189">
        <v>5.75</v>
      </c>
      <c r="J103" s="189">
        <v>0.51</v>
      </c>
      <c r="K103" s="189">
        <v>253.92</v>
      </c>
      <c r="L103" s="189">
        <v>34.369999999999997</v>
      </c>
      <c r="M103" s="189">
        <v>35.130000000000003</v>
      </c>
      <c r="N103" s="189">
        <v>0</v>
      </c>
      <c r="O103" s="189">
        <v>0</v>
      </c>
      <c r="P103" s="189">
        <v>0.62</v>
      </c>
      <c r="Q103" s="189">
        <v>4.74</v>
      </c>
    </row>
    <row r="104" spans="1:22" customFormat="1">
      <c r="A104" s="6" t="s">
        <v>1868</v>
      </c>
      <c r="B104" s="189">
        <v>7.04</v>
      </c>
      <c r="C104" s="189">
        <v>35.18</v>
      </c>
      <c r="D104" s="189">
        <v>22.98</v>
      </c>
      <c r="E104" s="189">
        <v>10.54</v>
      </c>
      <c r="F104" s="189">
        <v>17.73</v>
      </c>
      <c r="G104" s="189">
        <v>49.64</v>
      </c>
      <c r="H104" s="189">
        <v>18.54</v>
      </c>
      <c r="I104" s="189">
        <v>6.2</v>
      </c>
      <c r="J104" s="189">
        <v>0.49</v>
      </c>
      <c r="K104" s="189">
        <v>257.45</v>
      </c>
      <c r="L104" s="189">
        <v>34.299999999999997</v>
      </c>
      <c r="M104" s="189">
        <v>35.049999999999997</v>
      </c>
      <c r="N104" s="189">
        <v>0</v>
      </c>
      <c r="O104" s="189">
        <v>0</v>
      </c>
      <c r="P104" s="189">
        <v>0.52</v>
      </c>
      <c r="Q104" s="189">
        <v>4.88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1.96</v>
      </c>
      <c r="C106" s="183">
        <f>MIN(C9:C104)</f>
        <v>28.98</v>
      </c>
      <c r="D106" s="183">
        <f t="shared" ref="D106:Q106" si="0">MIN(D9:D104)</f>
        <v>15.67</v>
      </c>
      <c r="E106" s="183">
        <f t="shared" si="0"/>
        <v>6.41</v>
      </c>
      <c r="F106" s="183">
        <f t="shared" si="0"/>
        <v>4.4400000000000004</v>
      </c>
      <c r="G106" s="183">
        <f t="shared" si="0"/>
        <v>45.54</v>
      </c>
      <c r="H106" s="183">
        <f t="shared" si="0"/>
        <v>14.95</v>
      </c>
      <c r="I106" s="183">
        <f t="shared" si="0"/>
        <v>3.64</v>
      </c>
      <c r="J106" s="183">
        <f t="shared" si="0"/>
        <v>0.13</v>
      </c>
      <c r="K106" s="183">
        <f t="shared" si="0"/>
        <v>138.32</v>
      </c>
      <c r="L106" s="183">
        <f t="shared" si="0"/>
        <v>28.41</v>
      </c>
      <c r="M106" s="183">
        <f t="shared" si="0"/>
        <v>19.75</v>
      </c>
      <c r="N106" s="183">
        <f t="shared" si="0"/>
        <v>0</v>
      </c>
      <c r="O106" s="183">
        <f t="shared" si="0"/>
        <v>0</v>
      </c>
      <c r="P106" s="183">
        <f t="shared" si="0"/>
        <v>0.34</v>
      </c>
      <c r="Q106" s="183">
        <f t="shared" si="0"/>
        <v>4.5599999999999996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24.27</v>
      </c>
      <c r="C107" s="184">
        <f t="shared" ref="C107:Q107" si="1">MAX(C9:C104)</f>
        <v>51.03</v>
      </c>
      <c r="D107" s="184">
        <f t="shared" si="1"/>
        <v>43.48</v>
      </c>
      <c r="E107" s="184">
        <f t="shared" si="1"/>
        <v>32.43</v>
      </c>
      <c r="F107" s="184">
        <f t="shared" si="1"/>
        <v>44.07</v>
      </c>
      <c r="G107" s="184">
        <f t="shared" si="1"/>
        <v>72.62</v>
      </c>
      <c r="H107" s="184">
        <f t="shared" si="1"/>
        <v>26.46</v>
      </c>
      <c r="I107" s="184">
        <f t="shared" si="1"/>
        <v>17.89</v>
      </c>
      <c r="J107" s="184">
        <f t="shared" si="1"/>
        <v>1.25</v>
      </c>
      <c r="K107" s="184">
        <f t="shared" si="1"/>
        <v>353.61</v>
      </c>
      <c r="L107" s="184">
        <f t="shared" si="1"/>
        <v>42.33</v>
      </c>
      <c r="M107" s="184">
        <f t="shared" si="1"/>
        <v>54.79</v>
      </c>
      <c r="N107" s="184">
        <f t="shared" si="1"/>
        <v>859.2</v>
      </c>
      <c r="O107" s="184">
        <f t="shared" si="1"/>
        <v>0</v>
      </c>
      <c r="P107" s="184">
        <f t="shared" si="1"/>
        <v>1.62</v>
      </c>
      <c r="Q107" s="184">
        <f t="shared" si="1"/>
        <v>5.73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10.251875</v>
      </c>
      <c r="C108" s="183">
        <f t="shared" ref="C108:Q108" si="2">AVERAGE(C9:C104)</f>
        <v>40.868020833333333</v>
      </c>
      <c r="D108" s="183">
        <f t="shared" si="2"/>
        <v>28.528749999999999</v>
      </c>
      <c r="E108" s="183">
        <f t="shared" si="2"/>
        <v>11.836979166666671</v>
      </c>
      <c r="F108" s="183">
        <f t="shared" si="2"/>
        <v>17.395625000000003</v>
      </c>
      <c r="G108" s="183">
        <f t="shared" si="2"/>
        <v>53.558541666666635</v>
      </c>
      <c r="H108" s="183">
        <f t="shared" si="2"/>
        <v>20.494791666666682</v>
      </c>
      <c r="I108" s="183">
        <f t="shared" si="2"/>
        <v>6.904583333333334</v>
      </c>
      <c r="J108" s="183">
        <f t="shared" si="2"/>
        <v>0.59322916666666636</v>
      </c>
      <c r="K108" s="183">
        <f t="shared" si="2"/>
        <v>253.76000000000002</v>
      </c>
      <c r="L108" s="183">
        <f t="shared" si="2"/>
        <v>36.040000000000013</v>
      </c>
      <c r="M108" s="183">
        <f t="shared" si="2"/>
        <v>31.887812499999999</v>
      </c>
      <c r="N108" s="183">
        <f t="shared" si="2"/>
        <v>175.14687500000002</v>
      </c>
      <c r="O108" s="183">
        <f t="shared" si="2"/>
        <v>0</v>
      </c>
      <c r="P108" s="183">
        <f t="shared" si="2"/>
        <v>0.64218749999999991</v>
      </c>
      <c r="Q108" s="183">
        <f t="shared" si="2"/>
        <v>5.0699999999999976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6.8032949157394542</v>
      </c>
      <c r="C109" s="183">
        <f t="shared" ref="C109:Q109" si="3">STDEV(C9:C104)</f>
        <v>5.8216777505406769</v>
      </c>
      <c r="D109" s="183">
        <f t="shared" si="3"/>
        <v>7.9392989548660466</v>
      </c>
      <c r="E109" s="183">
        <f t="shared" si="3"/>
        <v>4.0064500942175796</v>
      </c>
      <c r="F109" s="183">
        <f t="shared" si="3"/>
        <v>8.9744550706875472</v>
      </c>
      <c r="G109" s="183">
        <f t="shared" si="3"/>
        <v>6.7787592373714451</v>
      </c>
      <c r="H109" s="183">
        <f t="shared" si="3"/>
        <v>3.1606501593539247</v>
      </c>
      <c r="I109" s="183">
        <f t="shared" si="3"/>
        <v>2.4677609355623855</v>
      </c>
      <c r="J109" s="183">
        <f t="shared" si="3"/>
        <v>0.29924640363372768</v>
      </c>
      <c r="K109" s="183">
        <f t="shared" si="3"/>
        <v>44.689364447671473</v>
      </c>
      <c r="L109" s="183">
        <f t="shared" si="3"/>
        <v>4.3371484689947852</v>
      </c>
      <c r="M109" s="183">
        <f t="shared" si="3"/>
        <v>9.8273617172854841</v>
      </c>
      <c r="N109" s="183">
        <f t="shared" si="3"/>
        <v>261.99279658764624</v>
      </c>
      <c r="O109" s="183">
        <f t="shared" si="3"/>
        <v>0</v>
      </c>
      <c r="P109" s="183">
        <f t="shared" si="3"/>
        <v>0.1978314174665963</v>
      </c>
      <c r="Q109" s="183">
        <f t="shared" si="3"/>
        <v>0.33459166000871687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18/06/2023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1869</v>
      </c>
      <c r="B9" s="189">
        <v>6.92</v>
      </c>
      <c r="C9" s="189">
        <v>32.54</v>
      </c>
      <c r="D9" s="189">
        <v>21.51</v>
      </c>
      <c r="E9" s="189">
        <v>9.64</v>
      </c>
      <c r="F9" s="189">
        <v>19.100000000000001</v>
      </c>
      <c r="G9" s="189">
        <v>49.64</v>
      </c>
      <c r="H9" s="189">
        <v>18.54</v>
      </c>
      <c r="I9" s="189">
        <v>5.8</v>
      </c>
      <c r="J9" s="189">
        <v>0.53</v>
      </c>
      <c r="K9" s="189">
        <v>262.45999999999998</v>
      </c>
      <c r="L9" s="189">
        <v>34.119999999999997</v>
      </c>
      <c r="M9" s="189">
        <v>35.4</v>
      </c>
      <c r="N9" s="189">
        <v>0</v>
      </c>
      <c r="O9" s="189">
        <v>0</v>
      </c>
      <c r="P9" s="189">
        <v>0.5</v>
      </c>
      <c r="Q9" s="189">
        <v>4.84</v>
      </c>
    </row>
    <row r="10" spans="1:21" customFormat="1">
      <c r="A10" s="6" t="s">
        <v>1870</v>
      </c>
      <c r="B10" s="189">
        <v>8.24</v>
      </c>
      <c r="C10" s="189">
        <v>36.25</v>
      </c>
      <c r="D10" s="189">
        <v>24.5</v>
      </c>
      <c r="E10" s="189">
        <v>8.42</v>
      </c>
      <c r="F10" s="189">
        <v>15.75</v>
      </c>
      <c r="G10" s="189">
        <v>49.64</v>
      </c>
      <c r="H10" s="189">
        <v>18.54</v>
      </c>
      <c r="I10" s="189">
        <v>5.03</v>
      </c>
      <c r="J10" s="189">
        <v>0.48</v>
      </c>
      <c r="K10" s="189">
        <v>255.38</v>
      </c>
      <c r="L10" s="189">
        <v>34.06</v>
      </c>
      <c r="M10" s="189">
        <v>35.299999999999997</v>
      </c>
      <c r="N10" s="189">
        <v>0</v>
      </c>
      <c r="O10" s="189">
        <v>0</v>
      </c>
      <c r="P10" s="189">
        <v>0.51</v>
      </c>
      <c r="Q10" s="189">
        <v>4.8</v>
      </c>
    </row>
    <row r="11" spans="1:21" customFormat="1">
      <c r="A11" s="6" t="s">
        <v>1871</v>
      </c>
      <c r="B11" s="189">
        <v>7.58</v>
      </c>
      <c r="C11" s="189">
        <v>34.54</v>
      </c>
      <c r="D11" s="189">
        <v>23.08</v>
      </c>
      <c r="E11" s="189">
        <v>8.61</v>
      </c>
      <c r="F11" s="189">
        <v>20.74</v>
      </c>
      <c r="G11" s="189">
        <v>48.29</v>
      </c>
      <c r="H11" s="189">
        <v>16.75</v>
      </c>
      <c r="I11" s="189">
        <v>4.79</v>
      </c>
      <c r="J11" s="189">
        <v>0.56999999999999995</v>
      </c>
      <c r="K11" s="189">
        <v>255.1</v>
      </c>
      <c r="L11" s="189">
        <v>33.86</v>
      </c>
      <c r="M11" s="189">
        <v>35.58</v>
      </c>
      <c r="N11" s="189">
        <v>0</v>
      </c>
      <c r="O11" s="189">
        <v>0</v>
      </c>
      <c r="P11" s="189">
        <v>0.46</v>
      </c>
      <c r="Q11" s="189">
        <v>4.8899999999999997</v>
      </c>
    </row>
    <row r="12" spans="1:21" customFormat="1">
      <c r="A12" s="6" t="s">
        <v>1872</v>
      </c>
      <c r="B12" s="189">
        <v>7.44</v>
      </c>
      <c r="C12" s="189">
        <v>31.95</v>
      </c>
      <c r="D12" s="189">
        <v>21.62</v>
      </c>
      <c r="E12" s="189">
        <v>8.1300000000000008</v>
      </c>
      <c r="F12" s="189">
        <v>20.239999999999998</v>
      </c>
      <c r="G12" s="189">
        <v>47.51</v>
      </c>
      <c r="H12" s="189">
        <v>16.2</v>
      </c>
      <c r="I12" s="189">
        <v>4.83</v>
      </c>
      <c r="J12" s="189">
        <v>0.46</v>
      </c>
      <c r="K12" s="189">
        <v>251.71</v>
      </c>
      <c r="L12" s="189">
        <v>33.76</v>
      </c>
      <c r="M12" s="189">
        <v>35.81</v>
      </c>
      <c r="N12" s="189">
        <v>0</v>
      </c>
      <c r="O12" s="189">
        <v>0</v>
      </c>
      <c r="P12" s="189">
        <v>0.45</v>
      </c>
      <c r="Q12" s="189">
        <v>4.8499999999999996</v>
      </c>
    </row>
    <row r="13" spans="1:21" customFormat="1">
      <c r="A13" s="6" t="s">
        <v>1873</v>
      </c>
      <c r="B13" s="189">
        <v>8.56</v>
      </c>
      <c r="C13" s="189">
        <v>37.01</v>
      </c>
      <c r="D13" s="189">
        <v>25.16</v>
      </c>
      <c r="E13" s="189">
        <v>8.44</v>
      </c>
      <c r="F13" s="189">
        <v>15.09</v>
      </c>
      <c r="G13" s="189">
        <v>47.51</v>
      </c>
      <c r="H13" s="189">
        <v>16.2</v>
      </c>
      <c r="I13" s="189">
        <v>4.59</v>
      </c>
      <c r="J13" s="189">
        <v>0.35</v>
      </c>
      <c r="K13" s="189">
        <v>248.85</v>
      </c>
      <c r="L13" s="189">
        <v>33.5</v>
      </c>
      <c r="M13" s="189">
        <v>37.08</v>
      </c>
      <c r="N13" s="189">
        <v>0</v>
      </c>
      <c r="O13" s="189">
        <v>0</v>
      </c>
      <c r="P13" s="189">
        <v>0.46</v>
      </c>
      <c r="Q13" s="189">
        <v>4.8499999999999996</v>
      </c>
    </row>
    <row r="14" spans="1:21" customFormat="1">
      <c r="A14" s="6" t="s">
        <v>1874</v>
      </c>
      <c r="B14" s="189">
        <v>7.4</v>
      </c>
      <c r="C14" s="189">
        <v>31.78</v>
      </c>
      <c r="D14" s="189">
        <v>21.49</v>
      </c>
      <c r="E14" s="189">
        <v>8.15</v>
      </c>
      <c r="F14" s="189">
        <v>20.350000000000001</v>
      </c>
      <c r="G14" s="189">
        <v>47.51</v>
      </c>
      <c r="H14" s="189">
        <v>16.2</v>
      </c>
      <c r="I14" s="189">
        <v>4.55</v>
      </c>
      <c r="J14" s="189">
        <v>0.25</v>
      </c>
      <c r="K14" s="189">
        <v>216.08</v>
      </c>
      <c r="L14" s="189">
        <v>33.04</v>
      </c>
      <c r="M14" s="189">
        <v>38.15</v>
      </c>
      <c r="N14" s="189">
        <v>0</v>
      </c>
      <c r="O14" s="189">
        <v>0</v>
      </c>
      <c r="P14" s="189">
        <v>0.42</v>
      </c>
      <c r="Q14" s="189">
        <v>4.92</v>
      </c>
    </row>
    <row r="15" spans="1:21" customFormat="1">
      <c r="A15" s="6" t="s">
        <v>1875</v>
      </c>
      <c r="B15" s="189">
        <v>7.9</v>
      </c>
      <c r="C15" s="189">
        <v>32.17</v>
      </c>
      <c r="D15" s="189">
        <v>22.1</v>
      </c>
      <c r="E15" s="189">
        <v>7.88</v>
      </c>
      <c r="F15" s="189">
        <v>18.920000000000002</v>
      </c>
      <c r="G15" s="189">
        <v>43.87</v>
      </c>
      <c r="H15" s="189">
        <v>14.32</v>
      </c>
      <c r="I15" s="189">
        <v>4.41</v>
      </c>
      <c r="J15" s="189">
        <v>0.19</v>
      </c>
      <c r="K15" s="189">
        <v>205.89</v>
      </c>
      <c r="L15" s="189">
        <v>32.71</v>
      </c>
      <c r="M15" s="189">
        <v>39.44</v>
      </c>
      <c r="N15" s="189">
        <v>0</v>
      </c>
      <c r="O15" s="189">
        <v>0</v>
      </c>
      <c r="P15" s="189">
        <v>0.41</v>
      </c>
      <c r="Q15" s="189">
        <v>4.87</v>
      </c>
    </row>
    <row r="16" spans="1:21" customFormat="1">
      <c r="A16" s="6" t="s">
        <v>1876</v>
      </c>
      <c r="B16" s="189">
        <v>9.14</v>
      </c>
      <c r="C16" s="189">
        <v>38.33</v>
      </c>
      <c r="D16" s="189">
        <v>26.31</v>
      </c>
      <c r="E16" s="189">
        <v>8.0500000000000007</v>
      </c>
      <c r="F16" s="189">
        <v>13.2</v>
      </c>
      <c r="G16" s="189">
        <v>41.66</v>
      </c>
      <c r="H16" s="189">
        <v>13.96</v>
      </c>
      <c r="I16" s="189">
        <v>3.94</v>
      </c>
      <c r="J16" s="189">
        <v>0.3</v>
      </c>
      <c r="K16" s="189">
        <v>176.42</v>
      </c>
      <c r="L16" s="189">
        <v>31.95</v>
      </c>
      <c r="M16" s="189">
        <v>44.44</v>
      </c>
      <c r="N16" s="189">
        <v>0</v>
      </c>
      <c r="O16" s="189">
        <v>0</v>
      </c>
      <c r="P16" s="189">
        <v>0.46</v>
      </c>
      <c r="Q16" s="189">
        <v>4.8899999999999997</v>
      </c>
    </row>
    <row r="17" spans="1:17" customFormat="1">
      <c r="A17" s="6" t="s">
        <v>1877</v>
      </c>
      <c r="B17" s="189">
        <v>8.6999999999999993</v>
      </c>
      <c r="C17" s="189">
        <v>34.69</v>
      </c>
      <c r="D17" s="189">
        <v>24.06</v>
      </c>
      <c r="E17" s="189">
        <v>4.99</v>
      </c>
      <c r="F17" s="189">
        <v>13.13</v>
      </c>
      <c r="G17" s="189">
        <v>41.66</v>
      </c>
      <c r="H17" s="189">
        <v>13.96</v>
      </c>
      <c r="I17" s="189">
        <v>4.18</v>
      </c>
      <c r="J17" s="189">
        <v>0.2</v>
      </c>
      <c r="K17" s="189">
        <v>171.03</v>
      </c>
      <c r="L17" s="189">
        <v>31.26</v>
      </c>
      <c r="M17" s="189">
        <v>47.41</v>
      </c>
      <c r="N17" s="189">
        <v>0</v>
      </c>
      <c r="O17" s="189">
        <v>0</v>
      </c>
      <c r="P17" s="189">
        <v>0.43</v>
      </c>
      <c r="Q17" s="189">
        <v>4.9000000000000004</v>
      </c>
    </row>
    <row r="18" spans="1:17" customFormat="1">
      <c r="A18" s="6" t="s">
        <v>1878</v>
      </c>
      <c r="B18" s="189">
        <v>10.119999999999999</v>
      </c>
      <c r="C18" s="189">
        <v>37.5</v>
      </c>
      <c r="D18" s="189">
        <v>26.66</v>
      </c>
      <c r="E18" s="189">
        <v>5.84</v>
      </c>
      <c r="F18" s="189">
        <v>11.91</v>
      </c>
      <c r="G18" s="189">
        <v>41.66</v>
      </c>
      <c r="H18" s="189">
        <v>13.96</v>
      </c>
      <c r="I18" s="189">
        <v>4.49</v>
      </c>
      <c r="J18" s="189">
        <v>0.22</v>
      </c>
      <c r="K18" s="189">
        <v>174.31</v>
      </c>
      <c r="L18" s="189">
        <v>31.14</v>
      </c>
      <c r="M18" s="189">
        <v>47.43</v>
      </c>
      <c r="N18" s="189">
        <v>0</v>
      </c>
      <c r="O18" s="189">
        <v>0</v>
      </c>
      <c r="P18" s="189">
        <v>0.45</v>
      </c>
      <c r="Q18" s="189">
        <v>4.84</v>
      </c>
    </row>
    <row r="19" spans="1:17" customFormat="1">
      <c r="A19" s="6" t="s">
        <v>1879</v>
      </c>
      <c r="B19" s="189">
        <v>9.2799999999999994</v>
      </c>
      <c r="C19" s="189">
        <v>35.08</v>
      </c>
      <c r="D19" s="189">
        <v>24.73</v>
      </c>
      <c r="E19" s="189">
        <v>6.1</v>
      </c>
      <c r="F19" s="189">
        <v>14.27</v>
      </c>
      <c r="G19" s="189">
        <v>40.770000000000003</v>
      </c>
      <c r="H19" s="189">
        <v>13.1</v>
      </c>
      <c r="I19" s="189">
        <v>4.28</v>
      </c>
      <c r="J19" s="189">
        <v>0.2</v>
      </c>
      <c r="K19" s="189">
        <v>168.96</v>
      </c>
      <c r="L19" s="189">
        <v>31.05</v>
      </c>
      <c r="M19" s="189">
        <v>48.24</v>
      </c>
      <c r="N19" s="189">
        <v>0</v>
      </c>
      <c r="O19" s="189">
        <v>0</v>
      </c>
      <c r="P19" s="189">
        <v>0.4</v>
      </c>
      <c r="Q19" s="189">
        <v>4.97</v>
      </c>
    </row>
    <row r="20" spans="1:17" customFormat="1">
      <c r="A20" s="6" t="s">
        <v>1880</v>
      </c>
      <c r="B20" s="189">
        <v>10.97</v>
      </c>
      <c r="C20" s="189">
        <v>38</v>
      </c>
      <c r="D20" s="189">
        <v>27.6</v>
      </c>
      <c r="E20" s="189">
        <v>5.71</v>
      </c>
      <c r="F20" s="189">
        <v>12.04</v>
      </c>
      <c r="G20" s="189">
        <v>40.24</v>
      </c>
      <c r="H20" s="189">
        <v>12.93</v>
      </c>
      <c r="I20" s="189">
        <v>4.29</v>
      </c>
      <c r="J20" s="189">
        <v>0.18</v>
      </c>
      <c r="K20" s="189">
        <v>192.15</v>
      </c>
      <c r="L20" s="189">
        <v>31.28</v>
      </c>
      <c r="M20" s="189">
        <v>45.06</v>
      </c>
      <c r="N20" s="189">
        <v>0</v>
      </c>
      <c r="O20" s="189">
        <v>0</v>
      </c>
      <c r="P20" s="189">
        <v>0.44</v>
      </c>
      <c r="Q20" s="189">
        <v>4.8899999999999997</v>
      </c>
    </row>
    <row r="21" spans="1:17" customFormat="1">
      <c r="A21" s="6" t="s">
        <v>1881</v>
      </c>
      <c r="B21" s="189">
        <v>10.07</v>
      </c>
      <c r="C21" s="189">
        <v>34.630000000000003</v>
      </c>
      <c r="D21" s="189">
        <v>25.12</v>
      </c>
      <c r="E21" s="189">
        <v>5.97</v>
      </c>
      <c r="F21" s="189">
        <v>14.46</v>
      </c>
      <c r="G21" s="189">
        <v>40.24</v>
      </c>
      <c r="H21" s="189">
        <v>12.93</v>
      </c>
      <c r="I21" s="189">
        <v>4.3899999999999997</v>
      </c>
      <c r="J21" s="189">
        <v>0.21</v>
      </c>
      <c r="K21" s="189">
        <v>216.8</v>
      </c>
      <c r="L21" s="189">
        <v>31.29</v>
      </c>
      <c r="M21" s="189">
        <v>44.58</v>
      </c>
      <c r="N21" s="189">
        <v>0</v>
      </c>
      <c r="O21" s="189">
        <v>0</v>
      </c>
      <c r="P21" s="189">
        <v>0.43</v>
      </c>
      <c r="Q21" s="189">
        <v>4.96</v>
      </c>
    </row>
    <row r="22" spans="1:17" customFormat="1">
      <c r="A22" s="6" t="s">
        <v>1882</v>
      </c>
      <c r="B22" s="189">
        <v>10.26</v>
      </c>
      <c r="C22" s="189">
        <v>33.450000000000003</v>
      </c>
      <c r="D22" s="189">
        <v>24.66</v>
      </c>
      <c r="E22" s="189">
        <v>6.27</v>
      </c>
      <c r="F22" s="189">
        <v>14.3</v>
      </c>
      <c r="G22" s="189">
        <v>40.24</v>
      </c>
      <c r="H22" s="189">
        <v>12.93</v>
      </c>
      <c r="I22" s="189">
        <v>4.43</v>
      </c>
      <c r="J22" s="189">
        <v>0.18</v>
      </c>
      <c r="K22" s="189">
        <v>191.79</v>
      </c>
      <c r="L22" s="189">
        <v>31.18</v>
      </c>
      <c r="M22" s="189">
        <v>45.06</v>
      </c>
      <c r="N22" s="189">
        <v>0</v>
      </c>
      <c r="O22" s="189">
        <v>0</v>
      </c>
      <c r="P22" s="189">
        <v>0.41</v>
      </c>
      <c r="Q22" s="189">
        <v>4.91</v>
      </c>
    </row>
    <row r="23" spans="1:17" customFormat="1">
      <c r="A23" s="6" t="s">
        <v>1883</v>
      </c>
      <c r="B23" s="189">
        <v>10.74</v>
      </c>
      <c r="C23" s="189">
        <v>36.590000000000003</v>
      </c>
      <c r="D23" s="189">
        <v>26.69</v>
      </c>
      <c r="E23" s="189">
        <v>6.13</v>
      </c>
      <c r="F23" s="189">
        <v>13.24</v>
      </c>
      <c r="G23" s="189">
        <v>39.020000000000003</v>
      </c>
      <c r="H23" s="189">
        <v>12.69</v>
      </c>
      <c r="I23" s="189">
        <v>4.3499999999999996</v>
      </c>
      <c r="J23" s="189">
        <v>0.16</v>
      </c>
      <c r="K23" s="189">
        <v>189.59</v>
      </c>
      <c r="L23" s="189">
        <v>31.05</v>
      </c>
      <c r="M23" s="189">
        <v>45.47</v>
      </c>
      <c r="N23" s="189">
        <v>0</v>
      </c>
      <c r="O23" s="189">
        <v>0</v>
      </c>
      <c r="P23" s="189">
        <v>0.41</v>
      </c>
      <c r="Q23" s="189">
        <v>4.96</v>
      </c>
    </row>
    <row r="24" spans="1:17" customFormat="1">
      <c r="A24" s="6" t="s">
        <v>1884</v>
      </c>
      <c r="B24" s="189">
        <v>10.91</v>
      </c>
      <c r="C24" s="189">
        <v>35.17</v>
      </c>
      <c r="D24" s="189">
        <v>26.08</v>
      </c>
      <c r="E24" s="189">
        <v>6.26</v>
      </c>
      <c r="F24" s="189">
        <v>13.67</v>
      </c>
      <c r="G24" s="189">
        <v>38.31</v>
      </c>
      <c r="H24" s="189">
        <v>12.64</v>
      </c>
      <c r="I24" s="189">
        <v>4.4400000000000004</v>
      </c>
      <c r="J24" s="189">
        <v>0.2</v>
      </c>
      <c r="K24" s="189">
        <v>178.84</v>
      </c>
      <c r="L24" s="189">
        <v>30.82</v>
      </c>
      <c r="M24" s="189">
        <v>46.96</v>
      </c>
      <c r="N24" s="189">
        <v>0</v>
      </c>
      <c r="O24" s="189">
        <v>0</v>
      </c>
      <c r="P24" s="189">
        <v>0.4</v>
      </c>
      <c r="Q24" s="189">
        <v>4.97</v>
      </c>
    </row>
    <row r="25" spans="1:17" customFormat="1">
      <c r="A25" s="6" t="s">
        <v>1885</v>
      </c>
      <c r="B25" s="189">
        <v>12.3</v>
      </c>
      <c r="C25" s="189">
        <v>40.99</v>
      </c>
      <c r="D25" s="189">
        <v>30.24</v>
      </c>
      <c r="E25" s="189">
        <v>6.27</v>
      </c>
      <c r="F25" s="189">
        <v>9.0299999999999994</v>
      </c>
      <c r="G25" s="189">
        <v>38.31</v>
      </c>
      <c r="H25" s="189">
        <v>12.64</v>
      </c>
      <c r="I25" s="189">
        <v>4.38</v>
      </c>
      <c r="J25" s="189">
        <v>0.2</v>
      </c>
      <c r="K25" s="189">
        <v>199.25</v>
      </c>
      <c r="L25" s="189">
        <v>30.17</v>
      </c>
      <c r="M25" s="189">
        <v>50.15</v>
      </c>
      <c r="N25" s="189">
        <v>0</v>
      </c>
      <c r="O25" s="189">
        <v>0</v>
      </c>
      <c r="P25" s="189">
        <v>0.43</v>
      </c>
      <c r="Q25" s="189">
        <v>5.0199999999999996</v>
      </c>
    </row>
    <row r="26" spans="1:17" customFormat="1">
      <c r="A26" s="6" t="s">
        <v>1886</v>
      </c>
      <c r="B26" s="189">
        <v>12.6</v>
      </c>
      <c r="C26" s="189">
        <v>40.04</v>
      </c>
      <c r="D26" s="189">
        <v>29.97</v>
      </c>
      <c r="E26" s="189">
        <v>5.99</v>
      </c>
      <c r="F26" s="189">
        <v>9.58</v>
      </c>
      <c r="G26" s="189">
        <v>38.31</v>
      </c>
      <c r="H26" s="189">
        <v>12.64</v>
      </c>
      <c r="I26" s="189">
        <v>4.41</v>
      </c>
      <c r="J26" s="189">
        <v>0.27</v>
      </c>
      <c r="K26" s="189">
        <v>254.16</v>
      </c>
      <c r="L26" s="189">
        <v>30.31</v>
      </c>
      <c r="M26" s="189">
        <v>48</v>
      </c>
      <c r="N26" s="189">
        <v>0</v>
      </c>
      <c r="O26" s="189">
        <v>0</v>
      </c>
      <c r="P26" s="189">
        <v>0.43</v>
      </c>
      <c r="Q26" s="189">
        <v>5.0199999999999996</v>
      </c>
    </row>
    <row r="27" spans="1:17" customFormat="1">
      <c r="A27" s="6" t="s">
        <v>1887</v>
      </c>
      <c r="B27" s="189">
        <v>11.45</v>
      </c>
      <c r="C27" s="189">
        <v>35.549999999999997</v>
      </c>
      <c r="D27" s="189">
        <v>26.71</v>
      </c>
      <c r="E27" s="189">
        <v>6.48</v>
      </c>
      <c r="F27" s="189">
        <v>13.82</v>
      </c>
      <c r="G27" s="189">
        <v>37.76</v>
      </c>
      <c r="H27" s="189">
        <v>12.32</v>
      </c>
      <c r="I27" s="189">
        <v>4.5599999999999996</v>
      </c>
      <c r="J27" s="189">
        <v>0.33</v>
      </c>
      <c r="K27" s="189">
        <v>245.91</v>
      </c>
      <c r="L27" s="189">
        <v>30.63</v>
      </c>
      <c r="M27" s="189">
        <v>46.05</v>
      </c>
      <c r="N27" s="189">
        <v>0</v>
      </c>
      <c r="O27" s="189">
        <v>0</v>
      </c>
      <c r="P27" s="189">
        <v>0.4</v>
      </c>
      <c r="Q27" s="189">
        <v>5.07</v>
      </c>
    </row>
    <row r="28" spans="1:17" customFormat="1">
      <c r="A28" s="6" t="s">
        <v>1888</v>
      </c>
      <c r="B28" s="189">
        <v>12.62</v>
      </c>
      <c r="C28" s="189">
        <v>38.229999999999997</v>
      </c>
      <c r="D28" s="189">
        <v>29.05</v>
      </c>
      <c r="E28" s="189">
        <v>6.16</v>
      </c>
      <c r="F28" s="189">
        <v>12.27</v>
      </c>
      <c r="G28" s="189">
        <v>37.43</v>
      </c>
      <c r="H28" s="189">
        <v>12.26</v>
      </c>
      <c r="I28" s="189">
        <v>4.4000000000000004</v>
      </c>
      <c r="J28" s="189">
        <v>0.21</v>
      </c>
      <c r="K28" s="189">
        <v>199.07</v>
      </c>
      <c r="L28" s="189">
        <v>30.7</v>
      </c>
      <c r="M28" s="189">
        <v>46.15</v>
      </c>
      <c r="N28" s="189">
        <v>0</v>
      </c>
      <c r="O28" s="189">
        <v>0</v>
      </c>
      <c r="P28" s="189">
        <v>0.4</v>
      </c>
      <c r="Q28" s="189">
        <v>4.99</v>
      </c>
    </row>
    <row r="29" spans="1:17" customFormat="1">
      <c r="A29" s="6" t="s">
        <v>1889</v>
      </c>
      <c r="B29" s="189">
        <v>11.86</v>
      </c>
      <c r="C29" s="189">
        <v>37.03</v>
      </c>
      <c r="D29" s="189">
        <v>27.81</v>
      </c>
      <c r="E29" s="189">
        <v>6.53</v>
      </c>
      <c r="F29" s="189">
        <v>13.35</v>
      </c>
      <c r="G29" s="189">
        <v>37.43</v>
      </c>
      <c r="H29" s="189">
        <v>12.26</v>
      </c>
      <c r="I29" s="189">
        <v>4.3099999999999996</v>
      </c>
      <c r="J29" s="189">
        <v>0.19</v>
      </c>
      <c r="K29" s="189">
        <v>197.2</v>
      </c>
      <c r="L29" s="189">
        <v>30.63</v>
      </c>
      <c r="M29" s="189">
        <v>46.63</v>
      </c>
      <c r="N29" s="189">
        <v>0</v>
      </c>
      <c r="O29" s="189">
        <v>0</v>
      </c>
      <c r="P29" s="189">
        <v>0.39</v>
      </c>
      <c r="Q29" s="189">
        <v>5.07</v>
      </c>
    </row>
    <row r="30" spans="1:17" customFormat="1">
      <c r="A30" s="6" t="s">
        <v>1890</v>
      </c>
      <c r="B30" s="189">
        <v>13.29</v>
      </c>
      <c r="C30" s="189">
        <v>40.07</v>
      </c>
      <c r="D30" s="189">
        <v>30.55</v>
      </c>
      <c r="E30" s="189">
        <v>5.86</v>
      </c>
      <c r="F30" s="189">
        <v>10.130000000000001</v>
      </c>
      <c r="G30" s="189">
        <v>37.43</v>
      </c>
      <c r="H30" s="189">
        <v>12.26</v>
      </c>
      <c r="I30" s="189">
        <v>4.2300000000000004</v>
      </c>
      <c r="J30" s="189">
        <v>0.16</v>
      </c>
      <c r="K30" s="189">
        <v>194.32</v>
      </c>
      <c r="L30" s="189">
        <v>30.45</v>
      </c>
      <c r="M30" s="189">
        <v>48.05</v>
      </c>
      <c r="N30" s="189">
        <v>0.1</v>
      </c>
      <c r="O30" s="189">
        <v>0</v>
      </c>
      <c r="P30" s="189">
        <v>0.41</v>
      </c>
      <c r="Q30" s="189">
        <v>5.0599999999999996</v>
      </c>
    </row>
    <row r="31" spans="1:17" customFormat="1">
      <c r="A31" s="6" t="s">
        <v>1891</v>
      </c>
      <c r="B31" s="189">
        <v>12</v>
      </c>
      <c r="C31" s="189">
        <v>36.25</v>
      </c>
      <c r="D31" s="189">
        <v>27.52</v>
      </c>
      <c r="E31" s="189">
        <v>6.18</v>
      </c>
      <c r="F31" s="189">
        <v>12.99</v>
      </c>
      <c r="G31" s="189">
        <v>37.590000000000003</v>
      </c>
      <c r="H31" s="189">
        <v>13.26</v>
      </c>
      <c r="I31" s="189">
        <v>4.33</v>
      </c>
      <c r="J31" s="189">
        <v>0.18</v>
      </c>
      <c r="K31" s="189">
        <v>190.71</v>
      </c>
      <c r="L31" s="189">
        <v>30.45</v>
      </c>
      <c r="M31" s="189">
        <v>48.54</v>
      </c>
      <c r="N31" s="189">
        <v>8.8000000000000007</v>
      </c>
      <c r="O31" s="189">
        <v>0</v>
      </c>
      <c r="P31" s="189">
        <v>0.38</v>
      </c>
      <c r="Q31" s="189">
        <v>5.09</v>
      </c>
    </row>
    <row r="32" spans="1:17" customFormat="1">
      <c r="A32" s="6" t="s">
        <v>1892</v>
      </c>
      <c r="B32" s="189">
        <v>14.07</v>
      </c>
      <c r="C32" s="189">
        <v>42.09</v>
      </c>
      <c r="D32" s="189">
        <v>32.229999999999997</v>
      </c>
      <c r="E32" s="189">
        <v>6.24</v>
      </c>
      <c r="F32" s="189">
        <v>8.8699999999999992</v>
      </c>
      <c r="G32" s="189">
        <v>37.69</v>
      </c>
      <c r="H32" s="189">
        <v>13.44</v>
      </c>
      <c r="I32" s="189">
        <v>4.26</v>
      </c>
      <c r="J32" s="189">
        <v>0.19</v>
      </c>
      <c r="K32" s="189">
        <v>174.36</v>
      </c>
      <c r="L32" s="189">
        <v>30.59</v>
      </c>
      <c r="M32" s="189">
        <v>49.05</v>
      </c>
      <c r="N32" s="189">
        <v>25.6</v>
      </c>
      <c r="O32" s="189">
        <v>0</v>
      </c>
      <c r="P32" s="189">
        <v>0.42</v>
      </c>
      <c r="Q32" s="189">
        <v>5.09</v>
      </c>
    </row>
    <row r="33" spans="1:17" customFormat="1">
      <c r="A33" s="6" t="s">
        <v>1893</v>
      </c>
      <c r="B33" s="189">
        <v>12.77</v>
      </c>
      <c r="C33" s="189">
        <v>36.83</v>
      </c>
      <c r="D33" s="189">
        <v>28.44</v>
      </c>
      <c r="E33" s="189">
        <v>6.24</v>
      </c>
      <c r="F33" s="189">
        <v>11.57</v>
      </c>
      <c r="G33" s="189">
        <v>37.69</v>
      </c>
      <c r="H33" s="189">
        <v>13.44</v>
      </c>
      <c r="I33" s="189">
        <v>4.33</v>
      </c>
      <c r="J33" s="189">
        <v>0.23</v>
      </c>
      <c r="K33" s="189">
        <v>226.91</v>
      </c>
      <c r="L33" s="189">
        <v>30.85</v>
      </c>
      <c r="M33" s="189">
        <v>48.38</v>
      </c>
      <c r="N33" s="189">
        <v>43</v>
      </c>
      <c r="O33" s="189">
        <v>0</v>
      </c>
      <c r="P33" s="189">
        <v>0.39</v>
      </c>
      <c r="Q33" s="189">
        <v>5.1100000000000003</v>
      </c>
    </row>
    <row r="34" spans="1:17" customFormat="1">
      <c r="A34" s="6" t="s">
        <v>1894</v>
      </c>
      <c r="B34" s="189">
        <v>14.62</v>
      </c>
      <c r="C34" s="189">
        <v>41.84</v>
      </c>
      <c r="D34" s="189">
        <v>32.54</v>
      </c>
      <c r="E34" s="189">
        <v>6.35</v>
      </c>
      <c r="F34" s="189">
        <v>9.34</v>
      </c>
      <c r="G34" s="189">
        <v>37.69</v>
      </c>
      <c r="H34" s="189">
        <v>13.44</v>
      </c>
      <c r="I34" s="189">
        <v>4.5</v>
      </c>
      <c r="J34" s="189">
        <v>0.4</v>
      </c>
      <c r="K34" s="189">
        <v>256.08999999999997</v>
      </c>
      <c r="L34" s="189">
        <v>31.58</v>
      </c>
      <c r="M34" s="189">
        <v>45.46</v>
      </c>
      <c r="N34" s="189">
        <v>62.4</v>
      </c>
      <c r="O34" s="189">
        <v>0</v>
      </c>
      <c r="P34" s="189">
        <v>0.42</v>
      </c>
      <c r="Q34" s="189">
        <v>5.09</v>
      </c>
    </row>
    <row r="35" spans="1:17" customFormat="1">
      <c r="A35" s="6" t="s">
        <v>1895</v>
      </c>
      <c r="B35" s="189">
        <v>13.21</v>
      </c>
      <c r="C35" s="189">
        <v>36.950000000000003</v>
      </c>
      <c r="D35" s="189">
        <v>28.85</v>
      </c>
      <c r="E35" s="189">
        <v>7.57</v>
      </c>
      <c r="F35" s="189">
        <v>13.56</v>
      </c>
      <c r="G35" s="189">
        <v>36.81</v>
      </c>
      <c r="H35" s="189">
        <v>12.04</v>
      </c>
      <c r="I35" s="189">
        <v>4.49</v>
      </c>
      <c r="J35" s="189">
        <v>0.45</v>
      </c>
      <c r="K35" s="189">
        <v>266.41000000000003</v>
      </c>
      <c r="L35" s="189">
        <v>32.200000000000003</v>
      </c>
      <c r="M35" s="189">
        <v>44.04</v>
      </c>
      <c r="N35" s="189">
        <v>75.099999999999994</v>
      </c>
      <c r="O35" s="189">
        <v>0</v>
      </c>
      <c r="P35" s="189">
        <v>0.45</v>
      </c>
      <c r="Q35" s="189">
        <v>5.13</v>
      </c>
    </row>
    <row r="36" spans="1:17" customFormat="1">
      <c r="A36" s="6" t="s">
        <v>1896</v>
      </c>
      <c r="B36" s="189">
        <v>15.37</v>
      </c>
      <c r="C36" s="189">
        <v>44.35</v>
      </c>
      <c r="D36" s="189">
        <v>34.450000000000003</v>
      </c>
      <c r="E36" s="189">
        <v>8.2899999999999991</v>
      </c>
      <c r="F36" s="189">
        <v>7.97</v>
      </c>
      <c r="G36" s="189">
        <v>36.299999999999997</v>
      </c>
      <c r="H36" s="189">
        <v>11.61</v>
      </c>
      <c r="I36" s="189">
        <v>4.51</v>
      </c>
      <c r="J36" s="189">
        <v>0.61</v>
      </c>
      <c r="K36" s="189">
        <v>281.19</v>
      </c>
      <c r="L36" s="189">
        <v>32.79</v>
      </c>
      <c r="M36" s="189">
        <v>42.12</v>
      </c>
      <c r="N36" s="189">
        <v>83.8</v>
      </c>
      <c r="O36" s="189">
        <v>0</v>
      </c>
      <c r="P36" s="189">
        <v>0.53</v>
      </c>
      <c r="Q36" s="189">
        <v>5.16</v>
      </c>
    </row>
    <row r="37" spans="1:17" customFormat="1">
      <c r="A37" s="6" t="s">
        <v>1897</v>
      </c>
      <c r="B37" s="189">
        <v>14.98</v>
      </c>
      <c r="C37" s="189">
        <v>42.36</v>
      </c>
      <c r="D37" s="189">
        <v>33.1</v>
      </c>
      <c r="E37" s="189">
        <v>12.39</v>
      </c>
      <c r="F37" s="189">
        <v>11.71</v>
      </c>
      <c r="G37" s="189">
        <v>36.299999999999997</v>
      </c>
      <c r="H37" s="189">
        <v>11.61</v>
      </c>
      <c r="I37" s="189">
        <v>4.74</v>
      </c>
      <c r="J37" s="189">
        <v>0.64</v>
      </c>
      <c r="K37" s="189">
        <v>286.92</v>
      </c>
      <c r="L37" s="189">
        <v>33.479999999999997</v>
      </c>
      <c r="M37" s="189">
        <v>41.39</v>
      </c>
      <c r="N37" s="189">
        <v>88.7</v>
      </c>
      <c r="O37" s="189">
        <v>0</v>
      </c>
      <c r="P37" s="189">
        <v>0.66</v>
      </c>
      <c r="Q37" s="189">
        <v>5.16</v>
      </c>
    </row>
    <row r="38" spans="1:17" customFormat="1">
      <c r="A38" s="6" t="s">
        <v>1898</v>
      </c>
      <c r="B38" s="189">
        <v>14.74</v>
      </c>
      <c r="C38" s="189">
        <v>41.37</v>
      </c>
      <c r="D38" s="189">
        <v>32.39</v>
      </c>
      <c r="E38" s="189">
        <v>12.01</v>
      </c>
      <c r="F38" s="189">
        <v>10.49</v>
      </c>
      <c r="G38" s="189">
        <v>36.299999999999997</v>
      </c>
      <c r="H38" s="189">
        <v>11.61</v>
      </c>
      <c r="I38" s="189">
        <v>6.45</v>
      </c>
      <c r="J38" s="189">
        <v>0.68</v>
      </c>
      <c r="K38" s="189">
        <v>260.98</v>
      </c>
      <c r="L38" s="189">
        <v>33.9</v>
      </c>
      <c r="M38" s="189">
        <v>40.24</v>
      </c>
      <c r="N38" s="189">
        <v>93.8</v>
      </c>
      <c r="O38" s="189">
        <v>0</v>
      </c>
      <c r="P38" s="189">
        <v>0.65</v>
      </c>
      <c r="Q38" s="189">
        <v>5.12</v>
      </c>
    </row>
    <row r="39" spans="1:17" customFormat="1">
      <c r="A39" s="6" t="s">
        <v>1899</v>
      </c>
      <c r="B39" s="189">
        <v>15.54</v>
      </c>
      <c r="C39" s="189">
        <v>46.53</v>
      </c>
      <c r="D39" s="189">
        <v>35.729999999999997</v>
      </c>
      <c r="E39" s="189">
        <v>10.15</v>
      </c>
      <c r="F39" s="189">
        <v>9.36</v>
      </c>
      <c r="G39" s="189">
        <v>42.05</v>
      </c>
      <c r="H39" s="189">
        <v>12.39</v>
      </c>
      <c r="I39" s="189">
        <v>8.2899999999999991</v>
      </c>
      <c r="J39" s="189">
        <v>0.84</v>
      </c>
      <c r="K39" s="189">
        <v>289.62</v>
      </c>
      <c r="L39" s="189">
        <v>34.4</v>
      </c>
      <c r="M39" s="189">
        <v>38.97</v>
      </c>
      <c r="N39" s="189">
        <v>98.9</v>
      </c>
      <c r="O39" s="189">
        <v>0</v>
      </c>
      <c r="P39" s="189">
        <v>0.68</v>
      </c>
      <c r="Q39" s="189">
        <v>5.16</v>
      </c>
    </row>
    <row r="40" spans="1:17" customFormat="1">
      <c r="A40" s="6" t="s">
        <v>1900</v>
      </c>
      <c r="B40" s="189">
        <v>15.43</v>
      </c>
      <c r="C40" s="189">
        <v>47.22</v>
      </c>
      <c r="D40" s="189">
        <v>36</v>
      </c>
      <c r="E40" s="189">
        <v>10.31</v>
      </c>
      <c r="F40" s="189">
        <v>10.43</v>
      </c>
      <c r="G40" s="189">
        <v>45.37</v>
      </c>
      <c r="H40" s="189">
        <v>12.53</v>
      </c>
      <c r="I40" s="189">
        <v>8.1999999999999993</v>
      </c>
      <c r="J40" s="189">
        <v>1.05</v>
      </c>
      <c r="K40" s="189">
        <v>297.91000000000003</v>
      </c>
      <c r="L40" s="189">
        <v>34.770000000000003</v>
      </c>
      <c r="M40" s="189">
        <v>37.700000000000003</v>
      </c>
      <c r="N40" s="189">
        <v>105.4</v>
      </c>
      <c r="O40" s="189">
        <v>0</v>
      </c>
      <c r="P40" s="189">
        <v>0.65</v>
      </c>
      <c r="Q40" s="189">
        <v>5.23</v>
      </c>
    </row>
    <row r="41" spans="1:17" customFormat="1">
      <c r="A41" s="6" t="s">
        <v>1901</v>
      </c>
      <c r="B41" s="189">
        <v>15.3</v>
      </c>
      <c r="C41" s="189">
        <v>44.56</v>
      </c>
      <c r="D41" s="189">
        <v>34.51</v>
      </c>
      <c r="E41" s="189">
        <v>10.39</v>
      </c>
      <c r="F41" s="189">
        <v>10.56</v>
      </c>
      <c r="G41" s="189">
        <v>45.37</v>
      </c>
      <c r="H41" s="189">
        <v>12.53</v>
      </c>
      <c r="I41" s="189">
        <v>7.42</v>
      </c>
      <c r="J41" s="189">
        <v>1.25</v>
      </c>
      <c r="K41" s="189">
        <v>299.06</v>
      </c>
      <c r="L41" s="189">
        <v>35.159999999999997</v>
      </c>
      <c r="M41" s="189">
        <v>36.07</v>
      </c>
      <c r="N41" s="189">
        <v>113.8</v>
      </c>
      <c r="O41" s="189">
        <v>0</v>
      </c>
      <c r="P41" s="189">
        <v>0.61</v>
      </c>
      <c r="Q41" s="189">
        <v>5.2</v>
      </c>
    </row>
    <row r="42" spans="1:17" customFormat="1">
      <c r="A42" s="6" t="s">
        <v>1902</v>
      </c>
      <c r="B42" s="189">
        <v>14.79</v>
      </c>
      <c r="C42" s="189">
        <v>42.88</v>
      </c>
      <c r="D42" s="189">
        <v>33.22</v>
      </c>
      <c r="E42" s="189">
        <v>12.57</v>
      </c>
      <c r="F42" s="189">
        <v>13.92</v>
      </c>
      <c r="G42" s="189">
        <v>45.37</v>
      </c>
      <c r="H42" s="189">
        <v>12.53</v>
      </c>
      <c r="I42" s="189">
        <v>7.06</v>
      </c>
      <c r="J42" s="189">
        <v>0.94</v>
      </c>
      <c r="K42" s="189">
        <v>320.64999999999998</v>
      </c>
      <c r="L42" s="189">
        <v>35.85</v>
      </c>
      <c r="M42" s="189">
        <v>34.450000000000003</v>
      </c>
      <c r="N42" s="189">
        <v>120.2</v>
      </c>
      <c r="O42" s="189">
        <v>0</v>
      </c>
      <c r="P42" s="189">
        <v>0.6</v>
      </c>
      <c r="Q42" s="189">
        <v>5.1100000000000003</v>
      </c>
    </row>
    <row r="43" spans="1:17" customFormat="1">
      <c r="A43" s="6" t="s">
        <v>1903</v>
      </c>
      <c r="B43" s="189">
        <v>13.92</v>
      </c>
      <c r="C43" s="189">
        <v>38.020000000000003</v>
      </c>
      <c r="D43" s="189">
        <v>29.98</v>
      </c>
      <c r="E43" s="189">
        <v>10.6</v>
      </c>
      <c r="F43" s="189">
        <v>15.71</v>
      </c>
      <c r="G43" s="189">
        <v>52.52</v>
      </c>
      <c r="H43" s="189">
        <v>16.41</v>
      </c>
      <c r="I43" s="189">
        <v>6.82</v>
      </c>
      <c r="J43" s="189">
        <v>1.04</v>
      </c>
      <c r="K43" s="189">
        <v>327.35000000000002</v>
      </c>
      <c r="L43" s="189">
        <v>36.200000000000003</v>
      </c>
      <c r="M43" s="189">
        <v>33.49</v>
      </c>
      <c r="N43" s="189">
        <v>135.80000000000001</v>
      </c>
      <c r="O43" s="189">
        <v>0</v>
      </c>
      <c r="P43" s="189">
        <v>0.57999999999999996</v>
      </c>
      <c r="Q43" s="189">
        <v>5.09</v>
      </c>
    </row>
    <row r="44" spans="1:17" customFormat="1">
      <c r="A44" s="6" t="s">
        <v>1904</v>
      </c>
      <c r="B44" s="189">
        <v>12.33</v>
      </c>
      <c r="C44" s="189">
        <v>35.979999999999997</v>
      </c>
      <c r="D44" s="189">
        <v>27.64</v>
      </c>
      <c r="E44" s="189">
        <v>10.57</v>
      </c>
      <c r="F44" s="189">
        <v>19.72</v>
      </c>
      <c r="G44" s="189">
        <v>56.66</v>
      </c>
      <c r="H44" s="189">
        <v>17.100000000000001</v>
      </c>
      <c r="I44" s="189">
        <v>6.5</v>
      </c>
      <c r="J44" s="189">
        <v>0.93</v>
      </c>
      <c r="K44" s="189">
        <v>5.97</v>
      </c>
      <c r="L44" s="189">
        <v>36.74</v>
      </c>
      <c r="M44" s="189">
        <v>33.15</v>
      </c>
      <c r="N44" s="189">
        <v>144.1</v>
      </c>
      <c r="O44" s="189">
        <v>0</v>
      </c>
      <c r="P44" s="189">
        <v>0.56000000000000005</v>
      </c>
      <c r="Q44" s="189">
        <v>5.05</v>
      </c>
    </row>
    <row r="45" spans="1:17" customFormat="1">
      <c r="A45" s="6" t="s">
        <v>1905</v>
      </c>
      <c r="B45" s="189">
        <v>12.46</v>
      </c>
      <c r="C45" s="189">
        <v>37.79</v>
      </c>
      <c r="D45" s="189">
        <v>28.69</v>
      </c>
      <c r="E45" s="189">
        <v>9.11</v>
      </c>
      <c r="F45" s="189">
        <v>15.3</v>
      </c>
      <c r="G45" s="189">
        <v>56.66</v>
      </c>
      <c r="H45" s="189">
        <v>17.100000000000001</v>
      </c>
      <c r="I45" s="189">
        <v>6.13</v>
      </c>
      <c r="J45" s="189">
        <v>0.76</v>
      </c>
      <c r="K45" s="189">
        <v>353.3</v>
      </c>
      <c r="L45" s="189">
        <v>36.93</v>
      </c>
      <c r="M45" s="189">
        <v>32.31</v>
      </c>
      <c r="N45" s="189">
        <v>152</v>
      </c>
      <c r="O45" s="189">
        <v>0</v>
      </c>
      <c r="P45" s="189">
        <v>0.56999999999999995</v>
      </c>
      <c r="Q45" s="189">
        <v>5</v>
      </c>
    </row>
    <row r="46" spans="1:17" customFormat="1">
      <c r="A46" s="6" t="s">
        <v>1906</v>
      </c>
      <c r="B46" s="189">
        <v>12.79</v>
      </c>
      <c r="C46" s="189">
        <v>36.49</v>
      </c>
      <c r="D46" s="189">
        <v>28.28</v>
      </c>
      <c r="E46" s="189">
        <v>8.61</v>
      </c>
      <c r="F46" s="189">
        <v>16.13</v>
      </c>
      <c r="G46" s="189">
        <v>56.66</v>
      </c>
      <c r="H46" s="189">
        <v>17.100000000000001</v>
      </c>
      <c r="I46" s="189">
        <v>6.04</v>
      </c>
      <c r="J46" s="189">
        <v>0.73</v>
      </c>
      <c r="K46" s="189">
        <v>299.16000000000003</v>
      </c>
      <c r="L46" s="189">
        <v>37.15</v>
      </c>
      <c r="M46" s="189">
        <v>32.1</v>
      </c>
      <c r="N46" s="189">
        <v>160.69999999999999</v>
      </c>
      <c r="O46" s="189">
        <v>0</v>
      </c>
      <c r="P46" s="189">
        <v>0.56999999999999995</v>
      </c>
      <c r="Q46" s="189">
        <v>4.95</v>
      </c>
    </row>
    <row r="47" spans="1:17" customFormat="1">
      <c r="A47" s="6" t="s">
        <v>1907</v>
      </c>
      <c r="B47" s="189">
        <v>11.21</v>
      </c>
      <c r="C47" s="189">
        <v>35.71</v>
      </c>
      <c r="D47" s="189">
        <v>26.6</v>
      </c>
      <c r="E47" s="189">
        <v>9.52</v>
      </c>
      <c r="F47" s="189">
        <v>20.51</v>
      </c>
      <c r="G47" s="189">
        <v>58.4</v>
      </c>
      <c r="H47" s="189">
        <v>17.760000000000002</v>
      </c>
      <c r="I47" s="189">
        <v>6.12</v>
      </c>
      <c r="J47" s="189">
        <v>0.85</v>
      </c>
      <c r="K47" s="189">
        <v>331.09</v>
      </c>
      <c r="L47" s="189">
        <v>37.479999999999997</v>
      </c>
      <c r="M47" s="189">
        <v>31.79</v>
      </c>
      <c r="N47" s="189">
        <v>167.7</v>
      </c>
      <c r="O47" s="189">
        <v>0</v>
      </c>
      <c r="P47" s="189">
        <v>0.53</v>
      </c>
      <c r="Q47" s="189">
        <v>4.93</v>
      </c>
    </row>
    <row r="48" spans="1:17" customFormat="1">
      <c r="A48" s="6" t="s">
        <v>1908</v>
      </c>
      <c r="B48" s="189">
        <v>11.92</v>
      </c>
      <c r="C48" s="189">
        <v>37.57</v>
      </c>
      <c r="D48" s="189">
        <v>28.15</v>
      </c>
      <c r="E48" s="189">
        <v>8.0299999999999994</v>
      </c>
      <c r="F48" s="189">
        <v>18.46</v>
      </c>
      <c r="G48" s="189">
        <v>59.41</v>
      </c>
      <c r="H48" s="189">
        <v>17.87</v>
      </c>
      <c r="I48" s="189">
        <v>5.87</v>
      </c>
      <c r="J48" s="189">
        <v>0.9</v>
      </c>
      <c r="K48" s="189">
        <v>334.41</v>
      </c>
      <c r="L48" s="189">
        <v>37.78</v>
      </c>
      <c r="M48" s="189">
        <v>31.35</v>
      </c>
      <c r="N48" s="189">
        <v>177.7</v>
      </c>
      <c r="O48" s="189">
        <v>0</v>
      </c>
      <c r="P48" s="189">
        <v>0.55000000000000004</v>
      </c>
      <c r="Q48" s="189">
        <v>4.9000000000000004</v>
      </c>
    </row>
    <row r="49" spans="1:17" customFormat="1">
      <c r="A49" s="6" t="s">
        <v>1909</v>
      </c>
      <c r="B49" s="189">
        <v>10.89</v>
      </c>
      <c r="C49" s="189">
        <v>35.03</v>
      </c>
      <c r="D49" s="189">
        <v>25.99</v>
      </c>
      <c r="E49" s="189">
        <v>9.25</v>
      </c>
      <c r="F49" s="189">
        <v>25.03</v>
      </c>
      <c r="G49" s="189">
        <v>59.41</v>
      </c>
      <c r="H49" s="189">
        <v>17.87</v>
      </c>
      <c r="I49" s="189">
        <v>5.72</v>
      </c>
      <c r="J49" s="189">
        <v>0.55000000000000004</v>
      </c>
      <c r="K49" s="189">
        <v>339.81</v>
      </c>
      <c r="L49" s="189">
        <v>38.64</v>
      </c>
      <c r="M49" s="189">
        <v>30.47</v>
      </c>
      <c r="N49" s="189">
        <v>181.8</v>
      </c>
      <c r="O49" s="189">
        <v>0</v>
      </c>
      <c r="P49" s="189">
        <v>0.52</v>
      </c>
      <c r="Q49" s="189">
        <v>4.88</v>
      </c>
    </row>
    <row r="50" spans="1:17" customFormat="1">
      <c r="A50" s="6" t="s">
        <v>1910</v>
      </c>
      <c r="B50" s="189">
        <v>11.59</v>
      </c>
      <c r="C50" s="189">
        <v>36.51</v>
      </c>
      <c r="D50" s="189">
        <v>27.32</v>
      </c>
      <c r="E50" s="189">
        <v>9.49</v>
      </c>
      <c r="F50" s="189">
        <v>17.399999999999999</v>
      </c>
      <c r="G50" s="189">
        <v>59.41</v>
      </c>
      <c r="H50" s="189">
        <v>17.87</v>
      </c>
      <c r="I50" s="189">
        <v>5.6</v>
      </c>
      <c r="J50" s="189">
        <v>0.86</v>
      </c>
      <c r="K50" s="189">
        <v>323.86</v>
      </c>
      <c r="L50" s="189">
        <v>38.74</v>
      </c>
      <c r="M50" s="189">
        <v>29.76</v>
      </c>
      <c r="N50" s="189">
        <v>189.5</v>
      </c>
      <c r="O50" s="189">
        <v>0</v>
      </c>
      <c r="P50" s="189">
        <v>0.54</v>
      </c>
      <c r="Q50" s="189">
        <v>4.8499999999999996</v>
      </c>
    </row>
    <row r="51" spans="1:17" customFormat="1">
      <c r="A51" s="6" t="s">
        <v>1911</v>
      </c>
      <c r="B51" s="189">
        <v>10.119999999999999</v>
      </c>
      <c r="C51" s="189">
        <v>36.03</v>
      </c>
      <c r="D51" s="189">
        <v>25.89</v>
      </c>
      <c r="E51" s="189">
        <v>9.67</v>
      </c>
      <c r="F51" s="189">
        <v>23.95</v>
      </c>
      <c r="G51" s="189">
        <v>63.16</v>
      </c>
      <c r="H51" s="189">
        <v>22.01</v>
      </c>
      <c r="I51" s="189">
        <v>5.38</v>
      </c>
      <c r="J51" s="189">
        <v>0.84</v>
      </c>
      <c r="K51" s="189">
        <v>310.82</v>
      </c>
      <c r="L51" s="189">
        <v>39.020000000000003</v>
      </c>
      <c r="M51" s="189">
        <v>29.17</v>
      </c>
      <c r="N51" s="189">
        <v>205.3</v>
      </c>
      <c r="O51" s="189">
        <v>0</v>
      </c>
      <c r="P51" s="189">
        <v>0.51</v>
      </c>
      <c r="Q51" s="189">
        <v>4.84</v>
      </c>
    </row>
    <row r="52" spans="1:17" customFormat="1">
      <c r="A52" s="6" t="s">
        <v>1912</v>
      </c>
      <c r="B52" s="189">
        <v>9.85</v>
      </c>
      <c r="C52" s="189">
        <v>35</v>
      </c>
      <c r="D52" s="189">
        <v>25.14</v>
      </c>
      <c r="E52" s="189">
        <v>10.31</v>
      </c>
      <c r="F52" s="189">
        <v>26.42</v>
      </c>
      <c r="G52" s="189">
        <v>65.33</v>
      </c>
      <c r="H52" s="189">
        <v>22.75</v>
      </c>
      <c r="I52" s="189">
        <v>5.42</v>
      </c>
      <c r="J52" s="189">
        <v>0.76</v>
      </c>
      <c r="K52" s="189">
        <v>32.770000000000003</v>
      </c>
      <c r="L52" s="189">
        <v>39.270000000000003</v>
      </c>
      <c r="M52" s="189">
        <v>29.07</v>
      </c>
      <c r="N52" s="189">
        <v>225.3</v>
      </c>
      <c r="O52" s="189">
        <v>0</v>
      </c>
      <c r="P52" s="189">
        <v>0.5</v>
      </c>
      <c r="Q52" s="189">
        <v>4.8</v>
      </c>
    </row>
    <row r="53" spans="1:17" customFormat="1">
      <c r="A53" s="6" t="s">
        <v>1913</v>
      </c>
      <c r="B53" s="189">
        <v>10.199999999999999</v>
      </c>
      <c r="C53" s="189">
        <v>36.659999999999997</v>
      </c>
      <c r="D53" s="189">
        <v>26.29</v>
      </c>
      <c r="E53" s="189">
        <v>10.42</v>
      </c>
      <c r="F53" s="189">
        <v>20.59</v>
      </c>
      <c r="G53" s="189">
        <v>65.33</v>
      </c>
      <c r="H53" s="189">
        <v>22.75</v>
      </c>
      <c r="I53" s="189">
        <v>5.25</v>
      </c>
      <c r="J53" s="189">
        <v>0.73</v>
      </c>
      <c r="K53" s="189">
        <v>300.81</v>
      </c>
      <c r="L53" s="189">
        <v>39.43</v>
      </c>
      <c r="M53" s="189">
        <v>28.56</v>
      </c>
      <c r="N53" s="189">
        <v>244.5</v>
      </c>
      <c r="O53" s="189">
        <v>0</v>
      </c>
      <c r="P53" s="189">
        <v>0.5</v>
      </c>
      <c r="Q53" s="189">
        <v>4.8</v>
      </c>
    </row>
    <row r="54" spans="1:17" customFormat="1">
      <c r="A54" s="6" t="s">
        <v>1914</v>
      </c>
      <c r="B54" s="189">
        <v>9.3800000000000008</v>
      </c>
      <c r="C54" s="189">
        <v>36.24</v>
      </c>
      <c r="D54" s="189">
        <v>25.41</v>
      </c>
      <c r="E54" s="189">
        <v>9.94</v>
      </c>
      <c r="F54" s="189">
        <v>20.420000000000002</v>
      </c>
      <c r="G54" s="189">
        <v>65.33</v>
      </c>
      <c r="H54" s="189">
        <v>22.75</v>
      </c>
      <c r="I54" s="189">
        <v>5.2</v>
      </c>
      <c r="J54" s="189">
        <v>1.27</v>
      </c>
      <c r="K54" s="189">
        <v>297.75</v>
      </c>
      <c r="L54" s="189">
        <v>39.619999999999997</v>
      </c>
      <c r="M54" s="189">
        <v>27.43</v>
      </c>
      <c r="N54" s="189">
        <v>258.10000000000002</v>
      </c>
      <c r="O54" s="189">
        <v>0</v>
      </c>
      <c r="P54" s="189">
        <v>0.49</v>
      </c>
      <c r="Q54" s="189">
        <v>4.78</v>
      </c>
    </row>
    <row r="55" spans="1:17" customFormat="1">
      <c r="A55" s="6" t="s">
        <v>1915</v>
      </c>
      <c r="B55" s="189">
        <v>9.27</v>
      </c>
      <c r="C55" s="189">
        <v>36.35</v>
      </c>
      <c r="D55" s="189">
        <v>25.38</v>
      </c>
      <c r="E55" s="189">
        <v>7.68</v>
      </c>
      <c r="F55" s="189">
        <v>18.45</v>
      </c>
      <c r="G55" s="189">
        <v>65.98</v>
      </c>
      <c r="H55" s="189">
        <v>22.24</v>
      </c>
      <c r="I55" s="189">
        <v>5.24</v>
      </c>
      <c r="J55" s="189">
        <v>1.26</v>
      </c>
      <c r="K55" s="189">
        <v>292.99</v>
      </c>
      <c r="L55" s="189">
        <v>39.22</v>
      </c>
      <c r="M55" s="189">
        <v>27.27</v>
      </c>
      <c r="N55" s="189">
        <v>402.1</v>
      </c>
      <c r="O55" s="189">
        <v>0</v>
      </c>
      <c r="P55" s="189">
        <v>0.48</v>
      </c>
      <c r="Q55" s="189">
        <v>4.75</v>
      </c>
    </row>
    <row r="56" spans="1:17" customFormat="1">
      <c r="A56" s="6" t="s">
        <v>1916</v>
      </c>
      <c r="B56" s="189">
        <v>8.35</v>
      </c>
      <c r="C56" s="189">
        <v>32.380000000000003</v>
      </c>
      <c r="D56" s="189">
        <v>22.57</v>
      </c>
      <c r="E56" s="189">
        <v>8.31</v>
      </c>
      <c r="F56" s="189">
        <v>27.72</v>
      </c>
      <c r="G56" s="189">
        <v>66.349999999999994</v>
      </c>
      <c r="H56" s="189">
        <v>22.15</v>
      </c>
      <c r="I56" s="189">
        <v>5.32</v>
      </c>
      <c r="J56" s="189">
        <v>0.45</v>
      </c>
      <c r="K56" s="189">
        <v>337.89</v>
      </c>
      <c r="L56" s="189">
        <v>39.68</v>
      </c>
      <c r="M56" s="189">
        <v>26.6</v>
      </c>
      <c r="N56" s="189">
        <v>688.9</v>
      </c>
      <c r="O56" s="189">
        <v>0</v>
      </c>
      <c r="P56" s="189">
        <v>0.43</v>
      </c>
      <c r="Q56" s="189">
        <v>4.71</v>
      </c>
    </row>
    <row r="57" spans="1:17" customFormat="1">
      <c r="A57" s="6" t="s">
        <v>1917</v>
      </c>
      <c r="B57" s="189">
        <v>9.49</v>
      </c>
      <c r="C57" s="189">
        <v>38.14</v>
      </c>
      <c r="D57" s="189">
        <v>26.49</v>
      </c>
      <c r="E57" s="189">
        <v>6.88</v>
      </c>
      <c r="F57" s="189">
        <v>19.38</v>
      </c>
      <c r="G57" s="189">
        <v>66.349999999999994</v>
      </c>
      <c r="H57" s="189">
        <v>22.15</v>
      </c>
      <c r="I57" s="189">
        <v>5.15</v>
      </c>
      <c r="J57" s="189">
        <v>0.89</v>
      </c>
      <c r="K57" s="189">
        <v>275.77999999999997</v>
      </c>
      <c r="L57" s="189">
        <v>40</v>
      </c>
      <c r="M57" s="189">
        <v>26.62</v>
      </c>
      <c r="N57" s="189">
        <v>734.2</v>
      </c>
      <c r="O57" s="189">
        <v>0</v>
      </c>
      <c r="P57" s="189">
        <v>0.45</v>
      </c>
      <c r="Q57" s="189">
        <v>4.68</v>
      </c>
    </row>
    <row r="58" spans="1:17" customFormat="1">
      <c r="A58" s="6" t="s">
        <v>1918</v>
      </c>
      <c r="B58" s="189">
        <v>8.19</v>
      </c>
      <c r="C58" s="189">
        <v>36.17</v>
      </c>
      <c r="D58" s="189">
        <v>24.42</v>
      </c>
      <c r="E58" s="189">
        <v>6.72</v>
      </c>
      <c r="F58" s="189">
        <v>16.62</v>
      </c>
      <c r="G58" s="189">
        <v>66.349999999999994</v>
      </c>
      <c r="H58" s="189">
        <v>22.15</v>
      </c>
      <c r="I58" s="189">
        <v>4.8600000000000003</v>
      </c>
      <c r="J58" s="189">
        <v>0.89</v>
      </c>
      <c r="K58" s="189">
        <v>261.13</v>
      </c>
      <c r="L58" s="189">
        <v>40.42</v>
      </c>
      <c r="M58" s="189">
        <v>25.52</v>
      </c>
      <c r="N58" s="189">
        <v>795.9</v>
      </c>
      <c r="O58" s="189">
        <v>0</v>
      </c>
      <c r="P58" s="189">
        <v>0.44</v>
      </c>
      <c r="Q58" s="189">
        <v>4.66</v>
      </c>
    </row>
    <row r="59" spans="1:17" customFormat="1">
      <c r="A59" s="6" t="s">
        <v>1919</v>
      </c>
      <c r="B59" s="189">
        <v>7.76</v>
      </c>
      <c r="C59" s="189">
        <v>38.049999999999997</v>
      </c>
      <c r="D59" s="189">
        <v>25.05</v>
      </c>
      <c r="E59" s="189">
        <v>6.56</v>
      </c>
      <c r="F59" s="189">
        <v>20.45</v>
      </c>
      <c r="G59" s="189">
        <v>63.42</v>
      </c>
      <c r="H59" s="189">
        <v>21.01</v>
      </c>
      <c r="I59" s="189">
        <v>4.92</v>
      </c>
      <c r="J59" s="189">
        <v>0.98</v>
      </c>
      <c r="K59" s="189">
        <v>285.95999999999998</v>
      </c>
      <c r="L59" s="189">
        <v>40.26</v>
      </c>
      <c r="M59" s="189">
        <v>25.22</v>
      </c>
      <c r="N59" s="189">
        <v>720.2</v>
      </c>
      <c r="O59" s="189">
        <v>0</v>
      </c>
      <c r="P59" s="189">
        <v>0.45</v>
      </c>
      <c r="Q59" s="189">
        <v>4.68</v>
      </c>
    </row>
    <row r="60" spans="1:17" customFormat="1">
      <c r="A60" s="6" t="s">
        <v>1920</v>
      </c>
      <c r="B60" s="189">
        <v>7.02</v>
      </c>
      <c r="C60" s="189">
        <v>36.96</v>
      </c>
      <c r="D60" s="189">
        <v>23.89</v>
      </c>
      <c r="E60" s="189">
        <v>6.64</v>
      </c>
      <c r="F60" s="189">
        <v>20.67</v>
      </c>
      <c r="G60" s="189">
        <v>61.72</v>
      </c>
      <c r="H60" s="189">
        <v>20.66</v>
      </c>
      <c r="I60" s="189">
        <v>5.13</v>
      </c>
      <c r="J60" s="189">
        <v>1.01</v>
      </c>
      <c r="K60" s="189">
        <v>268.20999999999998</v>
      </c>
      <c r="L60" s="189">
        <v>40.6</v>
      </c>
      <c r="M60" s="189">
        <v>25.42</v>
      </c>
      <c r="N60" s="189">
        <v>813.1</v>
      </c>
      <c r="O60" s="189">
        <v>0</v>
      </c>
      <c r="P60" s="189">
        <v>0.43</v>
      </c>
      <c r="Q60" s="189">
        <v>4.74</v>
      </c>
    </row>
    <row r="61" spans="1:17" customFormat="1">
      <c r="A61" s="6" t="s">
        <v>1921</v>
      </c>
      <c r="B61" s="189">
        <v>6.83</v>
      </c>
      <c r="C61" s="189">
        <v>36.840000000000003</v>
      </c>
      <c r="D61" s="189">
        <v>23.68</v>
      </c>
      <c r="E61" s="189">
        <v>6.57</v>
      </c>
      <c r="F61" s="189">
        <v>18.399999999999999</v>
      </c>
      <c r="G61" s="189">
        <v>61.72</v>
      </c>
      <c r="H61" s="189">
        <v>20.66</v>
      </c>
      <c r="I61" s="189">
        <v>4.96</v>
      </c>
      <c r="J61" s="189">
        <v>1.01</v>
      </c>
      <c r="K61" s="189">
        <v>285.22000000000003</v>
      </c>
      <c r="L61" s="189">
        <v>41.03</v>
      </c>
      <c r="M61" s="189">
        <v>24.41</v>
      </c>
      <c r="N61" s="189">
        <v>826.4</v>
      </c>
      <c r="O61" s="189">
        <v>0</v>
      </c>
      <c r="P61" s="189">
        <v>0.42</v>
      </c>
      <c r="Q61" s="189">
        <v>4.6900000000000004</v>
      </c>
    </row>
    <row r="62" spans="1:17" customFormat="1">
      <c r="A62" s="6" t="s">
        <v>1922</v>
      </c>
      <c r="B62" s="189">
        <v>7.14</v>
      </c>
      <c r="C62" s="189">
        <v>37.53</v>
      </c>
      <c r="D62" s="189">
        <v>24.29</v>
      </c>
      <c r="E62" s="189">
        <v>6.82</v>
      </c>
      <c r="F62" s="189">
        <v>22.07</v>
      </c>
      <c r="G62" s="189">
        <v>61.72</v>
      </c>
      <c r="H62" s="189">
        <v>20.66</v>
      </c>
      <c r="I62" s="189">
        <v>4.6900000000000004</v>
      </c>
      <c r="J62" s="189">
        <v>0.71</v>
      </c>
      <c r="K62" s="189">
        <v>309.99</v>
      </c>
      <c r="L62" s="189">
        <v>40.99</v>
      </c>
      <c r="M62" s="189">
        <v>24.28</v>
      </c>
      <c r="N62" s="189">
        <v>803.5</v>
      </c>
      <c r="O62" s="189">
        <v>0</v>
      </c>
      <c r="P62" s="189">
        <v>0.41</v>
      </c>
      <c r="Q62" s="189">
        <v>4.67</v>
      </c>
    </row>
    <row r="63" spans="1:17" customFormat="1">
      <c r="A63" s="6" t="s">
        <v>1923</v>
      </c>
      <c r="B63" s="189">
        <v>6.55</v>
      </c>
      <c r="C63" s="189">
        <v>34.51</v>
      </c>
      <c r="D63" s="189">
        <v>22.24</v>
      </c>
      <c r="E63" s="189">
        <v>6.15</v>
      </c>
      <c r="F63" s="189">
        <v>22.22</v>
      </c>
      <c r="G63" s="189">
        <v>60.66</v>
      </c>
      <c r="H63" s="189">
        <v>18.03</v>
      </c>
      <c r="I63" s="189">
        <v>4.7</v>
      </c>
      <c r="J63" s="189">
        <v>0.75</v>
      </c>
      <c r="K63" s="189">
        <v>252.06</v>
      </c>
      <c r="L63" s="189">
        <v>41.39</v>
      </c>
      <c r="M63" s="189">
        <v>23.65</v>
      </c>
      <c r="N63" s="189">
        <v>753.4</v>
      </c>
      <c r="O63" s="189">
        <v>0</v>
      </c>
      <c r="P63" s="189">
        <v>0.39</v>
      </c>
      <c r="Q63" s="189">
        <v>4.67</v>
      </c>
    </row>
    <row r="64" spans="1:17" customFormat="1">
      <c r="A64" s="6" t="s">
        <v>1924</v>
      </c>
      <c r="B64" s="189">
        <v>5.98</v>
      </c>
      <c r="C64" s="189">
        <v>33.770000000000003</v>
      </c>
      <c r="D64" s="189">
        <v>21.39</v>
      </c>
      <c r="E64" s="189">
        <v>6.57</v>
      </c>
      <c r="F64" s="189">
        <v>29.07</v>
      </c>
      <c r="G64" s="189">
        <v>60.05</v>
      </c>
      <c r="H64" s="189">
        <v>17.55</v>
      </c>
      <c r="I64" s="189">
        <v>4.57</v>
      </c>
      <c r="J64" s="189">
        <v>0.15</v>
      </c>
      <c r="K64" s="189">
        <v>307.77</v>
      </c>
      <c r="L64" s="189">
        <v>41.84</v>
      </c>
      <c r="M64" s="189">
        <v>22.94</v>
      </c>
      <c r="N64" s="189">
        <v>711.8</v>
      </c>
      <c r="O64" s="189">
        <v>0</v>
      </c>
      <c r="P64" s="189">
        <v>0.37</v>
      </c>
      <c r="Q64" s="189">
        <v>4.63</v>
      </c>
    </row>
    <row r="65" spans="1:17" customFormat="1">
      <c r="A65" s="6" t="s">
        <v>1925</v>
      </c>
      <c r="B65" s="189">
        <v>5.9</v>
      </c>
      <c r="C65" s="189">
        <v>33.65</v>
      </c>
      <c r="D65" s="189">
        <v>21.27</v>
      </c>
      <c r="E65" s="189">
        <v>7.02</v>
      </c>
      <c r="F65" s="189">
        <v>26.12</v>
      </c>
      <c r="G65" s="189">
        <v>60.05</v>
      </c>
      <c r="H65" s="189">
        <v>17.55</v>
      </c>
      <c r="I65" s="189">
        <v>4.58</v>
      </c>
      <c r="J65" s="189">
        <v>0.75</v>
      </c>
      <c r="K65" s="189">
        <v>305.97000000000003</v>
      </c>
      <c r="L65" s="189">
        <v>41.96</v>
      </c>
      <c r="M65" s="189">
        <v>22.3</v>
      </c>
      <c r="N65" s="189">
        <v>705.4</v>
      </c>
      <c r="O65" s="189">
        <v>0</v>
      </c>
      <c r="P65" s="189">
        <v>0.44</v>
      </c>
      <c r="Q65" s="189">
        <v>4.57</v>
      </c>
    </row>
    <row r="66" spans="1:17" customFormat="1">
      <c r="A66" s="6" t="s">
        <v>1926</v>
      </c>
      <c r="B66" s="189">
        <v>6.21</v>
      </c>
      <c r="C66" s="189">
        <v>35.81</v>
      </c>
      <c r="D66" s="189">
        <v>22.64</v>
      </c>
      <c r="E66" s="189">
        <v>6.74</v>
      </c>
      <c r="F66" s="189">
        <v>22.91</v>
      </c>
      <c r="G66" s="189">
        <v>60.05</v>
      </c>
      <c r="H66" s="189">
        <v>17.55</v>
      </c>
      <c r="I66" s="189">
        <v>4.4000000000000004</v>
      </c>
      <c r="J66" s="189">
        <v>1.03</v>
      </c>
      <c r="K66" s="189">
        <v>296.18</v>
      </c>
      <c r="L66" s="189">
        <v>41.68</v>
      </c>
      <c r="M66" s="189">
        <v>22.09</v>
      </c>
      <c r="N66" s="189">
        <v>667.4</v>
      </c>
      <c r="O66" s="189">
        <v>0</v>
      </c>
      <c r="P66" s="189">
        <v>0.47</v>
      </c>
      <c r="Q66" s="189">
        <v>4.5999999999999996</v>
      </c>
    </row>
    <row r="67" spans="1:17" customFormat="1">
      <c r="A67" s="6" t="s">
        <v>1927</v>
      </c>
      <c r="B67" s="189">
        <v>5.6</v>
      </c>
      <c r="C67" s="189">
        <v>32.78</v>
      </c>
      <c r="D67" s="189">
        <v>20.57</v>
      </c>
      <c r="E67" s="189">
        <v>7.37</v>
      </c>
      <c r="F67" s="189">
        <v>26.64</v>
      </c>
      <c r="G67" s="189">
        <v>57.57</v>
      </c>
      <c r="H67" s="189">
        <v>17.55</v>
      </c>
      <c r="I67" s="189">
        <v>4.37</v>
      </c>
      <c r="J67" s="189">
        <v>0.82</v>
      </c>
      <c r="K67" s="189">
        <v>255.93</v>
      </c>
      <c r="L67" s="189">
        <v>41.87</v>
      </c>
      <c r="M67" s="189">
        <v>21.41</v>
      </c>
      <c r="N67" s="189">
        <v>644.29999999999995</v>
      </c>
      <c r="O67" s="189">
        <v>0</v>
      </c>
      <c r="P67" s="189">
        <v>0.45</v>
      </c>
      <c r="Q67" s="189">
        <v>4.57</v>
      </c>
    </row>
    <row r="68" spans="1:17" customFormat="1">
      <c r="A68" s="6" t="s">
        <v>1928</v>
      </c>
      <c r="B68" s="189">
        <v>5.46</v>
      </c>
      <c r="C68" s="189">
        <v>33.78</v>
      </c>
      <c r="D68" s="189">
        <v>20.98</v>
      </c>
      <c r="E68" s="189">
        <v>7.17</v>
      </c>
      <c r="F68" s="189">
        <v>29.13</v>
      </c>
      <c r="G68" s="189">
        <v>56.14</v>
      </c>
      <c r="H68" s="189">
        <v>17.54</v>
      </c>
      <c r="I68" s="189">
        <v>4.5</v>
      </c>
      <c r="J68" s="189">
        <v>0.86</v>
      </c>
      <c r="K68" s="189">
        <v>312.43</v>
      </c>
      <c r="L68" s="189">
        <v>41.61</v>
      </c>
      <c r="M68" s="189">
        <v>21.76</v>
      </c>
      <c r="N68" s="189">
        <v>576.70000000000005</v>
      </c>
      <c r="O68" s="189">
        <v>0</v>
      </c>
      <c r="P68" s="189">
        <v>0.45</v>
      </c>
      <c r="Q68" s="189">
        <v>4.55</v>
      </c>
    </row>
    <row r="69" spans="1:17" customFormat="1">
      <c r="A69" s="6" t="s">
        <v>1929</v>
      </c>
      <c r="B69" s="189">
        <v>5.47</v>
      </c>
      <c r="C69" s="189">
        <v>32.58</v>
      </c>
      <c r="D69" s="189">
        <v>20.37</v>
      </c>
      <c r="E69" s="189">
        <v>7.48</v>
      </c>
      <c r="F69" s="189">
        <v>36.880000000000003</v>
      </c>
      <c r="G69" s="189">
        <v>56.14</v>
      </c>
      <c r="H69" s="189">
        <v>17.54</v>
      </c>
      <c r="I69" s="189">
        <v>4.3899999999999997</v>
      </c>
      <c r="J69" s="189">
        <v>0.76</v>
      </c>
      <c r="K69" s="189">
        <v>312.33</v>
      </c>
      <c r="L69" s="189">
        <v>41.48</v>
      </c>
      <c r="M69" s="189">
        <v>22.15</v>
      </c>
      <c r="N69" s="189">
        <v>526.9</v>
      </c>
      <c r="O69" s="189">
        <v>0</v>
      </c>
      <c r="P69" s="189">
        <v>0.44</v>
      </c>
      <c r="Q69" s="189">
        <v>4.5199999999999996</v>
      </c>
    </row>
    <row r="70" spans="1:17" customFormat="1">
      <c r="A70" s="6" t="s">
        <v>1930</v>
      </c>
      <c r="B70" s="189">
        <v>5.43</v>
      </c>
      <c r="C70" s="189">
        <v>34.18</v>
      </c>
      <c r="D70" s="189">
        <v>21.17</v>
      </c>
      <c r="E70" s="189">
        <v>6.87</v>
      </c>
      <c r="F70" s="189">
        <v>19.77</v>
      </c>
      <c r="G70" s="189">
        <v>56.14</v>
      </c>
      <c r="H70" s="189">
        <v>17.54</v>
      </c>
      <c r="I70" s="189">
        <v>4.38</v>
      </c>
      <c r="J70" s="189">
        <v>1.29</v>
      </c>
      <c r="K70" s="189">
        <v>293.35000000000002</v>
      </c>
      <c r="L70" s="189">
        <v>41.28</v>
      </c>
      <c r="M70" s="189">
        <v>22.28</v>
      </c>
      <c r="N70" s="189">
        <v>495</v>
      </c>
      <c r="O70" s="189">
        <v>0</v>
      </c>
      <c r="P70" s="189">
        <v>0.47</v>
      </c>
      <c r="Q70" s="189">
        <v>4.51</v>
      </c>
    </row>
    <row r="71" spans="1:17" customFormat="1">
      <c r="A71" s="6" t="s">
        <v>1931</v>
      </c>
      <c r="B71" s="189">
        <v>5.83</v>
      </c>
      <c r="C71" s="189">
        <v>35.68</v>
      </c>
      <c r="D71" s="189">
        <v>22.28</v>
      </c>
      <c r="E71" s="189">
        <v>8.77</v>
      </c>
      <c r="F71" s="189">
        <v>34.25</v>
      </c>
      <c r="G71" s="189">
        <v>57.34</v>
      </c>
      <c r="H71" s="189">
        <v>19.940000000000001</v>
      </c>
      <c r="I71" s="189">
        <v>4.34</v>
      </c>
      <c r="J71" s="189">
        <v>0.8</v>
      </c>
      <c r="K71" s="189">
        <v>302.62</v>
      </c>
      <c r="L71" s="189">
        <v>41.32</v>
      </c>
      <c r="M71" s="189">
        <v>22.75</v>
      </c>
      <c r="N71" s="189">
        <v>444.5</v>
      </c>
      <c r="O71" s="189">
        <v>0</v>
      </c>
      <c r="P71" s="189">
        <v>0.48</v>
      </c>
      <c r="Q71" s="189">
        <v>4.54</v>
      </c>
    </row>
    <row r="72" spans="1:17" customFormat="1">
      <c r="A72" s="6" t="s">
        <v>1932</v>
      </c>
      <c r="B72" s="189">
        <v>5.17</v>
      </c>
      <c r="C72" s="189">
        <v>34.6</v>
      </c>
      <c r="D72" s="189">
        <v>21.17</v>
      </c>
      <c r="E72" s="189">
        <v>8.86</v>
      </c>
      <c r="F72" s="189">
        <v>29.05</v>
      </c>
      <c r="G72" s="189">
        <v>58.03</v>
      </c>
      <c r="H72" s="189">
        <v>20.36</v>
      </c>
      <c r="I72" s="189">
        <v>4.26</v>
      </c>
      <c r="J72" s="189">
        <v>0.82</v>
      </c>
      <c r="K72" s="189">
        <v>280.45999999999998</v>
      </c>
      <c r="L72" s="189">
        <v>41.27</v>
      </c>
      <c r="M72" s="189">
        <v>22.25</v>
      </c>
      <c r="N72" s="189">
        <v>436.1</v>
      </c>
      <c r="O72" s="189">
        <v>0</v>
      </c>
      <c r="P72" s="189">
        <v>0.48</v>
      </c>
      <c r="Q72" s="189">
        <v>4.5199999999999996</v>
      </c>
    </row>
    <row r="73" spans="1:17" customFormat="1">
      <c r="A73" s="6" t="s">
        <v>1933</v>
      </c>
      <c r="B73" s="189">
        <v>5.5</v>
      </c>
      <c r="C73" s="189">
        <v>34.21</v>
      </c>
      <c r="D73" s="189">
        <v>21.24</v>
      </c>
      <c r="E73" s="189">
        <v>8.6300000000000008</v>
      </c>
      <c r="F73" s="189">
        <v>34.76</v>
      </c>
      <c r="G73" s="189">
        <v>58.03</v>
      </c>
      <c r="H73" s="189">
        <v>20.36</v>
      </c>
      <c r="I73" s="189">
        <v>4.3499999999999996</v>
      </c>
      <c r="J73" s="189">
        <v>0.68</v>
      </c>
      <c r="K73" s="189">
        <v>285.51</v>
      </c>
      <c r="L73" s="189">
        <v>41.55</v>
      </c>
      <c r="M73" s="189">
        <v>21.51</v>
      </c>
      <c r="N73" s="189">
        <v>397.2</v>
      </c>
      <c r="O73" s="189">
        <v>0</v>
      </c>
      <c r="P73" s="189">
        <v>0.46</v>
      </c>
      <c r="Q73" s="189">
        <v>4.5</v>
      </c>
    </row>
    <row r="74" spans="1:17" customFormat="1">
      <c r="A74" s="6" t="s">
        <v>1934</v>
      </c>
      <c r="B74" s="189">
        <v>4.6900000000000004</v>
      </c>
      <c r="C74" s="189">
        <v>32.56</v>
      </c>
      <c r="D74" s="189">
        <v>19.73</v>
      </c>
      <c r="E74" s="189">
        <v>9.5399999999999991</v>
      </c>
      <c r="F74" s="189">
        <v>36.799999999999997</v>
      </c>
      <c r="G74" s="189">
        <v>58.03</v>
      </c>
      <c r="H74" s="189">
        <v>20.36</v>
      </c>
      <c r="I74" s="189">
        <v>4.3899999999999997</v>
      </c>
      <c r="J74" s="189">
        <v>0.69</v>
      </c>
      <c r="K74" s="189">
        <v>279.81</v>
      </c>
      <c r="L74" s="189">
        <v>41.42</v>
      </c>
      <c r="M74" s="189">
        <v>21.71</v>
      </c>
      <c r="N74" s="189">
        <v>344</v>
      </c>
      <c r="O74" s="189">
        <v>0</v>
      </c>
      <c r="P74" s="189">
        <v>0.47</v>
      </c>
      <c r="Q74" s="189">
        <v>4.5</v>
      </c>
    </row>
    <row r="75" spans="1:17" customFormat="1">
      <c r="A75" s="6" t="s">
        <v>1935</v>
      </c>
      <c r="B75" s="189">
        <v>4.49</v>
      </c>
      <c r="C75" s="189">
        <v>31.73</v>
      </c>
      <c r="D75" s="189">
        <v>19.13</v>
      </c>
      <c r="E75" s="189">
        <v>9.27</v>
      </c>
      <c r="F75" s="189">
        <v>32.75</v>
      </c>
      <c r="G75" s="189">
        <v>55.6</v>
      </c>
      <c r="H75" s="189">
        <v>19.12</v>
      </c>
      <c r="I75" s="189">
        <v>4.17</v>
      </c>
      <c r="J75" s="189">
        <v>0.75</v>
      </c>
      <c r="K75" s="189">
        <v>265.14999999999998</v>
      </c>
      <c r="L75" s="189">
        <v>41.27</v>
      </c>
      <c r="M75" s="189">
        <v>20.52</v>
      </c>
      <c r="N75" s="189">
        <v>286.89999999999998</v>
      </c>
      <c r="O75" s="189">
        <v>0</v>
      </c>
      <c r="P75" s="189">
        <v>0.46</v>
      </c>
      <c r="Q75" s="189">
        <v>4.47</v>
      </c>
    </row>
    <row r="76" spans="1:17" customFormat="1">
      <c r="A76" s="6" t="s">
        <v>1936</v>
      </c>
      <c r="B76" s="189">
        <v>5.03</v>
      </c>
      <c r="C76" s="189">
        <v>34.479999999999997</v>
      </c>
      <c r="D76" s="189">
        <v>21</v>
      </c>
      <c r="E76" s="189">
        <v>7.47</v>
      </c>
      <c r="F76" s="189">
        <v>23.18</v>
      </c>
      <c r="G76" s="189">
        <v>54.19</v>
      </c>
      <c r="H76" s="189">
        <v>18.899999999999999</v>
      </c>
      <c r="I76" s="189">
        <v>4.05</v>
      </c>
      <c r="J76" s="189">
        <v>0.89</v>
      </c>
      <c r="K76" s="189">
        <v>276.58999999999997</v>
      </c>
      <c r="L76" s="189">
        <v>40.76</v>
      </c>
      <c r="M76" s="189">
        <v>20.36</v>
      </c>
      <c r="N76" s="189">
        <v>215.4</v>
      </c>
      <c r="O76" s="189">
        <v>0</v>
      </c>
      <c r="P76" s="189">
        <v>0.46</v>
      </c>
      <c r="Q76" s="189">
        <v>4.45</v>
      </c>
    </row>
    <row r="77" spans="1:17" customFormat="1">
      <c r="A77" s="6" t="s">
        <v>1937</v>
      </c>
      <c r="B77" s="189">
        <v>5.63</v>
      </c>
      <c r="C77" s="189">
        <v>32.270000000000003</v>
      </c>
      <c r="D77" s="189">
        <v>20.329999999999998</v>
      </c>
      <c r="E77" s="189">
        <v>8.4</v>
      </c>
      <c r="F77" s="189">
        <v>36.78</v>
      </c>
      <c r="G77" s="189">
        <v>54.19</v>
      </c>
      <c r="H77" s="189">
        <v>18.899999999999999</v>
      </c>
      <c r="I77" s="189">
        <v>4.1399999999999997</v>
      </c>
      <c r="J77" s="189">
        <v>0.51</v>
      </c>
      <c r="K77" s="189">
        <v>285.88</v>
      </c>
      <c r="L77" s="189">
        <v>40.49</v>
      </c>
      <c r="M77" s="189">
        <v>21.97</v>
      </c>
      <c r="N77" s="189">
        <v>125.7</v>
      </c>
      <c r="O77" s="189">
        <v>0</v>
      </c>
      <c r="P77" s="189">
        <v>0.43</v>
      </c>
      <c r="Q77" s="189">
        <v>4.42</v>
      </c>
    </row>
    <row r="78" spans="1:17" customFormat="1">
      <c r="A78" s="6" t="s">
        <v>1938</v>
      </c>
      <c r="B78" s="189">
        <v>6.52</v>
      </c>
      <c r="C78" s="189">
        <v>37.25</v>
      </c>
      <c r="D78" s="189">
        <v>23.65</v>
      </c>
      <c r="E78" s="189">
        <v>7.04</v>
      </c>
      <c r="F78" s="189">
        <v>20.88</v>
      </c>
      <c r="G78" s="189">
        <v>54.19</v>
      </c>
      <c r="H78" s="189">
        <v>18.899999999999999</v>
      </c>
      <c r="I78" s="189">
        <v>3.96</v>
      </c>
      <c r="J78" s="189">
        <v>0.8</v>
      </c>
      <c r="K78" s="189">
        <v>259.77</v>
      </c>
      <c r="L78" s="189">
        <v>39.99</v>
      </c>
      <c r="M78" s="189">
        <v>22.65</v>
      </c>
      <c r="N78" s="189">
        <v>123.2</v>
      </c>
      <c r="O78" s="189">
        <v>0</v>
      </c>
      <c r="P78" s="189">
        <v>0.45</v>
      </c>
      <c r="Q78" s="189">
        <v>4.47</v>
      </c>
    </row>
    <row r="79" spans="1:17" customFormat="1">
      <c r="A79" s="6" t="s">
        <v>1939</v>
      </c>
      <c r="B79" s="189">
        <v>5.26</v>
      </c>
      <c r="C79" s="189">
        <v>36.19</v>
      </c>
      <c r="D79" s="189">
        <v>22.08</v>
      </c>
      <c r="E79" s="189">
        <v>7.62</v>
      </c>
      <c r="F79" s="189">
        <v>25.69</v>
      </c>
      <c r="G79" s="189">
        <v>53.51</v>
      </c>
      <c r="H79" s="189">
        <v>18.68</v>
      </c>
      <c r="I79" s="189">
        <v>3.78</v>
      </c>
      <c r="J79" s="189">
        <v>0.86</v>
      </c>
      <c r="K79" s="189">
        <v>281.99</v>
      </c>
      <c r="L79" s="189">
        <v>39.6</v>
      </c>
      <c r="M79" s="189">
        <v>23.06</v>
      </c>
      <c r="N79" s="189">
        <v>67.400000000000006</v>
      </c>
      <c r="O79" s="189">
        <v>0</v>
      </c>
      <c r="P79" s="189">
        <v>0.48</v>
      </c>
      <c r="Q79" s="189">
        <v>4.57</v>
      </c>
    </row>
    <row r="80" spans="1:17" customFormat="1">
      <c r="A80" s="6" t="s">
        <v>1940</v>
      </c>
      <c r="B80" s="189">
        <v>6.4</v>
      </c>
      <c r="C80" s="189">
        <v>40.47</v>
      </c>
      <c r="D80" s="189">
        <v>25.23</v>
      </c>
      <c r="E80" s="189">
        <v>10.7</v>
      </c>
      <c r="F80" s="189">
        <v>24.69</v>
      </c>
      <c r="G80" s="189">
        <v>53.12</v>
      </c>
      <c r="H80" s="189">
        <v>18.64</v>
      </c>
      <c r="I80" s="189">
        <v>3.91</v>
      </c>
      <c r="J80" s="189">
        <v>0.93</v>
      </c>
      <c r="K80" s="189">
        <v>274.83</v>
      </c>
      <c r="L80" s="189">
        <v>39.229999999999997</v>
      </c>
      <c r="M80" s="189">
        <v>23.72</v>
      </c>
      <c r="N80" s="189">
        <v>53</v>
      </c>
      <c r="O80" s="189">
        <v>0</v>
      </c>
      <c r="P80" s="189">
        <v>0.5</v>
      </c>
      <c r="Q80" s="189">
        <v>4.58</v>
      </c>
    </row>
    <row r="81" spans="1:17" customFormat="1">
      <c r="A81" s="6" t="s">
        <v>1941</v>
      </c>
      <c r="B81" s="189">
        <v>5.17</v>
      </c>
      <c r="C81" s="189">
        <v>36.78</v>
      </c>
      <c r="D81" s="189">
        <v>22.32</v>
      </c>
      <c r="E81" s="189">
        <v>11.14</v>
      </c>
      <c r="F81" s="189">
        <v>30.3</v>
      </c>
      <c r="G81" s="189">
        <v>53.12</v>
      </c>
      <c r="H81" s="189">
        <v>18.64</v>
      </c>
      <c r="I81" s="189">
        <v>3.82</v>
      </c>
      <c r="J81" s="189">
        <v>0.77</v>
      </c>
      <c r="K81" s="189">
        <v>268.49</v>
      </c>
      <c r="L81" s="189">
        <v>38.869999999999997</v>
      </c>
      <c r="M81" s="189">
        <v>24.57</v>
      </c>
      <c r="N81" s="189">
        <v>28.8</v>
      </c>
      <c r="O81" s="189">
        <v>0</v>
      </c>
      <c r="P81" s="189">
        <v>0.5</v>
      </c>
      <c r="Q81" s="189">
        <v>4.54</v>
      </c>
    </row>
    <row r="82" spans="1:17" customFormat="1">
      <c r="A82" s="6" t="s">
        <v>1942</v>
      </c>
      <c r="B82" s="189">
        <v>7.27</v>
      </c>
      <c r="C82" s="189">
        <v>41.55</v>
      </c>
      <c r="D82" s="189">
        <v>26.49</v>
      </c>
      <c r="E82" s="189">
        <v>14.04</v>
      </c>
      <c r="F82" s="189">
        <v>23.38</v>
      </c>
      <c r="G82" s="189">
        <v>53.12</v>
      </c>
      <c r="H82" s="189">
        <v>18.64</v>
      </c>
      <c r="I82" s="189">
        <v>3.94</v>
      </c>
      <c r="J82" s="189">
        <v>0.84</v>
      </c>
      <c r="K82" s="189">
        <v>288.13</v>
      </c>
      <c r="L82" s="189">
        <v>38.68</v>
      </c>
      <c r="M82" s="189">
        <v>24.11</v>
      </c>
      <c r="N82" s="189">
        <v>5.7</v>
      </c>
      <c r="O82" s="189">
        <v>0</v>
      </c>
      <c r="P82" s="189">
        <v>0.56000000000000005</v>
      </c>
      <c r="Q82" s="189">
        <v>4.54</v>
      </c>
    </row>
    <row r="83" spans="1:17" customFormat="1">
      <c r="A83" s="6" t="s">
        <v>1943</v>
      </c>
      <c r="B83" s="189">
        <v>5.21</v>
      </c>
      <c r="C83" s="189">
        <v>33.770000000000003</v>
      </c>
      <c r="D83" s="189">
        <v>20.78</v>
      </c>
      <c r="E83" s="189">
        <v>14.98</v>
      </c>
      <c r="F83" s="189">
        <v>35.72</v>
      </c>
      <c r="G83" s="189">
        <v>59.38</v>
      </c>
      <c r="H83" s="189">
        <v>19.46</v>
      </c>
      <c r="I83" s="189">
        <v>4.05</v>
      </c>
      <c r="J83" s="189">
        <v>0.51</v>
      </c>
      <c r="K83" s="189">
        <v>269.98</v>
      </c>
      <c r="L83" s="189">
        <v>38.21</v>
      </c>
      <c r="M83" s="189">
        <v>25.19</v>
      </c>
      <c r="N83" s="189">
        <v>0</v>
      </c>
      <c r="O83" s="189">
        <v>0</v>
      </c>
      <c r="P83" s="189">
        <v>0.54</v>
      </c>
      <c r="Q83" s="189">
        <v>4.55</v>
      </c>
    </row>
    <row r="84" spans="1:17" customFormat="1">
      <c r="A84" s="6" t="s">
        <v>1944</v>
      </c>
      <c r="B84" s="189">
        <v>5.84</v>
      </c>
      <c r="C84" s="189">
        <v>38.29</v>
      </c>
      <c r="D84" s="189">
        <v>23.64</v>
      </c>
      <c r="E84" s="189">
        <v>12.32</v>
      </c>
      <c r="F84" s="189">
        <v>24.8</v>
      </c>
      <c r="G84" s="189">
        <v>63</v>
      </c>
      <c r="H84" s="189">
        <v>19.71</v>
      </c>
      <c r="I84" s="189">
        <v>3.96</v>
      </c>
      <c r="J84" s="189">
        <v>0.54</v>
      </c>
      <c r="K84" s="189">
        <v>266.95</v>
      </c>
      <c r="L84" s="189">
        <v>37.9</v>
      </c>
      <c r="M84" s="189">
        <v>25.9</v>
      </c>
      <c r="N84" s="189">
        <v>0</v>
      </c>
      <c r="O84" s="189">
        <v>0</v>
      </c>
      <c r="P84" s="189">
        <v>0.61</v>
      </c>
      <c r="Q84" s="189">
        <v>4.57</v>
      </c>
    </row>
    <row r="85" spans="1:17" customFormat="1">
      <c r="A85" s="6" t="s">
        <v>1945</v>
      </c>
      <c r="B85" s="189">
        <v>8.6300000000000008</v>
      </c>
      <c r="C85" s="189">
        <v>42.48</v>
      </c>
      <c r="D85" s="189">
        <v>28.07</v>
      </c>
      <c r="E85" s="189">
        <v>11.2</v>
      </c>
      <c r="F85" s="189">
        <v>21.19</v>
      </c>
      <c r="G85" s="189">
        <v>63</v>
      </c>
      <c r="H85" s="189">
        <v>19.71</v>
      </c>
      <c r="I85" s="189">
        <v>3.94</v>
      </c>
      <c r="J85" s="189">
        <v>0.53</v>
      </c>
      <c r="K85" s="189">
        <v>266.08</v>
      </c>
      <c r="L85" s="189">
        <v>37.700000000000003</v>
      </c>
      <c r="M85" s="189">
        <v>26.84</v>
      </c>
      <c r="N85" s="189">
        <v>0</v>
      </c>
      <c r="O85" s="189">
        <v>0</v>
      </c>
      <c r="P85" s="189">
        <v>0.63</v>
      </c>
      <c r="Q85" s="189">
        <v>4.5999999999999996</v>
      </c>
    </row>
    <row r="86" spans="1:17" customFormat="1">
      <c r="A86" s="6" t="s">
        <v>1946</v>
      </c>
      <c r="B86" s="189">
        <v>6.22</v>
      </c>
      <c r="C86" s="189">
        <v>40.56</v>
      </c>
      <c r="D86" s="189">
        <v>25.14</v>
      </c>
      <c r="E86" s="189">
        <v>10.95</v>
      </c>
      <c r="F86" s="189">
        <v>21.01</v>
      </c>
      <c r="G86" s="189">
        <v>63</v>
      </c>
      <c r="H86" s="189">
        <v>19.71</v>
      </c>
      <c r="I86" s="189">
        <v>4.32</v>
      </c>
      <c r="J86" s="189">
        <v>0.51</v>
      </c>
      <c r="K86" s="189">
        <v>257.3</v>
      </c>
      <c r="L86" s="189">
        <v>37.43</v>
      </c>
      <c r="M86" s="189">
        <v>27.95</v>
      </c>
      <c r="N86" s="189">
        <v>0</v>
      </c>
      <c r="O86" s="189">
        <v>0</v>
      </c>
      <c r="P86" s="189">
        <v>0.63</v>
      </c>
      <c r="Q86" s="189">
        <v>4.6100000000000003</v>
      </c>
    </row>
    <row r="87" spans="1:17" customFormat="1">
      <c r="A87" s="6" t="s">
        <v>1947</v>
      </c>
      <c r="B87" s="189">
        <v>7.67</v>
      </c>
      <c r="C87" s="189">
        <v>41.98</v>
      </c>
      <c r="D87" s="189">
        <v>27.04</v>
      </c>
      <c r="E87" s="189">
        <v>8.92</v>
      </c>
      <c r="F87" s="189">
        <v>18.73</v>
      </c>
      <c r="G87" s="189">
        <v>64.760000000000005</v>
      </c>
      <c r="H87" s="189">
        <v>21.82</v>
      </c>
      <c r="I87" s="189">
        <v>4.5199999999999996</v>
      </c>
      <c r="J87" s="189">
        <v>0.67</v>
      </c>
      <c r="K87" s="189">
        <v>263.33999999999997</v>
      </c>
      <c r="L87" s="189">
        <v>37.26</v>
      </c>
      <c r="M87" s="189">
        <v>28.35</v>
      </c>
      <c r="N87" s="189">
        <v>0</v>
      </c>
      <c r="O87" s="189">
        <v>0</v>
      </c>
      <c r="P87" s="189">
        <v>0.64</v>
      </c>
      <c r="Q87" s="189">
        <v>4.6500000000000004</v>
      </c>
    </row>
    <row r="88" spans="1:17" customFormat="1">
      <c r="A88" s="6" t="s">
        <v>1948</v>
      </c>
      <c r="B88" s="189">
        <v>7.21</v>
      </c>
      <c r="C88" s="189">
        <v>38.64</v>
      </c>
      <c r="D88" s="189">
        <v>24.92</v>
      </c>
      <c r="E88" s="189">
        <v>6.91</v>
      </c>
      <c r="F88" s="189">
        <v>20.61</v>
      </c>
      <c r="G88" s="189">
        <v>65.78</v>
      </c>
      <c r="H88" s="189">
        <v>22.2</v>
      </c>
      <c r="I88" s="189">
        <v>4.63</v>
      </c>
      <c r="J88" s="189">
        <v>0.69</v>
      </c>
      <c r="K88" s="189">
        <v>275.02</v>
      </c>
      <c r="L88" s="189">
        <v>37.1</v>
      </c>
      <c r="M88" s="189">
        <v>28.87</v>
      </c>
      <c r="N88" s="189">
        <v>0</v>
      </c>
      <c r="O88" s="189">
        <v>0</v>
      </c>
      <c r="P88" s="189">
        <v>0.6</v>
      </c>
      <c r="Q88" s="189">
        <v>4.6399999999999997</v>
      </c>
    </row>
    <row r="89" spans="1:17" customFormat="1">
      <c r="A89" s="6" t="s">
        <v>1949</v>
      </c>
      <c r="B89" s="189">
        <v>7.12</v>
      </c>
      <c r="C89" s="189">
        <v>39.200000000000003</v>
      </c>
      <c r="D89" s="189">
        <v>25.14</v>
      </c>
      <c r="E89" s="189">
        <v>6.19</v>
      </c>
      <c r="F89" s="189">
        <v>18.39</v>
      </c>
      <c r="G89" s="189">
        <v>65.78</v>
      </c>
      <c r="H89" s="189">
        <v>22.2</v>
      </c>
      <c r="I89" s="189">
        <v>4.5</v>
      </c>
      <c r="J89" s="189">
        <v>0.63</v>
      </c>
      <c r="K89" s="189">
        <v>273.95999999999998</v>
      </c>
      <c r="L89" s="189">
        <v>37.020000000000003</v>
      </c>
      <c r="M89" s="189">
        <v>28.8</v>
      </c>
      <c r="N89" s="189">
        <v>0</v>
      </c>
      <c r="O89" s="189">
        <v>0</v>
      </c>
      <c r="P89" s="189">
        <v>0.61</v>
      </c>
      <c r="Q89" s="189">
        <v>4.6399999999999997</v>
      </c>
    </row>
    <row r="90" spans="1:17" customFormat="1">
      <c r="A90" s="6" t="s">
        <v>1950</v>
      </c>
      <c r="B90" s="189">
        <v>8.6199999999999992</v>
      </c>
      <c r="C90" s="189">
        <v>41.54</v>
      </c>
      <c r="D90" s="189">
        <v>27.57</v>
      </c>
      <c r="E90" s="189">
        <v>5.46</v>
      </c>
      <c r="F90" s="189">
        <v>16.39</v>
      </c>
      <c r="G90" s="189">
        <v>65.78</v>
      </c>
      <c r="H90" s="189">
        <v>22.2</v>
      </c>
      <c r="I90" s="189">
        <v>4.51</v>
      </c>
      <c r="J90" s="189">
        <v>0.8</v>
      </c>
      <c r="K90" s="189">
        <v>288.75</v>
      </c>
      <c r="L90" s="189">
        <v>36.869999999999997</v>
      </c>
      <c r="M90" s="189">
        <v>28.94</v>
      </c>
      <c r="N90" s="189">
        <v>0</v>
      </c>
      <c r="O90" s="189">
        <v>0</v>
      </c>
      <c r="P90" s="189">
        <v>0.63</v>
      </c>
      <c r="Q90" s="189">
        <v>4.66</v>
      </c>
    </row>
    <row r="91" spans="1:17" customFormat="1">
      <c r="A91" s="6" t="s">
        <v>1951</v>
      </c>
      <c r="B91" s="189">
        <v>8.6199999999999992</v>
      </c>
      <c r="C91" s="189">
        <v>39.35</v>
      </c>
      <c r="D91" s="189">
        <v>26.43</v>
      </c>
      <c r="E91" s="189">
        <v>5.69</v>
      </c>
      <c r="F91" s="189">
        <v>17.920000000000002</v>
      </c>
      <c r="G91" s="189">
        <v>67.05</v>
      </c>
      <c r="H91" s="189">
        <v>22.54</v>
      </c>
      <c r="I91" s="189">
        <v>4.6500000000000004</v>
      </c>
      <c r="J91" s="189">
        <v>0.71</v>
      </c>
      <c r="K91" s="189">
        <v>279.95999999999998</v>
      </c>
      <c r="L91" s="189">
        <v>36.64</v>
      </c>
      <c r="M91" s="189">
        <v>29.52</v>
      </c>
      <c r="N91" s="189">
        <v>0</v>
      </c>
      <c r="O91" s="189">
        <v>0</v>
      </c>
      <c r="P91" s="189">
        <v>0.63</v>
      </c>
      <c r="Q91" s="189">
        <v>4.72</v>
      </c>
    </row>
    <row r="92" spans="1:17" customFormat="1">
      <c r="A92" s="6" t="s">
        <v>1952</v>
      </c>
      <c r="B92" s="189">
        <v>8.57</v>
      </c>
      <c r="C92" s="189">
        <v>41.04</v>
      </c>
      <c r="D92" s="189">
        <v>27.27</v>
      </c>
      <c r="E92" s="189">
        <v>6.39</v>
      </c>
      <c r="F92" s="189">
        <v>14.46</v>
      </c>
      <c r="G92" s="189">
        <v>67.790000000000006</v>
      </c>
      <c r="H92" s="189">
        <v>22.61</v>
      </c>
      <c r="I92" s="189">
        <v>4.49</v>
      </c>
      <c r="J92" s="189">
        <v>0.71</v>
      </c>
      <c r="K92" s="189">
        <v>273.43</v>
      </c>
      <c r="L92" s="189">
        <v>36.450000000000003</v>
      </c>
      <c r="M92" s="189">
        <v>29.71</v>
      </c>
      <c r="N92" s="189">
        <v>0</v>
      </c>
      <c r="O92" s="189">
        <v>0</v>
      </c>
      <c r="P92" s="189">
        <v>0.64</v>
      </c>
      <c r="Q92" s="189">
        <v>4.7300000000000004</v>
      </c>
    </row>
    <row r="93" spans="1:17" customFormat="1">
      <c r="A93" s="6" t="s">
        <v>1953</v>
      </c>
      <c r="B93" s="189">
        <v>8.2200000000000006</v>
      </c>
      <c r="C93" s="189">
        <v>41.51</v>
      </c>
      <c r="D93" s="189">
        <v>27.23</v>
      </c>
      <c r="E93" s="189">
        <v>7.71</v>
      </c>
      <c r="F93" s="189">
        <v>15.52</v>
      </c>
      <c r="G93" s="189">
        <v>67.790000000000006</v>
      </c>
      <c r="H93" s="189">
        <v>22.61</v>
      </c>
      <c r="I93" s="189">
        <v>4.51</v>
      </c>
      <c r="J93" s="189">
        <v>0.75</v>
      </c>
      <c r="K93" s="189">
        <v>277.7</v>
      </c>
      <c r="L93" s="189">
        <v>36.29</v>
      </c>
      <c r="M93" s="189">
        <v>29.76</v>
      </c>
      <c r="N93" s="189">
        <v>0</v>
      </c>
      <c r="O93" s="189">
        <v>0</v>
      </c>
      <c r="P93" s="189">
        <v>0.65</v>
      </c>
      <c r="Q93" s="189">
        <v>4.7300000000000004</v>
      </c>
    </row>
    <row r="94" spans="1:17" customFormat="1">
      <c r="A94" s="6" t="s">
        <v>1954</v>
      </c>
      <c r="B94" s="189">
        <v>11.28</v>
      </c>
      <c r="C94" s="189">
        <v>40.39</v>
      </c>
      <c r="D94" s="189">
        <v>29.1</v>
      </c>
      <c r="E94" s="189">
        <v>8.66</v>
      </c>
      <c r="F94" s="189">
        <v>14.95</v>
      </c>
      <c r="G94" s="189">
        <v>67.790000000000006</v>
      </c>
      <c r="H94" s="189">
        <v>22.61</v>
      </c>
      <c r="I94" s="189">
        <v>4.68</v>
      </c>
      <c r="J94" s="189">
        <v>0.91</v>
      </c>
      <c r="K94" s="189">
        <v>290.47000000000003</v>
      </c>
      <c r="L94" s="189">
        <v>36.270000000000003</v>
      </c>
      <c r="M94" s="189">
        <v>29.59</v>
      </c>
      <c r="N94" s="189">
        <v>0</v>
      </c>
      <c r="O94" s="189">
        <v>0</v>
      </c>
      <c r="P94" s="189">
        <v>0.63</v>
      </c>
      <c r="Q94" s="189">
        <v>4.75</v>
      </c>
    </row>
    <row r="95" spans="1:17" customFormat="1">
      <c r="A95" s="6" t="s">
        <v>1955</v>
      </c>
      <c r="B95" s="189">
        <v>10.42</v>
      </c>
      <c r="C95" s="189">
        <v>43.82</v>
      </c>
      <c r="D95" s="189">
        <v>30.2</v>
      </c>
      <c r="E95" s="189">
        <v>8.6300000000000008</v>
      </c>
      <c r="F95" s="189">
        <v>13.45</v>
      </c>
      <c r="G95" s="189">
        <v>69.89</v>
      </c>
      <c r="H95" s="189">
        <v>21.86</v>
      </c>
      <c r="I95" s="189">
        <v>4.72</v>
      </c>
      <c r="J95" s="189">
        <v>0.81</v>
      </c>
      <c r="K95" s="189">
        <v>279.07</v>
      </c>
      <c r="L95" s="189">
        <v>36.049999999999997</v>
      </c>
      <c r="M95" s="189">
        <v>30.12</v>
      </c>
      <c r="N95" s="189">
        <v>0</v>
      </c>
      <c r="O95" s="189">
        <v>0</v>
      </c>
      <c r="P95" s="189">
        <v>0.64</v>
      </c>
      <c r="Q95" s="189">
        <v>4.84</v>
      </c>
    </row>
    <row r="96" spans="1:17" customFormat="1">
      <c r="A96" s="6" t="s">
        <v>1956</v>
      </c>
      <c r="B96" s="189">
        <v>9.41</v>
      </c>
      <c r="C96" s="189">
        <v>45.85</v>
      </c>
      <c r="D96" s="189">
        <v>30.45</v>
      </c>
      <c r="E96" s="189">
        <v>10.98</v>
      </c>
      <c r="F96" s="189">
        <v>13.95</v>
      </c>
      <c r="G96" s="189">
        <v>71.099999999999994</v>
      </c>
      <c r="H96" s="189">
        <v>21.72</v>
      </c>
      <c r="I96" s="189">
        <v>4.6900000000000004</v>
      </c>
      <c r="J96" s="189">
        <v>0.61</v>
      </c>
      <c r="K96" s="189">
        <v>264.79000000000002</v>
      </c>
      <c r="L96" s="189">
        <v>35.78</v>
      </c>
      <c r="M96" s="189">
        <v>31.05</v>
      </c>
      <c r="N96" s="189">
        <v>0</v>
      </c>
      <c r="O96" s="189">
        <v>0</v>
      </c>
      <c r="P96" s="189">
        <v>0.64</v>
      </c>
      <c r="Q96" s="189">
        <v>4.9000000000000004</v>
      </c>
    </row>
    <row r="97" spans="1:22" customFormat="1">
      <c r="A97" s="6" t="s">
        <v>1957</v>
      </c>
      <c r="B97" s="189">
        <v>9.8699999999999992</v>
      </c>
      <c r="C97" s="189">
        <v>47.79</v>
      </c>
      <c r="D97" s="189">
        <v>31.84</v>
      </c>
      <c r="E97" s="189">
        <v>11.54</v>
      </c>
      <c r="F97" s="189">
        <v>12.62</v>
      </c>
      <c r="G97" s="189">
        <v>71.099999999999994</v>
      </c>
      <c r="H97" s="189">
        <v>21.72</v>
      </c>
      <c r="I97" s="189">
        <v>4.72</v>
      </c>
      <c r="J97" s="189">
        <v>0.63</v>
      </c>
      <c r="K97" s="189">
        <v>276.94</v>
      </c>
      <c r="L97" s="189">
        <v>35.58</v>
      </c>
      <c r="M97" s="189">
        <v>31.43</v>
      </c>
      <c r="N97" s="189">
        <v>0</v>
      </c>
      <c r="O97" s="189">
        <v>0</v>
      </c>
      <c r="P97" s="189">
        <v>0.64</v>
      </c>
      <c r="Q97" s="189">
        <v>4.92</v>
      </c>
    </row>
    <row r="98" spans="1:22" customFormat="1">
      <c r="A98" s="6" t="s">
        <v>1958</v>
      </c>
      <c r="B98" s="189">
        <v>11.17</v>
      </c>
      <c r="C98" s="189">
        <v>50.5</v>
      </c>
      <c r="D98" s="189">
        <v>34.299999999999997</v>
      </c>
      <c r="E98" s="189">
        <v>11.25</v>
      </c>
      <c r="F98" s="189">
        <v>11.83</v>
      </c>
      <c r="G98" s="189">
        <v>71.099999999999994</v>
      </c>
      <c r="H98" s="189">
        <v>21.72</v>
      </c>
      <c r="I98" s="189">
        <v>4.6399999999999997</v>
      </c>
      <c r="J98" s="189">
        <v>0.55000000000000004</v>
      </c>
      <c r="K98" s="189">
        <v>276.77999999999997</v>
      </c>
      <c r="L98" s="189">
        <v>35.53</v>
      </c>
      <c r="M98" s="189">
        <v>31.53</v>
      </c>
      <c r="N98" s="189">
        <v>0</v>
      </c>
      <c r="O98" s="189">
        <v>0</v>
      </c>
      <c r="P98" s="189">
        <v>0.65</v>
      </c>
      <c r="Q98" s="189">
        <v>4.97</v>
      </c>
    </row>
    <row r="99" spans="1:22" customFormat="1">
      <c r="A99" s="6" t="s">
        <v>1959</v>
      </c>
      <c r="B99" s="189">
        <v>9.5</v>
      </c>
      <c r="C99" s="189">
        <v>46.09</v>
      </c>
      <c r="D99" s="189">
        <v>30.65</v>
      </c>
      <c r="E99" s="189">
        <v>10.48</v>
      </c>
      <c r="F99" s="189">
        <v>16.829999999999998</v>
      </c>
      <c r="G99" s="189">
        <v>73.14</v>
      </c>
      <c r="H99" s="189">
        <v>22.98</v>
      </c>
      <c r="I99" s="189">
        <v>4.6399999999999997</v>
      </c>
      <c r="J99" s="189">
        <v>0.5</v>
      </c>
      <c r="K99" s="189">
        <v>252.26</v>
      </c>
      <c r="L99" s="189">
        <v>35.340000000000003</v>
      </c>
      <c r="M99" s="189">
        <v>32.08</v>
      </c>
      <c r="N99" s="189">
        <v>0</v>
      </c>
      <c r="O99" s="189">
        <v>0</v>
      </c>
      <c r="P99" s="189">
        <v>0.62</v>
      </c>
      <c r="Q99" s="189">
        <v>5.0199999999999996</v>
      </c>
    </row>
    <row r="100" spans="1:22" customFormat="1">
      <c r="A100" s="6" t="s">
        <v>1960</v>
      </c>
      <c r="B100" s="189">
        <v>9.1999999999999993</v>
      </c>
      <c r="C100" s="189">
        <v>44.97</v>
      </c>
      <c r="D100" s="189">
        <v>29.82</v>
      </c>
      <c r="E100" s="189">
        <v>8.64</v>
      </c>
      <c r="F100" s="189">
        <v>15.02</v>
      </c>
      <c r="G100" s="189">
        <v>74.319999999999993</v>
      </c>
      <c r="H100" s="189">
        <v>23.21</v>
      </c>
      <c r="I100" s="189">
        <v>4.5999999999999996</v>
      </c>
      <c r="J100" s="189">
        <v>0.55000000000000004</v>
      </c>
      <c r="K100" s="189">
        <v>255.73</v>
      </c>
      <c r="L100" s="189">
        <v>35.130000000000003</v>
      </c>
      <c r="M100" s="189">
        <v>32.65</v>
      </c>
      <c r="N100" s="189">
        <v>0</v>
      </c>
      <c r="O100" s="189">
        <v>0</v>
      </c>
      <c r="P100" s="189">
        <v>0.62</v>
      </c>
      <c r="Q100" s="189">
        <v>5</v>
      </c>
    </row>
    <row r="101" spans="1:22" customFormat="1">
      <c r="A101" s="6" t="s">
        <v>1961</v>
      </c>
      <c r="B101" s="189">
        <v>11.1</v>
      </c>
      <c r="C101" s="189">
        <v>44.82</v>
      </c>
      <c r="D101" s="189">
        <v>31.27</v>
      </c>
      <c r="E101" s="189">
        <v>8.26</v>
      </c>
      <c r="F101" s="189">
        <v>15.64</v>
      </c>
      <c r="G101" s="189">
        <v>74.319999999999993</v>
      </c>
      <c r="H101" s="189">
        <v>23.21</v>
      </c>
      <c r="I101" s="189">
        <v>4.5</v>
      </c>
      <c r="J101" s="189">
        <v>0.56999999999999995</v>
      </c>
      <c r="K101" s="189">
        <v>277.47000000000003</v>
      </c>
      <c r="L101" s="189">
        <v>35.090000000000003</v>
      </c>
      <c r="M101" s="189">
        <v>32.64</v>
      </c>
      <c r="N101" s="189">
        <v>0</v>
      </c>
      <c r="O101" s="189">
        <v>0</v>
      </c>
      <c r="P101" s="189">
        <v>0.59</v>
      </c>
      <c r="Q101" s="189">
        <v>4.97</v>
      </c>
    </row>
    <row r="102" spans="1:22" customFormat="1">
      <c r="A102" s="6" t="s">
        <v>1962</v>
      </c>
      <c r="B102" s="189">
        <v>10.56</v>
      </c>
      <c r="C102" s="189">
        <v>43.64</v>
      </c>
      <c r="D102" s="189">
        <v>30.22</v>
      </c>
      <c r="E102" s="189">
        <v>7.68</v>
      </c>
      <c r="F102" s="189">
        <v>15.09</v>
      </c>
      <c r="G102" s="189">
        <v>74.319999999999993</v>
      </c>
      <c r="H102" s="189">
        <v>23.21</v>
      </c>
      <c r="I102" s="189">
        <v>4.4800000000000004</v>
      </c>
      <c r="J102" s="189">
        <v>0.43</v>
      </c>
      <c r="K102" s="189">
        <v>251.82</v>
      </c>
      <c r="L102" s="189">
        <v>34.979999999999997</v>
      </c>
      <c r="M102" s="189">
        <v>33.11</v>
      </c>
      <c r="N102" s="189">
        <v>0</v>
      </c>
      <c r="O102" s="189">
        <v>0</v>
      </c>
      <c r="P102" s="189">
        <v>0.56999999999999995</v>
      </c>
      <c r="Q102" s="189">
        <v>4.96</v>
      </c>
    </row>
    <row r="103" spans="1:22" customFormat="1">
      <c r="A103" s="6" t="s">
        <v>1963</v>
      </c>
      <c r="B103" s="189">
        <v>9.0399999999999991</v>
      </c>
      <c r="C103" s="189">
        <v>43.09</v>
      </c>
      <c r="D103" s="189">
        <v>28.72</v>
      </c>
      <c r="E103" s="189">
        <v>8.48</v>
      </c>
      <c r="F103" s="189">
        <v>13.37</v>
      </c>
      <c r="G103" s="189">
        <v>74</v>
      </c>
      <c r="H103" s="189">
        <v>22.77</v>
      </c>
      <c r="I103" s="189">
        <v>4.2699999999999996</v>
      </c>
      <c r="J103" s="189">
        <v>0.28000000000000003</v>
      </c>
      <c r="K103" s="189">
        <v>235.85</v>
      </c>
      <c r="L103" s="189">
        <v>34.619999999999997</v>
      </c>
      <c r="M103" s="189">
        <v>34.36</v>
      </c>
      <c r="N103" s="189">
        <v>0</v>
      </c>
      <c r="O103" s="189">
        <v>0</v>
      </c>
      <c r="P103" s="189">
        <v>0.56000000000000005</v>
      </c>
      <c r="Q103" s="189">
        <v>4.96</v>
      </c>
    </row>
    <row r="104" spans="1:22" customFormat="1">
      <c r="A104" s="6" t="s">
        <v>1964</v>
      </c>
      <c r="B104" s="189">
        <v>9.08</v>
      </c>
      <c r="C104" s="189">
        <v>43.47</v>
      </c>
      <c r="D104" s="189">
        <v>28.95</v>
      </c>
      <c r="E104" s="189">
        <v>17.579999999999998</v>
      </c>
      <c r="F104" s="189">
        <v>11.6</v>
      </c>
      <c r="G104" s="189">
        <v>73.81</v>
      </c>
      <c r="H104" s="189">
        <v>22.7</v>
      </c>
      <c r="I104" s="189">
        <v>4.05</v>
      </c>
      <c r="J104" s="189">
        <v>0.24</v>
      </c>
      <c r="K104" s="189">
        <v>215.35</v>
      </c>
      <c r="L104" s="189">
        <v>34.229999999999997</v>
      </c>
      <c r="M104" s="189">
        <v>35.85</v>
      </c>
      <c r="N104" s="189">
        <v>0</v>
      </c>
      <c r="O104" s="189">
        <v>0</v>
      </c>
      <c r="P104" s="189">
        <v>0.56000000000000005</v>
      </c>
      <c r="Q104" s="189">
        <v>5.0199999999999996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4.49</v>
      </c>
      <c r="C106" s="183">
        <f>MIN(C9:C104)</f>
        <v>31.73</v>
      </c>
      <c r="D106" s="183">
        <f t="shared" ref="D106:Q106" si="0">MIN(D9:D104)</f>
        <v>19.13</v>
      </c>
      <c r="E106" s="183">
        <f t="shared" si="0"/>
        <v>4.99</v>
      </c>
      <c r="F106" s="183">
        <f t="shared" si="0"/>
        <v>7.97</v>
      </c>
      <c r="G106" s="183">
        <f t="shared" si="0"/>
        <v>36.299999999999997</v>
      </c>
      <c r="H106" s="183">
        <f t="shared" si="0"/>
        <v>11.61</v>
      </c>
      <c r="I106" s="183">
        <f t="shared" si="0"/>
        <v>3.78</v>
      </c>
      <c r="J106" s="183">
        <f t="shared" si="0"/>
        <v>0.15</v>
      </c>
      <c r="K106" s="183">
        <f t="shared" si="0"/>
        <v>5.97</v>
      </c>
      <c r="L106" s="183">
        <f t="shared" si="0"/>
        <v>30.17</v>
      </c>
      <c r="M106" s="183">
        <f t="shared" si="0"/>
        <v>20.36</v>
      </c>
      <c r="N106" s="183">
        <f t="shared" si="0"/>
        <v>0</v>
      </c>
      <c r="O106" s="183">
        <f t="shared" si="0"/>
        <v>0</v>
      </c>
      <c r="P106" s="183">
        <f t="shared" si="0"/>
        <v>0.37</v>
      </c>
      <c r="Q106" s="183">
        <f t="shared" si="0"/>
        <v>4.42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15.54</v>
      </c>
      <c r="C107" s="184">
        <f t="shared" ref="C107:Q107" si="1">MAX(C9:C104)</f>
        <v>50.5</v>
      </c>
      <c r="D107" s="184">
        <f t="shared" si="1"/>
        <v>36</v>
      </c>
      <c r="E107" s="184">
        <f t="shared" si="1"/>
        <v>17.579999999999998</v>
      </c>
      <c r="F107" s="184">
        <f t="shared" si="1"/>
        <v>36.880000000000003</v>
      </c>
      <c r="G107" s="184">
        <f t="shared" si="1"/>
        <v>74.319999999999993</v>
      </c>
      <c r="H107" s="184">
        <f t="shared" si="1"/>
        <v>23.21</v>
      </c>
      <c r="I107" s="184">
        <f t="shared" si="1"/>
        <v>8.2899999999999991</v>
      </c>
      <c r="J107" s="184">
        <f t="shared" si="1"/>
        <v>1.29</v>
      </c>
      <c r="K107" s="184">
        <f t="shared" si="1"/>
        <v>353.3</v>
      </c>
      <c r="L107" s="184">
        <f t="shared" si="1"/>
        <v>41.96</v>
      </c>
      <c r="M107" s="184">
        <f t="shared" si="1"/>
        <v>50.15</v>
      </c>
      <c r="N107" s="184">
        <f t="shared" si="1"/>
        <v>826.4</v>
      </c>
      <c r="O107" s="184">
        <f t="shared" si="1"/>
        <v>0</v>
      </c>
      <c r="P107" s="184">
        <f t="shared" si="1"/>
        <v>0.68</v>
      </c>
      <c r="Q107" s="184">
        <f t="shared" si="1"/>
        <v>5.23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9.3541666666666679</v>
      </c>
      <c r="C108" s="183">
        <f t="shared" ref="C108:Q108" si="2">AVERAGE(C9:C104)</f>
        <v>38.082187499999996</v>
      </c>
      <c r="D108" s="183">
        <f t="shared" si="2"/>
        <v>26.352708333333336</v>
      </c>
      <c r="E108" s="183">
        <f t="shared" si="2"/>
        <v>8.4168750000000028</v>
      </c>
      <c r="F108" s="183">
        <f t="shared" si="2"/>
        <v>18.719791666666669</v>
      </c>
      <c r="G108" s="183">
        <f t="shared" si="2"/>
        <v>54.87635416666668</v>
      </c>
      <c r="H108" s="183">
        <f t="shared" si="2"/>
        <v>17.879687499999999</v>
      </c>
      <c r="I108" s="183">
        <f t="shared" si="2"/>
        <v>4.8026041666666641</v>
      </c>
      <c r="J108" s="183">
        <f t="shared" si="2"/>
        <v>0.62291666666666667</v>
      </c>
      <c r="K108" s="183">
        <f t="shared" si="2"/>
        <v>259.63125000000002</v>
      </c>
      <c r="L108" s="183">
        <f t="shared" si="2"/>
        <v>36.345937500000012</v>
      </c>
      <c r="M108" s="183">
        <f t="shared" si="2"/>
        <v>32.800416666666685</v>
      </c>
      <c r="N108" s="183">
        <f t="shared" si="2"/>
        <v>172.45000000000002</v>
      </c>
      <c r="O108" s="183">
        <f t="shared" si="2"/>
        <v>0</v>
      </c>
      <c r="P108" s="183">
        <f t="shared" si="2"/>
        <v>0.50635416666666688</v>
      </c>
      <c r="Q108" s="183">
        <f t="shared" si="2"/>
        <v>4.8205208333333349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2.983219266661842</v>
      </c>
      <c r="C109" s="183">
        <f t="shared" ref="C109:Q109" si="3">STDEV(C9:C104)</f>
        <v>4.1876995828322077</v>
      </c>
      <c r="D109" s="183">
        <f t="shared" si="3"/>
        <v>3.9905120312974431</v>
      </c>
      <c r="E109" s="183">
        <f t="shared" si="3"/>
        <v>2.2601887729731001</v>
      </c>
      <c r="F109" s="183">
        <f t="shared" si="3"/>
        <v>7.0669149048173665</v>
      </c>
      <c r="G109" s="183">
        <f t="shared" si="3"/>
        <v>11.666884770674262</v>
      </c>
      <c r="H109" s="183">
        <f t="shared" si="3"/>
        <v>3.7975525229381293</v>
      </c>
      <c r="I109" s="183">
        <f t="shared" si="3"/>
        <v>0.8707144613738913</v>
      </c>
      <c r="J109" s="183">
        <f t="shared" si="3"/>
        <v>0.29577344340654022</v>
      </c>
      <c r="K109" s="183">
        <f t="shared" si="3"/>
        <v>55.302666334311496</v>
      </c>
      <c r="L109" s="183">
        <f t="shared" si="3"/>
        <v>3.7085620927864023</v>
      </c>
      <c r="M109" s="183">
        <f t="shared" si="3"/>
        <v>8.8022620198824644</v>
      </c>
      <c r="N109" s="183">
        <f t="shared" si="3"/>
        <v>253.43530140846599</v>
      </c>
      <c r="O109" s="183">
        <f t="shared" si="3"/>
        <v>0</v>
      </c>
      <c r="P109" s="183">
        <f t="shared" si="3"/>
        <v>8.7046506525221654E-2</v>
      </c>
      <c r="Q109" s="183">
        <f t="shared" si="3"/>
        <v>0.21165697069928738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19/06/2023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1965</v>
      </c>
      <c r="B9" s="189">
        <v>8.36</v>
      </c>
      <c r="C9" s="189">
        <v>38.229999999999997</v>
      </c>
      <c r="D9" s="189">
        <v>25.63</v>
      </c>
      <c r="E9" s="189">
        <v>35.659999999999997</v>
      </c>
      <c r="F9" s="189">
        <v>14.57</v>
      </c>
      <c r="G9" s="189">
        <v>73.81</v>
      </c>
      <c r="H9" s="189">
        <v>22.7</v>
      </c>
      <c r="I9" s="189">
        <v>4.2699999999999996</v>
      </c>
      <c r="J9" s="189">
        <v>0.28000000000000003</v>
      </c>
      <c r="K9" s="189">
        <v>245.87</v>
      </c>
      <c r="L9" s="189">
        <v>34.090000000000003</v>
      </c>
      <c r="M9" s="189">
        <v>36.380000000000003</v>
      </c>
      <c r="N9" s="189">
        <v>0</v>
      </c>
      <c r="O9" s="189">
        <v>0</v>
      </c>
      <c r="P9" s="189">
        <v>0.56999999999999995</v>
      </c>
      <c r="Q9" s="189">
        <v>5.12</v>
      </c>
    </row>
    <row r="10" spans="1:21" customFormat="1">
      <c r="A10" s="6" t="s">
        <v>1966</v>
      </c>
      <c r="B10" s="189">
        <v>8.24</v>
      </c>
      <c r="C10" s="189">
        <v>35.409999999999997</v>
      </c>
      <c r="D10" s="189">
        <v>24.07</v>
      </c>
      <c r="E10" s="189">
        <v>24.6</v>
      </c>
      <c r="F10" s="189">
        <v>20.170000000000002</v>
      </c>
      <c r="G10" s="189">
        <v>73.81</v>
      </c>
      <c r="H10" s="189">
        <v>22.7</v>
      </c>
      <c r="I10" s="189">
        <v>5.12</v>
      </c>
      <c r="J10" s="189">
        <v>0.24</v>
      </c>
      <c r="K10" s="189">
        <v>211.95</v>
      </c>
      <c r="L10" s="189">
        <v>33.9</v>
      </c>
      <c r="M10" s="189">
        <v>36.99</v>
      </c>
      <c r="N10" s="189">
        <v>0</v>
      </c>
      <c r="O10" s="189">
        <v>0</v>
      </c>
      <c r="P10" s="189">
        <v>0.55000000000000004</v>
      </c>
      <c r="Q10" s="189">
        <v>5.0599999999999996</v>
      </c>
    </row>
    <row r="11" spans="1:21" customFormat="1">
      <c r="A11" s="6" t="s">
        <v>1967</v>
      </c>
      <c r="B11" s="189">
        <v>8.57</v>
      </c>
      <c r="C11" s="189">
        <v>35.15</v>
      </c>
      <c r="D11" s="189">
        <v>24.19</v>
      </c>
      <c r="E11" s="189">
        <v>14.64</v>
      </c>
      <c r="F11" s="189">
        <v>18.02</v>
      </c>
      <c r="G11" s="189">
        <v>72.56</v>
      </c>
      <c r="H11" s="189">
        <v>22.45</v>
      </c>
      <c r="I11" s="189">
        <v>5.43</v>
      </c>
      <c r="J11" s="189">
        <v>0.15</v>
      </c>
      <c r="K11" s="189">
        <v>198.35</v>
      </c>
      <c r="L11" s="189">
        <v>33.28</v>
      </c>
      <c r="M11" s="189">
        <v>40.409999999999997</v>
      </c>
      <c r="N11" s="189">
        <v>0</v>
      </c>
      <c r="O11" s="189">
        <v>0</v>
      </c>
      <c r="P11" s="189">
        <v>0.57999999999999996</v>
      </c>
      <c r="Q11" s="189">
        <v>4.99</v>
      </c>
    </row>
    <row r="12" spans="1:21" customFormat="1">
      <c r="A12" s="6" t="s">
        <v>1968</v>
      </c>
      <c r="B12" s="189">
        <v>10.44</v>
      </c>
      <c r="C12" s="189">
        <v>40.590000000000003</v>
      </c>
      <c r="D12" s="189">
        <v>28.53</v>
      </c>
      <c r="E12" s="189">
        <v>12.1</v>
      </c>
      <c r="F12" s="189">
        <v>13.08</v>
      </c>
      <c r="G12" s="189">
        <v>71.84</v>
      </c>
      <c r="H12" s="189">
        <v>22.37</v>
      </c>
      <c r="I12" s="189">
        <v>5.15</v>
      </c>
      <c r="J12" s="189">
        <v>0.22</v>
      </c>
      <c r="K12" s="189">
        <v>234.51</v>
      </c>
      <c r="L12" s="189">
        <v>32.950000000000003</v>
      </c>
      <c r="M12" s="189">
        <v>41.11</v>
      </c>
      <c r="N12" s="189">
        <v>0</v>
      </c>
      <c r="O12" s="189">
        <v>0</v>
      </c>
      <c r="P12" s="189">
        <v>0.65</v>
      </c>
      <c r="Q12" s="189">
        <v>5.04</v>
      </c>
    </row>
    <row r="13" spans="1:21" customFormat="1">
      <c r="A13" s="6" t="s">
        <v>1969</v>
      </c>
      <c r="B13" s="189">
        <v>9.1999999999999993</v>
      </c>
      <c r="C13" s="189">
        <v>35.49</v>
      </c>
      <c r="D13" s="189">
        <v>24.87</v>
      </c>
      <c r="E13" s="189">
        <v>11.28</v>
      </c>
      <c r="F13" s="189">
        <v>15.82</v>
      </c>
      <c r="G13" s="189">
        <v>71.84</v>
      </c>
      <c r="H13" s="189">
        <v>22.37</v>
      </c>
      <c r="I13" s="189">
        <v>5.8</v>
      </c>
      <c r="J13" s="189">
        <v>0.2</v>
      </c>
      <c r="K13" s="189">
        <v>236.77</v>
      </c>
      <c r="L13" s="189">
        <v>32.79</v>
      </c>
      <c r="M13" s="189">
        <v>41.32</v>
      </c>
      <c r="N13" s="189">
        <v>0</v>
      </c>
      <c r="O13" s="189">
        <v>0</v>
      </c>
      <c r="P13" s="189">
        <v>0.61</v>
      </c>
      <c r="Q13" s="189">
        <v>5.04</v>
      </c>
    </row>
    <row r="14" spans="1:21" customFormat="1">
      <c r="A14" s="6" t="s">
        <v>1970</v>
      </c>
      <c r="B14" s="189">
        <v>10.32</v>
      </c>
      <c r="C14" s="189">
        <v>38.58</v>
      </c>
      <c r="D14" s="189">
        <v>27.39</v>
      </c>
      <c r="E14" s="189">
        <v>9.57</v>
      </c>
      <c r="F14" s="189">
        <v>13.74</v>
      </c>
      <c r="G14" s="189">
        <v>71.84</v>
      </c>
      <c r="H14" s="189">
        <v>22.37</v>
      </c>
      <c r="I14" s="189">
        <v>6.23</v>
      </c>
      <c r="J14" s="189">
        <v>0.36</v>
      </c>
      <c r="K14" s="189">
        <v>258.88</v>
      </c>
      <c r="L14" s="189">
        <v>32.78</v>
      </c>
      <c r="M14" s="189">
        <v>40.44</v>
      </c>
      <c r="N14" s="189">
        <v>0</v>
      </c>
      <c r="O14" s="189">
        <v>0</v>
      </c>
      <c r="P14" s="189">
        <v>0.57999999999999996</v>
      </c>
      <c r="Q14" s="189">
        <v>4.99</v>
      </c>
    </row>
    <row r="15" spans="1:21" customFormat="1">
      <c r="A15" s="6" t="s">
        <v>1971</v>
      </c>
      <c r="B15" s="189">
        <v>10.050000000000001</v>
      </c>
      <c r="C15" s="189">
        <v>37.770000000000003</v>
      </c>
      <c r="D15" s="189">
        <v>26.75</v>
      </c>
      <c r="E15" s="189">
        <v>10.59</v>
      </c>
      <c r="F15" s="189">
        <v>17.670000000000002</v>
      </c>
      <c r="G15" s="189">
        <v>73.36</v>
      </c>
      <c r="H15" s="189">
        <v>21.95</v>
      </c>
      <c r="I15" s="189">
        <v>5.66</v>
      </c>
      <c r="J15" s="189">
        <v>0.28000000000000003</v>
      </c>
      <c r="K15" s="189">
        <v>243.61</v>
      </c>
      <c r="L15" s="189">
        <v>32.979999999999997</v>
      </c>
      <c r="M15" s="189">
        <v>39.47</v>
      </c>
      <c r="N15" s="189">
        <v>0</v>
      </c>
      <c r="O15" s="189">
        <v>0</v>
      </c>
      <c r="P15" s="189">
        <v>0.56999999999999995</v>
      </c>
      <c r="Q15" s="189">
        <v>5.05</v>
      </c>
    </row>
    <row r="16" spans="1:21" customFormat="1">
      <c r="A16" s="6" t="s">
        <v>1972</v>
      </c>
      <c r="B16" s="189">
        <v>9.1999999999999993</v>
      </c>
      <c r="C16" s="189">
        <v>33.29</v>
      </c>
      <c r="D16" s="189">
        <v>23.73</v>
      </c>
      <c r="E16" s="189">
        <v>11.05</v>
      </c>
      <c r="F16" s="189">
        <v>18</v>
      </c>
      <c r="G16" s="189">
        <v>74.25</v>
      </c>
      <c r="H16" s="189">
        <v>21.87</v>
      </c>
      <c r="I16" s="189">
        <v>5.33</v>
      </c>
      <c r="J16" s="189">
        <v>0.22</v>
      </c>
      <c r="K16" s="189">
        <v>186.78</v>
      </c>
      <c r="L16" s="189">
        <v>32.72</v>
      </c>
      <c r="M16" s="189">
        <v>40.86</v>
      </c>
      <c r="N16" s="189">
        <v>0</v>
      </c>
      <c r="O16" s="189">
        <v>0</v>
      </c>
      <c r="P16" s="189">
        <v>0.64</v>
      </c>
      <c r="Q16" s="189">
        <v>5.01</v>
      </c>
    </row>
    <row r="17" spans="1:17" customFormat="1">
      <c r="A17" s="6" t="s">
        <v>1973</v>
      </c>
      <c r="B17" s="189">
        <v>10.83</v>
      </c>
      <c r="C17" s="189">
        <v>38.619999999999997</v>
      </c>
      <c r="D17" s="189">
        <v>27.82</v>
      </c>
      <c r="E17" s="189">
        <v>9.1999999999999993</v>
      </c>
      <c r="F17" s="189">
        <v>13.78</v>
      </c>
      <c r="G17" s="189">
        <v>74.25</v>
      </c>
      <c r="H17" s="189">
        <v>21.87</v>
      </c>
      <c r="I17" s="189">
        <v>5.43</v>
      </c>
      <c r="J17" s="189">
        <v>0.18</v>
      </c>
      <c r="K17" s="189">
        <v>201.83</v>
      </c>
      <c r="L17" s="189">
        <v>32.33</v>
      </c>
      <c r="M17" s="189">
        <v>42.33</v>
      </c>
      <c r="N17" s="189">
        <v>0</v>
      </c>
      <c r="O17" s="189">
        <v>0</v>
      </c>
      <c r="P17" s="189">
        <v>0.69</v>
      </c>
      <c r="Q17" s="189">
        <v>4.96</v>
      </c>
    </row>
    <row r="18" spans="1:17" customFormat="1">
      <c r="A18" s="6" t="s">
        <v>1974</v>
      </c>
      <c r="B18" s="189">
        <v>9.9499999999999993</v>
      </c>
      <c r="C18" s="189">
        <v>36.86</v>
      </c>
      <c r="D18" s="189">
        <v>26.19</v>
      </c>
      <c r="E18" s="189">
        <v>13.07</v>
      </c>
      <c r="F18" s="189">
        <v>14.12</v>
      </c>
      <c r="G18" s="189">
        <v>74.25</v>
      </c>
      <c r="H18" s="189">
        <v>21.87</v>
      </c>
      <c r="I18" s="189">
        <v>5.68</v>
      </c>
      <c r="J18" s="189">
        <v>0.34</v>
      </c>
      <c r="K18" s="189">
        <v>234.94</v>
      </c>
      <c r="L18" s="189">
        <v>32.28</v>
      </c>
      <c r="M18" s="189">
        <v>41.71</v>
      </c>
      <c r="N18" s="189">
        <v>0</v>
      </c>
      <c r="O18" s="189">
        <v>0</v>
      </c>
      <c r="P18" s="189">
        <v>0.79</v>
      </c>
      <c r="Q18" s="189">
        <v>5.0199999999999996</v>
      </c>
    </row>
    <row r="19" spans="1:17" customFormat="1">
      <c r="A19" s="6" t="s">
        <v>1975</v>
      </c>
      <c r="B19" s="189">
        <v>11.14</v>
      </c>
      <c r="C19" s="189">
        <v>40.479999999999997</v>
      </c>
      <c r="D19" s="189">
        <v>29.04</v>
      </c>
      <c r="E19" s="189">
        <v>14.1</v>
      </c>
      <c r="F19" s="189">
        <v>11.84</v>
      </c>
      <c r="G19" s="189">
        <v>74.739999999999995</v>
      </c>
      <c r="H19" s="189">
        <v>21.93</v>
      </c>
      <c r="I19" s="189">
        <v>6.18</v>
      </c>
      <c r="J19" s="189">
        <v>0.59</v>
      </c>
      <c r="K19" s="189">
        <v>250.98</v>
      </c>
      <c r="L19" s="189">
        <v>32.83</v>
      </c>
      <c r="M19" s="189">
        <v>39.29</v>
      </c>
      <c r="N19" s="189">
        <v>0</v>
      </c>
      <c r="O19" s="189">
        <v>0</v>
      </c>
      <c r="P19" s="189">
        <v>0.74</v>
      </c>
      <c r="Q19" s="189">
        <v>4.9800000000000004</v>
      </c>
    </row>
    <row r="20" spans="1:17" customFormat="1">
      <c r="A20" s="6" t="s">
        <v>1976</v>
      </c>
      <c r="B20" s="189">
        <v>11.03</v>
      </c>
      <c r="C20" s="189">
        <v>39.64</v>
      </c>
      <c r="D20" s="189">
        <v>28.51</v>
      </c>
      <c r="E20" s="189">
        <v>14.51</v>
      </c>
      <c r="F20" s="189">
        <v>13</v>
      </c>
      <c r="G20" s="189">
        <v>75.03</v>
      </c>
      <c r="H20" s="189">
        <v>21.94</v>
      </c>
      <c r="I20" s="189">
        <v>7.32</v>
      </c>
      <c r="J20" s="189">
        <v>0.52</v>
      </c>
      <c r="K20" s="189">
        <v>253.56</v>
      </c>
      <c r="L20" s="189">
        <v>32.880000000000003</v>
      </c>
      <c r="M20" s="189">
        <v>39.049999999999997</v>
      </c>
      <c r="N20" s="189">
        <v>0</v>
      </c>
      <c r="O20" s="189">
        <v>0</v>
      </c>
      <c r="P20" s="189">
        <v>0.7</v>
      </c>
      <c r="Q20" s="189">
        <v>5.04</v>
      </c>
    </row>
    <row r="21" spans="1:17" customFormat="1">
      <c r="A21" s="6" t="s">
        <v>1977</v>
      </c>
      <c r="B21" s="189">
        <v>12.05</v>
      </c>
      <c r="C21" s="189">
        <v>42</v>
      </c>
      <c r="D21" s="189">
        <v>30.56</v>
      </c>
      <c r="E21" s="189">
        <v>12.34</v>
      </c>
      <c r="F21" s="189">
        <v>10.72</v>
      </c>
      <c r="G21" s="189">
        <v>75.03</v>
      </c>
      <c r="H21" s="189">
        <v>21.94</v>
      </c>
      <c r="I21" s="189">
        <v>7.76</v>
      </c>
      <c r="J21" s="189">
        <v>0.64</v>
      </c>
      <c r="K21" s="189">
        <v>260.52999999999997</v>
      </c>
      <c r="L21" s="189">
        <v>33.049999999999997</v>
      </c>
      <c r="M21" s="189">
        <v>37.83</v>
      </c>
      <c r="N21" s="189">
        <v>0</v>
      </c>
      <c r="O21" s="189">
        <v>0</v>
      </c>
      <c r="P21" s="189">
        <v>0.67</v>
      </c>
      <c r="Q21" s="189">
        <v>5.0199999999999996</v>
      </c>
    </row>
    <row r="22" spans="1:17" customFormat="1">
      <c r="A22" s="6" t="s">
        <v>1978</v>
      </c>
      <c r="B22" s="189">
        <v>11.34</v>
      </c>
      <c r="C22" s="189">
        <v>39.049999999999997</v>
      </c>
      <c r="D22" s="189">
        <v>28.45</v>
      </c>
      <c r="E22" s="189">
        <v>16.05</v>
      </c>
      <c r="F22" s="189">
        <v>12.56</v>
      </c>
      <c r="G22" s="189">
        <v>75.03</v>
      </c>
      <c r="H22" s="189">
        <v>21.94</v>
      </c>
      <c r="I22" s="189">
        <v>6.97</v>
      </c>
      <c r="J22" s="189">
        <v>0.48</v>
      </c>
      <c r="K22" s="189">
        <v>262.07</v>
      </c>
      <c r="L22" s="189">
        <v>32.96</v>
      </c>
      <c r="M22" s="189">
        <v>38.200000000000003</v>
      </c>
      <c r="N22" s="189">
        <v>0</v>
      </c>
      <c r="O22" s="189">
        <v>0</v>
      </c>
      <c r="P22" s="189">
        <v>0.64</v>
      </c>
      <c r="Q22" s="189">
        <v>5.03</v>
      </c>
    </row>
    <row r="23" spans="1:17" customFormat="1">
      <c r="A23" s="6" t="s">
        <v>1979</v>
      </c>
      <c r="B23" s="189">
        <v>10.86</v>
      </c>
      <c r="C23" s="189">
        <v>38.78</v>
      </c>
      <c r="D23" s="189">
        <v>27.92</v>
      </c>
      <c r="E23" s="189">
        <v>19.100000000000001</v>
      </c>
      <c r="F23" s="189">
        <v>11.33</v>
      </c>
      <c r="G23" s="189">
        <v>73.17</v>
      </c>
      <c r="H23" s="189">
        <v>22.17</v>
      </c>
      <c r="I23" s="189">
        <v>6.53</v>
      </c>
      <c r="J23" s="189">
        <v>0.53</v>
      </c>
      <c r="K23" s="189">
        <v>255.82</v>
      </c>
      <c r="L23" s="189">
        <v>32.9</v>
      </c>
      <c r="M23" s="189">
        <v>38.1</v>
      </c>
      <c r="N23" s="189">
        <v>0</v>
      </c>
      <c r="O23" s="189">
        <v>0</v>
      </c>
      <c r="P23" s="189">
        <v>0.62</v>
      </c>
      <c r="Q23" s="189">
        <v>4.99</v>
      </c>
    </row>
    <row r="24" spans="1:17" customFormat="1">
      <c r="A24" s="6" t="s">
        <v>1980</v>
      </c>
      <c r="B24" s="189">
        <v>10.87</v>
      </c>
      <c r="C24" s="189">
        <v>41.1</v>
      </c>
      <c r="D24" s="189">
        <v>29.15</v>
      </c>
      <c r="E24" s="189">
        <v>19.190000000000001</v>
      </c>
      <c r="F24" s="189">
        <v>9.98</v>
      </c>
      <c r="G24" s="189">
        <v>72.03</v>
      </c>
      <c r="H24" s="189">
        <v>22.22</v>
      </c>
      <c r="I24" s="189">
        <v>6.22</v>
      </c>
      <c r="J24" s="189">
        <v>0.27</v>
      </c>
      <c r="K24" s="189">
        <v>228.32</v>
      </c>
      <c r="L24" s="189">
        <v>32.64</v>
      </c>
      <c r="M24" s="189">
        <v>39.43</v>
      </c>
      <c r="N24" s="189">
        <v>0</v>
      </c>
      <c r="O24" s="189">
        <v>0</v>
      </c>
      <c r="P24" s="189">
        <v>0.6</v>
      </c>
      <c r="Q24" s="189">
        <v>5.04</v>
      </c>
    </row>
    <row r="25" spans="1:17" customFormat="1">
      <c r="A25" s="6" t="s">
        <v>1981</v>
      </c>
      <c r="B25" s="189">
        <v>9.9700000000000006</v>
      </c>
      <c r="C25" s="189">
        <v>36.57</v>
      </c>
      <c r="D25" s="189">
        <v>26.06</v>
      </c>
      <c r="E25" s="189">
        <v>21.92</v>
      </c>
      <c r="F25" s="189">
        <v>12.1</v>
      </c>
      <c r="G25" s="189">
        <v>72.03</v>
      </c>
      <c r="H25" s="189">
        <v>22.22</v>
      </c>
      <c r="I25" s="189">
        <v>6.1</v>
      </c>
      <c r="J25" s="189">
        <v>0.25</v>
      </c>
      <c r="K25" s="189">
        <v>235.56</v>
      </c>
      <c r="L25" s="189">
        <v>32.25</v>
      </c>
      <c r="M25" s="189">
        <v>40.81</v>
      </c>
      <c r="N25" s="189">
        <v>0</v>
      </c>
      <c r="O25" s="189">
        <v>0</v>
      </c>
      <c r="P25" s="189">
        <v>0.57999999999999996</v>
      </c>
      <c r="Q25" s="189">
        <v>5.03</v>
      </c>
    </row>
    <row r="26" spans="1:17" customFormat="1">
      <c r="A26" s="6" t="s">
        <v>1982</v>
      </c>
      <c r="B26" s="189">
        <v>11.34</v>
      </c>
      <c r="C26" s="189">
        <v>38.61</v>
      </c>
      <c r="D26" s="189">
        <v>28.22</v>
      </c>
      <c r="E26" s="189">
        <v>20.58</v>
      </c>
      <c r="F26" s="189">
        <v>9.4700000000000006</v>
      </c>
      <c r="G26" s="189">
        <v>72.03</v>
      </c>
      <c r="H26" s="189">
        <v>22.22</v>
      </c>
      <c r="I26" s="189">
        <v>6.04</v>
      </c>
      <c r="J26" s="189">
        <v>0.38</v>
      </c>
      <c r="K26" s="189">
        <v>249.14</v>
      </c>
      <c r="L26" s="189">
        <v>32.11</v>
      </c>
      <c r="M26" s="189">
        <v>41</v>
      </c>
      <c r="N26" s="189">
        <v>0</v>
      </c>
      <c r="O26" s="189">
        <v>0</v>
      </c>
      <c r="P26" s="189">
        <v>0.57999999999999996</v>
      </c>
      <c r="Q26" s="189">
        <v>5</v>
      </c>
    </row>
    <row r="27" spans="1:17" customFormat="1">
      <c r="A27" s="6" t="s">
        <v>1983</v>
      </c>
      <c r="B27" s="189">
        <v>12.93</v>
      </c>
      <c r="C27" s="189">
        <v>43.31</v>
      </c>
      <c r="D27" s="189">
        <v>31.95</v>
      </c>
      <c r="E27" s="189">
        <v>16.75</v>
      </c>
      <c r="F27" s="189">
        <v>7.68</v>
      </c>
      <c r="G27" s="189">
        <v>73.73</v>
      </c>
      <c r="H27" s="189">
        <v>21.57</v>
      </c>
      <c r="I27" s="189">
        <v>5.85</v>
      </c>
      <c r="J27" s="189">
        <v>0.27</v>
      </c>
      <c r="K27" s="189">
        <v>275.39999999999998</v>
      </c>
      <c r="L27" s="189">
        <v>32.25</v>
      </c>
      <c r="M27" s="189">
        <v>40.01</v>
      </c>
      <c r="N27" s="189">
        <v>0</v>
      </c>
      <c r="O27" s="189">
        <v>0</v>
      </c>
      <c r="P27" s="189">
        <v>0.56999999999999995</v>
      </c>
      <c r="Q27" s="189">
        <v>5.09</v>
      </c>
    </row>
    <row r="28" spans="1:17" customFormat="1">
      <c r="A28" s="6" t="s">
        <v>1984</v>
      </c>
      <c r="B28" s="189">
        <v>12.72</v>
      </c>
      <c r="C28" s="189">
        <v>40.79</v>
      </c>
      <c r="D28" s="189">
        <v>30.47</v>
      </c>
      <c r="E28" s="189">
        <v>15.43</v>
      </c>
      <c r="F28" s="189">
        <v>9.25</v>
      </c>
      <c r="G28" s="189">
        <v>74.72</v>
      </c>
      <c r="H28" s="189">
        <v>21.45</v>
      </c>
      <c r="I28" s="189">
        <v>5.92</v>
      </c>
      <c r="J28" s="189">
        <v>0.28000000000000003</v>
      </c>
      <c r="K28" s="189">
        <v>193.5</v>
      </c>
      <c r="L28" s="189">
        <v>31.82</v>
      </c>
      <c r="M28" s="189">
        <v>43.15</v>
      </c>
      <c r="N28" s="189">
        <v>0</v>
      </c>
      <c r="O28" s="189">
        <v>0</v>
      </c>
      <c r="P28" s="189">
        <v>0.56000000000000005</v>
      </c>
      <c r="Q28" s="189">
        <v>5.09</v>
      </c>
    </row>
    <row r="29" spans="1:17" customFormat="1">
      <c r="A29" s="6" t="s">
        <v>1985</v>
      </c>
      <c r="B29" s="189">
        <v>13.81</v>
      </c>
      <c r="C29" s="189">
        <v>44.63</v>
      </c>
      <c r="D29" s="189">
        <v>33.35</v>
      </c>
      <c r="E29" s="189">
        <v>11.36</v>
      </c>
      <c r="F29" s="189">
        <v>7.08</v>
      </c>
      <c r="G29" s="189">
        <v>74.72</v>
      </c>
      <c r="H29" s="189">
        <v>21.45</v>
      </c>
      <c r="I29" s="189">
        <v>5.77</v>
      </c>
      <c r="J29" s="189">
        <v>0.23</v>
      </c>
      <c r="K29" s="189">
        <v>177.05</v>
      </c>
      <c r="L29" s="189">
        <v>30.81</v>
      </c>
      <c r="M29" s="189">
        <v>49.4</v>
      </c>
      <c r="N29" s="189">
        <v>0</v>
      </c>
      <c r="O29" s="189">
        <v>0</v>
      </c>
      <c r="P29" s="189">
        <v>0.6</v>
      </c>
      <c r="Q29" s="189">
        <v>5.16</v>
      </c>
    </row>
    <row r="30" spans="1:17" customFormat="1">
      <c r="A30" s="6" t="s">
        <v>1986</v>
      </c>
      <c r="B30" s="189">
        <v>13.64</v>
      </c>
      <c r="C30" s="189">
        <v>40.94</v>
      </c>
      <c r="D30" s="189">
        <v>31.28</v>
      </c>
      <c r="E30" s="189">
        <v>11.42</v>
      </c>
      <c r="F30" s="189">
        <v>7.87</v>
      </c>
      <c r="G30" s="189">
        <v>74.72</v>
      </c>
      <c r="H30" s="189">
        <v>21.45</v>
      </c>
      <c r="I30" s="189">
        <v>5.8</v>
      </c>
      <c r="J30" s="189">
        <v>0.34</v>
      </c>
      <c r="K30" s="189">
        <v>183.96</v>
      </c>
      <c r="L30" s="189">
        <v>30.18</v>
      </c>
      <c r="M30" s="189">
        <v>50.88</v>
      </c>
      <c r="N30" s="189">
        <v>0.8</v>
      </c>
      <c r="O30" s="189">
        <v>0</v>
      </c>
      <c r="P30" s="189">
        <v>0.61</v>
      </c>
      <c r="Q30" s="189">
        <v>5.1100000000000003</v>
      </c>
    </row>
    <row r="31" spans="1:17" customFormat="1">
      <c r="A31" s="6" t="s">
        <v>1987</v>
      </c>
      <c r="B31" s="189">
        <v>15.25</v>
      </c>
      <c r="C31" s="189">
        <v>45.46</v>
      </c>
      <c r="D31" s="189">
        <v>34.94</v>
      </c>
      <c r="E31" s="189">
        <v>8.5399999999999991</v>
      </c>
      <c r="F31" s="189">
        <v>5.94</v>
      </c>
      <c r="G31" s="189">
        <v>70.650000000000006</v>
      </c>
      <c r="H31" s="189">
        <v>19.21</v>
      </c>
      <c r="I31" s="189">
        <v>6.24</v>
      </c>
      <c r="J31" s="189">
        <v>0.26</v>
      </c>
      <c r="K31" s="189">
        <v>182.9</v>
      </c>
      <c r="L31" s="189">
        <v>29.92</v>
      </c>
      <c r="M31" s="189">
        <v>52.95</v>
      </c>
      <c r="N31" s="189">
        <v>13.3</v>
      </c>
      <c r="O31" s="189">
        <v>0</v>
      </c>
      <c r="P31" s="189">
        <v>0.65</v>
      </c>
      <c r="Q31" s="189">
        <v>5.15</v>
      </c>
    </row>
    <row r="32" spans="1:17" customFormat="1">
      <c r="A32" s="6" t="s">
        <v>1988</v>
      </c>
      <c r="B32" s="189">
        <v>14.47</v>
      </c>
      <c r="C32" s="189">
        <v>41.16</v>
      </c>
      <c r="D32" s="189">
        <v>32.06</v>
      </c>
      <c r="E32" s="189">
        <v>9.68</v>
      </c>
      <c r="F32" s="189">
        <v>6.69</v>
      </c>
      <c r="G32" s="189">
        <v>68.290000000000006</v>
      </c>
      <c r="H32" s="189">
        <v>18.77</v>
      </c>
      <c r="I32" s="189">
        <v>6.38</v>
      </c>
      <c r="J32" s="189">
        <v>0.17</v>
      </c>
      <c r="K32" s="189">
        <v>173.67</v>
      </c>
      <c r="L32" s="189">
        <v>29.94</v>
      </c>
      <c r="M32" s="189">
        <v>54.42</v>
      </c>
      <c r="N32" s="189">
        <v>30.5</v>
      </c>
      <c r="O32" s="189">
        <v>0</v>
      </c>
      <c r="P32" s="189">
        <v>0.65</v>
      </c>
      <c r="Q32" s="189">
        <v>5.18</v>
      </c>
    </row>
    <row r="33" spans="1:17" customFormat="1">
      <c r="A33" s="6" t="s">
        <v>1989</v>
      </c>
      <c r="B33" s="189">
        <v>15.9</v>
      </c>
      <c r="C33" s="189">
        <v>44.68</v>
      </c>
      <c r="D33" s="189">
        <v>35.049999999999997</v>
      </c>
      <c r="E33" s="189">
        <v>8.0500000000000007</v>
      </c>
      <c r="F33" s="189">
        <v>5.92</v>
      </c>
      <c r="G33" s="189">
        <v>68.290000000000006</v>
      </c>
      <c r="H33" s="189">
        <v>18.77</v>
      </c>
      <c r="I33" s="189">
        <v>6.5</v>
      </c>
      <c r="J33" s="189">
        <v>0.17</v>
      </c>
      <c r="K33" s="189">
        <v>186.42</v>
      </c>
      <c r="L33" s="189">
        <v>30.35</v>
      </c>
      <c r="M33" s="189">
        <v>52.96</v>
      </c>
      <c r="N33" s="189">
        <v>47</v>
      </c>
      <c r="O33" s="189">
        <v>0</v>
      </c>
      <c r="P33" s="189">
        <v>0.64</v>
      </c>
      <c r="Q33" s="189">
        <v>5.2</v>
      </c>
    </row>
    <row r="34" spans="1:17" customFormat="1">
      <c r="A34" s="6" t="s">
        <v>1990</v>
      </c>
      <c r="B34" s="189">
        <v>14.61</v>
      </c>
      <c r="C34" s="189">
        <v>39.96</v>
      </c>
      <c r="D34" s="189">
        <v>31.55</v>
      </c>
      <c r="E34" s="189">
        <v>9.09</v>
      </c>
      <c r="F34" s="189">
        <v>7.88</v>
      </c>
      <c r="G34" s="189">
        <v>68.290000000000006</v>
      </c>
      <c r="H34" s="189">
        <v>18.77</v>
      </c>
      <c r="I34" s="189">
        <v>6.43</v>
      </c>
      <c r="J34" s="189">
        <v>0.15</v>
      </c>
      <c r="K34" s="189">
        <v>142.63</v>
      </c>
      <c r="L34" s="189">
        <v>30.9</v>
      </c>
      <c r="M34" s="189">
        <v>52.24</v>
      </c>
      <c r="N34" s="189">
        <v>67.900000000000006</v>
      </c>
      <c r="O34" s="189">
        <v>0</v>
      </c>
      <c r="P34" s="189">
        <v>0.64</v>
      </c>
      <c r="Q34" s="189">
        <v>5.2</v>
      </c>
    </row>
    <row r="35" spans="1:17" customFormat="1">
      <c r="A35" s="6" t="s">
        <v>1991</v>
      </c>
      <c r="B35" s="189">
        <v>16.07</v>
      </c>
      <c r="C35" s="189">
        <v>42.59</v>
      </c>
      <c r="D35" s="189">
        <v>34.090000000000003</v>
      </c>
      <c r="E35" s="189">
        <v>8.49</v>
      </c>
      <c r="F35" s="189">
        <v>8.1999999999999993</v>
      </c>
      <c r="G35" s="189">
        <v>68.8</v>
      </c>
      <c r="H35" s="189">
        <v>19.309999999999999</v>
      </c>
      <c r="I35" s="189">
        <v>6.37</v>
      </c>
      <c r="J35" s="189">
        <v>0.24</v>
      </c>
      <c r="K35" s="189">
        <v>164.39</v>
      </c>
      <c r="L35" s="189">
        <v>31.77</v>
      </c>
      <c r="M35" s="189">
        <v>48.87</v>
      </c>
      <c r="N35" s="189">
        <v>92.7</v>
      </c>
      <c r="O35" s="189">
        <v>0</v>
      </c>
      <c r="P35" s="189">
        <v>0.64</v>
      </c>
      <c r="Q35" s="189">
        <v>5.22</v>
      </c>
    </row>
    <row r="36" spans="1:17" customFormat="1">
      <c r="A36" s="6" t="s">
        <v>1992</v>
      </c>
      <c r="B36" s="189">
        <v>15.17</v>
      </c>
      <c r="C36" s="189">
        <v>40.28</v>
      </c>
      <c r="D36" s="189">
        <v>32.17</v>
      </c>
      <c r="E36" s="189">
        <v>9.3699999999999992</v>
      </c>
      <c r="F36" s="189">
        <v>10.41</v>
      </c>
      <c r="G36" s="189">
        <v>69.099999999999994</v>
      </c>
      <c r="H36" s="189">
        <v>19.47</v>
      </c>
      <c r="I36" s="189">
        <v>6.32</v>
      </c>
      <c r="J36" s="189">
        <v>0.09</v>
      </c>
      <c r="K36" s="189">
        <v>218.62</v>
      </c>
      <c r="L36" s="189">
        <v>32.6</v>
      </c>
      <c r="M36" s="189">
        <v>45.27</v>
      </c>
      <c r="N36" s="189">
        <v>110</v>
      </c>
      <c r="O36" s="189">
        <v>0</v>
      </c>
      <c r="P36" s="189">
        <v>0.63</v>
      </c>
      <c r="Q36" s="189">
        <v>5.28</v>
      </c>
    </row>
    <row r="37" spans="1:17" customFormat="1">
      <c r="A37" s="6" t="s">
        <v>1993</v>
      </c>
      <c r="B37" s="189">
        <v>14.87</v>
      </c>
      <c r="C37" s="189">
        <v>38.31</v>
      </c>
      <c r="D37" s="189">
        <v>30.89</v>
      </c>
      <c r="E37" s="189">
        <v>9.64</v>
      </c>
      <c r="F37" s="189">
        <v>12.14</v>
      </c>
      <c r="G37" s="189">
        <v>69.099999999999994</v>
      </c>
      <c r="H37" s="189">
        <v>19.47</v>
      </c>
      <c r="I37" s="189">
        <v>6.4</v>
      </c>
      <c r="J37" s="189">
        <v>0.19</v>
      </c>
      <c r="K37" s="189">
        <v>225.48</v>
      </c>
      <c r="L37" s="189">
        <v>33.18</v>
      </c>
      <c r="M37" s="189">
        <v>44.97</v>
      </c>
      <c r="N37" s="189">
        <v>122.1</v>
      </c>
      <c r="O37" s="189">
        <v>0</v>
      </c>
      <c r="P37" s="189">
        <v>0.63</v>
      </c>
      <c r="Q37" s="189">
        <v>5.2</v>
      </c>
    </row>
    <row r="38" spans="1:17" customFormat="1">
      <c r="A38" s="6" t="s">
        <v>1994</v>
      </c>
      <c r="B38" s="189">
        <v>16.48</v>
      </c>
      <c r="C38" s="189">
        <v>44.26</v>
      </c>
      <c r="D38" s="189">
        <v>35.29</v>
      </c>
      <c r="E38" s="189">
        <v>14.46</v>
      </c>
      <c r="F38" s="189">
        <v>9.16</v>
      </c>
      <c r="G38" s="189">
        <v>69.099999999999994</v>
      </c>
      <c r="H38" s="189">
        <v>19.47</v>
      </c>
      <c r="I38" s="189">
        <v>6.38</v>
      </c>
      <c r="J38" s="189">
        <v>0.08</v>
      </c>
      <c r="K38" s="189">
        <v>261.22000000000003</v>
      </c>
      <c r="L38" s="189">
        <v>33.85</v>
      </c>
      <c r="M38" s="189">
        <v>41.83</v>
      </c>
      <c r="N38" s="189">
        <v>118.7</v>
      </c>
      <c r="O38" s="189">
        <v>0</v>
      </c>
      <c r="P38" s="189">
        <v>0.65</v>
      </c>
      <c r="Q38" s="189">
        <v>5.23</v>
      </c>
    </row>
    <row r="39" spans="1:17" customFormat="1">
      <c r="A39" s="6" t="s">
        <v>1995</v>
      </c>
      <c r="B39" s="189">
        <v>18.5</v>
      </c>
      <c r="C39" s="189">
        <v>42.37</v>
      </c>
      <c r="D39" s="189">
        <v>35.92</v>
      </c>
      <c r="E39" s="189">
        <v>31.71</v>
      </c>
      <c r="F39" s="189">
        <v>11.32</v>
      </c>
      <c r="G39" s="189">
        <v>70.290000000000006</v>
      </c>
      <c r="H39" s="189">
        <v>21.89</v>
      </c>
      <c r="I39" s="189">
        <v>6.48</v>
      </c>
      <c r="J39" s="189">
        <v>0.19</v>
      </c>
      <c r="K39" s="189">
        <v>312.83999999999997</v>
      </c>
      <c r="L39" s="189">
        <v>34.1</v>
      </c>
      <c r="M39" s="189">
        <v>38.6</v>
      </c>
      <c r="N39" s="189">
        <v>126.6</v>
      </c>
      <c r="O39" s="189">
        <v>0</v>
      </c>
      <c r="P39" s="189">
        <v>0.67</v>
      </c>
      <c r="Q39" s="189">
        <v>5.27</v>
      </c>
    </row>
    <row r="40" spans="1:17" customFormat="1">
      <c r="A40" s="6" t="s">
        <v>1996</v>
      </c>
      <c r="B40" s="189">
        <v>17.7</v>
      </c>
      <c r="C40" s="189">
        <v>44.12</v>
      </c>
      <c r="D40" s="189">
        <v>36.200000000000003</v>
      </c>
      <c r="E40" s="189">
        <v>28.21</v>
      </c>
      <c r="F40" s="189">
        <v>9.6199999999999992</v>
      </c>
      <c r="G40" s="189">
        <v>70.98</v>
      </c>
      <c r="H40" s="189">
        <v>22.32</v>
      </c>
      <c r="I40" s="189">
        <v>6.38</v>
      </c>
      <c r="J40" s="189">
        <v>0.22</v>
      </c>
      <c r="K40" s="189">
        <v>275.20999999999998</v>
      </c>
      <c r="L40" s="189">
        <v>34.380000000000003</v>
      </c>
      <c r="M40" s="189">
        <v>38.17</v>
      </c>
      <c r="N40" s="189">
        <v>147.69999999999999</v>
      </c>
      <c r="O40" s="189">
        <v>0</v>
      </c>
      <c r="P40" s="189">
        <v>0.66</v>
      </c>
      <c r="Q40" s="189">
        <v>5.25</v>
      </c>
    </row>
    <row r="41" spans="1:17" customFormat="1">
      <c r="A41" s="6" t="s">
        <v>1997</v>
      </c>
      <c r="B41" s="189">
        <v>17.8</v>
      </c>
      <c r="C41" s="189">
        <v>45.42</v>
      </c>
      <c r="D41" s="189">
        <v>36.96</v>
      </c>
      <c r="E41" s="189">
        <v>40.74</v>
      </c>
      <c r="F41" s="189">
        <v>12.43</v>
      </c>
      <c r="G41" s="189">
        <v>70.98</v>
      </c>
      <c r="H41" s="189">
        <v>22.32</v>
      </c>
      <c r="I41" s="189">
        <v>6.24</v>
      </c>
      <c r="J41" s="189">
        <v>0.18</v>
      </c>
      <c r="K41" s="189">
        <v>52.88</v>
      </c>
      <c r="L41" s="189">
        <v>35.33</v>
      </c>
      <c r="M41" s="189">
        <v>37.24</v>
      </c>
      <c r="N41" s="189">
        <v>173.1</v>
      </c>
      <c r="O41" s="189">
        <v>0</v>
      </c>
      <c r="P41" s="189">
        <v>0.69</v>
      </c>
      <c r="Q41" s="189">
        <v>5.32</v>
      </c>
    </row>
    <row r="42" spans="1:17" customFormat="1">
      <c r="A42" s="6" t="s">
        <v>1998</v>
      </c>
      <c r="B42" s="189">
        <v>19.399999999999999</v>
      </c>
      <c r="C42" s="189">
        <v>46.37</v>
      </c>
      <c r="D42" s="189">
        <v>38.74</v>
      </c>
      <c r="E42" s="189">
        <v>49.51</v>
      </c>
      <c r="F42" s="189">
        <v>14.04</v>
      </c>
      <c r="G42" s="189">
        <v>70.98</v>
      </c>
      <c r="H42" s="189">
        <v>22.32</v>
      </c>
      <c r="I42" s="189">
        <v>6.35</v>
      </c>
      <c r="J42" s="189">
        <v>0.51</v>
      </c>
      <c r="K42" s="189">
        <v>13.58</v>
      </c>
      <c r="L42" s="189">
        <v>36.39</v>
      </c>
      <c r="M42" s="189">
        <v>34.659999999999997</v>
      </c>
      <c r="N42" s="189">
        <v>174.7</v>
      </c>
      <c r="O42" s="189">
        <v>0</v>
      </c>
      <c r="P42" s="189">
        <v>0.72</v>
      </c>
      <c r="Q42" s="189">
        <v>5.31</v>
      </c>
    </row>
    <row r="43" spans="1:17" customFormat="1">
      <c r="A43" s="6" t="s">
        <v>1999</v>
      </c>
      <c r="B43" s="189">
        <v>17.66</v>
      </c>
      <c r="C43" s="189">
        <v>42.2</v>
      </c>
      <c r="D43" s="189">
        <v>35.159999999999997</v>
      </c>
      <c r="E43" s="189">
        <v>48.79</v>
      </c>
      <c r="F43" s="189">
        <v>15.8</v>
      </c>
      <c r="G43" s="189">
        <v>80.62</v>
      </c>
      <c r="H43" s="189">
        <v>31.26</v>
      </c>
      <c r="I43" s="189">
        <v>6.36</v>
      </c>
      <c r="J43" s="189">
        <v>0.54</v>
      </c>
      <c r="K43" s="189">
        <v>40.380000000000003</v>
      </c>
      <c r="L43" s="189">
        <v>36.479999999999997</v>
      </c>
      <c r="M43" s="189">
        <v>33.96</v>
      </c>
      <c r="N43" s="189">
        <v>181.2</v>
      </c>
      <c r="O43" s="189">
        <v>0</v>
      </c>
      <c r="P43" s="189">
        <v>0.69</v>
      </c>
      <c r="Q43" s="189">
        <v>5.29</v>
      </c>
    </row>
    <row r="44" spans="1:17" customFormat="1">
      <c r="A44" s="6" t="s">
        <v>2000</v>
      </c>
      <c r="B44" s="189">
        <v>16.510000000000002</v>
      </c>
      <c r="C44" s="189">
        <v>40.65</v>
      </c>
      <c r="D44" s="189">
        <v>33.44</v>
      </c>
      <c r="E44" s="189">
        <v>13.16</v>
      </c>
      <c r="F44" s="189">
        <v>16.27</v>
      </c>
      <c r="G44" s="189">
        <v>86.2</v>
      </c>
      <c r="H44" s="189">
        <v>32.86</v>
      </c>
      <c r="I44" s="189">
        <v>6.22</v>
      </c>
      <c r="J44" s="189">
        <v>1.29</v>
      </c>
      <c r="K44" s="189">
        <v>60.64</v>
      </c>
      <c r="L44" s="189">
        <v>36.54</v>
      </c>
      <c r="M44" s="189">
        <v>33.270000000000003</v>
      </c>
      <c r="N44" s="189">
        <v>194.3</v>
      </c>
      <c r="O44" s="189">
        <v>0</v>
      </c>
      <c r="P44" s="189">
        <v>0.62</v>
      </c>
      <c r="Q44" s="189">
        <v>5.28</v>
      </c>
    </row>
    <row r="45" spans="1:17" customFormat="1">
      <c r="A45" s="6" t="s">
        <v>2001</v>
      </c>
      <c r="B45" s="189">
        <v>15.89</v>
      </c>
      <c r="C45" s="189">
        <v>37.15</v>
      </c>
      <c r="D45" s="189">
        <v>31.11</v>
      </c>
      <c r="E45" s="189">
        <v>9.99</v>
      </c>
      <c r="F45" s="189">
        <v>20.55</v>
      </c>
      <c r="G45" s="189">
        <v>86.2</v>
      </c>
      <c r="H45" s="189">
        <v>32.86</v>
      </c>
      <c r="I45" s="189">
        <v>5.99</v>
      </c>
      <c r="J45" s="189">
        <v>0.82</v>
      </c>
      <c r="K45" s="189">
        <v>45.16</v>
      </c>
      <c r="L45" s="189">
        <v>37.17</v>
      </c>
      <c r="M45" s="189">
        <v>32.08</v>
      </c>
      <c r="N45" s="189">
        <v>188.8</v>
      </c>
      <c r="O45" s="189">
        <v>0</v>
      </c>
      <c r="P45" s="189">
        <v>0.61</v>
      </c>
      <c r="Q45" s="189">
        <v>5.25</v>
      </c>
    </row>
    <row r="46" spans="1:17" customFormat="1">
      <c r="A46" s="6" t="s">
        <v>2002</v>
      </c>
      <c r="B46" s="189">
        <v>14.37</v>
      </c>
      <c r="C46" s="189">
        <v>35.06</v>
      </c>
      <c r="D46" s="189">
        <v>28.8</v>
      </c>
      <c r="E46" s="189">
        <v>13.23</v>
      </c>
      <c r="F46" s="189">
        <v>23.68</v>
      </c>
      <c r="G46" s="189">
        <v>86.2</v>
      </c>
      <c r="H46" s="189">
        <v>32.86</v>
      </c>
      <c r="I46" s="189">
        <v>5.74</v>
      </c>
      <c r="J46" s="189">
        <v>0.56000000000000005</v>
      </c>
      <c r="K46" s="189">
        <v>33.69</v>
      </c>
      <c r="L46" s="189">
        <v>37.47</v>
      </c>
      <c r="M46" s="189">
        <v>31.87</v>
      </c>
      <c r="N46" s="189">
        <v>182.6</v>
      </c>
      <c r="O46" s="189">
        <v>0</v>
      </c>
      <c r="P46" s="189">
        <v>0.6</v>
      </c>
      <c r="Q46" s="189">
        <v>5.22</v>
      </c>
    </row>
    <row r="47" spans="1:17" customFormat="1">
      <c r="A47" s="6" t="s">
        <v>2003</v>
      </c>
      <c r="B47" s="189">
        <v>14.41</v>
      </c>
      <c r="C47" s="189">
        <v>38.049999999999997</v>
      </c>
      <c r="D47" s="189">
        <v>30.39</v>
      </c>
      <c r="E47" s="189">
        <v>22.58</v>
      </c>
      <c r="F47" s="189">
        <v>22.13</v>
      </c>
      <c r="G47" s="189">
        <v>85.26</v>
      </c>
      <c r="H47" s="189">
        <v>31.73</v>
      </c>
      <c r="I47" s="189">
        <v>5.42</v>
      </c>
      <c r="J47" s="189">
        <v>0.44</v>
      </c>
      <c r="K47" s="189">
        <v>50.95</v>
      </c>
      <c r="L47" s="189">
        <v>38.07</v>
      </c>
      <c r="M47" s="189">
        <v>31.21</v>
      </c>
      <c r="N47" s="189">
        <v>185.3</v>
      </c>
      <c r="O47" s="189">
        <v>0</v>
      </c>
      <c r="P47" s="189">
        <v>0.63</v>
      </c>
      <c r="Q47" s="189">
        <v>5.16</v>
      </c>
    </row>
    <row r="48" spans="1:17" customFormat="1">
      <c r="A48" s="6" t="s">
        <v>2004</v>
      </c>
      <c r="B48" s="189">
        <v>15.29</v>
      </c>
      <c r="C48" s="189">
        <v>39.43</v>
      </c>
      <c r="D48" s="189">
        <v>31.81</v>
      </c>
      <c r="E48" s="189">
        <v>35.86</v>
      </c>
      <c r="F48" s="189">
        <v>19.87</v>
      </c>
      <c r="G48" s="189">
        <v>84.72</v>
      </c>
      <c r="H48" s="189">
        <v>31.53</v>
      </c>
      <c r="I48" s="189">
        <v>5.34</v>
      </c>
      <c r="J48" s="189">
        <v>0.77</v>
      </c>
      <c r="K48" s="189">
        <v>48.96</v>
      </c>
      <c r="L48" s="189">
        <v>38.25</v>
      </c>
      <c r="M48" s="189">
        <v>31.33</v>
      </c>
      <c r="N48" s="189">
        <v>196.1</v>
      </c>
      <c r="O48" s="189">
        <v>0</v>
      </c>
      <c r="P48" s="189">
        <v>0.63</v>
      </c>
      <c r="Q48" s="189">
        <v>5.14</v>
      </c>
    </row>
    <row r="49" spans="1:17" customFormat="1">
      <c r="A49" s="6" t="s">
        <v>2005</v>
      </c>
      <c r="B49" s="189">
        <v>14.81</v>
      </c>
      <c r="C49" s="189">
        <v>37.74</v>
      </c>
      <c r="D49" s="189">
        <v>30.55</v>
      </c>
      <c r="E49" s="189">
        <v>14.03</v>
      </c>
      <c r="F49" s="189">
        <v>21.8</v>
      </c>
      <c r="G49" s="189">
        <v>84.72</v>
      </c>
      <c r="H49" s="189">
        <v>31.53</v>
      </c>
      <c r="I49" s="189">
        <v>5.37</v>
      </c>
      <c r="J49" s="189">
        <v>0.81</v>
      </c>
      <c r="K49" s="189">
        <v>49.4</v>
      </c>
      <c r="L49" s="189">
        <v>38.33</v>
      </c>
      <c r="M49" s="189">
        <v>30.7</v>
      </c>
      <c r="N49" s="189">
        <v>200.7</v>
      </c>
      <c r="O49" s="189">
        <v>0</v>
      </c>
      <c r="P49" s="189">
        <v>0.62</v>
      </c>
      <c r="Q49" s="189">
        <v>5.1100000000000003</v>
      </c>
    </row>
    <row r="50" spans="1:17" customFormat="1">
      <c r="A50" s="6" t="s">
        <v>2006</v>
      </c>
      <c r="B50" s="189">
        <v>12.9</v>
      </c>
      <c r="C50" s="189">
        <v>37.85</v>
      </c>
      <c r="D50" s="189">
        <v>29.07</v>
      </c>
      <c r="E50" s="189">
        <v>25.07</v>
      </c>
      <c r="F50" s="189">
        <v>24.54</v>
      </c>
      <c r="G50" s="189">
        <v>84.72</v>
      </c>
      <c r="H50" s="189">
        <v>31.53</v>
      </c>
      <c r="I50" s="189">
        <v>5.47</v>
      </c>
      <c r="J50" s="189">
        <v>0.59</v>
      </c>
      <c r="K50" s="189">
        <v>85.83</v>
      </c>
      <c r="L50" s="189">
        <v>38.840000000000003</v>
      </c>
      <c r="M50" s="189">
        <v>30.11</v>
      </c>
      <c r="N50" s="189">
        <v>204.7</v>
      </c>
      <c r="O50" s="189">
        <v>0</v>
      </c>
      <c r="P50" s="189">
        <v>0.6</v>
      </c>
      <c r="Q50" s="189">
        <v>5.0599999999999996</v>
      </c>
    </row>
    <row r="51" spans="1:17" customFormat="1">
      <c r="A51" s="6" t="s">
        <v>2007</v>
      </c>
      <c r="B51" s="189">
        <v>11.69</v>
      </c>
      <c r="C51" s="189">
        <v>36.58</v>
      </c>
      <c r="D51" s="189">
        <v>27.45</v>
      </c>
      <c r="E51" s="189">
        <v>34.29</v>
      </c>
      <c r="F51" s="189">
        <v>33.200000000000003</v>
      </c>
      <c r="G51" s="189">
        <v>83.52</v>
      </c>
      <c r="H51" s="189">
        <v>33.47</v>
      </c>
      <c r="I51" s="189">
        <v>5.47</v>
      </c>
      <c r="J51" s="189">
        <v>0.65</v>
      </c>
      <c r="K51" s="189">
        <v>49.98</v>
      </c>
      <c r="L51" s="189">
        <v>39.17</v>
      </c>
      <c r="M51" s="189">
        <v>29.43</v>
      </c>
      <c r="N51" s="189">
        <v>218</v>
      </c>
      <c r="O51" s="189">
        <v>0</v>
      </c>
      <c r="P51" s="189">
        <v>0.6</v>
      </c>
      <c r="Q51" s="189">
        <v>5</v>
      </c>
    </row>
    <row r="52" spans="1:17" customFormat="1">
      <c r="A52" s="6" t="s">
        <v>2008</v>
      </c>
      <c r="B52" s="189">
        <v>11.19</v>
      </c>
      <c r="C52" s="189">
        <v>36.93</v>
      </c>
      <c r="D52" s="189">
        <v>27.23</v>
      </c>
      <c r="E52" s="189">
        <v>24.07</v>
      </c>
      <c r="F52" s="189">
        <v>29.31</v>
      </c>
      <c r="G52" s="189">
        <v>82.83</v>
      </c>
      <c r="H52" s="189">
        <v>33.82</v>
      </c>
      <c r="I52" s="189">
        <v>5.44</v>
      </c>
      <c r="J52" s="189">
        <v>0.54</v>
      </c>
      <c r="K52" s="189">
        <v>316.93</v>
      </c>
      <c r="L52" s="189">
        <v>39.76</v>
      </c>
      <c r="M52" s="189">
        <v>28.3</v>
      </c>
      <c r="N52" s="189">
        <v>229.3</v>
      </c>
      <c r="O52" s="189">
        <v>0</v>
      </c>
      <c r="P52" s="189">
        <v>0.61</v>
      </c>
      <c r="Q52" s="189">
        <v>4.99</v>
      </c>
    </row>
    <row r="53" spans="1:17" customFormat="1">
      <c r="A53" s="6" t="s">
        <v>2009</v>
      </c>
      <c r="B53" s="189">
        <v>10.64</v>
      </c>
      <c r="C53" s="189">
        <v>36.32</v>
      </c>
      <c r="D53" s="189">
        <v>26.47</v>
      </c>
      <c r="E53" s="189">
        <v>17.18</v>
      </c>
      <c r="F53" s="189">
        <v>33.33</v>
      </c>
      <c r="G53" s="189">
        <v>82.83</v>
      </c>
      <c r="H53" s="189">
        <v>33.82</v>
      </c>
      <c r="I53" s="189">
        <v>5.29</v>
      </c>
      <c r="J53" s="189">
        <v>0.5</v>
      </c>
      <c r="K53" s="189">
        <v>25.2</v>
      </c>
      <c r="L53" s="189">
        <v>39.659999999999997</v>
      </c>
      <c r="M53" s="189">
        <v>28.11</v>
      </c>
      <c r="N53" s="189">
        <v>248.5</v>
      </c>
      <c r="O53" s="189">
        <v>0</v>
      </c>
      <c r="P53" s="189">
        <v>0.59</v>
      </c>
      <c r="Q53" s="189">
        <v>4.9400000000000004</v>
      </c>
    </row>
    <row r="54" spans="1:17" customFormat="1">
      <c r="A54" s="6" t="s">
        <v>2010</v>
      </c>
      <c r="B54" s="189">
        <v>8.94</v>
      </c>
      <c r="C54" s="189">
        <v>34.950000000000003</v>
      </c>
      <c r="D54" s="189">
        <v>24.38</v>
      </c>
      <c r="E54" s="189">
        <v>16.12</v>
      </c>
      <c r="F54" s="189">
        <v>36.03</v>
      </c>
      <c r="G54" s="189">
        <v>82.83</v>
      </c>
      <c r="H54" s="189">
        <v>33.82</v>
      </c>
      <c r="I54" s="189">
        <v>5.25</v>
      </c>
      <c r="J54" s="189">
        <v>0.26</v>
      </c>
      <c r="K54" s="189">
        <v>311.2</v>
      </c>
      <c r="L54" s="189">
        <v>40.049999999999997</v>
      </c>
      <c r="M54" s="189">
        <v>27.28</v>
      </c>
      <c r="N54" s="189">
        <v>254.9</v>
      </c>
      <c r="O54" s="189">
        <v>0</v>
      </c>
      <c r="P54" s="189">
        <v>0.55000000000000004</v>
      </c>
      <c r="Q54" s="189">
        <v>4.88</v>
      </c>
    </row>
    <row r="55" spans="1:17" customFormat="1">
      <c r="A55" s="6" t="s">
        <v>2011</v>
      </c>
      <c r="B55" s="189">
        <v>10.6</v>
      </c>
      <c r="C55" s="189">
        <v>39.89</v>
      </c>
      <c r="D55" s="189">
        <v>28.3</v>
      </c>
      <c r="E55" s="189">
        <v>8.94</v>
      </c>
      <c r="F55" s="189">
        <v>22.59</v>
      </c>
      <c r="G55" s="189">
        <v>82.9</v>
      </c>
      <c r="H55" s="189">
        <v>33.28</v>
      </c>
      <c r="I55" s="189">
        <v>5.16</v>
      </c>
      <c r="J55" s="189">
        <v>1.1000000000000001</v>
      </c>
      <c r="K55" s="189">
        <v>314.64</v>
      </c>
      <c r="L55" s="189">
        <v>39.18</v>
      </c>
      <c r="M55" s="189">
        <v>27.21</v>
      </c>
      <c r="N55" s="189">
        <v>399.5</v>
      </c>
      <c r="O55" s="189">
        <v>0</v>
      </c>
      <c r="P55" s="189">
        <v>0.57999999999999996</v>
      </c>
      <c r="Q55" s="189">
        <v>4.84</v>
      </c>
    </row>
    <row r="56" spans="1:17" customFormat="1">
      <c r="A56" s="6" t="s">
        <v>2012</v>
      </c>
      <c r="B56" s="189">
        <v>9.11</v>
      </c>
      <c r="C56" s="189">
        <v>35.630000000000003</v>
      </c>
      <c r="D56" s="189">
        <v>24.88</v>
      </c>
      <c r="E56" s="189">
        <v>7.25</v>
      </c>
      <c r="F56" s="189">
        <v>27.14</v>
      </c>
      <c r="G56" s="189">
        <v>82.95</v>
      </c>
      <c r="H56" s="189">
        <v>33.19</v>
      </c>
      <c r="I56" s="189">
        <v>5.18</v>
      </c>
      <c r="J56" s="189">
        <v>0.24</v>
      </c>
      <c r="K56" s="189">
        <v>296.75</v>
      </c>
      <c r="L56" s="189">
        <v>39.93</v>
      </c>
      <c r="M56" s="189">
        <v>26.82</v>
      </c>
      <c r="N56" s="189">
        <v>754.9</v>
      </c>
      <c r="O56" s="189">
        <v>0</v>
      </c>
      <c r="P56" s="189">
        <v>0.55000000000000004</v>
      </c>
      <c r="Q56" s="189">
        <v>4.79</v>
      </c>
    </row>
    <row r="57" spans="1:17" customFormat="1">
      <c r="A57" s="6" t="s">
        <v>2013</v>
      </c>
      <c r="B57" s="189">
        <v>7.82</v>
      </c>
      <c r="C57" s="189">
        <v>33.07</v>
      </c>
      <c r="D57" s="189">
        <v>22.5</v>
      </c>
      <c r="E57" s="189">
        <v>7.16</v>
      </c>
      <c r="F57" s="189">
        <v>32.520000000000003</v>
      </c>
      <c r="G57" s="189">
        <v>82.95</v>
      </c>
      <c r="H57" s="189">
        <v>33.19</v>
      </c>
      <c r="I57" s="189">
        <v>5.3</v>
      </c>
      <c r="J57" s="189">
        <v>0.38</v>
      </c>
      <c r="K57" s="189">
        <v>262.49</v>
      </c>
      <c r="L57" s="189">
        <v>40.78</v>
      </c>
      <c r="M57" s="189">
        <v>26.15</v>
      </c>
      <c r="N57" s="189">
        <v>816</v>
      </c>
      <c r="O57" s="189">
        <v>0</v>
      </c>
      <c r="P57" s="189">
        <v>0.52</v>
      </c>
      <c r="Q57" s="189">
        <v>4.72</v>
      </c>
    </row>
    <row r="58" spans="1:17" customFormat="1">
      <c r="A58" s="6" t="s">
        <v>2014</v>
      </c>
      <c r="B58" s="189">
        <v>7.55</v>
      </c>
      <c r="C58" s="189">
        <v>35.409999999999997</v>
      </c>
      <c r="D58" s="189">
        <v>23.51</v>
      </c>
      <c r="E58" s="189">
        <v>5.79</v>
      </c>
      <c r="F58" s="189">
        <v>22.41</v>
      </c>
      <c r="G58" s="189">
        <v>82.95</v>
      </c>
      <c r="H58" s="189">
        <v>33.19</v>
      </c>
      <c r="I58" s="189">
        <v>5.0999999999999996</v>
      </c>
      <c r="J58" s="189">
        <v>0.72</v>
      </c>
      <c r="K58" s="189">
        <v>260.58999999999997</v>
      </c>
      <c r="L58" s="189">
        <v>40.99</v>
      </c>
      <c r="M58" s="189">
        <v>25.65</v>
      </c>
      <c r="N58" s="189">
        <v>821</v>
      </c>
      <c r="O58" s="189">
        <v>0</v>
      </c>
      <c r="P58" s="189">
        <v>0.54</v>
      </c>
      <c r="Q58" s="189">
        <v>4.6900000000000004</v>
      </c>
    </row>
    <row r="59" spans="1:17" customFormat="1">
      <c r="A59" s="6" t="s">
        <v>2015</v>
      </c>
      <c r="B59" s="189">
        <v>6.82</v>
      </c>
      <c r="C59" s="189">
        <v>33.31</v>
      </c>
      <c r="D59" s="189">
        <v>21.82</v>
      </c>
      <c r="E59" s="189">
        <v>6.21</v>
      </c>
      <c r="F59" s="189">
        <v>26.95</v>
      </c>
      <c r="G59" s="189">
        <v>81.92</v>
      </c>
      <c r="H59" s="189">
        <v>32.9</v>
      </c>
      <c r="I59" s="189">
        <v>5.0999999999999996</v>
      </c>
      <c r="J59" s="189">
        <v>0.42</v>
      </c>
      <c r="K59" s="189">
        <v>8.7200000000000006</v>
      </c>
      <c r="L59" s="189">
        <v>40.26</v>
      </c>
      <c r="M59" s="189">
        <v>26.31</v>
      </c>
      <c r="N59" s="189">
        <v>475.9</v>
      </c>
      <c r="O59" s="189">
        <v>0</v>
      </c>
      <c r="P59" s="189">
        <v>0.52</v>
      </c>
      <c r="Q59" s="189">
        <v>4.6500000000000004</v>
      </c>
    </row>
    <row r="60" spans="1:17" customFormat="1">
      <c r="A60" s="6" t="s">
        <v>2016</v>
      </c>
      <c r="B60" s="189">
        <v>6.55</v>
      </c>
      <c r="C60" s="189">
        <v>37.89</v>
      </c>
      <c r="D60" s="189">
        <v>24.01</v>
      </c>
      <c r="E60" s="189">
        <v>15.25</v>
      </c>
      <c r="F60" s="189">
        <v>29.97</v>
      </c>
      <c r="G60" s="189">
        <v>81.319999999999993</v>
      </c>
      <c r="H60" s="189">
        <v>32.81</v>
      </c>
      <c r="I60" s="189">
        <v>5</v>
      </c>
      <c r="J60" s="189">
        <v>0.94</v>
      </c>
      <c r="K60" s="189">
        <v>304.83999999999997</v>
      </c>
      <c r="L60" s="189">
        <v>40.68</v>
      </c>
      <c r="M60" s="189">
        <v>24.85</v>
      </c>
      <c r="N60" s="189">
        <v>774.5</v>
      </c>
      <c r="O60" s="189">
        <v>0</v>
      </c>
      <c r="P60" s="189">
        <v>0.61</v>
      </c>
      <c r="Q60" s="189">
        <v>4.72</v>
      </c>
    </row>
    <row r="61" spans="1:17" customFormat="1">
      <c r="A61" s="6" t="s">
        <v>2017</v>
      </c>
      <c r="B61" s="189">
        <v>5.94</v>
      </c>
      <c r="C61" s="189">
        <v>38.090000000000003</v>
      </c>
      <c r="D61" s="189">
        <v>23.62</v>
      </c>
      <c r="E61" s="189">
        <v>14.42</v>
      </c>
      <c r="F61" s="189">
        <v>32.08</v>
      </c>
      <c r="G61" s="189">
        <v>81.319999999999993</v>
      </c>
      <c r="H61" s="189">
        <v>32.81</v>
      </c>
      <c r="I61" s="189">
        <v>5.0199999999999996</v>
      </c>
      <c r="J61" s="189">
        <v>0.59</v>
      </c>
      <c r="K61" s="189">
        <v>268.8</v>
      </c>
      <c r="L61" s="189">
        <v>41.06</v>
      </c>
      <c r="M61" s="189">
        <v>24.96</v>
      </c>
      <c r="N61" s="189">
        <v>721.2</v>
      </c>
      <c r="O61" s="189">
        <v>0</v>
      </c>
      <c r="P61" s="189">
        <v>0.59</v>
      </c>
      <c r="Q61" s="189">
        <v>4.72</v>
      </c>
    </row>
    <row r="62" spans="1:17" customFormat="1">
      <c r="A62" s="6" t="s">
        <v>2018</v>
      </c>
      <c r="B62" s="189">
        <v>6.43</v>
      </c>
      <c r="C62" s="189">
        <v>44.83</v>
      </c>
      <c r="D62" s="189">
        <v>27.53</v>
      </c>
      <c r="E62" s="189">
        <v>11.35</v>
      </c>
      <c r="F62" s="189">
        <v>24.1</v>
      </c>
      <c r="G62" s="189">
        <v>81.319999999999993</v>
      </c>
      <c r="H62" s="189">
        <v>32.81</v>
      </c>
      <c r="I62" s="189">
        <v>5.56</v>
      </c>
      <c r="J62" s="189">
        <v>0.99</v>
      </c>
      <c r="K62" s="189">
        <v>295.47000000000003</v>
      </c>
      <c r="L62" s="189">
        <v>41.03</v>
      </c>
      <c r="M62" s="189">
        <v>24.09</v>
      </c>
      <c r="N62" s="189">
        <v>762.9</v>
      </c>
      <c r="O62" s="189">
        <v>0</v>
      </c>
      <c r="P62" s="189">
        <v>0.61</v>
      </c>
      <c r="Q62" s="189">
        <v>4.66</v>
      </c>
    </row>
    <row r="63" spans="1:17" customFormat="1">
      <c r="A63" s="6" t="s">
        <v>2019</v>
      </c>
      <c r="B63" s="189">
        <v>5.46</v>
      </c>
      <c r="C63" s="189">
        <v>38.880000000000003</v>
      </c>
      <c r="D63" s="189">
        <v>23.65</v>
      </c>
      <c r="E63" s="189">
        <v>10.54</v>
      </c>
      <c r="F63" s="189">
        <v>24.5</v>
      </c>
      <c r="G63" s="189">
        <v>78.87</v>
      </c>
      <c r="H63" s="189">
        <v>29.73</v>
      </c>
      <c r="I63" s="189">
        <v>5.92</v>
      </c>
      <c r="J63" s="189">
        <v>1.06</v>
      </c>
      <c r="K63" s="189">
        <v>285.60000000000002</v>
      </c>
      <c r="L63" s="189">
        <v>41.13</v>
      </c>
      <c r="M63" s="189">
        <v>23.68</v>
      </c>
      <c r="N63" s="189">
        <v>701.2</v>
      </c>
      <c r="O63" s="189">
        <v>0</v>
      </c>
      <c r="P63" s="189">
        <v>0.59</v>
      </c>
      <c r="Q63" s="189">
        <v>4.62</v>
      </c>
    </row>
    <row r="64" spans="1:17" customFormat="1">
      <c r="A64" s="6" t="s">
        <v>2020</v>
      </c>
      <c r="B64" s="189">
        <v>4.9400000000000004</v>
      </c>
      <c r="C64" s="189">
        <v>37.119999999999997</v>
      </c>
      <c r="D64" s="189">
        <v>22.31</v>
      </c>
      <c r="E64" s="189">
        <v>13.25</v>
      </c>
      <c r="F64" s="189">
        <v>33.369999999999997</v>
      </c>
      <c r="G64" s="189">
        <v>77.459999999999994</v>
      </c>
      <c r="H64" s="189">
        <v>29.19</v>
      </c>
      <c r="I64" s="189">
        <v>5.9</v>
      </c>
      <c r="J64" s="189">
        <v>0.55000000000000004</v>
      </c>
      <c r="K64" s="189">
        <v>259.31</v>
      </c>
      <c r="L64" s="189">
        <v>41.35</v>
      </c>
      <c r="M64" s="189">
        <v>24.07</v>
      </c>
      <c r="N64" s="189">
        <v>670.8</v>
      </c>
      <c r="O64" s="189">
        <v>0</v>
      </c>
      <c r="P64" s="189">
        <v>0.59</v>
      </c>
      <c r="Q64" s="189">
        <v>4.6100000000000003</v>
      </c>
    </row>
    <row r="65" spans="1:17" customFormat="1">
      <c r="A65" s="6" t="s">
        <v>2021</v>
      </c>
      <c r="B65" s="189">
        <v>4.68</v>
      </c>
      <c r="C65" s="189">
        <v>37.93</v>
      </c>
      <c r="D65" s="189">
        <v>22.53</v>
      </c>
      <c r="E65" s="189">
        <v>9.75</v>
      </c>
      <c r="F65" s="189">
        <v>19.32</v>
      </c>
      <c r="G65" s="189">
        <v>77.459999999999994</v>
      </c>
      <c r="H65" s="189">
        <v>29.19</v>
      </c>
      <c r="I65" s="189">
        <v>5.79</v>
      </c>
      <c r="J65" s="189">
        <v>1</v>
      </c>
      <c r="K65" s="189">
        <v>262.58</v>
      </c>
      <c r="L65" s="189">
        <v>41.73</v>
      </c>
      <c r="M65" s="189">
        <v>22.4</v>
      </c>
      <c r="N65" s="189">
        <v>685.5</v>
      </c>
      <c r="O65" s="189">
        <v>0</v>
      </c>
      <c r="P65" s="189">
        <v>0.54</v>
      </c>
      <c r="Q65" s="189">
        <v>4.58</v>
      </c>
    </row>
    <row r="66" spans="1:17" customFormat="1">
      <c r="A66" s="6" t="s">
        <v>2022</v>
      </c>
      <c r="B66" s="189">
        <v>4.9800000000000004</v>
      </c>
      <c r="C66" s="189">
        <v>39.6</v>
      </c>
      <c r="D66" s="189">
        <v>23.64</v>
      </c>
      <c r="E66" s="189">
        <v>10.27</v>
      </c>
      <c r="F66" s="189">
        <v>21.98</v>
      </c>
      <c r="G66" s="189">
        <v>77.459999999999994</v>
      </c>
      <c r="H66" s="189">
        <v>29.19</v>
      </c>
      <c r="I66" s="189">
        <v>5.84</v>
      </c>
      <c r="J66" s="189">
        <v>1.0900000000000001</v>
      </c>
      <c r="K66" s="189">
        <v>294.68</v>
      </c>
      <c r="L66" s="189">
        <v>41.23</v>
      </c>
      <c r="M66" s="189">
        <v>23.1</v>
      </c>
      <c r="N66" s="189">
        <v>607.79999999999995</v>
      </c>
      <c r="O66" s="189">
        <v>0</v>
      </c>
      <c r="P66" s="189">
        <v>0.61</v>
      </c>
      <c r="Q66" s="189">
        <v>4.55</v>
      </c>
    </row>
    <row r="67" spans="1:17" customFormat="1">
      <c r="A67" s="6" t="s">
        <v>2023</v>
      </c>
      <c r="B67" s="189">
        <v>5.07</v>
      </c>
      <c r="C67" s="189">
        <v>36.54</v>
      </c>
      <c r="D67" s="189">
        <v>22.11</v>
      </c>
      <c r="E67" s="189">
        <v>13.88</v>
      </c>
      <c r="F67" s="189">
        <v>26.6</v>
      </c>
      <c r="G67" s="189">
        <v>73.819999999999993</v>
      </c>
      <c r="H67" s="189">
        <v>30.15</v>
      </c>
      <c r="I67" s="189">
        <v>5.85</v>
      </c>
      <c r="J67" s="189">
        <v>0.77</v>
      </c>
      <c r="K67" s="189">
        <v>282.13</v>
      </c>
      <c r="L67" s="189">
        <v>41.86</v>
      </c>
      <c r="M67" s="189">
        <v>21.06</v>
      </c>
      <c r="N67" s="189">
        <v>623.1</v>
      </c>
      <c r="O67" s="189">
        <v>0</v>
      </c>
      <c r="P67" s="189">
        <v>0.61</v>
      </c>
      <c r="Q67" s="189">
        <v>4.5599999999999996</v>
      </c>
    </row>
    <row r="68" spans="1:17" customFormat="1">
      <c r="A68" s="6" t="s">
        <v>2024</v>
      </c>
      <c r="B68" s="189">
        <v>5.22</v>
      </c>
      <c r="C68" s="189">
        <v>39.47</v>
      </c>
      <c r="D68" s="189">
        <v>23.76</v>
      </c>
      <c r="E68" s="189">
        <v>7.96</v>
      </c>
      <c r="F68" s="189">
        <v>18.5</v>
      </c>
      <c r="G68" s="189">
        <v>71.72</v>
      </c>
      <c r="H68" s="189">
        <v>30.32</v>
      </c>
      <c r="I68" s="189">
        <v>5.81</v>
      </c>
      <c r="J68" s="189">
        <v>1.29</v>
      </c>
      <c r="K68" s="189">
        <v>299.25</v>
      </c>
      <c r="L68" s="189">
        <v>41.64</v>
      </c>
      <c r="M68" s="189">
        <v>20.37</v>
      </c>
      <c r="N68" s="189">
        <v>593.6</v>
      </c>
      <c r="O68" s="189">
        <v>0</v>
      </c>
      <c r="P68" s="189">
        <v>0.61</v>
      </c>
      <c r="Q68" s="189">
        <v>4.5199999999999996</v>
      </c>
    </row>
    <row r="69" spans="1:17" customFormat="1">
      <c r="A69" s="6" t="s">
        <v>2025</v>
      </c>
      <c r="B69" s="189">
        <v>4.8</v>
      </c>
      <c r="C69" s="189">
        <v>35.950000000000003</v>
      </c>
      <c r="D69" s="189">
        <v>21.59</v>
      </c>
      <c r="E69" s="189">
        <v>9.9600000000000009</v>
      </c>
      <c r="F69" s="189">
        <v>24.81</v>
      </c>
      <c r="G69" s="189">
        <v>71.72</v>
      </c>
      <c r="H69" s="189">
        <v>30.32</v>
      </c>
      <c r="I69" s="189">
        <v>5.73</v>
      </c>
      <c r="J69" s="189">
        <v>0.83</v>
      </c>
      <c r="K69" s="189">
        <v>267.14999999999998</v>
      </c>
      <c r="L69" s="189">
        <v>41.56</v>
      </c>
      <c r="M69" s="189">
        <v>20.76</v>
      </c>
      <c r="N69" s="189">
        <v>522.1</v>
      </c>
      <c r="O69" s="189">
        <v>0</v>
      </c>
      <c r="P69" s="189">
        <v>0.57999999999999996</v>
      </c>
      <c r="Q69" s="189">
        <v>4.53</v>
      </c>
    </row>
    <row r="70" spans="1:17" customFormat="1">
      <c r="A70" s="6" t="s">
        <v>2026</v>
      </c>
      <c r="B70" s="189">
        <v>4.84</v>
      </c>
      <c r="C70" s="189">
        <v>36.68</v>
      </c>
      <c r="D70" s="189">
        <v>22</v>
      </c>
      <c r="E70" s="189">
        <v>11.26</v>
      </c>
      <c r="F70" s="189">
        <v>22.09</v>
      </c>
      <c r="G70" s="189">
        <v>71.72</v>
      </c>
      <c r="H70" s="189">
        <v>30.32</v>
      </c>
      <c r="I70" s="189">
        <v>6.07</v>
      </c>
      <c r="J70" s="189">
        <v>0.97</v>
      </c>
      <c r="K70" s="189">
        <v>283.45</v>
      </c>
      <c r="L70" s="189">
        <v>41.6</v>
      </c>
      <c r="M70" s="189">
        <v>21.53</v>
      </c>
      <c r="N70" s="189">
        <v>470.7</v>
      </c>
      <c r="O70" s="189">
        <v>0</v>
      </c>
      <c r="P70" s="189">
        <v>0.59</v>
      </c>
      <c r="Q70" s="189">
        <v>4.5199999999999996</v>
      </c>
    </row>
    <row r="71" spans="1:17" customFormat="1">
      <c r="A71" s="6" t="s">
        <v>2027</v>
      </c>
      <c r="B71" s="189">
        <v>4.75</v>
      </c>
      <c r="C71" s="189">
        <v>36.31</v>
      </c>
      <c r="D71" s="189">
        <v>21.74</v>
      </c>
      <c r="E71" s="189">
        <v>8.1199999999999992</v>
      </c>
      <c r="F71" s="189">
        <v>19.739999999999998</v>
      </c>
      <c r="G71" s="189">
        <v>71.930000000000007</v>
      </c>
      <c r="H71" s="189">
        <v>28.24</v>
      </c>
      <c r="I71" s="189">
        <v>6.17</v>
      </c>
      <c r="J71" s="189">
        <v>1.24</v>
      </c>
      <c r="K71" s="189">
        <v>269.29000000000002</v>
      </c>
      <c r="L71" s="189">
        <v>41.27</v>
      </c>
      <c r="M71" s="189">
        <v>19.239999999999998</v>
      </c>
      <c r="N71" s="189">
        <v>438.6</v>
      </c>
      <c r="O71" s="189">
        <v>0</v>
      </c>
      <c r="P71" s="189">
        <v>0.6</v>
      </c>
      <c r="Q71" s="189">
        <v>4.51</v>
      </c>
    </row>
    <row r="72" spans="1:17" customFormat="1">
      <c r="A72" s="6" t="s">
        <v>2028</v>
      </c>
      <c r="B72" s="189">
        <v>4.8499999999999996</v>
      </c>
      <c r="C72" s="189">
        <v>37.31</v>
      </c>
      <c r="D72" s="189">
        <v>22.34</v>
      </c>
      <c r="E72" s="189">
        <v>8.39</v>
      </c>
      <c r="F72" s="189">
        <v>17.18</v>
      </c>
      <c r="G72" s="189">
        <v>72.06</v>
      </c>
      <c r="H72" s="189">
        <v>27.87</v>
      </c>
      <c r="I72" s="189">
        <v>6.08</v>
      </c>
      <c r="J72" s="189">
        <v>1.23</v>
      </c>
      <c r="K72" s="189">
        <v>272.32</v>
      </c>
      <c r="L72" s="189">
        <v>41.01</v>
      </c>
      <c r="M72" s="189">
        <v>20.94</v>
      </c>
      <c r="N72" s="189">
        <v>391.2</v>
      </c>
      <c r="O72" s="189">
        <v>0</v>
      </c>
      <c r="P72" s="189">
        <v>0.6</v>
      </c>
      <c r="Q72" s="189">
        <v>4.49</v>
      </c>
    </row>
    <row r="73" spans="1:17" customFormat="1">
      <c r="A73" s="6" t="s">
        <v>2029</v>
      </c>
      <c r="B73" s="189">
        <v>4.8899999999999997</v>
      </c>
      <c r="C73" s="189">
        <v>36.64</v>
      </c>
      <c r="D73" s="189">
        <v>22.02</v>
      </c>
      <c r="E73" s="189">
        <v>9.02</v>
      </c>
      <c r="F73" s="189">
        <v>18.34</v>
      </c>
      <c r="G73" s="189">
        <v>72.06</v>
      </c>
      <c r="H73" s="189">
        <v>27.87</v>
      </c>
      <c r="I73" s="189">
        <v>6.15</v>
      </c>
      <c r="J73" s="189">
        <v>1.21</v>
      </c>
      <c r="K73" s="189">
        <v>291.66000000000003</v>
      </c>
      <c r="L73" s="189">
        <v>40.86</v>
      </c>
      <c r="M73" s="189">
        <v>22.55</v>
      </c>
      <c r="N73" s="189">
        <v>330.5</v>
      </c>
      <c r="O73" s="189">
        <v>0</v>
      </c>
      <c r="P73" s="189">
        <v>0.6</v>
      </c>
      <c r="Q73" s="189">
        <v>4.4800000000000004</v>
      </c>
    </row>
    <row r="74" spans="1:17" customFormat="1">
      <c r="A74" s="6" t="s">
        <v>2030</v>
      </c>
      <c r="B74" s="189">
        <v>4.8499999999999996</v>
      </c>
      <c r="C74" s="189">
        <v>36.04</v>
      </c>
      <c r="D74" s="189">
        <v>21.68</v>
      </c>
      <c r="E74" s="189">
        <v>9.9</v>
      </c>
      <c r="F74" s="189">
        <v>24.37</v>
      </c>
      <c r="G74" s="189">
        <v>72.06</v>
      </c>
      <c r="H74" s="189">
        <v>27.87</v>
      </c>
      <c r="I74" s="189">
        <v>6.2</v>
      </c>
      <c r="J74" s="189">
        <v>1.22</v>
      </c>
      <c r="K74" s="189">
        <v>288.79000000000002</v>
      </c>
      <c r="L74" s="189">
        <v>40.72</v>
      </c>
      <c r="M74" s="189">
        <v>22.7</v>
      </c>
      <c r="N74" s="189">
        <v>304</v>
      </c>
      <c r="O74" s="189">
        <v>0</v>
      </c>
      <c r="P74" s="189">
        <v>0.6</v>
      </c>
      <c r="Q74" s="189">
        <v>4.49</v>
      </c>
    </row>
    <row r="75" spans="1:17" customFormat="1">
      <c r="A75" s="6" t="s">
        <v>2031</v>
      </c>
      <c r="B75" s="189">
        <v>4.9000000000000004</v>
      </c>
      <c r="C75" s="189">
        <v>35.700000000000003</v>
      </c>
      <c r="D75" s="189">
        <v>21.54</v>
      </c>
      <c r="E75" s="189">
        <v>10.75</v>
      </c>
      <c r="F75" s="189">
        <v>25.43</v>
      </c>
      <c r="G75" s="189">
        <v>73.08</v>
      </c>
      <c r="H75" s="189">
        <v>29.39</v>
      </c>
      <c r="I75" s="189">
        <v>6.06</v>
      </c>
      <c r="J75" s="189">
        <v>1.23</v>
      </c>
      <c r="K75" s="189">
        <v>287.3</v>
      </c>
      <c r="L75" s="189">
        <v>40.53</v>
      </c>
      <c r="M75" s="189">
        <v>21.98</v>
      </c>
      <c r="N75" s="189">
        <v>259.5</v>
      </c>
      <c r="O75" s="189">
        <v>0</v>
      </c>
      <c r="P75" s="189">
        <v>0.56000000000000005</v>
      </c>
      <c r="Q75" s="189">
        <v>4.51</v>
      </c>
    </row>
    <row r="76" spans="1:17" customFormat="1">
      <c r="A76" s="6" t="s">
        <v>2032</v>
      </c>
      <c r="B76" s="189">
        <v>5.0199999999999996</v>
      </c>
      <c r="C76" s="189">
        <v>35.58</v>
      </c>
      <c r="D76" s="189">
        <v>21.57</v>
      </c>
      <c r="E76" s="189">
        <v>10.51</v>
      </c>
      <c r="F76" s="189">
        <v>24</v>
      </c>
      <c r="G76" s="189">
        <v>73.680000000000007</v>
      </c>
      <c r="H76" s="189">
        <v>29.66</v>
      </c>
      <c r="I76" s="189">
        <v>5.9</v>
      </c>
      <c r="J76" s="189">
        <v>0.99</v>
      </c>
      <c r="K76" s="189">
        <v>283.24</v>
      </c>
      <c r="L76" s="189">
        <v>40.36</v>
      </c>
      <c r="M76" s="189">
        <v>22.02</v>
      </c>
      <c r="N76" s="189">
        <v>193.4</v>
      </c>
      <c r="O76" s="189">
        <v>0</v>
      </c>
      <c r="P76" s="189">
        <v>0.56000000000000005</v>
      </c>
      <c r="Q76" s="189">
        <v>4.49</v>
      </c>
    </row>
    <row r="77" spans="1:17" customFormat="1">
      <c r="A77" s="6" t="s">
        <v>2033</v>
      </c>
      <c r="B77" s="189">
        <v>4.62</v>
      </c>
      <c r="C77" s="189">
        <v>35.049999999999997</v>
      </c>
      <c r="D77" s="189">
        <v>20.97</v>
      </c>
      <c r="E77" s="189">
        <v>12.11</v>
      </c>
      <c r="F77" s="189">
        <v>26.31</v>
      </c>
      <c r="G77" s="189">
        <v>73.680000000000007</v>
      </c>
      <c r="H77" s="189">
        <v>29.66</v>
      </c>
      <c r="I77" s="189">
        <v>5.7</v>
      </c>
      <c r="J77" s="189">
        <v>0.95</v>
      </c>
      <c r="K77" s="189">
        <v>260.42</v>
      </c>
      <c r="L77" s="189">
        <v>40.090000000000003</v>
      </c>
      <c r="M77" s="189">
        <v>22.46</v>
      </c>
      <c r="N77" s="189">
        <v>128.19999999999999</v>
      </c>
      <c r="O77" s="189">
        <v>0</v>
      </c>
      <c r="P77" s="189">
        <v>0.56999999999999995</v>
      </c>
      <c r="Q77" s="189">
        <v>4.46</v>
      </c>
    </row>
    <row r="78" spans="1:17" customFormat="1">
      <c r="A78" s="6" t="s">
        <v>2034</v>
      </c>
      <c r="B78" s="189">
        <v>4.46</v>
      </c>
      <c r="C78" s="189">
        <v>33.5</v>
      </c>
      <c r="D78" s="189">
        <v>20.04</v>
      </c>
      <c r="E78" s="189">
        <v>13.26</v>
      </c>
      <c r="F78" s="189">
        <v>25.57</v>
      </c>
      <c r="G78" s="189">
        <v>73.680000000000007</v>
      </c>
      <c r="H78" s="189">
        <v>29.66</v>
      </c>
      <c r="I78" s="189">
        <v>5.53</v>
      </c>
      <c r="J78" s="189">
        <v>0.82</v>
      </c>
      <c r="K78" s="189">
        <v>257.95999999999998</v>
      </c>
      <c r="L78" s="189">
        <v>39.880000000000003</v>
      </c>
      <c r="M78" s="189">
        <v>23.03</v>
      </c>
      <c r="N78" s="189">
        <v>125.3</v>
      </c>
      <c r="O78" s="189">
        <v>0</v>
      </c>
      <c r="P78" s="189">
        <v>0.56000000000000005</v>
      </c>
      <c r="Q78" s="189">
        <v>4.43</v>
      </c>
    </row>
    <row r="79" spans="1:17" customFormat="1">
      <c r="A79" s="6" t="s">
        <v>2035</v>
      </c>
      <c r="B79" s="189">
        <v>4.1399999999999997</v>
      </c>
      <c r="C79" s="189">
        <v>34.549999999999997</v>
      </c>
      <c r="D79" s="189">
        <v>20.329999999999998</v>
      </c>
      <c r="E79" s="189">
        <v>12.65</v>
      </c>
      <c r="F79" s="189">
        <v>27.02</v>
      </c>
      <c r="G79" s="189">
        <v>70.540000000000006</v>
      </c>
      <c r="H79" s="189">
        <v>26.76</v>
      </c>
      <c r="I79" s="189">
        <v>5.5</v>
      </c>
      <c r="J79" s="189">
        <v>0.86</v>
      </c>
      <c r="K79" s="189">
        <v>261.83</v>
      </c>
      <c r="L79" s="189">
        <v>39.54</v>
      </c>
      <c r="M79" s="189">
        <v>23.78</v>
      </c>
      <c r="N79" s="189">
        <v>80.8</v>
      </c>
      <c r="O79" s="189">
        <v>0</v>
      </c>
      <c r="P79" s="189">
        <v>0.59</v>
      </c>
      <c r="Q79" s="189">
        <v>4.46</v>
      </c>
    </row>
    <row r="80" spans="1:17" customFormat="1">
      <c r="A80" s="6" t="s">
        <v>2036</v>
      </c>
      <c r="B80" s="189">
        <v>6.29</v>
      </c>
      <c r="C80" s="189">
        <v>40.840000000000003</v>
      </c>
      <c r="D80" s="189">
        <v>25.34</v>
      </c>
      <c r="E80" s="189">
        <v>11.75</v>
      </c>
      <c r="F80" s="189">
        <v>22.12</v>
      </c>
      <c r="G80" s="189">
        <v>68.72</v>
      </c>
      <c r="H80" s="189">
        <v>26.24</v>
      </c>
      <c r="I80" s="189">
        <v>5.55</v>
      </c>
      <c r="J80" s="189">
        <v>0.8</v>
      </c>
      <c r="K80" s="189">
        <v>276.73</v>
      </c>
      <c r="L80" s="189">
        <v>39.22</v>
      </c>
      <c r="M80" s="189">
        <v>24.2</v>
      </c>
      <c r="N80" s="189">
        <v>39.200000000000003</v>
      </c>
      <c r="O80" s="189">
        <v>0</v>
      </c>
      <c r="P80" s="189">
        <v>0.64</v>
      </c>
      <c r="Q80" s="189">
        <v>4.55</v>
      </c>
    </row>
    <row r="81" spans="1:17" customFormat="1">
      <c r="A81" s="6" t="s">
        <v>2037</v>
      </c>
      <c r="B81" s="189">
        <v>5.42</v>
      </c>
      <c r="C81" s="189">
        <v>38.61</v>
      </c>
      <c r="D81" s="189">
        <v>23.47</v>
      </c>
      <c r="E81" s="189">
        <v>10.51</v>
      </c>
      <c r="F81" s="189">
        <v>23.36</v>
      </c>
      <c r="G81" s="189">
        <v>68.72</v>
      </c>
      <c r="H81" s="189">
        <v>26.24</v>
      </c>
      <c r="I81" s="189">
        <v>5.57</v>
      </c>
      <c r="J81" s="189">
        <v>0.99</v>
      </c>
      <c r="K81" s="189">
        <v>264.38</v>
      </c>
      <c r="L81" s="189">
        <v>38.69</v>
      </c>
      <c r="M81" s="189">
        <v>25.22</v>
      </c>
      <c r="N81" s="189">
        <v>15.1</v>
      </c>
      <c r="O81" s="189">
        <v>0</v>
      </c>
      <c r="P81" s="189">
        <v>0.57999999999999996</v>
      </c>
      <c r="Q81" s="189">
        <v>4.55</v>
      </c>
    </row>
    <row r="82" spans="1:17" customFormat="1">
      <c r="A82" s="6" t="s">
        <v>2038</v>
      </c>
      <c r="B82" s="189">
        <v>4.42</v>
      </c>
      <c r="C82" s="189">
        <v>32.700000000000003</v>
      </c>
      <c r="D82" s="189">
        <v>19.579999999999998</v>
      </c>
      <c r="E82" s="189">
        <v>15.5</v>
      </c>
      <c r="F82" s="189">
        <v>33.18</v>
      </c>
      <c r="G82" s="189">
        <v>68.72</v>
      </c>
      <c r="H82" s="189">
        <v>26.24</v>
      </c>
      <c r="I82" s="189">
        <v>5.4</v>
      </c>
      <c r="J82" s="189">
        <v>0.56000000000000005</v>
      </c>
      <c r="K82" s="189">
        <v>267.73</v>
      </c>
      <c r="L82" s="189">
        <v>38.29</v>
      </c>
      <c r="M82" s="189">
        <v>26.63</v>
      </c>
      <c r="N82" s="189">
        <v>4</v>
      </c>
      <c r="O82" s="189">
        <v>0</v>
      </c>
      <c r="P82" s="189">
        <v>0.62</v>
      </c>
      <c r="Q82" s="189">
        <v>4.53</v>
      </c>
    </row>
    <row r="83" spans="1:17" customFormat="1">
      <c r="A83" s="6" t="s">
        <v>2039</v>
      </c>
      <c r="B83" s="189">
        <v>6.03</v>
      </c>
      <c r="C83" s="189">
        <v>36.869999999999997</v>
      </c>
      <c r="D83" s="189">
        <v>23.05</v>
      </c>
      <c r="E83" s="189">
        <v>11.57</v>
      </c>
      <c r="F83" s="189">
        <v>27.32</v>
      </c>
      <c r="G83" s="189">
        <v>69.17</v>
      </c>
      <c r="H83" s="189">
        <v>24.27</v>
      </c>
      <c r="I83" s="189">
        <v>5.36</v>
      </c>
      <c r="J83" s="189">
        <v>0.59</v>
      </c>
      <c r="K83" s="189">
        <v>282.45</v>
      </c>
      <c r="L83" s="189">
        <v>38.15</v>
      </c>
      <c r="M83" s="189">
        <v>27.16</v>
      </c>
      <c r="N83" s="189">
        <v>0</v>
      </c>
      <c r="O83" s="189">
        <v>0</v>
      </c>
      <c r="P83" s="189">
        <v>0.66</v>
      </c>
      <c r="Q83" s="189">
        <v>4.5199999999999996</v>
      </c>
    </row>
    <row r="84" spans="1:17" customFormat="1">
      <c r="A84" s="6" t="s">
        <v>2040</v>
      </c>
      <c r="B84" s="189">
        <v>5.72</v>
      </c>
      <c r="C84" s="189">
        <v>38.79</v>
      </c>
      <c r="D84" s="189">
        <v>23.81</v>
      </c>
      <c r="E84" s="189">
        <v>10.67</v>
      </c>
      <c r="F84" s="189">
        <v>24.41</v>
      </c>
      <c r="G84" s="189">
        <v>69.44</v>
      </c>
      <c r="H84" s="189">
        <v>23.72</v>
      </c>
      <c r="I84" s="189">
        <v>5.15</v>
      </c>
      <c r="J84" s="189">
        <v>0.56000000000000005</v>
      </c>
      <c r="K84" s="189">
        <v>262.43</v>
      </c>
      <c r="L84" s="189">
        <v>37.92</v>
      </c>
      <c r="M84" s="189">
        <v>27.98</v>
      </c>
      <c r="N84" s="189">
        <v>0</v>
      </c>
      <c r="O84" s="189">
        <v>0</v>
      </c>
      <c r="P84" s="189">
        <v>0.64</v>
      </c>
      <c r="Q84" s="189">
        <v>4.57</v>
      </c>
    </row>
    <row r="85" spans="1:17" customFormat="1">
      <c r="A85" s="6" t="s">
        <v>2041</v>
      </c>
      <c r="B85" s="189">
        <v>4.84</v>
      </c>
      <c r="C85" s="189">
        <v>33.81</v>
      </c>
      <c r="D85" s="189">
        <v>20.5</v>
      </c>
      <c r="E85" s="189">
        <v>11.29</v>
      </c>
      <c r="F85" s="189">
        <v>30.99</v>
      </c>
      <c r="G85" s="189">
        <v>69.44</v>
      </c>
      <c r="H85" s="189">
        <v>23.72</v>
      </c>
      <c r="I85" s="189">
        <v>4.8899999999999997</v>
      </c>
      <c r="J85" s="189">
        <v>0.76</v>
      </c>
      <c r="K85" s="189">
        <v>255.38</v>
      </c>
      <c r="L85" s="189">
        <v>37.65</v>
      </c>
      <c r="M85" s="189">
        <v>27.47</v>
      </c>
      <c r="N85" s="189">
        <v>0</v>
      </c>
      <c r="O85" s="189">
        <v>0</v>
      </c>
      <c r="P85" s="189">
        <v>0.55000000000000004</v>
      </c>
      <c r="Q85" s="189">
        <v>4.55</v>
      </c>
    </row>
    <row r="86" spans="1:17" customFormat="1">
      <c r="A86" s="6" t="s">
        <v>2042</v>
      </c>
      <c r="B86" s="189">
        <v>4.8</v>
      </c>
      <c r="C86" s="189">
        <v>31.61</v>
      </c>
      <c r="D86" s="189">
        <v>19.32</v>
      </c>
      <c r="E86" s="189">
        <v>10.27</v>
      </c>
      <c r="F86" s="189">
        <v>31.3</v>
      </c>
      <c r="G86" s="189">
        <v>69.44</v>
      </c>
      <c r="H86" s="189">
        <v>23.72</v>
      </c>
      <c r="I86" s="189">
        <v>4.99</v>
      </c>
      <c r="J86" s="189">
        <v>0.7</v>
      </c>
      <c r="K86" s="189">
        <v>255.67</v>
      </c>
      <c r="L86" s="189">
        <v>37.47</v>
      </c>
      <c r="M86" s="189">
        <v>27.65</v>
      </c>
      <c r="N86" s="189">
        <v>0</v>
      </c>
      <c r="O86" s="189">
        <v>0</v>
      </c>
      <c r="P86" s="189">
        <v>0.53</v>
      </c>
      <c r="Q86" s="189">
        <v>4.5199999999999996</v>
      </c>
    </row>
    <row r="87" spans="1:17" customFormat="1">
      <c r="A87" s="6" t="s">
        <v>2043</v>
      </c>
      <c r="B87" s="189">
        <v>4.51</v>
      </c>
      <c r="C87" s="189">
        <v>29.54</v>
      </c>
      <c r="D87" s="189">
        <v>18.010000000000002</v>
      </c>
      <c r="E87" s="189">
        <v>9.74</v>
      </c>
      <c r="F87" s="189">
        <v>34.94</v>
      </c>
      <c r="G87" s="189">
        <v>71.14</v>
      </c>
      <c r="H87" s="189">
        <v>21.12</v>
      </c>
      <c r="I87" s="189">
        <v>4.8499999999999996</v>
      </c>
      <c r="J87" s="189">
        <v>0.68</v>
      </c>
      <c r="K87" s="189">
        <v>259.33999999999997</v>
      </c>
      <c r="L87" s="189">
        <v>37.200000000000003</v>
      </c>
      <c r="M87" s="189">
        <v>28.16</v>
      </c>
      <c r="N87" s="189">
        <v>0</v>
      </c>
      <c r="O87" s="189">
        <v>0</v>
      </c>
      <c r="P87" s="189">
        <v>0.53</v>
      </c>
      <c r="Q87" s="189">
        <v>4.5199999999999996</v>
      </c>
    </row>
    <row r="88" spans="1:17" customFormat="1">
      <c r="A88" s="6" t="s">
        <v>2044</v>
      </c>
      <c r="B88" s="189">
        <v>4.42</v>
      </c>
      <c r="C88" s="189">
        <v>30.17</v>
      </c>
      <c r="D88" s="189">
        <v>18.260000000000002</v>
      </c>
      <c r="E88" s="189">
        <v>8.85</v>
      </c>
      <c r="F88" s="189">
        <v>31.84</v>
      </c>
      <c r="G88" s="189">
        <v>72.12</v>
      </c>
      <c r="H88" s="189">
        <v>20.65</v>
      </c>
      <c r="I88" s="189">
        <v>4.53</v>
      </c>
      <c r="J88" s="189">
        <v>0.54</v>
      </c>
      <c r="K88" s="189">
        <v>258.66000000000003</v>
      </c>
      <c r="L88" s="189">
        <v>37.08</v>
      </c>
      <c r="M88" s="189">
        <v>28.64</v>
      </c>
      <c r="N88" s="189">
        <v>0</v>
      </c>
      <c r="O88" s="189">
        <v>0</v>
      </c>
      <c r="P88" s="189">
        <v>0.52</v>
      </c>
      <c r="Q88" s="189">
        <v>4.51</v>
      </c>
    </row>
    <row r="89" spans="1:17" customFormat="1">
      <c r="A89" s="6" t="s">
        <v>2045</v>
      </c>
      <c r="B89" s="189">
        <v>4.46</v>
      </c>
      <c r="C89" s="189">
        <v>29.04</v>
      </c>
      <c r="D89" s="189">
        <v>17.7</v>
      </c>
      <c r="E89" s="189">
        <v>7.66</v>
      </c>
      <c r="F89" s="189">
        <v>30.29</v>
      </c>
      <c r="G89" s="189">
        <v>72.12</v>
      </c>
      <c r="H89" s="189">
        <v>20.65</v>
      </c>
      <c r="I89" s="189">
        <v>4.33</v>
      </c>
      <c r="J89" s="189">
        <v>0.56000000000000005</v>
      </c>
      <c r="K89" s="189">
        <v>263.02</v>
      </c>
      <c r="L89" s="189">
        <v>36.78</v>
      </c>
      <c r="M89" s="189">
        <v>28.78</v>
      </c>
      <c r="N89" s="189">
        <v>0</v>
      </c>
      <c r="O89" s="189">
        <v>0</v>
      </c>
      <c r="P89" s="189">
        <v>0.53</v>
      </c>
      <c r="Q89" s="189">
        <v>4.49</v>
      </c>
    </row>
    <row r="90" spans="1:17" customFormat="1">
      <c r="A90" s="6" t="s">
        <v>2046</v>
      </c>
      <c r="B90" s="189">
        <v>4.7</v>
      </c>
      <c r="C90" s="189">
        <v>29.65</v>
      </c>
      <c r="D90" s="189">
        <v>18.21</v>
      </c>
      <c r="E90" s="189">
        <v>6.9</v>
      </c>
      <c r="F90" s="189">
        <v>26.06</v>
      </c>
      <c r="G90" s="189">
        <v>72.12</v>
      </c>
      <c r="H90" s="189">
        <v>20.65</v>
      </c>
      <c r="I90" s="189">
        <v>4.2300000000000004</v>
      </c>
      <c r="J90" s="189">
        <v>0.61</v>
      </c>
      <c r="K90" s="189">
        <v>255.62</v>
      </c>
      <c r="L90" s="189">
        <v>36.54</v>
      </c>
      <c r="M90" s="189">
        <v>29.19</v>
      </c>
      <c r="N90" s="189">
        <v>0</v>
      </c>
      <c r="O90" s="189">
        <v>0</v>
      </c>
      <c r="P90" s="189">
        <v>0.55000000000000004</v>
      </c>
      <c r="Q90" s="189">
        <v>4.47</v>
      </c>
    </row>
    <row r="91" spans="1:17" customFormat="1">
      <c r="A91" s="6" t="s">
        <v>2047</v>
      </c>
      <c r="B91" s="189">
        <v>4.92</v>
      </c>
      <c r="C91" s="189">
        <v>30.36</v>
      </c>
      <c r="D91" s="189">
        <v>18.760000000000002</v>
      </c>
      <c r="E91" s="189">
        <v>6.37</v>
      </c>
      <c r="F91" s="189">
        <v>26.28</v>
      </c>
      <c r="G91" s="189">
        <v>69.58</v>
      </c>
      <c r="H91" s="189">
        <v>20.440000000000001</v>
      </c>
      <c r="I91" s="189">
        <v>4.2699999999999996</v>
      </c>
      <c r="J91" s="189">
        <v>0.7</v>
      </c>
      <c r="K91" s="189">
        <v>261.75</v>
      </c>
      <c r="L91" s="189">
        <v>36.450000000000003</v>
      </c>
      <c r="M91" s="189">
        <v>29.39</v>
      </c>
      <c r="N91" s="189">
        <v>0</v>
      </c>
      <c r="O91" s="189">
        <v>0</v>
      </c>
      <c r="P91" s="189">
        <v>0.54</v>
      </c>
      <c r="Q91" s="189">
        <v>4.47</v>
      </c>
    </row>
    <row r="92" spans="1:17" customFormat="1">
      <c r="A92" s="6" t="s">
        <v>2048</v>
      </c>
      <c r="B92" s="189">
        <v>5.04</v>
      </c>
      <c r="C92" s="189">
        <v>29.84</v>
      </c>
      <c r="D92" s="189">
        <v>18.59</v>
      </c>
      <c r="E92" s="189">
        <v>6.49</v>
      </c>
      <c r="F92" s="189">
        <v>24.3</v>
      </c>
      <c r="G92" s="189">
        <v>68.11</v>
      </c>
      <c r="H92" s="189">
        <v>20.39</v>
      </c>
      <c r="I92" s="189">
        <v>4.38</v>
      </c>
      <c r="J92" s="189">
        <v>0.64</v>
      </c>
      <c r="K92" s="189">
        <v>258.08</v>
      </c>
      <c r="L92" s="189">
        <v>36.43</v>
      </c>
      <c r="M92" s="189">
        <v>29.85</v>
      </c>
      <c r="N92" s="189">
        <v>0</v>
      </c>
      <c r="O92" s="189">
        <v>0</v>
      </c>
      <c r="P92" s="189">
        <v>0.54</v>
      </c>
      <c r="Q92" s="189">
        <v>4.45</v>
      </c>
    </row>
    <row r="93" spans="1:17" customFormat="1">
      <c r="A93" s="6" t="s">
        <v>2049</v>
      </c>
      <c r="B93" s="189">
        <v>4.95</v>
      </c>
      <c r="C93" s="189">
        <v>30.27</v>
      </c>
      <c r="D93" s="189">
        <v>18.75</v>
      </c>
      <c r="E93" s="189">
        <v>6.44</v>
      </c>
      <c r="F93" s="189">
        <v>23.39</v>
      </c>
      <c r="G93" s="189">
        <v>68.11</v>
      </c>
      <c r="H93" s="189">
        <v>20.39</v>
      </c>
      <c r="I93" s="189">
        <v>4.42</v>
      </c>
      <c r="J93" s="189">
        <v>0.61</v>
      </c>
      <c r="K93" s="189">
        <v>258.7</v>
      </c>
      <c r="L93" s="189">
        <v>36.119999999999997</v>
      </c>
      <c r="M93" s="189">
        <v>30.54</v>
      </c>
      <c r="N93" s="189">
        <v>0</v>
      </c>
      <c r="O93" s="189">
        <v>0</v>
      </c>
      <c r="P93" s="189">
        <v>0.56000000000000005</v>
      </c>
      <c r="Q93" s="189">
        <v>4.46</v>
      </c>
    </row>
    <row r="94" spans="1:17" customFormat="1">
      <c r="A94" s="6" t="s">
        <v>2050</v>
      </c>
      <c r="B94" s="189">
        <v>5.15</v>
      </c>
      <c r="C94" s="189">
        <v>31.25</v>
      </c>
      <c r="D94" s="189">
        <v>19.41</v>
      </c>
      <c r="E94" s="189">
        <v>6.53</v>
      </c>
      <c r="F94" s="189">
        <v>22.51</v>
      </c>
      <c r="G94" s="189">
        <v>68.11</v>
      </c>
      <c r="H94" s="189">
        <v>20.39</v>
      </c>
      <c r="I94" s="189">
        <v>4.41</v>
      </c>
      <c r="J94" s="189">
        <v>0.72</v>
      </c>
      <c r="K94" s="189">
        <v>254.83</v>
      </c>
      <c r="L94" s="189">
        <v>35.94</v>
      </c>
      <c r="M94" s="189">
        <v>30.93</v>
      </c>
      <c r="N94" s="189">
        <v>0</v>
      </c>
      <c r="O94" s="189">
        <v>0</v>
      </c>
      <c r="P94" s="189">
        <v>0.55000000000000004</v>
      </c>
      <c r="Q94" s="189">
        <v>4.4800000000000004</v>
      </c>
    </row>
    <row r="95" spans="1:17" customFormat="1">
      <c r="A95" s="6" t="s">
        <v>2051</v>
      </c>
      <c r="B95" s="189">
        <v>5.27</v>
      </c>
      <c r="C95" s="189">
        <v>29.57</v>
      </c>
      <c r="D95" s="189">
        <v>18.63</v>
      </c>
      <c r="E95" s="189">
        <v>6.64</v>
      </c>
      <c r="F95" s="189">
        <v>25.02</v>
      </c>
      <c r="G95" s="189">
        <v>66.72</v>
      </c>
      <c r="H95" s="189">
        <v>20.74</v>
      </c>
      <c r="I95" s="189">
        <v>4.5199999999999996</v>
      </c>
      <c r="J95" s="189">
        <v>0.62</v>
      </c>
      <c r="K95" s="189">
        <v>255.39</v>
      </c>
      <c r="L95" s="189">
        <v>35.85</v>
      </c>
      <c r="M95" s="189">
        <v>31.09</v>
      </c>
      <c r="N95" s="189">
        <v>0</v>
      </c>
      <c r="O95" s="189">
        <v>0</v>
      </c>
      <c r="P95" s="189">
        <v>0.53</v>
      </c>
      <c r="Q95" s="189">
        <v>4.47</v>
      </c>
    </row>
    <row r="96" spans="1:17" customFormat="1">
      <c r="A96" s="6" t="s">
        <v>2052</v>
      </c>
      <c r="B96" s="189">
        <v>5.12</v>
      </c>
      <c r="C96" s="189">
        <v>26.62</v>
      </c>
      <c r="D96" s="189">
        <v>16.97</v>
      </c>
      <c r="E96" s="189">
        <v>6.94</v>
      </c>
      <c r="F96" s="189">
        <v>26.51</v>
      </c>
      <c r="G96" s="189">
        <v>65.92</v>
      </c>
      <c r="H96" s="189">
        <v>20.8</v>
      </c>
      <c r="I96" s="189">
        <v>4.49</v>
      </c>
      <c r="J96" s="189">
        <v>0.56000000000000005</v>
      </c>
      <c r="K96" s="189">
        <v>258.33999999999997</v>
      </c>
      <c r="L96" s="189">
        <v>35.700000000000003</v>
      </c>
      <c r="M96" s="189">
        <v>31.72</v>
      </c>
      <c r="N96" s="189">
        <v>0</v>
      </c>
      <c r="O96" s="189">
        <v>0</v>
      </c>
      <c r="P96" s="189">
        <v>0.51</v>
      </c>
      <c r="Q96" s="189">
        <v>4.45</v>
      </c>
    </row>
    <row r="97" spans="1:22" customFormat="1">
      <c r="A97" s="6" t="s">
        <v>2053</v>
      </c>
      <c r="B97" s="189">
        <v>5.05</v>
      </c>
      <c r="C97" s="189">
        <v>26.93</v>
      </c>
      <c r="D97" s="189">
        <v>17.07</v>
      </c>
      <c r="E97" s="189">
        <v>6.77</v>
      </c>
      <c r="F97" s="189">
        <v>25.12</v>
      </c>
      <c r="G97" s="189">
        <v>65.92</v>
      </c>
      <c r="H97" s="189">
        <v>20.8</v>
      </c>
      <c r="I97" s="189">
        <v>4.2300000000000004</v>
      </c>
      <c r="J97" s="189">
        <v>0.28000000000000003</v>
      </c>
      <c r="K97" s="189">
        <v>232.51</v>
      </c>
      <c r="L97" s="189">
        <v>35.26</v>
      </c>
      <c r="M97" s="189">
        <v>33.409999999999997</v>
      </c>
      <c r="N97" s="189">
        <v>0</v>
      </c>
      <c r="O97" s="189">
        <v>0</v>
      </c>
      <c r="P97" s="189">
        <v>0.52</v>
      </c>
      <c r="Q97" s="189">
        <v>4.4400000000000004</v>
      </c>
    </row>
    <row r="98" spans="1:22" customFormat="1">
      <c r="A98" s="6" t="s">
        <v>2054</v>
      </c>
      <c r="B98" s="189">
        <v>6.06</v>
      </c>
      <c r="C98" s="189">
        <v>32.32</v>
      </c>
      <c r="D98" s="189">
        <v>20.7</v>
      </c>
      <c r="E98" s="189">
        <v>6.38</v>
      </c>
      <c r="F98" s="189">
        <v>15.97</v>
      </c>
      <c r="G98" s="189">
        <v>65.92</v>
      </c>
      <c r="H98" s="189">
        <v>20.8</v>
      </c>
      <c r="I98" s="189">
        <v>4.08</v>
      </c>
      <c r="J98" s="189">
        <v>0.43</v>
      </c>
      <c r="K98" s="189">
        <v>249.2</v>
      </c>
      <c r="L98" s="189">
        <v>34.950000000000003</v>
      </c>
      <c r="M98" s="189">
        <v>34.200000000000003</v>
      </c>
      <c r="N98" s="189">
        <v>0</v>
      </c>
      <c r="O98" s="189">
        <v>0</v>
      </c>
      <c r="P98" s="189">
        <v>0.54</v>
      </c>
      <c r="Q98" s="189">
        <v>4.46</v>
      </c>
    </row>
    <row r="99" spans="1:22" customFormat="1">
      <c r="A99" s="6" t="s">
        <v>2055</v>
      </c>
      <c r="B99" s="189">
        <v>6.06</v>
      </c>
      <c r="C99" s="189">
        <v>31.25</v>
      </c>
      <c r="D99" s="189">
        <v>20.14</v>
      </c>
      <c r="E99" s="189">
        <v>6.36</v>
      </c>
      <c r="F99" s="189">
        <v>22.08</v>
      </c>
      <c r="G99" s="189">
        <v>63.73</v>
      </c>
      <c r="H99" s="189">
        <v>20.5</v>
      </c>
      <c r="I99" s="189">
        <v>4.29</v>
      </c>
      <c r="J99" s="189">
        <v>0.54</v>
      </c>
      <c r="K99" s="189">
        <v>252.44</v>
      </c>
      <c r="L99" s="189">
        <v>34.99</v>
      </c>
      <c r="M99" s="189">
        <v>33.69</v>
      </c>
      <c r="N99" s="189">
        <v>0</v>
      </c>
      <c r="O99" s="189">
        <v>0</v>
      </c>
      <c r="P99" s="189">
        <v>0.51</v>
      </c>
      <c r="Q99" s="189">
        <v>4.54</v>
      </c>
    </row>
    <row r="100" spans="1:22" customFormat="1">
      <c r="A100" s="6" t="s">
        <v>2056</v>
      </c>
      <c r="B100" s="189">
        <v>6.3</v>
      </c>
      <c r="C100" s="189">
        <v>31.96</v>
      </c>
      <c r="D100" s="189">
        <v>20.7</v>
      </c>
      <c r="E100" s="189">
        <v>6.32</v>
      </c>
      <c r="F100" s="189">
        <v>19.18</v>
      </c>
      <c r="G100" s="189">
        <v>62.46</v>
      </c>
      <c r="H100" s="189">
        <v>20.45</v>
      </c>
      <c r="I100" s="189">
        <v>4.34</v>
      </c>
      <c r="J100" s="189">
        <v>0.56999999999999995</v>
      </c>
      <c r="K100" s="189">
        <v>249.83</v>
      </c>
      <c r="L100" s="189">
        <v>34.869999999999997</v>
      </c>
      <c r="M100" s="189">
        <v>33.81</v>
      </c>
      <c r="N100" s="189">
        <v>0</v>
      </c>
      <c r="O100" s="189">
        <v>0</v>
      </c>
      <c r="P100" s="189">
        <v>0.5</v>
      </c>
      <c r="Q100" s="189">
        <v>4.54</v>
      </c>
    </row>
    <row r="101" spans="1:22" customFormat="1">
      <c r="A101" s="6" t="s">
        <v>2057</v>
      </c>
      <c r="B101" s="189">
        <v>6.65</v>
      </c>
      <c r="C101" s="189">
        <v>30.7</v>
      </c>
      <c r="D101" s="189">
        <v>20.329999999999998</v>
      </c>
      <c r="E101" s="189">
        <v>5.94</v>
      </c>
      <c r="F101" s="189">
        <v>19.059999999999999</v>
      </c>
      <c r="G101" s="189">
        <v>62.46</v>
      </c>
      <c r="H101" s="189">
        <v>20.45</v>
      </c>
      <c r="I101" s="189">
        <v>4.18</v>
      </c>
      <c r="J101" s="189">
        <v>0.69</v>
      </c>
      <c r="K101" s="189">
        <v>250.33</v>
      </c>
      <c r="L101" s="189">
        <v>34.81</v>
      </c>
      <c r="M101" s="189">
        <v>33.03</v>
      </c>
      <c r="N101" s="189">
        <v>0</v>
      </c>
      <c r="O101" s="189">
        <v>0</v>
      </c>
      <c r="P101" s="189">
        <v>0.48</v>
      </c>
      <c r="Q101" s="189">
        <v>4.53</v>
      </c>
    </row>
    <row r="102" spans="1:22" customFormat="1">
      <c r="A102" s="6" t="s">
        <v>2058</v>
      </c>
      <c r="B102" s="189">
        <v>6.43</v>
      </c>
      <c r="C102" s="189">
        <v>29.73</v>
      </c>
      <c r="D102" s="189">
        <v>19.64</v>
      </c>
      <c r="E102" s="189">
        <v>6.4</v>
      </c>
      <c r="F102" s="189">
        <v>20.58</v>
      </c>
      <c r="G102" s="189">
        <v>62.46</v>
      </c>
      <c r="H102" s="189">
        <v>20.45</v>
      </c>
      <c r="I102" s="189">
        <v>4.12</v>
      </c>
      <c r="J102" s="189">
        <v>0.5</v>
      </c>
      <c r="K102" s="189">
        <v>248.37</v>
      </c>
      <c r="L102" s="189">
        <v>34.67</v>
      </c>
      <c r="M102" s="189">
        <v>32.840000000000003</v>
      </c>
      <c r="N102" s="189">
        <v>0</v>
      </c>
      <c r="O102" s="189">
        <v>0</v>
      </c>
      <c r="P102" s="189">
        <v>0.46</v>
      </c>
      <c r="Q102" s="189">
        <v>4.5199999999999996</v>
      </c>
    </row>
    <row r="103" spans="1:22" customFormat="1">
      <c r="A103" s="6" t="s">
        <v>2059</v>
      </c>
      <c r="B103" s="189">
        <v>6.16</v>
      </c>
      <c r="C103" s="189">
        <v>29.12</v>
      </c>
      <c r="D103" s="189">
        <v>19.11</v>
      </c>
      <c r="E103" s="189">
        <v>5.37</v>
      </c>
      <c r="F103" s="189">
        <v>20.36</v>
      </c>
      <c r="G103" s="189">
        <v>61.83</v>
      </c>
      <c r="H103" s="189">
        <v>18.649999999999999</v>
      </c>
      <c r="I103" s="189">
        <v>3.99</v>
      </c>
      <c r="J103" s="189">
        <v>0.45</v>
      </c>
      <c r="K103" s="189">
        <v>238.8</v>
      </c>
      <c r="L103" s="189">
        <v>34.409999999999997</v>
      </c>
      <c r="M103" s="189">
        <v>33.04</v>
      </c>
      <c r="N103" s="189">
        <v>0</v>
      </c>
      <c r="O103" s="189">
        <v>0</v>
      </c>
      <c r="P103" s="189">
        <v>0.44</v>
      </c>
      <c r="Q103" s="189">
        <v>4.47</v>
      </c>
    </row>
    <row r="104" spans="1:22" customFormat="1">
      <c r="A104" s="6" t="s">
        <v>2060</v>
      </c>
      <c r="B104" s="189">
        <v>5.99</v>
      </c>
      <c r="C104" s="189">
        <v>28.39</v>
      </c>
      <c r="D104" s="189">
        <v>18.59</v>
      </c>
      <c r="E104" s="189">
        <v>6.32</v>
      </c>
      <c r="F104" s="189">
        <v>19.489999999999998</v>
      </c>
      <c r="G104" s="189">
        <v>61.47</v>
      </c>
      <c r="H104" s="189">
        <v>18.329999999999998</v>
      </c>
      <c r="I104" s="189">
        <v>3.78</v>
      </c>
      <c r="J104" s="189">
        <v>0.25</v>
      </c>
      <c r="K104" s="189">
        <v>190.28</v>
      </c>
      <c r="L104" s="189">
        <v>33.92</v>
      </c>
      <c r="M104" s="189">
        <v>35.33</v>
      </c>
      <c r="N104" s="189">
        <v>0</v>
      </c>
      <c r="O104" s="189">
        <v>0</v>
      </c>
      <c r="P104" s="189">
        <v>0.42</v>
      </c>
      <c r="Q104" s="189">
        <v>4.4400000000000004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4.1399999999999997</v>
      </c>
      <c r="C106" s="183">
        <f>MIN(C9:C104)</f>
        <v>26.62</v>
      </c>
      <c r="D106" s="183">
        <f t="shared" ref="D106:Q106" si="0">MIN(D9:D104)</f>
        <v>16.97</v>
      </c>
      <c r="E106" s="183">
        <f t="shared" si="0"/>
        <v>5.37</v>
      </c>
      <c r="F106" s="183">
        <f t="shared" si="0"/>
        <v>5.92</v>
      </c>
      <c r="G106" s="183">
        <f t="shared" si="0"/>
        <v>61.47</v>
      </c>
      <c r="H106" s="183">
        <f t="shared" si="0"/>
        <v>18.329999999999998</v>
      </c>
      <c r="I106" s="183">
        <f t="shared" si="0"/>
        <v>3.78</v>
      </c>
      <c r="J106" s="183">
        <f t="shared" si="0"/>
        <v>0.08</v>
      </c>
      <c r="K106" s="183">
        <f t="shared" si="0"/>
        <v>8.7200000000000006</v>
      </c>
      <c r="L106" s="183">
        <f t="shared" si="0"/>
        <v>29.92</v>
      </c>
      <c r="M106" s="183">
        <f t="shared" si="0"/>
        <v>19.239999999999998</v>
      </c>
      <c r="N106" s="183">
        <f t="shared" si="0"/>
        <v>0</v>
      </c>
      <c r="O106" s="183">
        <f t="shared" si="0"/>
        <v>0</v>
      </c>
      <c r="P106" s="183">
        <f t="shared" si="0"/>
        <v>0.42</v>
      </c>
      <c r="Q106" s="183">
        <f t="shared" si="0"/>
        <v>4.43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19.399999999999999</v>
      </c>
      <c r="C107" s="184">
        <f t="shared" ref="C107:Q107" si="1">MAX(C9:C104)</f>
        <v>46.37</v>
      </c>
      <c r="D107" s="184">
        <f t="shared" si="1"/>
        <v>38.74</v>
      </c>
      <c r="E107" s="184">
        <f t="shared" si="1"/>
        <v>49.51</v>
      </c>
      <c r="F107" s="184">
        <f t="shared" si="1"/>
        <v>36.03</v>
      </c>
      <c r="G107" s="184">
        <f t="shared" si="1"/>
        <v>86.2</v>
      </c>
      <c r="H107" s="184">
        <f t="shared" si="1"/>
        <v>33.82</v>
      </c>
      <c r="I107" s="184">
        <f t="shared" si="1"/>
        <v>7.76</v>
      </c>
      <c r="J107" s="184">
        <f t="shared" si="1"/>
        <v>1.29</v>
      </c>
      <c r="K107" s="184">
        <f t="shared" si="1"/>
        <v>316.93</v>
      </c>
      <c r="L107" s="184">
        <f t="shared" si="1"/>
        <v>41.86</v>
      </c>
      <c r="M107" s="184">
        <f t="shared" si="1"/>
        <v>54.42</v>
      </c>
      <c r="N107" s="184">
        <f t="shared" si="1"/>
        <v>821</v>
      </c>
      <c r="O107" s="184">
        <f t="shared" si="1"/>
        <v>0</v>
      </c>
      <c r="P107" s="184">
        <f t="shared" si="1"/>
        <v>0.79</v>
      </c>
      <c r="Q107" s="184">
        <f t="shared" si="1"/>
        <v>5.32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9.1190625000000001</v>
      </c>
      <c r="C108" s="183">
        <f t="shared" ref="C108:Q108" si="2">AVERAGE(C9:C104)</f>
        <v>36.819687499999986</v>
      </c>
      <c r="D108" s="183">
        <f t="shared" si="2"/>
        <v>25.504999999999999</v>
      </c>
      <c r="E108" s="183">
        <f t="shared" si="2"/>
        <v>13.628124999999999</v>
      </c>
      <c r="F108" s="183">
        <f t="shared" si="2"/>
        <v>20.152708333333326</v>
      </c>
      <c r="G108" s="183">
        <f t="shared" si="2"/>
        <v>73.529895833333327</v>
      </c>
      <c r="H108" s="183">
        <f t="shared" si="2"/>
        <v>25.193437499999998</v>
      </c>
      <c r="I108" s="183">
        <f t="shared" si="2"/>
        <v>5.5245833333333332</v>
      </c>
      <c r="J108" s="183">
        <f t="shared" si="2"/>
        <v>0.5736458333333333</v>
      </c>
      <c r="K108" s="183">
        <f t="shared" si="2"/>
        <v>223.82354166666661</v>
      </c>
      <c r="L108" s="183">
        <f t="shared" si="2"/>
        <v>36.446979166666658</v>
      </c>
      <c r="M108" s="183">
        <f t="shared" si="2"/>
        <v>32.746458333333322</v>
      </c>
      <c r="N108" s="183">
        <f t="shared" si="2"/>
        <v>171.04166666666666</v>
      </c>
      <c r="O108" s="183">
        <f t="shared" si="2"/>
        <v>0</v>
      </c>
      <c r="P108" s="183">
        <f t="shared" si="2"/>
        <v>0.5921875000000002</v>
      </c>
      <c r="Q108" s="183">
        <f t="shared" si="2"/>
        <v>4.8134375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4.3562207372724098</v>
      </c>
      <c r="C109" s="183">
        <f t="shared" ref="C109:Q109" si="3">STDEV(C9:C104)</f>
        <v>4.5686115484098995</v>
      </c>
      <c r="D109" s="183">
        <f t="shared" si="3"/>
        <v>5.4393469035208559</v>
      </c>
      <c r="E109" s="183">
        <f t="shared" si="3"/>
        <v>8.8480751772408208</v>
      </c>
      <c r="F109" s="183">
        <f t="shared" si="3"/>
        <v>7.8094027643020327</v>
      </c>
      <c r="G109" s="183">
        <f t="shared" si="3"/>
        <v>6.1271742426310531</v>
      </c>
      <c r="H109" s="183">
        <f t="shared" si="3"/>
        <v>5.055926554289413</v>
      </c>
      <c r="I109" s="183">
        <f t="shared" si="3"/>
        <v>0.78853483942210623</v>
      </c>
      <c r="J109" s="183">
        <f t="shared" si="3"/>
        <v>0.31935171105049259</v>
      </c>
      <c r="K109" s="183">
        <f t="shared" si="3"/>
        <v>79.578244276067224</v>
      </c>
      <c r="L109" s="183">
        <f t="shared" si="3"/>
        <v>3.4935164368153457</v>
      </c>
      <c r="M109" s="183">
        <f t="shared" si="3"/>
        <v>8.540464301339636</v>
      </c>
      <c r="N109" s="183">
        <f t="shared" si="3"/>
        <v>242.24073744354598</v>
      </c>
      <c r="O109" s="183">
        <f t="shared" si="3"/>
        <v>0</v>
      </c>
      <c r="P109" s="183">
        <f t="shared" si="3"/>
        <v>6.1064299588304304E-2</v>
      </c>
      <c r="Q109" s="183">
        <f t="shared" si="3"/>
        <v>0.30266823290613726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20/06/2023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2061</v>
      </c>
      <c r="B9" s="189">
        <v>5.22</v>
      </c>
      <c r="C9" s="189">
        <v>30.58</v>
      </c>
      <c r="D9" s="189">
        <v>19.12</v>
      </c>
      <c r="E9" s="189">
        <v>6.42</v>
      </c>
      <c r="F9" s="189">
        <v>17.55</v>
      </c>
      <c r="G9" s="189">
        <v>61.47</v>
      </c>
      <c r="H9" s="189">
        <v>18.329999999999998</v>
      </c>
      <c r="I9" s="189">
        <v>3.56</v>
      </c>
      <c r="J9" s="189">
        <v>0.19</v>
      </c>
      <c r="K9" s="189">
        <v>190.82</v>
      </c>
      <c r="L9" s="189">
        <v>33.29</v>
      </c>
      <c r="M9" s="189">
        <v>37.47</v>
      </c>
      <c r="N9" s="189">
        <v>0</v>
      </c>
      <c r="O9" s="189">
        <v>0</v>
      </c>
      <c r="P9" s="189">
        <v>0.45</v>
      </c>
      <c r="Q9" s="189">
        <v>4.55</v>
      </c>
    </row>
    <row r="10" spans="1:21" customFormat="1">
      <c r="A10" s="6" t="s">
        <v>2062</v>
      </c>
      <c r="B10" s="189">
        <v>5.47</v>
      </c>
      <c r="C10" s="189">
        <v>28.55</v>
      </c>
      <c r="D10" s="189">
        <v>18.25</v>
      </c>
      <c r="E10" s="189">
        <v>6.07</v>
      </c>
      <c r="F10" s="189">
        <v>18.14</v>
      </c>
      <c r="G10" s="189">
        <v>61.47</v>
      </c>
      <c r="H10" s="189">
        <v>18.329999999999998</v>
      </c>
      <c r="I10" s="189">
        <v>3.74</v>
      </c>
      <c r="J10" s="189">
        <v>0.17</v>
      </c>
      <c r="K10" s="189">
        <v>214.48</v>
      </c>
      <c r="L10" s="189">
        <v>32.630000000000003</v>
      </c>
      <c r="M10" s="189">
        <v>39.43</v>
      </c>
      <c r="N10" s="189">
        <v>0</v>
      </c>
      <c r="O10" s="189">
        <v>0</v>
      </c>
      <c r="P10" s="189">
        <v>0.43</v>
      </c>
      <c r="Q10" s="189">
        <v>4.5999999999999996</v>
      </c>
    </row>
    <row r="11" spans="1:21" customFormat="1">
      <c r="A11" s="6" t="s">
        <v>2063</v>
      </c>
      <c r="B11" s="189">
        <v>5.33</v>
      </c>
      <c r="C11" s="189">
        <v>26.76</v>
      </c>
      <c r="D11" s="189">
        <v>17.21</v>
      </c>
      <c r="E11" s="189">
        <v>6.35</v>
      </c>
      <c r="F11" s="189">
        <v>18.600000000000001</v>
      </c>
      <c r="G11" s="189">
        <v>60.34</v>
      </c>
      <c r="H11" s="189">
        <v>18.96</v>
      </c>
      <c r="I11" s="189">
        <v>3.83</v>
      </c>
      <c r="J11" s="189">
        <v>0.12</v>
      </c>
      <c r="K11" s="189">
        <v>208.54</v>
      </c>
      <c r="L11" s="189">
        <v>32.44</v>
      </c>
      <c r="M11" s="189">
        <v>39.869999999999997</v>
      </c>
      <c r="N11" s="189">
        <v>0</v>
      </c>
      <c r="O11" s="189">
        <v>0</v>
      </c>
      <c r="P11" s="189">
        <v>0.41</v>
      </c>
      <c r="Q11" s="189">
        <v>4.57</v>
      </c>
    </row>
    <row r="12" spans="1:21" customFormat="1">
      <c r="A12" s="6" t="s">
        <v>2064</v>
      </c>
      <c r="B12" s="189">
        <v>6.23</v>
      </c>
      <c r="C12" s="189">
        <v>32.78</v>
      </c>
      <c r="D12" s="189">
        <v>21.08</v>
      </c>
      <c r="E12" s="189">
        <v>6.65</v>
      </c>
      <c r="F12" s="189">
        <v>13.13</v>
      </c>
      <c r="G12" s="189">
        <v>59.69</v>
      </c>
      <c r="H12" s="189">
        <v>19.149999999999999</v>
      </c>
      <c r="I12" s="189">
        <v>3.52</v>
      </c>
      <c r="J12" s="189">
        <v>0.14000000000000001</v>
      </c>
      <c r="K12" s="189">
        <v>208.49</v>
      </c>
      <c r="L12" s="189">
        <v>32.369999999999997</v>
      </c>
      <c r="M12" s="189">
        <v>39.909999999999997</v>
      </c>
      <c r="N12" s="189">
        <v>0</v>
      </c>
      <c r="O12" s="189">
        <v>0</v>
      </c>
      <c r="P12" s="189">
        <v>0.45</v>
      </c>
      <c r="Q12" s="189">
        <v>4.6399999999999997</v>
      </c>
    </row>
    <row r="13" spans="1:21" customFormat="1">
      <c r="A13" s="6" t="s">
        <v>2065</v>
      </c>
      <c r="B13" s="189">
        <v>6.34</v>
      </c>
      <c r="C13" s="189">
        <v>30.56</v>
      </c>
      <c r="D13" s="189">
        <v>20</v>
      </c>
      <c r="E13" s="189">
        <v>6.24</v>
      </c>
      <c r="F13" s="189">
        <v>15.36</v>
      </c>
      <c r="G13" s="189">
        <v>59.69</v>
      </c>
      <c r="H13" s="189">
        <v>19.149999999999999</v>
      </c>
      <c r="I13" s="189">
        <v>3.61</v>
      </c>
      <c r="J13" s="189">
        <v>0.18</v>
      </c>
      <c r="K13" s="189">
        <v>176.28</v>
      </c>
      <c r="L13" s="189">
        <v>32.11</v>
      </c>
      <c r="M13" s="189">
        <v>41.96</v>
      </c>
      <c r="N13" s="189">
        <v>0</v>
      </c>
      <c r="O13" s="189">
        <v>0</v>
      </c>
      <c r="P13" s="189">
        <v>0.43</v>
      </c>
      <c r="Q13" s="189">
        <v>4.6900000000000004</v>
      </c>
    </row>
    <row r="14" spans="1:21" customFormat="1">
      <c r="A14" s="6" t="s">
        <v>2066</v>
      </c>
      <c r="B14" s="189">
        <v>7.68</v>
      </c>
      <c r="C14" s="189">
        <v>34.299999999999997</v>
      </c>
      <c r="D14" s="189">
        <v>23.03</v>
      </c>
      <c r="E14" s="189">
        <v>5.96</v>
      </c>
      <c r="F14" s="189">
        <v>11.91</v>
      </c>
      <c r="G14" s="189">
        <v>59.69</v>
      </c>
      <c r="H14" s="189">
        <v>19.149999999999999</v>
      </c>
      <c r="I14" s="189">
        <v>3.71</v>
      </c>
      <c r="J14" s="189">
        <v>0.21</v>
      </c>
      <c r="K14" s="189">
        <v>186.89</v>
      </c>
      <c r="L14" s="189">
        <v>31.46</v>
      </c>
      <c r="M14" s="189">
        <v>44.98</v>
      </c>
      <c r="N14" s="189">
        <v>0</v>
      </c>
      <c r="O14" s="189">
        <v>0</v>
      </c>
      <c r="P14" s="189">
        <v>0.44</v>
      </c>
      <c r="Q14" s="189">
        <v>4.6399999999999997</v>
      </c>
    </row>
    <row r="15" spans="1:21" customFormat="1">
      <c r="A15" s="6" t="s">
        <v>2067</v>
      </c>
      <c r="B15" s="189">
        <v>7.75</v>
      </c>
      <c r="C15" s="189">
        <v>35.5</v>
      </c>
      <c r="D15" s="189">
        <v>23.72</v>
      </c>
      <c r="E15" s="189">
        <v>6.02</v>
      </c>
      <c r="F15" s="189">
        <v>11.63</v>
      </c>
      <c r="G15" s="189">
        <v>58.37</v>
      </c>
      <c r="H15" s="189">
        <v>16.29</v>
      </c>
      <c r="I15" s="189">
        <v>3.56</v>
      </c>
      <c r="J15" s="189">
        <v>0.19</v>
      </c>
      <c r="K15" s="189">
        <v>202.42</v>
      </c>
      <c r="L15" s="189">
        <v>31.21</v>
      </c>
      <c r="M15" s="189">
        <v>44.1</v>
      </c>
      <c r="N15" s="189">
        <v>0</v>
      </c>
      <c r="O15" s="189">
        <v>0</v>
      </c>
      <c r="P15" s="189">
        <v>0.43</v>
      </c>
      <c r="Q15" s="189">
        <v>4.71</v>
      </c>
    </row>
    <row r="16" spans="1:21" customFormat="1">
      <c r="A16" s="6" t="s">
        <v>2068</v>
      </c>
      <c r="B16" s="189">
        <v>7.92</v>
      </c>
      <c r="C16" s="189">
        <v>33.47</v>
      </c>
      <c r="D16" s="189">
        <v>22.79</v>
      </c>
      <c r="E16" s="189">
        <v>6.82</v>
      </c>
      <c r="F16" s="189">
        <v>12.25</v>
      </c>
      <c r="G16" s="189">
        <v>57.61</v>
      </c>
      <c r="H16" s="189">
        <v>15.73</v>
      </c>
      <c r="I16" s="189">
        <v>3.71</v>
      </c>
      <c r="J16" s="189">
        <v>0.16</v>
      </c>
      <c r="K16" s="189">
        <v>192.83</v>
      </c>
      <c r="L16" s="189">
        <v>31.3</v>
      </c>
      <c r="M16" s="189">
        <v>42.74</v>
      </c>
      <c r="N16" s="189">
        <v>0</v>
      </c>
      <c r="O16" s="189">
        <v>0</v>
      </c>
      <c r="P16" s="189">
        <v>0.42</v>
      </c>
      <c r="Q16" s="189">
        <v>4.7</v>
      </c>
    </row>
    <row r="17" spans="1:17" customFormat="1">
      <c r="A17" s="6" t="s">
        <v>2069</v>
      </c>
      <c r="B17" s="189">
        <v>8.7799999999999994</v>
      </c>
      <c r="C17" s="189">
        <v>37.06</v>
      </c>
      <c r="D17" s="189">
        <v>25.36</v>
      </c>
      <c r="E17" s="189">
        <v>5.08</v>
      </c>
      <c r="F17" s="189">
        <v>10.1</v>
      </c>
      <c r="G17" s="189">
        <v>57.61</v>
      </c>
      <c r="H17" s="189">
        <v>15.73</v>
      </c>
      <c r="I17" s="189">
        <v>3.65</v>
      </c>
      <c r="J17" s="189">
        <v>0.2</v>
      </c>
      <c r="K17" s="189">
        <v>194.07</v>
      </c>
      <c r="L17" s="189">
        <v>31.16</v>
      </c>
      <c r="M17" s="189">
        <v>44.24</v>
      </c>
      <c r="N17" s="189">
        <v>0</v>
      </c>
      <c r="O17" s="189">
        <v>0</v>
      </c>
      <c r="P17" s="189">
        <v>0.43</v>
      </c>
      <c r="Q17" s="189">
        <v>4.7699999999999996</v>
      </c>
    </row>
    <row r="18" spans="1:17" customFormat="1">
      <c r="A18" s="6" t="s">
        <v>2070</v>
      </c>
      <c r="B18" s="189">
        <v>8.1999999999999993</v>
      </c>
      <c r="C18" s="189">
        <v>32.01</v>
      </c>
      <c r="D18" s="189">
        <v>22.25</v>
      </c>
      <c r="E18" s="189">
        <v>5.03</v>
      </c>
      <c r="F18" s="189">
        <v>13.16</v>
      </c>
      <c r="G18" s="189">
        <v>57.61</v>
      </c>
      <c r="H18" s="189">
        <v>15.73</v>
      </c>
      <c r="I18" s="189">
        <v>3.62</v>
      </c>
      <c r="J18" s="189">
        <v>0.2</v>
      </c>
      <c r="K18" s="189">
        <v>197.69</v>
      </c>
      <c r="L18" s="189">
        <v>31.07</v>
      </c>
      <c r="M18" s="189">
        <v>43.53</v>
      </c>
      <c r="N18" s="189">
        <v>0</v>
      </c>
      <c r="O18" s="189">
        <v>0</v>
      </c>
      <c r="P18" s="189">
        <v>0.4</v>
      </c>
      <c r="Q18" s="189">
        <v>4.75</v>
      </c>
    </row>
    <row r="19" spans="1:17" customFormat="1">
      <c r="A19" s="6" t="s">
        <v>2071</v>
      </c>
      <c r="B19" s="189">
        <v>9.42</v>
      </c>
      <c r="C19" s="189">
        <v>37.4</v>
      </c>
      <c r="D19" s="189">
        <v>26.06</v>
      </c>
      <c r="E19" s="189">
        <v>5.79</v>
      </c>
      <c r="F19" s="189">
        <v>11.03</v>
      </c>
      <c r="G19" s="189">
        <v>55.16</v>
      </c>
      <c r="H19" s="189">
        <v>16.46</v>
      </c>
      <c r="I19" s="189">
        <v>3.68</v>
      </c>
      <c r="J19" s="189">
        <v>0.16</v>
      </c>
      <c r="K19" s="189">
        <v>202.01</v>
      </c>
      <c r="L19" s="189">
        <v>31.11</v>
      </c>
      <c r="M19" s="189">
        <v>44</v>
      </c>
      <c r="N19" s="189">
        <v>0</v>
      </c>
      <c r="O19" s="189">
        <v>0</v>
      </c>
      <c r="P19" s="189">
        <v>0.43</v>
      </c>
      <c r="Q19" s="189">
        <v>4.76</v>
      </c>
    </row>
    <row r="20" spans="1:17" customFormat="1">
      <c r="A20" s="6" t="s">
        <v>2072</v>
      </c>
      <c r="B20" s="189">
        <v>8.77</v>
      </c>
      <c r="C20" s="189">
        <v>34.64</v>
      </c>
      <c r="D20" s="189">
        <v>24.09</v>
      </c>
      <c r="E20" s="189">
        <v>5.92</v>
      </c>
      <c r="F20" s="189">
        <v>12.52</v>
      </c>
      <c r="G20" s="189">
        <v>53.74</v>
      </c>
      <c r="H20" s="189">
        <v>16.600000000000001</v>
      </c>
      <c r="I20" s="189">
        <v>3.53</v>
      </c>
      <c r="J20" s="189">
        <v>0.2</v>
      </c>
      <c r="K20" s="189">
        <v>203.68</v>
      </c>
      <c r="L20" s="189">
        <v>30.95</v>
      </c>
      <c r="M20" s="189">
        <v>44.4</v>
      </c>
      <c r="N20" s="189">
        <v>0</v>
      </c>
      <c r="O20" s="189">
        <v>0</v>
      </c>
      <c r="P20" s="189">
        <v>0.41</v>
      </c>
      <c r="Q20" s="189">
        <v>4.8499999999999996</v>
      </c>
    </row>
    <row r="21" spans="1:17" customFormat="1">
      <c r="A21" s="6" t="s">
        <v>2073</v>
      </c>
      <c r="B21" s="189">
        <v>10.47</v>
      </c>
      <c r="C21" s="189">
        <v>37.43</v>
      </c>
      <c r="D21" s="189">
        <v>26.91</v>
      </c>
      <c r="E21" s="189">
        <v>6.52</v>
      </c>
      <c r="F21" s="189">
        <v>10.15</v>
      </c>
      <c r="G21" s="189">
        <v>53.74</v>
      </c>
      <c r="H21" s="189">
        <v>16.600000000000001</v>
      </c>
      <c r="I21" s="189">
        <v>3.57</v>
      </c>
      <c r="J21" s="189">
        <v>0.16</v>
      </c>
      <c r="K21" s="189">
        <v>218.3</v>
      </c>
      <c r="L21" s="189">
        <v>30.93</v>
      </c>
      <c r="M21" s="189">
        <v>43.91</v>
      </c>
      <c r="N21" s="189">
        <v>0</v>
      </c>
      <c r="O21" s="189">
        <v>0</v>
      </c>
      <c r="P21" s="189">
        <v>0.43</v>
      </c>
      <c r="Q21" s="189">
        <v>4.8</v>
      </c>
    </row>
    <row r="22" spans="1:17" customFormat="1">
      <c r="A22" s="6" t="s">
        <v>2074</v>
      </c>
      <c r="B22" s="189">
        <v>10.27</v>
      </c>
      <c r="C22" s="189">
        <v>38.56</v>
      </c>
      <c r="D22" s="189">
        <v>27.34</v>
      </c>
      <c r="E22" s="189">
        <v>6.4</v>
      </c>
      <c r="F22" s="189">
        <v>10.26</v>
      </c>
      <c r="G22" s="189">
        <v>53.74</v>
      </c>
      <c r="H22" s="189">
        <v>16.600000000000001</v>
      </c>
      <c r="I22" s="189">
        <v>3.55</v>
      </c>
      <c r="J22" s="189">
        <v>0.16</v>
      </c>
      <c r="K22" s="189">
        <v>194.85</v>
      </c>
      <c r="L22" s="189">
        <v>30.86</v>
      </c>
      <c r="M22" s="189">
        <v>44.37</v>
      </c>
      <c r="N22" s="189">
        <v>0</v>
      </c>
      <c r="O22" s="189">
        <v>0</v>
      </c>
      <c r="P22" s="189">
        <v>0.44</v>
      </c>
      <c r="Q22" s="189">
        <v>4.87</v>
      </c>
    </row>
    <row r="23" spans="1:17" customFormat="1">
      <c r="A23" s="6" t="s">
        <v>2075</v>
      </c>
      <c r="B23" s="189">
        <v>9.26</v>
      </c>
      <c r="C23" s="189">
        <v>32.4</v>
      </c>
      <c r="D23" s="189">
        <v>23.31</v>
      </c>
      <c r="E23" s="189">
        <v>6.04</v>
      </c>
      <c r="F23" s="189">
        <v>13.82</v>
      </c>
      <c r="G23" s="189">
        <v>54.63</v>
      </c>
      <c r="H23" s="189">
        <v>14.28</v>
      </c>
      <c r="I23" s="189">
        <v>3.74</v>
      </c>
      <c r="J23" s="189">
        <v>0.15</v>
      </c>
      <c r="K23" s="189">
        <v>200.51</v>
      </c>
      <c r="L23" s="189">
        <v>30.7</v>
      </c>
      <c r="M23" s="189">
        <v>44.75</v>
      </c>
      <c r="N23" s="189">
        <v>0</v>
      </c>
      <c r="O23" s="189">
        <v>0</v>
      </c>
      <c r="P23" s="189">
        <v>0.41</v>
      </c>
      <c r="Q23" s="189">
        <v>4.87</v>
      </c>
    </row>
    <row r="24" spans="1:17" customFormat="1">
      <c r="A24" s="6" t="s">
        <v>2076</v>
      </c>
      <c r="B24" s="189">
        <v>11.24</v>
      </c>
      <c r="C24" s="189">
        <v>39.29</v>
      </c>
      <c r="D24" s="189">
        <v>28.5</v>
      </c>
      <c r="E24" s="189">
        <v>6.15</v>
      </c>
      <c r="F24" s="189">
        <v>10.039999999999999</v>
      </c>
      <c r="G24" s="189">
        <v>55.17</v>
      </c>
      <c r="H24" s="189">
        <v>13.87</v>
      </c>
      <c r="I24" s="189">
        <v>3.73</v>
      </c>
      <c r="J24" s="189">
        <v>0.11</v>
      </c>
      <c r="K24" s="189">
        <v>222.63</v>
      </c>
      <c r="L24" s="189">
        <v>30.59</v>
      </c>
      <c r="M24" s="189">
        <v>44.61</v>
      </c>
      <c r="N24" s="189">
        <v>0</v>
      </c>
      <c r="O24" s="189">
        <v>0</v>
      </c>
      <c r="P24" s="189">
        <v>0.43</v>
      </c>
      <c r="Q24" s="189">
        <v>4.8899999999999997</v>
      </c>
    </row>
    <row r="25" spans="1:17" customFormat="1">
      <c r="A25" s="6" t="s">
        <v>2077</v>
      </c>
      <c r="B25" s="189">
        <v>10.08</v>
      </c>
      <c r="C25" s="189">
        <v>34.65</v>
      </c>
      <c r="D25" s="189">
        <v>25.14</v>
      </c>
      <c r="E25" s="189">
        <v>5.73</v>
      </c>
      <c r="F25" s="189">
        <v>12.67</v>
      </c>
      <c r="G25" s="189">
        <v>55.17</v>
      </c>
      <c r="H25" s="189">
        <v>13.87</v>
      </c>
      <c r="I25" s="189">
        <v>3.62</v>
      </c>
      <c r="J25" s="189">
        <v>0.15</v>
      </c>
      <c r="K25" s="189">
        <v>194.69</v>
      </c>
      <c r="L25" s="189">
        <v>30.55</v>
      </c>
      <c r="M25" s="189">
        <v>45.3</v>
      </c>
      <c r="N25" s="189">
        <v>0</v>
      </c>
      <c r="O25" s="189">
        <v>0</v>
      </c>
      <c r="P25" s="189">
        <v>0.41</v>
      </c>
      <c r="Q25" s="189">
        <v>4.9400000000000004</v>
      </c>
    </row>
    <row r="26" spans="1:17" customFormat="1">
      <c r="A26" s="6" t="s">
        <v>2078</v>
      </c>
      <c r="B26" s="189">
        <v>11.42</v>
      </c>
      <c r="C26" s="189">
        <v>37.46</v>
      </c>
      <c r="D26" s="189">
        <v>27.68</v>
      </c>
      <c r="E26" s="189">
        <v>5.84</v>
      </c>
      <c r="F26" s="189">
        <v>10.32</v>
      </c>
      <c r="G26" s="189">
        <v>55.17</v>
      </c>
      <c r="H26" s="189">
        <v>13.87</v>
      </c>
      <c r="I26" s="189">
        <v>3.69</v>
      </c>
      <c r="J26" s="189">
        <v>0.12</v>
      </c>
      <c r="K26" s="189">
        <v>214.25</v>
      </c>
      <c r="L26" s="189">
        <v>30.42</v>
      </c>
      <c r="M26" s="189">
        <v>45.74</v>
      </c>
      <c r="N26" s="189">
        <v>0</v>
      </c>
      <c r="O26" s="189">
        <v>0</v>
      </c>
      <c r="P26" s="189">
        <v>0.42</v>
      </c>
      <c r="Q26" s="189">
        <v>4.87</v>
      </c>
    </row>
    <row r="27" spans="1:17" customFormat="1">
      <c r="A27" s="6" t="s">
        <v>2079</v>
      </c>
      <c r="B27" s="189">
        <v>10.57</v>
      </c>
      <c r="C27" s="189">
        <v>36.49</v>
      </c>
      <c r="D27" s="189">
        <v>26.5</v>
      </c>
      <c r="E27" s="189">
        <v>6.32</v>
      </c>
      <c r="F27" s="189">
        <v>11.7</v>
      </c>
      <c r="G27" s="189">
        <v>54.37</v>
      </c>
      <c r="H27" s="189">
        <v>15.02</v>
      </c>
      <c r="I27" s="189">
        <v>3.53</v>
      </c>
      <c r="J27" s="189">
        <v>0.21</v>
      </c>
      <c r="K27" s="189">
        <v>176.84</v>
      </c>
      <c r="L27" s="189">
        <v>30.26</v>
      </c>
      <c r="M27" s="189">
        <v>47.96</v>
      </c>
      <c r="N27" s="189">
        <v>0</v>
      </c>
      <c r="O27" s="189">
        <v>0</v>
      </c>
      <c r="P27" s="189">
        <v>0.42</v>
      </c>
      <c r="Q27" s="189">
        <v>4.95</v>
      </c>
    </row>
    <row r="28" spans="1:17" customFormat="1">
      <c r="A28" s="6" t="s">
        <v>2080</v>
      </c>
      <c r="B28" s="189">
        <v>12.49</v>
      </c>
      <c r="C28" s="189">
        <v>39.86</v>
      </c>
      <c r="D28" s="189">
        <v>29.79</v>
      </c>
      <c r="E28" s="189">
        <v>6.05</v>
      </c>
      <c r="F28" s="189">
        <v>8.34</v>
      </c>
      <c r="G28" s="189">
        <v>53.89</v>
      </c>
      <c r="H28" s="189">
        <v>15.22</v>
      </c>
      <c r="I28" s="189">
        <v>3.54</v>
      </c>
      <c r="J28" s="189">
        <v>0.21</v>
      </c>
      <c r="K28" s="189">
        <v>193.99</v>
      </c>
      <c r="L28" s="189">
        <v>29.56</v>
      </c>
      <c r="M28" s="189">
        <v>51.05</v>
      </c>
      <c r="N28" s="189">
        <v>0</v>
      </c>
      <c r="O28" s="189">
        <v>0</v>
      </c>
      <c r="P28" s="189">
        <v>0.43</v>
      </c>
      <c r="Q28" s="189">
        <v>4.93</v>
      </c>
    </row>
    <row r="29" spans="1:17" customFormat="1">
      <c r="A29" s="6" t="s">
        <v>2081</v>
      </c>
      <c r="B29" s="189">
        <v>12.19</v>
      </c>
      <c r="C29" s="189">
        <v>39.479999999999997</v>
      </c>
      <c r="D29" s="189">
        <v>29.36</v>
      </c>
      <c r="E29" s="189">
        <v>6.3</v>
      </c>
      <c r="F29" s="189">
        <v>8.4499999999999993</v>
      </c>
      <c r="G29" s="189">
        <v>53.89</v>
      </c>
      <c r="H29" s="189">
        <v>15.22</v>
      </c>
      <c r="I29" s="189">
        <v>3.69</v>
      </c>
      <c r="J29" s="189">
        <v>0.18</v>
      </c>
      <c r="K29" s="189">
        <v>253.49</v>
      </c>
      <c r="L29" s="189">
        <v>29.57</v>
      </c>
      <c r="M29" s="189">
        <v>49.55</v>
      </c>
      <c r="N29" s="189">
        <v>0</v>
      </c>
      <c r="O29" s="189">
        <v>0</v>
      </c>
      <c r="P29" s="189">
        <v>0.42</v>
      </c>
      <c r="Q29" s="189">
        <v>5</v>
      </c>
    </row>
    <row r="30" spans="1:17" customFormat="1">
      <c r="A30" s="6" t="s">
        <v>2082</v>
      </c>
      <c r="B30" s="189">
        <v>12.66</v>
      </c>
      <c r="C30" s="189">
        <v>41.18</v>
      </c>
      <c r="D30" s="189">
        <v>30.62</v>
      </c>
      <c r="E30" s="189">
        <v>6.03</v>
      </c>
      <c r="F30" s="189">
        <v>8.2100000000000009</v>
      </c>
      <c r="G30" s="189">
        <v>53.89</v>
      </c>
      <c r="H30" s="189">
        <v>15.22</v>
      </c>
      <c r="I30" s="189">
        <v>3.8</v>
      </c>
      <c r="J30" s="189">
        <v>0.14000000000000001</v>
      </c>
      <c r="K30" s="189">
        <v>213.73</v>
      </c>
      <c r="L30" s="189">
        <v>29.9</v>
      </c>
      <c r="M30" s="189">
        <v>49.57</v>
      </c>
      <c r="N30" s="189">
        <v>0.3</v>
      </c>
      <c r="O30" s="189">
        <v>0</v>
      </c>
      <c r="P30" s="189">
        <v>0.44</v>
      </c>
      <c r="Q30" s="189">
        <v>5.01</v>
      </c>
    </row>
    <row r="31" spans="1:17" customFormat="1">
      <c r="A31" s="6" t="s">
        <v>2083</v>
      </c>
      <c r="B31" s="189">
        <v>12.7</v>
      </c>
      <c r="C31" s="189">
        <v>38.51</v>
      </c>
      <c r="D31" s="189">
        <v>29.26</v>
      </c>
      <c r="E31" s="189">
        <v>6.06</v>
      </c>
      <c r="F31" s="189">
        <v>9.2799999999999994</v>
      </c>
      <c r="G31" s="189">
        <v>54.27</v>
      </c>
      <c r="H31" s="189">
        <v>15.81</v>
      </c>
      <c r="I31" s="189">
        <v>3.87</v>
      </c>
      <c r="J31" s="189">
        <v>0.17</v>
      </c>
      <c r="K31" s="189">
        <v>230.41</v>
      </c>
      <c r="L31" s="189">
        <v>29.98</v>
      </c>
      <c r="M31" s="189">
        <v>49.71</v>
      </c>
      <c r="N31" s="189">
        <v>9.4</v>
      </c>
      <c r="O31" s="189">
        <v>0</v>
      </c>
      <c r="P31" s="189">
        <v>0.44</v>
      </c>
      <c r="Q31" s="189">
        <v>5.03</v>
      </c>
    </row>
    <row r="32" spans="1:17" customFormat="1">
      <c r="A32" s="6" t="s">
        <v>2084</v>
      </c>
      <c r="B32" s="189">
        <v>12.91</v>
      </c>
      <c r="C32" s="189">
        <v>40.36</v>
      </c>
      <c r="D32" s="189">
        <v>30.4</v>
      </c>
      <c r="E32" s="189">
        <v>6.74</v>
      </c>
      <c r="F32" s="189">
        <v>8.3800000000000008</v>
      </c>
      <c r="G32" s="189">
        <v>54.49</v>
      </c>
      <c r="H32" s="189">
        <v>15.91</v>
      </c>
      <c r="I32" s="189">
        <v>3.78</v>
      </c>
      <c r="J32" s="189">
        <v>0.16</v>
      </c>
      <c r="K32" s="189">
        <v>174.42</v>
      </c>
      <c r="L32" s="189">
        <v>30.17</v>
      </c>
      <c r="M32" s="189">
        <v>50.31</v>
      </c>
      <c r="N32" s="189">
        <v>23</v>
      </c>
      <c r="O32" s="189">
        <v>0</v>
      </c>
      <c r="P32" s="189">
        <v>0.44</v>
      </c>
      <c r="Q32" s="189">
        <v>5.0599999999999996</v>
      </c>
    </row>
    <row r="33" spans="1:17" customFormat="1">
      <c r="A33" s="6" t="s">
        <v>2085</v>
      </c>
      <c r="B33" s="189">
        <v>12.46</v>
      </c>
      <c r="C33" s="189">
        <v>36.450000000000003</v>
      </c>
      <c r="D33" s="189">
        <v>27.99</v>
      </c>
      <c r="E33" s="189">
        <v>6.71</v>
      </c>
      <c r="F33" s="189">
        <v>9.82</v>
      </c>
      <c r="G33" s="189">
        <v>54.49</v>
      </c>
      <c r="H33" s="189">
        <v>15.91</v>
      </c>
      <c r="I33" s="189">
        <v>3.77</v>
      </c>
      <c r="J33" s="189">
        <v>0.15</v>
      </c>
      <c r="K33" s="189">
        <v>168.79</v>
      </c>
      <c r="L33" s="189">
        <v>30.57</v>
      </c>
      <c r="M33" s="189">
        <v>49.61</v>
      </c>
      <c r="N33" s="189">
        <v>35.700000000000003</v>
      </c>
      <c r="O33" s="189">
        <v>0</v>
      </c>
      <c r="P33" s="189">
        <v>0.43</v>
      </c>
      <c r="Q33" s="189">
        <v>5</v>
      </c>
    </row>
    <row r="34" spans="1:17" customFormat="1">
      <c r="A34" s="6" t="s">
        <v>2086</v>
      </c>
      <c r="B34" s="189">
        <v>13.92</v>
      </c>
      <c r="C34" s="189">
        <v>42.31</v>
      </c>
      <c r="D34" s="189">
        <v>32.229999999999997</v>
      </c>
      <c r="E34" s="189">
        <v>6.33</v>
      </c>
      <c r="F34" s="189">
        <v>7.58</v>
      </c>
      <c r="G34" s="189">
        <v>54.49</v>
      </c>
      <c r="H34" s="189">
        <v>15.91</v>
      </c>
      <c r="I34" s="189">
        <v>3.96</v>
      </c>
      <c r="J34" s="189">
        <v>0.19</v>
      </c>
      <c r="K34" s="189">
        <v>166.61</v>
      </c>
      <c r="L34" s="189">
        <v>31.15</v>
      </c>
      <c r="M34" s="189">
        <v>49.17</v>
      </c>
      <c r="N34" s="189">
        <v>49.2</v>
      </c>
      <c r="O34" s="189">
        <v>0</v>
      </c>
      <c r="P34" s="189">
        <v>0.45</v>
      </c>
      <c r="Q34" s="189">
        <v>5.0199999999999996</v>
      </c>
    </row>
    <row r="35" spans="1:17" customFormat="1">
      <c r="A35" s="6" t="s">
        <v>2087</v>
      </c>
      <c r="B35" s="189">
        <v>13.38</v>
      </c>
      <c r="C35" s="189">
        <v>38.82</v>
      </c>
      <c r="D35" s="189">
        <v>29.96</v>
      </c>
      <c r="E35" s="189">
        <v>6.8</v>
      </c>
      <c r="F35" s="189">
        <v>10.029999999999999</v>
      </c>
      <c r="G35" s="189">
        <v>54.06</v>
      </c>
      <c r="H35" s="189">
        <v>15.23</v>
      </c>
      <c r="I35" s="189">
        <v>4</v>
      </c>
      <c r="J35" s="189">
        <v>0.33</v>
      </c>
      <c r="K35" s="189">
        <v>158.85</v>
      </c>
      <c r="L35" s="189">
        <v>31.66</v>
      </c>
      <c r="M35" s="189">
        <v>47.28</v>
      </c>
      <c r="N35" s="189">
        <v>61.5</v>
      </c>
      <c r="O35" s="189">
        <v>0</v>
      </c>
      <c r="P35" s="189">
        <v>0.46</v>
      </c>
      <c r="Q35" s="189">
        <v>5.08</v>
      </c>
    </row>
    <row r="36" spans="1:17" customFormat="1">
      <c r="A36" s="6" t="s">
        <v>2088</v>
      </c>
      <c r="B36" s="189">
        <v>14.04</v>
      </c>
      <c r="C36" s="189">
        <v>42.75</v>
      </c>
      <c r="D36" s="189">
        <v>32.549999999999997</v>
      </c>
      <c r="E36" s="189">
        <v>7.38</v>
      </c>
      <c r="F36" s="189">
        <v>9.69</v>
      </c>
      <c r="G36" s="189">
        <v>53.8</v>
      </c>
      <c r="H36" s="189">
        <v>15.02</v>
      </c>
      <c r="I36" s="189">
        <v>4.1900000000000004</v>
      </c>
      <c r="J36" s="189">
        <v>0.37</v>
      </c>
      <c r="K36" s="189">
        <v>158.77000000000001</v>
      </c>
      <c r="L36" s="189">
        <v>32.44</v>
      </c>
      <c r="M36" s="189">
        <v>44.39</v>
      </c>
      <c r="N36" s="189">
        <v>73.599999999999994</v>
      </c>
      <c r="O36" s="189">
        <v>0</v>
      </c>
      <c r="P36" s="189">
        <v>0.48</v>
      </c>
      <c r="Q36" s="189">
        <v>5.14</v>
      </c>
    </row>
    <row r="37" spans="1:17" customFormat="1">
      <c r="A37" s="6" t="s">
        <v>2089</v>
      </c>
      <c r="B37" s="189">
        <v>12.6</v>
      </c>
      <c r="C37" s="189">
        <v>36.57</v>
      </c>
      <c r="D37" s="189">
        <v>28.17</v>
      </c>
      <c r="E37" s="189">
        <v>9.74</v>
      </c>
      <c r="F37" s="189">
        <v>14.24</v>
      </c>
      <c r="G37" s="189">
        <v>53.8</v>
      </c>
      <c r="H37" s="189">
        <v>15.02</v>
      </c>
      <c r="I37" s="189">
        <v>4.3</v>
      </c>
      <c r="J37" s="189">
        <v>0.3</v>
      </c>
      <c r="K37" s="189">
        <v>160.83000000000001</v>
      </c>
      <c r="L37" s="189">
        <v>33.46</v>
      </c>
      <c r="M37" s="189">
        <v>42.97</v>
      </c>
      <c r="N37" s="189">
        <v>84.6</v>
      </c>
      <c r="O37" s="189">
        <v>0</v>
      </c>
      <c r="P37" s="189">
        <v>0.49</v>
      </c>
      <c r="Q37" s="189">
        <v>5.0999999999999996</v>
      </c>
    </row>
    <row r="38" spans="1:17" customFormat="1">
      <c r="A38" s="6" t="s">
        <v>2090</v>
      </c>
      <c r="B38" s="189">
        <v>13.9</v>
      </c>
      <c r="C38" s="189">
        <v>37.409999999999997</v>
      </c>
      <c r="D38" s="189">
        <v>29.65</v>
      </c>
      <c r="E38" s="189">
        <v>17.100000000000001</v>
      </c>
      <c r="F38" s="189">
        <v>14.4</v>
      </c>
      <c r="G38" s="189">
        <v>53.8</v>
      </c>
      <c r="H38" s="189">
        <v>15.02</v>
      </c>
      <c r="I38" s="189">
        <v>4.42</v>
      </c>
      <c r="J38" s="189">
        <v>0.13</v>
      </c>
      <c r="K38" s="189">
        <v>44.6</v>
      </c>
      <c r="L38" s="189">
        <v>34.119999999999997</v>
      </c>
      <c r="M38" s="189">
        <v>42.3</v>
      </c>
      <c r="N38" s="189">
        <v>95</v>
      </c>
      <c r="O38" s="189">
        <v>0</v>
      </c>
      <c r="P38" s="189">
        <v>0.51</v>
      </c>
      <c r="Q38" s="189">
        <v>5.04</v>
      </c>
    </row>
    <row r="39" spans="1:17" customFormat="1">
      <c r="A39" s="6" t="s">
        <v>2091</v>
      </c>
      <c r="B39" s="189">
        <v>17.8</v>
      </c>
      <c r="C39" s="189">
        <v>42.2</v>
      </c>
      <c r="D39" s="189">
        <v>35.28</v>
      </c>
      <c r="E39" s="189">
        <v>30.67</v>
      </c>
      <c r="F39" s="189">
        <v>10.67</v>
      </c>
      <c r="G39" s="189">
        <v>56.35</v>
      </c>
      <c r="H39" s="189">
        <v>15.59</v>
      </c>
      <c r="I39" s="189">
        <v>4.47</v>
      </c>
      <c r="J39" s="189">
        <v>0.75</v>
      </c>
      <c r="K39" s="189">
        <v>40.1</v>
      </c>
      <c r="L39" s="189">
        <v>34.520000000000003</v>
      </c>
      <c r="M39" s="189">
        <v>41.06</v>
      </c>
      <c r="N39" s="189">
        <v>106</v>
      </c>
      <c r="O39" s="189">
        <v>0</v>
      </c>
      <c r="P39" s="189">
        <v>0.54</v>
      </c>
      <c r="Q39" s="189">
        <v>5.04</v>
      </c>
    </row>
    <row r="40" spans="1:17" customFormat="1">
      <c r="A40" s="6" t="s">
        <v>2092</v>
      </c>
      <c r="B40" s="189">
        <v>16.22</v>
      </c>
      <c r="C40" s="189">
        <v>44.44</v>
      </c>
      <c r="D40" s="189">
        <v>35.18</v>
      </c>
      <c r="E40" s="189">
        <v>42.7</v>
      </c>
      <c r="F40" s="189">
        <v>10.11</v>
      </c>
      <c r="G40" s="189">
        <v>57.9</v>
      </c>
      <c r="H40" s="189">
        <v>15.7</v>
      </c>
      <c r="I40" s="189">
        <v>4.75</v>
      </c>
      <c r="J40" s="189">
        <v>0.96</v>
      </c>
      <c r="K40" s="189">
        <v>40.119999999999997</v>
      </c>
      <c r="L40" s="189">
        <v>34.92</v>
      </c>
      <c r="M40" s="189">
        <v>40.85</v>
      </c>
      <c r="N40" s="189">
        <v>116.3</v>
      </c>
      <c r="O40" s="189">
        <v>0</v>
      </c>
      <c r="P40" s="189">
        <v>0.56999999999999995</v>
      </c>
      <c r="Q40" s="189">
        <v>5.18</v>
      </c>
    </row>
    <row r="41" spans="1:17" customFormat="1">
      <c r="A41" s="6" t="s">
        <v>2093</v>
      </c>
      <c r="B41" s="189">
        <v>15.92</v>
      </c>
      <c r="C41" s="189">
        <v>44.82</v>
      </c>
      <c r="D41" s="189">
        <v>35.130000000000003</v>
      </c>
      <c r="E41" s="189">
        <v>28.11</v>
      </c>
      <c r="F41" s="189">
        <v>10.84</v>
      </c>
      <c r="G41" s="189">
        <v>57.9</v>
      </c>
      <c r="H41" s="189">
        <v>15.7</v>
      </c>
      <c r="I41" s="189">
        <v>4.8600000000000003</v>
      </c>
      <c r="J41" s="189">
        <v>1.23</v>
      </c>
      <c r="K41" s="189">
        <v>43.63</v>
      </c>
      <c r="L41" s="189">
        <v>35.200000000000003</v>
      </c>
      <c r="M41" s="189">
        <v>40.770000000000003</v>
      </c>
      <c r="N41" s="189">
        <v>125.9</v>
      </c>
      <c r="O41" s="189">
        <v>0</v>
      </c>
      <c r="P41" s="189">
        <v>0.54</v>
      </c>
      <c r="Q41" s="189">
        <v>5.22</v>
      </c>
    </row>
    <row r="42" spans="1:17" customFormat="1">
      <c r="A42" s="6" t="s">
        <v>2094</v>
      </c>
      <c r="B42" s="189">
        <v>15.83</v>
      </c>
      <c r="C42" s="189">
        <v>41.43</v>
      </c>
      <c r="D42" s="189">
        <v>33.299999999999997</v>
      </c>
      <c r="E42" s="189">
        <v>25.69</v>
      </c>
      <c r="F42" s="189">
        <v>14.24</v>
      </c>
      <c r="G42" s="189">
        <v>57.9</v>
      </c>
      <c r="H42" s="189">
        <v>15.7</v>
      </c>
      <c r="I42" s="189">
        <v>4.6900000000000004</v>
      </c>
      <c r="J42" s="189">
        <v>1.1200000000000001</v>
      </c>
      <c r="K42" s="189">
        <v>36.4</v>
      </c>
      <c r="L42" s="189">
        <v>35.450000000000003</v>
      </c>
      <c r="M42" s="189">
        <v>39.97</v>
      </c>
      <c r="N42" s="189">
        <v>132.80000000000001</v>
      </c>
      <c r="O42" s="189">
        <v>0</v>
      </c>
      <c r="P42" s="189">
        <v>0.53</v>
      </c>
      <c r="Q42" s="189">
        <v>5.24</v>
      </c>
    </row>
    <row r="43" spans="1:17" customFormat="1">
      <c r="A43" s="6" t="s">
        <v>2095</v>
      </c>
      <c r="B43" s="189">
        <v>16.05</v>
      </c>
      <c r="C43" s="189">
        <v>40.24</v>
      </c>
      <c r="D43" s="189">
        <v>32.85</v>
      </c>
      <c r="E43" s="189">
        <v>25.79</v>
      </c>
      <c r="F43" s="189">
        <v>16.79</v>
      </c>
      <c r="G43" s="189">
        <v>65.55</v>
      </c>
      <c r="H43" s="189">
        <v>18.84</v>
      </c>
      <c r="I43" s="189">
        <v>4.5999999999999996</v>
      </c>
      <c r="J43" s="189">
        <v>1.17</v>
      </c>
      <c r="K43" s="189">
        <v>30.93</v>
      </c>
      <c r="L43" s="189">
        <v>36.020000000000003</v>
      </c>
      <c r="M43" s="189">
        <v>38.96</v>
      </c>
      <c r="N43" s="189">
        <v>138.80000000000001</v>
      </c>
      <c r="O43" s="189">
        <v>0</v>
      </c>
      <c r="P43" s="189">
        <v>0.54</v>
      </c>
      <c r="Q43" s="189">
        <v>5.23</v>
      </c>
    </row>
    <row r="44" spans="1:17" customFormat="1">
      <c r="A44" s="6" t="s">
        <v>2096</v>
      </c>
      <c r="B44" s="189">
        <v>15.01</v>
      </c>
      <c r="C44" s="189">
        <v>38.11</v>
      </c>
      <c r="D44" s="189">
        <v>30.9</v>
      </c>
      <c r="E44" s="189">
        <v>19.97</v>
      </c>
      <c r="F44" s="189">
        <v>16.899999999999999</v>
      </c>
      <c r="G44" s="189">
        <v>70.19</v>
      </c>
      <c r="H44" s="189">
        <v>19.41</v>
      </c>
      <c r="I44" s="189">
        <v>4.42</v>
      </c>
      <c r="J44" s="189">
        <v>1.1299999999999999</v>
      </c>
      <c r="K44" s="189">
        <v>45</v>
      </c>
      <c r="L44" s="189">
        <v>36.14</v>
      </c>
      <c r="M44" s="189">
        <v>38.520000000000003</v>
      </c>
      <c r="N44" s="189">
        <v>146</v>
      </c>
      <c r="O44" s="189">
        <v>0</v>
      </c>
      <c r="P44" s="189">
        <v>0.54</v>
      </c>
      <c r="Q44" s="189">
        <v>5.2</v>
      </c>
    </row>
    <row r="45" spans="1:17" customFormat="1">
      <c r="A45" s="6" t="s">
        <v>2097</v>
      </c>
      <c r="B45" s="189">
        <v>14.73</v>
      </c>
      <c r="C45" s="189">
        <v>40.119999999999997</v>
      </c>
      <c r="D45" s="189">
        <v>31.73</v>
      </c>
      <c r="E45" s="189">
        <v>24.94</v>
      </c>
      <c r="F45" s="189">
        <v>15.55</v>
      </c>
      <c r="G45" s="189">
        <v>70.19</v>
      </c>
      <c r="H45" s="189">
        <v>19.41</v>
      </c>
      <c r="I45" s="189">
        <v>4.3600000000000003</v>
      </c>
      <c r="J45" s="189">
        <v>0.54</v>
      </c>
      <c r="K45" s="189">
        <v>15.69</v>
      </c>
      <c r="L45" s="189">
        <v>36.44</v>
      </c>
      <c r="M45" s="189">
        <v>37.81</v>
      </c>
      <c r="N45" s="189">
        <v>154.6</v>
      </c>
      <c r="O45" s="189">
        <v>0</v>
      </c>
      <c r="P45" s="189">
        <v>0.54</v>
      </c>
      <c r="Q45" s="189">
        <v>5.19</v>
      </c>
    </row>
    <row r="46" spans="1:17" customFormat="1">
      <c r="A46" s="6" t="s">
        <v>2098</v>
      </c>
      <c r="B46" s="189">
        <v>13.65</v>
      </c>
      <c r="C46" s="189">
        <v>38.94</v>
      </c>
      <c r="D46" s="189">
        <v>30.24</v>
      </c>
      <c r="E46" s="189">
        <v>26.65</v>
      </c>
      <c r="F46" s="189">
        <v>18.28</v>
      </c>
      <c r="G46" s="189">
        <v>70.19</v>
      </c>
      <c r="H46" s="189">
        <v>19.41</v>
      </c>
      <c r="I46" s="189">
        <v>4.45</v>
      </c>
      <c r="J46" s="189">
        <v>0.55000000000000004</v>
      </c>
      <c r="K46" s="189">
        <v>323.93</v>
      </c>
      <c r="L46" s="189">
        <v>37.03</v>
      </c>
      <c r="M46" s="189">
        <v>36.6</v>
      </c>
      <c r="N46" s="189">
        <v>165.4</v>
      </c>
      <c r="O46" s="189">
        <v>0</v>
      </c>
      <c r="P46" s="189">
        <v>0.55000000000000004</v>
      </c>
      <c r="Q46" s="189">
        <v>5.16</v>
      </c>
    </row>
    <row r="47" spans="1:17" customFormat="1">
      <c r="A47" s="6" t="s">
        <v>2099</v>
      </c>
      <c r="B47" s="189">
        <v>13.18</v>
      </c>
      <c r="C47" s="189">
        <v>38.51</v>
      </c>
      <c r="D47" s="189">
        <v>29.64</v>
      </c>
      <c r="E47" s="189">
        <v>23.33</v>
      </c>
      <c r="F47" s="189">
        <v>21.59</v>
      </c>
      <c r="G47" s="189">
        <v>72.02</v>
      </c>
      <c r="H47" s="189">
        <v>20.94</v>
      </c>
      <c r="I47" s="189">
        <v>4.41</v>
      </c>
      <c r="J47" s="189">
        <v>0.48</v>
      </c>
      <c r="K47" s="189">
        <v>317.52</v>
      </c>
      <c r="L47" s="189">
        <v>37.299999999999997</v>
      </c>
      <c r="M47" s="189">
        <v>36.33</v>
      </c>
      <c r="N47" s="189">
        <v>178.2</v>
      </c>
      <c r="O47" s="189">
        <v>0</v>
      </c>
      <c r="P47" s="189">
        <v>0.55000000000000004</v>
      </c>
      <c r="Q47" s="189">
        <v>5.0999999999999996</v>
      </c>
    </row>
    <row r="48" spans="1:17" customFormat="1">
      <c r="A48" s="6" t="s">
        <v>2100</v>
      </c>
      <c r="B48" s="189">
        <v>12.73</v>
      </c>
      <c r="C48" s="189">
        <v>37.979999999999997</v>
      </c>
      <c r="D48" s="189">
        <v>29.01</v>
      </c>
      <c r="E48" s="189">
        <v>18.34</v>
      </c>
      <c r="F48" s="189">
        <v>17.399999999999999</v>
      </c>
      <c r="G48" s="189">
        <v>73.069999999999993</v>
      </c>
      <c r="H48" s="189">
        <v>21.21</v>
      </c>
      <c r="I48" s="189">
        <v>4.3899999999999997</v>
      </c>
      <c r="J48" s="189">
        <v>0.81</v>
      </c>
      <c r="K48" s="189">
        <v>304.32</v>
      </c>
      <c r="L48" s="189">
        <v>37.840000000000003</v>
      </c>
      <c r="M48" s="189">
        <v>34.72</v>
      </c>
      <c r="N48" s="189">
        <v>183.7</v>
      </c>
      <c r="O48" s="189">
        <v>0</v>
      </c>
      <c r="P48" s="189">
        <v>0.56000000000000005</v>
      </c>
      <c r="Q48" s="189">
        <v>5.05</v>
      </c>
    </row>
    <row r="49" spans="1:17" customFormat="1">
      <c r="A49" s="6" t="s">
        <v>2101</v>
      </c>
      <c r="B49" s="189">
        <v>11.93</v>
      </c>
      <c r="C49" s="189">
        <v>37.94</v>
      </c>
      <c r="D49" s="189">
        <v>28.34</v>
      </c>
      <c r="E49" s="189">
        <v>8.89</v>
      </c>
      <c r="F49" s="189">
        <v>16.329999999999998</v>
      </c>
      <c r="G49" s="189">
        <v>73.069999999999993</v>
      </c>
      <c r="H49" s="189">
        <v>21.21</v>
      </c>
      <c r="I49" s="189">
        <v>4.4400000000000004</v>
      </c>
      <c r="J49" s="189">
        <v>0.68</v>
      </c>
      <c r="K49" s="189">
        <v>296.26</v>
      </c>
      <c r="L49" s="189">
        <v>37.950000000000003</v>
      </c>
      <c r="M49" s="189">
        <v>33.950000000000003</v>
      </c>
      <c r="N49" s="189">
        <v>190.8</v>
      </c>
      <c r="O49" s="189">
        <v>0</v>
      </c>
      <c r="P49" s="189">
        <v>0.55000000000000004</v>
      </c>
      <c r="Q49" s="189">
        <v>5.0199999999999996</v>
      </c>
    </row>
    <row r="50" spans="1:17" customFormat="1">
      <c r="A50" s="6" t="s">
        <v>2102</v>
      </c>
      <c r="B50" s="189">
        <v>10.76</v>
      </c>
      <c r="C50" s="189">
        <v>37.19</v>
      </c>
      <c r="D50" s="189">
        <v>27.01</v>
      </c>
      <c r="E50" s="189">
        <v>12.44</v>
      </c>
      <c r="F50" s="189">
        <v>21.07</v>
      </c>
      <c r="G50" s="189">
        <v>73.069999999999993</v>
      </c>
      <c r="H50" s="189">
        <v>21.21</v>
      </c>
      <c r="I50" s="189">
        <v>4.55</v>
      </c>
      <c r="J50" s="189">
        <v>0.8</v>
      </c>
      <c r="K50" s="189">
        <v>309.82</v>
      </c>
      <c r="L50" s="189">
        <v>38.28</v>
      </c>
      <c r="M50" s="189">
        <v>33.85</v>
      </c>
      <c r="N50" s="189">
        <v>215.6</v>
      </c>
      <c r="O50" s="189">
        <v>0</v>
      </c>
      <c r="P50" s="189">
        <v>0.54</v>
      </c>
      <c r="Q50" s="189">
        <v>4.99</v>
      </c>
    </row>
    <row r="51" spans="1:17" customFormat="1">
      <c r="A51" s="6" t="s">
        <v>2103</v>
      </c>
      <c r="B51" s="189">
        <v>10.29</v>
      </c>
      <c r="C51" s="189">
        <v>35.31</v>
      </c>
      <c r="D51" s="189">
        <v>25.65</v>
      </c>
      <c r="E51" s="189">
        <v>11.1</v>
      </c>
      <c r="F51" s="189">
        <v>23.27</v>
      </c>
      <c r="G51" s="189">
        <v>69.44</v>
      </c>
      <c r="H51" s="189">
        <v>22.2</v>
      </c>
      <c r="I51" s="189">
        <v>4.51</v>
      </c>
      <c r="J51" s="189">
        <v>0.39</v>
      </c>
      <c r="K51" s="189">
        <v>206.77</v>
      </c>
      <c r="L51" s="189">
        <v>38.64</v>
      </c>
      <c r="M51" s="189">
        <v>33.75</v>
      </c>
      <c r="N51" s="189">
        <v>234.5</v>
      </c>
      <c r="O51" s="189">
        <v>0</v>
      </c>
      <c r="P51" s="189">
        <v>0.53</v>
      </c>
      <c r="Q51" s="189">
        <v>4.9400000000000004</v>
      </c>
    </row>
    <row r="52" spans="1:17" customFormat="1">
      <c r="A52" s="6" t="s">
        <v>2104</v>
      </c>
      <c r="B52" s="189">
        <v>9.5</v>
      </c>
      <c r="C52" s="189">
        <v>35.840000000000003</v>
      </c>
      <c r="D52" s="189">
        <v>25.3</v>
      </c>
      <c r="E52" s="189">
        <v>11.6</v>
      </c>
      <c r="F52" s="189">
        <v>23.08</v>
      </c>
      <c r="G52" s="189">
        <v>67.33</v>
      </c>
      <c r="H52" s="189">
        <v>22.38</v>
      </c>
      <c r="I52" s="189">
        <v>4.45</v>
      </c>
      <c r="J52" s="189">
        <v>0.43</v>
      </c>
      <c r="K52" s="189">
        <v>266.99</v>
      </c>
      <c r="L52" s="189">
        <v>39.11</v>
      </c>
      <c r="M52" s="189">
        <v>32.19</v>
      </c>
      <c r="N52" s="189">
        <v>249.4</v>
      </c>
      <c r="O52" s="189">
        <v>0</v>
      </c>
      <c r="P52" s="189">
        <v>0.51</v>
      </c>
      <c r="Q52" s="189">
        <v>4.8899999999999997</v>
      </c>
    </row>
    <row r="53" spans="1:17" customFormat="1">
      <c r="A53" s="6" t="s">
        <v>2105</v>
      </c>
      <c r="B53" s="189">
        <v>8.9</v>
      </c>
      <c r="C53" s="189">
        <v>35.28</v>
      </c>
      <c r="D53" s="189">
        <v>24.52</v>
      </c>
      <c r="E53" s="189">
        <v>9.92</v>
      </c>
      <c r="F53" s="189">
        <v>24.96</v>
      </c>
      <c r="G53" s="189">
        <v>67.33</v>
      </c>
      <c r="H53" s="189">
        <v>22.38</v>
      </c>
      <c r="I53" s="189">
        <v>4.5</v>
      </c>
      <c r="J53" s="189">
        <v>0.46</v>
      </c>
      <c r="K53" s="189">
        <v>265.2</v>
      </c>
      <c r="L53" s="189">
        <v>39</v>
      </c>
      <c r="M53" s="189">
        <v>31.88</v>
      </c>
      <c r="N53" s="189">
        <v>234.8</v>
      </c>
      <c r="O53" s="189">
        <v>0</v>
      </c>
      <c r="P53" s="189">
        <v>0.51</v>
      </c>
      <c r="Q53" s="189">
        <v>4.83</v>
      </c>
    </row>
    <row r="54" spans="1:17" customFormat="1">
      <c r="A54" s="6" t="s">
        <v>2106</v>
      </c>
      <c r="B54" s="189">
        <v>6.53</v>
      </c>
      <c r="C54" s="189">
        <v>34.21</v>
      </c>
      <c r="D54" s="189">
        <v>22.06</v>
      </c>
      <c r="E54" s="189">
        <v>9.5299999999999994</v>
      </c>
      <c r="F54" s="189">
        <v>22.73</v>
      </c>
      <c r="G54" s="189">
        <v>67.33</v>
      </c>
      <c r="H54" s="189">
        <v>22.38</v>
      </c>
      <c r="I54" s="189">
        <v>4.51</v>
      </c>
      <c r="J54" s="189">
        <v>0.76</v>
      </c>
      <c r="K54" s="189">
        <v>275.68</v>
      </c>
      <c r="L54" s="189">
        <v>39.56</v>
      </c>
      <c r="M54" s="189">
        <v>30.41</v>
      </c>
      <c r="N54" s="189">
        <v>256.2</v>
      </c>
      <c r="O54" s="189">
        <v>0</v>
      </c>
      <c r="P54" s="189">
        <v>0.51</v>
      </c>
      <c r="Q54" s="189">
        <v>4.72</v>
      </c>
    </row>
    <row r="55" spans="1:17" customFormat="1">
      <c r="A55" s="6" t="s">
        <v>2107</v>
      </c>
      <c r="B55" s="189">
        <v>5.16</v>
      </c>
      <c r="C55" s="189">
        <v>35.31</v>
      </c>
      <c r="D55" s="189">
        <v>21.54</v>
      </c>
      <c r="E55" s="189">
        <v>8.2799999999999994</v>
      </c>
      <c r="F55" s="189">
        <v>21.42</v>
      </c>
      <c r="G55" s="189">
        <v>67.89</v>
      </c>
      <c r="H55" s="189">
        <v>21.19</v>
      </c>
      <c r="I55" s="189">
        <v>4.3</v>
      </c>
      <c r="J55" s="189">
        <v>1.06</v>
      </c>
      <c r="K55" s="189">
        <v>299.04000000000002</v>
      </c>
      <c r="L55" s="189">
        <v>39.19</v>
      </c>
      <c r="M55" s="189">
        <v>30.84</v>
      </c>
      <c r="N55" s="189">
        <v>412.1</v>
      </c>
      <c r="O55" s="189">
        <v>0</v>
      </c>
      <c r="P55" s="189">
        <v>0.53</v>
      </c>
      <c r="Q55" s="189">
        <v>4.62</v>
      </c>
    </row>
    <row r="56" spans="1:17" customFormat="1">
      <c r="A56" s="6" t="s">
        <v>2108</v>
      </c>
      <c r="B56" s="189">
        <v>4.1399999999999997</v>
      </c>
      <c r="C56" s="189">
        <v>32.76</v>
      </c>
      <c r="D56" s="189">
        <v>19.39</v>
      </c>
      <c r="E56" s="189">
        <v>7.55</v>
      </c>
      <c r="F56" s="189">
        <v>20.87</v>
      </c>
      <c r="G56" s="189">
        <v>68.209999999999994</v>
      </c>
      <c r="H56" s="189">
        <v>20.98</v>
      </c>
      <c r="I56" s="189">
        <v>4.1500000000000004</v>
      </c>
      <c r="J56" s="189">
        <v>0.63</v>
      </c>
      <c r="K56" s="189">
        <v>274.45999999999998</v>
      </c>
      <c r="L56" s="189">
        <v>39.42</v>
      </c>
      <c r="M56" s="189">
        <v>30.51</v>
      </c>
      <c r="N56" s="189">
        <v>645.29999999999995</v>
      </c>
      <c r="O56" s="189">
        <v>0</v>
      </c>
      <c r="P56" s="189">
        <v>0.52</v>
      </c>
      <c r="Q56" s="189">
        <v>4.58</v>
      </c>
    </row>
    <row r="57" spans="1:17" customFormat="1">
      <c r="A57" s="6" t="s">
        <v>2109</v>
      </c>
      <c r="B57" s="189">
        <v>4.26</v>
      </c>
      <c r="C57" s="189">
        <v>32.590000000000003</v>
      </c>
      <c r="D57" s="189">
        <v>19.399999999999999</v>
      </c>
      <c r="E57" s="189">
        <v>7.67</v>
      </c>
      <c r="F57" s="189">
        <v>24.93</v>
      </c>
      <c r="G57" s="189">
        <v>68.209999999999994</v>
      </c>
      <c r="H57" s="189">
        <v>20.98</v>
      </c>
      <c r="I57" s="189">
        <v>4.34</v>
      </c>
      <c r="J57" s="189">
        <v>0.74</v>
      </c>
      <c r="K57" s="189">
        <v>356.1</v>
      </c>
      <c r="L57" s="189">
        <v>39.090000000000003</v>
      </c>
      <c r="M57" s="189">
        <v>30.12</v>
      </c>
      <c r="N57" s="189">
        <v>641.70000000000005</v>
      </c>
      <c r="O57" s="189">
        <v>0</v>
      </c>
      <c r="P57" s="189">
        <v>0.5</v>
      </c>
      <c r="Q57" s="189">
        <v>4.55</v>
      </c>
    </row>
    <row r="58" spans="1:17" customFormat="1">
      <c r="A58" s="6" t="s">
        <v>2110</v>
      </c>
      <c r="B58" s="189">
        <v>4.0999999999999996</v>
      </c>
      <c r="C58" s="189">
        <v>31.34</v>
      </c>
      <c r="D58" s="189">
        <v>18.62</v>
      </c>
      <c r="E58" s="189">
        <v>7.35</v>
      </c>
      <c r="F58" s="189">
        <v>19.95</v>
      </c>
      <c r="G58" s="189">
        <v>68.209999999999994</v>
      </c>
      <c r="H58" s="189">
        <v>20.98</v>
      </c>
      <c r="I58" s="189">
        <v>4.32</v>
      </c>
      <c r="J58" s="189">
        <v>0.74</v>
      </c>
      <c r="K58" s="189">
        <v>275.99</v>
      </c>
      <c r="L58" s="189">
        <v>39.950000000000003</v>
      </c>
      <c r="M58" s="189">
        <v>28.46</v>
      </c>
      <c r="N58" s="189">
        <v>825.4</v>
      </c>
      <c r="O58" s="189">
        <v>0</v>
      </c>
      <c r="P58" s="189">
        <v>0.5</v>
      </c>
      <c r="Q58" s="189">
        <v>4.5199999999999996</v>
      </c>
    </row>
    <row r="59" spans="1:17" customFormat="1">
      <c r="A59" s="6" t="s">
        <v>2111</v>
      </c>
      <c r="B59" s="189">
        <v>3.45</v>
      </c>
      <c r="C59" s="189">
        <v>30.29</v>
      </c>
      <c r="D59" s="189">
        <v>17.55</v>
      </c>
      <c r="E59" s="189">
        <v>7.38</v>
      </c>
      <c r="F59" s="189">
        <v>24.39</v>
      </c>
      <c r="G59" s="189">
        <v>65.33</v>
      </c>
      <c r="H59" s="189">
        <v>17.61</v>
      </c>
      <c r="I59" s="189">
        <v>4.1500000000000004</v>
      </c>
      <c r="J59" s="189">
        <v>0.85</v>
      </c>
      <c r="K59" s="189">
        <v>273.27999999999997</v>
      </c>
      <c r="L59" s="189">
        <v>40.450000000000003</v>
      </c>
      <c r="M59" s="189">
        <v>26.78</v>
      </c>
      <c r="N59" s="189">
        <v>738.9</v>
      </c>
      <c r="O59" s="189">
        <v>0</v>
      </c>
      <c r="P59" s="189">
        <v>0.48</v>
      </c>
      <c r="Q59" s="189">
        <v>4.51</v>
      </c>
    </row>
    <row r="60" spans="1:17" customFormat="1">
      <c r="A60" s="6" t="s">
        <v>2112</v>
      </c>
      <c r="B60" s="189">
        <v>3.52</v>
      </c>
      <c r="C60" s="189">
        <v>33.53</v>
      </c>
      <c r="D60" s="189">
        <v>19.29</v>
      </c>
      <c r="E60" s="189">
        <v>7.11</v>
      </c>
      <c r="F60" s="189">
        <v>16.399999999999999</v>
      </c>
      <c r="G60" s="189">
        <v>63.66</v>
      </c>
      <c r="H60" s="189">
        <v>16.59</v>
      </c>
      <c r="I60" s="189">
        <v>4.1399999999999997</v>
      </c>
      <c r="J60" s="189">
        <v>0.6</v>
      </c>
      <c r="K60" s="189">
        <v>277.7</v>
      </c>
      <c r="L60" s="189">
        <v>40.5</v>
      </c>
      <c r="M60" s="189">
        <v>26.6</v>
      </c>
      <c r="N60" s="189">
        <v>762.2</v>
      </c>
      <c r="O60" s="189">
        <v>0</v>
      </c>
      <c r="P60" s="189">
        <v>0.49</v>
      </c>
      <c r="Q60" s="189">
        <v>4.51</v>
      </c>
    </row>
    <row r="61" spans="1:17" customFormat="1">
      <c r="A61" s="6" t="s">
        <v>2113</v>
      </c>
      <c r="B61" s="189">
        <v>3.41</v>
      </c>
      <c r="C61" s="189">
        <v>34.270000000000003</v>
      </c>
      <c r="D61" s="189">
        <v>19.59</v>
      </c>
      <c r="E61" s="189">
        <v>8.23</v>
      </c>
      <c r="F61" s="189">
        <v>22.26</v>
      </c>
      <c r="G61" s="189">
        <v>63.66</v>
      </c>
      <c r="H61" s="189">
        <v>16.59</v>
      </c>
      <c r="I61" s="189">
        <v>4.3600000000000003</v>
      </c>
      <c r="J61" s="189">
        <v>0.65</v>
      </c>
      <c r="K61" s="189">
        <v>14.37</v>
      </c>
      <c r="L61" s="189">
        <v>40.81</v>
      </c>
      <c r="M61" s="189">
        <v>26.65</v>
      </c>
      <c r="N61" s="189">
        <v>754.9</v>
      </c>
      <c r="O61" s="189">
        <v>0</v>
      </c>
      <c r="P61" s="189">
        <v>0.51</v>
      </c>
      <c r="Q61" s="189">
        <v>4.62</v>
      </c>
    </row>
    <row r="62" spans="1:17" customFormat="1">
      <c r="A62" s="6" t="s">
        <v>2114</v>
      </c>
      <c r="B62" s="189">
        <v>4.01</v>
      </c>
      <c r="C62" s="189">
        <v>37.83</v>
      </c>
      <c r="D62" s="189">
        <v>21.93</v>
      </c>
      <c r="E62" s="189">
        <v>7.32</v>
      </c>
      <c r="F62" s="189">
        <v>15.47</v>
      </c>
      <c r="G62" s="189">
        <v>63.66</v>
      </c>
      <c r="H62" s="189">
        <v>16.59</v>
      </c>
      <c r="I62" s="189">
        <v>4.43</v>
      </c>
      <c r="J62" s="189">
        <v>1.18</v>
      </c>
      <c r="K62" s="189">
        <v>288.24</v>
      </c>
      <c r="L62" s="189">
        <v>40.700000000000003</v>
      </c>
      <c r="M62" s="189">
        <v>25.36</v>
      </c>
      <c r="N62" s="189">
        <v>792.9</v>
      </c>
      <c r="O62" s="189">
        <v>0</v>
      </c>
      <c r="P62" s="189">
        <v>0.53</v>
      </c>
      <c r="Q62" s="189">
        <v>4.6399999999999997</v>
      </c>
    </row>
    <row r="63" spans="1:17" customFormat="1">
      <c r="A63" s="6" t="s">
        <v>2115</v>
      </c>
      <c r="B63" s="189">
        <v>2.04</v>
      </c>
      <c r="C63" s="189">
        <v>32.36</v>
      </c>
      <c r="D63" s="189">
        <v>17.489999999999998</v>
      </c>
      <c r="E63" s="189">
        <v>7.73</v>
      </c>
      <c r="F63" s="189">
        <v>23.98</v>
      </c>
      <c r="G63" s="189">
        <v>57.4</v>
      </c>
      <c r="H63" s="189">
        <v>16.79</v>
      </c>
      <c r="I63" s="189">
        <v>4.41</v>
      </c>
      <c r="J63" s="189">
        <v>0.69</v>
      </c>
      <c r="K63" s="189">
        <v>258.39999999999998</v>
      </c>
      <c r="L63" s="189">
        <v>41.44</v>
      </c>
      <c r="M63" s="189">
        <v>24.29</v>
      </c>
      <c r="N63" s="189">
        <v>613.79999999999995</v>
      </c>
      <c r="O63" s="189">
        <v>0</v>
      </c>
      <c r="P63" s="189">
        <v>0.5</v>
      </c>
      <c r="Q63" s="189">
        <v>4.62</v>
      </c>
    </row>
    <row r="64" spans="1:17" customFormat="1">
      <c r="A64" s="6" t="s">
        <v>2116</v>
      </c>
      <c r="B64" s="189">
        <v>1.19</v>
      </c>
      <c r="C64" s="189">
        <v>34.270000000000003</v>
      </c>
      <c r="D64" s="189">
        <v>17.809999999999999</v>
      </c>
      <c r="E64" s="189">
        <v>8.33</v>
      </c>
      <c r="F64" s="189">
        <v>28.5</v>
      </c>
      <c r="G64" s="189">
        <v>53.78</v>
      </c>
      <c r="H64" s="189">
        <v>16.82</v>
      </c>
      <c r="I64" s="189">
        <v>4.42</v>
      </c>
      <c r="J64" s="189">
        <v>0.52</v>
      </c>
      <c r="K64" s="189">
        <v>286.48</v>
      </c>
      <c r="L64" s="189">
        <v>40.53</v>
      </c>
      <c r="M64" s="189">
        <v>26.32</v>
      </c>
      <c r="N64" s="189">
        <v>490.3</v>
      </c>
      <c r="O64" s="189">
        <v>0</v>
      </c>
      <c r="P64" s="189">
        <v>0.51</v>
      </c>
      <c r="Q64" s="189">
        <v>4.5199999999999996</v>
      </c>
    </row>
    <row r="65" spans="1:17" customFormat="1">
      <c r="A65" s="6" t="s">
        <v>2117</v>
      </c>
      <c r="B65" s="189">
        <v>1.18</v>
      </c>
      <c r="C65" s="189">
        <v>34.44</v>
      </c>
      <c r="D65" s="189">
        <v>17.89</v>
      </c>
      <c r="E65" s="189">
        <v>10.79</v>
      </c>
      <c r="F65" s="189">
        <v>25</v>
      </c>
      <c r="G65" s="189">
        <v>53.78</v>
      </c>
      <c r="H65" s="189">
        <v>16.82</v>
      </c>
      <c r="I65" s="189">
        <v>4.32</v>
      </c>
      <c r="J65" s="189">
        <v>0.56999999999999995</v>
      </c>
      <c r="K65" s="189">
        <v>271.60000000000002</v>
      </c>
      <c r="L65" s="189">
        <v>41.31</v>
      </c>
      <c r="M65" s="189">
        <v>25.12</v>
      </c>
      <c r="N65" s="189">
        <v>682.5</v>
      </c>
      <c r="O65" s="189">
        <v>0</v>
      </c>
      <c r="P65" s="189">
        <v>0.51</v>
      </c>
      <c r="Q65" s="189">
        <v>4.49</v>
      </c>
    </row>
    <row r="66" spans="1:17" customFormat="1">
      <c r="A66" s="6" t="s">
        <v>2118</v>
      </c>
      <c r="B66" s="189">
        <v>1.31</v>
      </c>
      <c r="C66" s="189">
        <v>35.340000000000003</v>
      </c>
      <c r="D66" s="189">
        <v>18.47</v>
      </c>
      <c r="E66" s="189">
        <v>11.89</v>
      </c>
      <c r="F66" s="189">
        <v>23.08</v>
      </c>
      <c r="G66" s="189">
        <v>53.78</v>
      </c>
      <c r="H66" s="189">
        <v>16.82</v>
      </c>
      <c r="I66" s="189">
        <v>4.3499999999999996</v>
      </c>
      <c r="J66" s="189">
        <v>1.02</v>
      </c>
      <c r="K66" s="189">
        <v>273.22000000000003</v>
      </c>
      <c r="L66" s="189">
        <v>41.23</v>
      </c>
      <c r="M66" s="189">
        <v>24.97</v>
      </c>
      <c r="N66" s="189">
        <v>648.70000000000005</v>
      </c>
      <c r="O66" s="189">
        <v>0</v>
      </c>
      <c r="P66" s="189">
        <v>0.52</v>
      </c>
      <c r="Q66" s="189">
        <v>4.49</v>
      </c>
    </row>
    <row r="67" spans="1:17" customFormat="1">
      <c r="A67" s="6" t="s">
        <v>2119</v>
      </c>
      <c r="B67" s="189">
        <v>1.46</v>
      </c>
      <c r="C67" s="189">
        <v>35.68</v>
      </c>
      <c r="D67" s="189">
        <v>18.77</v>
      </c>
      <c r="E67" s="189">
        <v>11.04</v>
      </c>
      <c r="F67" s="189">
        <v>20.45</v>
      </c>
      <c r="G67" s="189">
        <v>57.2</v>
      </c>
      <c r="H67" s="189">
        <v>18.809999999999999</v>
      </c>
      <c r="I67" s="189">
        <v>4.46</v>
      </c>
      <c r="J67" s="189">
        <v>0.76</v>
      </c>
      <c r="K67" s="189">
        <v>267.31</v>
      </c>
      <c r="L67" s="189">
        <v>41.29</v>
      </c>
      <c r="M67" s="189">
        <v>24.71</v>
      </c>
      <c r="N67" s="189">
        <v>620.79999999999995</v>
      </c>
      <c r="O67" s="189">
        <v>0</v>
      </c>
      <c r="P67" s="189">
        <v>0.52</v>
      </c>
      <c r="Q67" s="189">
        <v>4.49</v>
      </c>
    </row>
    <row r="68" spans="1:17" customFormat="1">
      <c r="A68" s="6" t="s">
        <v>2120</v>
      </c>
      <c r="B68" s="189">
        <v>1.55</v>
      </c>
      <c r="C68" s="189">
        <v>35.799999999999997</v>
      </c>
      <c r="D68" s="189">
        <v>18.91</v>
      </c>
      <c r="E68" s="189">
        <v>13.47</v>
      </c>
      <c r="F68" s="189">
        <v>29.44</v>
      </c>
      <c r="G68" s="189">
        <v>59.27</v>
      </c>
      <c r="H68" s="189">
        <v>19.170000000000002</v>
      </c>
      <c r="I68" s="189">
        <v>4.7</v>
      </c>
      <c r="J68" s="189">
        <v>0.52</v>
      </c>
      <c r="K68" s="189">
        <v>277.41000000000003</v>
      </c>
      <c r="L68" s="189">
        <v>41.13</v>
      </c>
      <c r="M68" s="189">
        <v>24.89</v>
      </c>
      <c r="N68" s="189">
        <v>592</v>
      </c>
      <c r="O68" s="189">
        <v>0</v>
      </c>
      <c r="P68" s="189">
        <v>0.53</v>
      </c>
      <c r="Q68" s="189">
        <v>4.47</v>
      </c>
    </row>
    <row r="69" spans="1:17" customFormat="1">
      <c r="A69" s="6" t="s">
        <v>2121</v>
      </c>
      <c r="B69" s="189">
        <v>1.75</v>
      </c>
      <c r="C69" s="189">
        <v>35.18</v>
      </c>
      <c r="D69" s="189">
        <v>18.739999999999998</v>
      </c>
      <c r="E69" s="189">
        <v>13.16</v>
      </c>
      <c r="F69" s="189">
        <v>20.86</v>
      </c>
      <c r="G69" s="189">
        <v>59.27</v>
      </c>
      <c r="H69" s="189">
        <v>19.170000000000002</v>
      </c>
      <c r="I69" s="189">
        <v>4.95</v>
      </c>
      <c r="J69" s="189">
        <v>1.2</v>
      </c>
      <c r="K69" s="189">
        <v>301.57</v>
      </c>
      <c r="L69" s="189">
        <v>41.18</v>
      </c>
      <c r="M69" s="189">
        <v>24.19</v>
      </c>
      <c r="N69" s="189">
        <v>528.79999999999995</v>
      </c>
      <c r="O69" s="189">
        <v>0</v>
      </c>
      <c r="P69" s="189">
        <v>0.53</v>
      </c>
      <c r="Q69" s="189">
        <v>4.49</v>
      </c>
    </row>
    <row r="70" spans="1:17" customFormat="1">
      <c r="A70" s="6" t="s">
        <v>2122</v>
      </c>
      <c r="B70" s="189">
        <v>2.15</v>
      </c>
      <c r="C70" s="189">
        <v>36.520000000000003</v>
      </c>
      <c r="D70" s="189">
        <v>19.760000000000002</v>
      </c>
      <c r="E70" s="189">
        <v>13.89</v>
      </c>
      <c r="F70" s="189">
        <v>26.07</v>
      </c>
      <c r="G70" s="189">
        <v>59.27</v>
      </c>
      <c r="H70" s="189">
        <v>19.170000000000002</v>
      </c>
      <c r="I70" s="189">
        <v>5.07</v>
      </c>
      <c r="J70" s="189">
        <v>0.66</v>
      </c>
      <c r="K70" s="189">
        <v>276.13</v>
      </c>
      <c r="L70" s="189">
        <v>41.44</v>
      </c>
      <c r="M70" s="189">
        <v>24.18</v>
      </c>
      <c r="N70" s="189">
        <v>521</v>
      </c>
      <c r="O70" s="189">
        <v>0</v>
      </c>
      <c r="P70" s="189">
        <v>0.53</v>
      </c>
      <c r="Q70" s="189">
        <v>4.51</v>
      </c>
    </row>
    <row r="71" spans="1:17" customFormat="1">
      <c r="A71" s="6" t="s">
        <v>2123</v>
      </c>
      <c r="B71" s="189">
        <v>2.1800000000000002</v>
      </c>
      <c r="C71" s="189">
        <v>34.53</v>
      </c>
      <c r="D71" s="189">
        <v>18.739999999999998</v>
      </c>
      <c r="E71" s="189">
        <v>13.69</v>
      </c>
      <c r="F71" s="189">
        <v>25.37</v>
      </c>
      <c r="G71" s="189">
        <v>59.13</v>
      </c>
      <c r="H71" s="189">
        <v>23.16</v>
      </c>
      <c r="I71" s="189">
        <v>5.18</v>
      </c>
      <c r="J71" s="189">
        <v>1.06</v>
      </c>
      <c r="K71" s="189">
        <v>295.82</v>
      </c>
      <c r="L71" s="189">
        <v>41.39</v>
      </c>
      <c r="M71" s="189">
        <v>23.97</v>
      </c>
      <c r="N71" s="189">
        <v>406.5</v>
      </c>
      <c r="O71" s="189">
        <v>0</v>
      </c>
      <c r="P71" s="189">
        <v>0.54</v>
      </c>
      <c r="Q71" s="189">
        <v>4.51</v>
      </c>
    </row>
    <row r="72" spans="1:17" customFormat="1">
      <c r="A72" s="6" t="s">
        <v>2124</v>
      </c>
      <c r="B72" s="189">
        <v>2.69</v>
      </c>
      <c r="C72" s="189">
        <v>35.86</v>
      </c>
      <c r="D72" s="189">
        <v>19.850000000000001</v>
      </c>
      <c r="E72" s="189">
        <v>15.94</v>
      </c>
      <c r="F72" s="189">
        <v>28.87</v>
      </c>
      <c r="G72" s="189">
        <v>59.04</v>
      </c>
      <c r="H72" s="189">
        <v>23.87</v>
      </c>
      <c r="I72" s="189">
        <v>5.18</v>
      </c>
      <c r="J72" s="189">
        <v>0.73</v>
      </c>
      <c r="K72" s="189">
        <v>298.97000000000003</v>
      </c>
      <c r="L72" s="189">
        <v>40.96</v>
      </c>
      <c r="M72" s="189">
        <v>24.28</v>
      </c>
      <c r="N72" s="189">
        <v>368.4</v>
      </c>
      <c r="O72" s="189">
        <v>0</v>
      </c>
      <c r="P72" s="189">
        <v>0.56000000000000005</v>
      </c>
      <c r="Q72" s="189">
        <v>4.54</v>
      </c>
    </row>
    <row r="73" spans="1:17" customFormat="1">
      <c r="A73" s="6" t="s">
        <v>2125</v>
      </c>
      <c r="B73" s="189">
        <v>2.62</v>
      </c>
      <c r="C73" s="189">
        <v>35.99</v>
      </c>
      <c r="D73" s="189">
        <v>19.86</v>
      </c>
      <c r="E73" s="189">
        <v>13.16</v>
      </c>
      <c r="F73" s="189">
        <v>20.73</v>
      </c>
      <c r="G73" s="189">
        <v>59.04</v>
      </c>
      <c r="H73" s="189">
        <v>23.87</v>
      </c>
      <c r="I73" s="189">
        <v>5.0999999999999996</v>
      </c>
      <c r="J73" s="189">
        <v>1.03</v>
      </c>
      <c r="K73" s="189">
        <v>272.77</v>
      </c>
      <c r="L73" s="189">
        <v>40.97</v>
      </c>
      <c r="M73" s="189">
        <v>23.83</v>
      </c>
      <c r="N73" s="189">
        <v>357</v>
      </c>
      <c r="O73" s="189">
        <v>0</v>
      </c>
      <c r="P73" s="189">
        <v>0.55000000000000004</v>
      </c>
      <c r="Q73" s="189">
        <v>4.54</v>
      </c>
    </row>
    <row r="74" spans="1:17" customFormat="1">
      <c r="A74" s="6" t="s">
        <v>2126</v>
      </c>
      <c r="B74" s="189">
        <v>2.59</v>
      </c>
      <c r="C74" s="189">
        <v>34.5</v>
      </c>
      <c r="D74" s="189">
        <v>19.05</v>
      </c>
      <c r="E74" s="189">
        <v>14.02</v>
      </c>
      <c r="F74" s="189">
        <v>26.26</v>
      </c>
      <c r="G74" s="189">
        <v>59.04</v>
      </c>
      <c r="H74" s="189">
        <v>23.87</v>
      </c>
      <c r="I74" s="189">
        <v>5.08</v>
      </c>
      <c r="J74" s="189">
        <v>0.63</v>
      </c>
      <c r="K74" s="189">
        <v>255.97</v>
      </c>
      <c r="L74" s="189">
        <v>41.3</v>
      </c>
      <c r="M74" s="189">
        <v>23.97</v>
      </c>
      <c r="N74" s="189">
        <v>320.89999999999998</v>
      </c>
      <c r="O74" s="189">
        <v>0</v>
      </c>
      <c r="P74" s="189">
        <v>0.54</v>
      </c>
      <c r="Q74" s="189">
        <v>4.5199999999999996</v>
      </c>
    </row>
    <row r="75" spans="1:17" customFormat="1">
      <c r="A75" s="6" t="s">
        <v>2127</v>
      </c>
      <c r="B75" s="189">
        <v>3.21</v>
      </c>
      <c r="C75" s="189">
        <v>34.909999999999997</v>
      </c>
      <c r="D75" s="189">
        <v>19.77</v>
      </c>
      <c r="E75" s="189">
        <v>14.61</v>
      </c>
      <c r="F75" s="189">
        <v>34.39</v>
      </c>
      <c r="G75" s="189">
        <v>58.6</v>
      </c>
      <c r="H75" s="189">
        <v>21.53</v>
      </c>
      <c r="I75" s="189">
        <v>4.97</v>
      </c>
      <c r="J75" s="189">
        <v>0.67</v>
      </c>
      <c r="K75" s="189">
        <v>271.32</v>
      </c>
      <c r="L75" s="189">
        <v>41.05</v>
      </c>
      <c r="M75" s="189">
        <v>23.97</v>
      </c>
      <c r="N75" s="189">
        <v>259.5</v>
      </c>
      <c r="O75" s="189">
        <v>0</v>
      </c>
      <c r="P75" s="189">
        <v>0.53</v>
      </c>
      <c r="Q75" s="189">
        <v>4.51</v>
      </c>
    </row>
    <row r="76" spans="1:17" customFormat="1">
      <c r="A76" s="6" t="s">
        <v>2128</v>
      </c>
      <c r="B76" s="189">
        <v>3.15</v>
      </c>
      <c r="C76" s="189">
        <v>34.22</v>
      </c>
      <c r="D76" s="189">
        <v>19.36</v>
      </c>
      <c r="E76" s="189">
        <v>16.420000000000002</v>
      </c>
      <c r="F76" s="189">
        <v>29.79</v>
      </c>
      <c r="G76" s="189">
        <v>58.34</v>
      </c>
      <c r="H76" s="189">
        <v>21.11</v>
      </c>
      <c r="I76" s="189">
        <v>4.95</v>
      </c>
      <c r="J76" s="189">
        <v>0.69</v>
      </c>
      <c r="K76" s="189">
        <v>276.87</v>
      </c>
      <c r="L76" s="189">
        <v>40.9</v>
      </c>
      <c r="M76" s="189">
        <v>23.97</v>
      </c>
      <c r="N76" s="189">
        <v>195.7</v>
      </c>
      <c r="O76" s="189">
        <v>0</v>
      </c>
      <c r="P76" s="189">
        <v>0.54</v>
      </c>
      <c r="Q76" s="189">
        <v>4.51</v>
      </c>
    </row>
    <row r="77" spans="1:17" customFormat="1">
      <c r="A77" s="6" t="s">
        <v>2129</v>
      </c>
      <c r="B77" s="189">
        <v>4.21</v>
      </c>
      <c r="C77" s="189">
        <v>37.35</v>
      </c>
      <c r="D77" s="189">
        <v>21.84</v>
      </c>
      <c r="E77" s="189">
        <v>14.94</v>
      </c>
      <c r="F77" s="189">
        <v>23.63</v>
      </c>
      <c r="G77" s="189">
        <v>58.34</v>
      </c>
      <c r="H77" s="189">
        <v>21.11</v>
      </c>
      <c r="I77" s="189">
        <v>4.82</v>
      </c>
      <c r="J77" s="189">
        <v>0.77</v>
      </c>
      <c r="K77" s="189">
        <v>285.77</v>
      </c>
      <c r="L77" s="189">
        <v>40.28</v>
      </c>
      <c r="M77" s="189">
        <v>24.28</v>
      </c>
      <c r="N77" s="189">
        <v>132</v>
      </c>
      <c r="O77" s="189">
        <v>0</v>
      </c>
      <c r="P77" s="189">
        <v>0.56000000000000005</v>
      </c>
      <c r="Q77" s="189">
        <v>4.4800000000000004</v>
      </c>
    </row>
    <row r="78" spans="1:17" customFormat="1">
      <c r="A78" s="6" t="s">
        <v>2130</v>
      </c>
      <c r="B78" s="189">
        <v>2.95</v>
      </c>
      <c r="C78" s="189">
        <v>33.82</v>
      </c>
      <c r="D78" s="189">
        <v>18.989999999999998</v>
      </c>
      <c r="E78" s="189">
        <v>13.98</v>
      </c>
      <c r="F78" s="189">
        <v>26.11</v>
      </c>
      <c r="G78" s="189">
        <v>58.34</v>
      </c>
      <c r="H78" s="189">
        <v>21.11</v>
      </c>
      <c r="I78" s="189">
        <v>4.9400000000000004</v>
      </c>
      <c r="J78" s="189">
        <v>0.98</v>
      </c>
      <c r="K78" s="189">
        <v>261.79000000000002</v>
      </c>
      <c r="L78" s="189">
        <v>39.950000000000003</v>
      </c>
      <c r="M78" s="189">
        <v>24.35</v>
      </c>
      <c r="N78" s="189">
        <v>127.6</v>
      </c>
      <c r="O78" s="189">
        <v>0</v>
      </c>
      <c r="P78" s="189">
        <v>0.52</v>
      </c>
      <c r="Q78" s="189">
        <v>4.4800000000000004</v>
      </c>
    </row>
    <row r="79" spans="1:17" customFormat="1">
      <c r="A79" s="6" t="s">
        <v>2131</v>
      </c>
      <c r="B79" s="189">
        <v>3.69</v>
      </c>
      <c r="C79" s="189">
        <v>33.42</v>
      </c>
      <c r="D79" s="189">
        <v>19.38</v>
      </c>
      <c r="E79" s="189">
        <v>18.850000000000001</v>
      </c>
      <c r="F79" s="189">
        <v>27.32</v>
      </c>
      <c r="G79" s="189">
        <v>60.51</v>
      </c>
      <c r="H79" s="189">
        <v>21.64</v>
      </c>
      <c r="I79" s="189">
        <v>5.14</v>
      </c>
      <c r="J79" s="189">
        <v>0.66</v>
      </c>
      <c r="K79" s="189">
        <v>268.47000000000003</v>
      </c>
      <c r="L79" s="189">
        <v>39.869999999999997</v>
      </c>
      <c r="M79" s="189">
        <v>24.98</v>
      </c>
      <c r="N79" s="189">
        <v>98.2</v>
      </c>
      <c r="O79" s="189">
        <v>0</v>
      </c>
      <c r="P79" s="189">
        <v>0.54</v>
      </c>
      <c r="Q79" s="189">
        <v>4.49</v>
      </c>
    </row>
    <row r="80" spans="1:17" customFormat="1">
      <c r="A80" s="6" t="s">
        <v>2132</v>
      </c>
      <c r="B80" s="189">
        <v>2.89</v>
      </c>
      <c r="C80" s="189">
        <v>35.19</v>
      </c>
      <c r="D80" s="189">
        <v>19.66</v>
      </c>
      <c r="E80" s="189">
        <v>16.100000000000001</v>
      </c>
      <c r="F80" s="189">
        <v>27.55</v>
      </c>
      <c r="G80" s="189">
        <v>61.76</v>
      </c>
      <c r="H80" s="189">
        <v>21.74</v>
      </c>
      <c r="I80" s="189">
        <v>4.88</v>
      </c>
      <c r="J80" s="189">
        <v>0.95</v>
      </c>
      <c r="K80" s="189">
        <v>260.38</v>
      </c>
      <c r="L80" s="189">
        <v>39.42</v>
      </c>
      <c r="M80" s="189">
        <v>25.56</v>
      </c>
      <c r="N80" s="189">
        <v>74.3</v>
      </c>
      <c r="O80" s="189">
        <v>0</v>
      </c>
      <c r="P80" s="189">
        <v>0.55000000000000004</v>
      </c>
      <c r="Q80" s="189">
        <v>4.55</v>
      </c>
    </row>
    <row r="81" spans="1:17" customFormat="1">
      <c r="A81" s="6" t="s">
        <v>2133</v>
      </c>
      <c r="B81" s="189">
        <v>2.71</v>
      </c>
      <c r="C81" s="189">
        <v>34.31</v>
      </c>
      <c r="D81" s="189">
        <v>19.05</v>
      </c>
      <c r="E81" s="189">
        <v>12.31</v>
      </c>
      <c r="F81" s="189">
        <v>26.13</v>
      </c>
      <c r="G81" s="189">
        <v>61.76</v>
      </c>
      <c r="H81" s="189">
        <v>21.74</v>
      </c>
      <c r="I81" s="189">
        <v>4.93</v>
      </c>
      <c r="J81" s="189">
        <v>0.89</v>
      </c>
      <c r="K81" s="189">
        <v>254.95</v>
      </c>
      <c r="L81" s="189">
        <v>39.25</v>
      </c>
      <c r="M81" s="189">
        <v>25.9</v>
      </c>
      <c r="N81" s="189">
        <v>48.5</v>
      </c>
      <c r="O81" s="189">
        <v>0</v>
      </c>
      <c r="P81" s="189">
        <v>0.56999999999999995</v>
      </c>
      <c r="Q81" s="189">
        <v>4.54</v>
      </c>
    </row>
    <row r="82" spans="1:17" customFormat="1">
      <c r="A82" s="6" t="s">
        <v>2134</v>
      </c>
      <c r="B82" s="189">
        <v>2.4</v>
      </c>
      <c r="C82" s="189">
        <v>30.72</v>
      </c>
      <c r="D82" s="189">
        <v>16.93</v>
      </c>
      <c r="E82" s="189">
        <v>14.75</v>
      </c>
      <c r="F82" s="189">
        <v>32.159999999999997</v>
      </c>
      <c r="G82" s="189">
        <v>61.76</v>
      </c>
      <c r="H82" s="189">
        <v>21.74</v>
      </c>
      <c r="I82" s="189">
        <v>5.04</v>
      </c>
      <c r="J82" s="189">
        <v>0.56999999999999995</v>
      </c>
      <c r="K82" s="189">
        <v>239.97</v>
      </c>
      <c r="L82" s="189">
        <v>38.33</v>
      </c>
      <c r="M82" s="189">
        <v>29.79</v>
      </c>
      <c r="N82" s="189">
        <v>16.3</v>
      </c>
      <c r="O82" s="189">
        <v>0</v>
      </c>
      <c r="P82" s="189">
        <v>0.53</v>
      </c>
      <c r="Q82" s="189">
        <v>4.4800000000000004</v>
      </c>
    </row>
    <row r="83" spans="1:17" customFormat="1">
      <c r="A83" s="6" t="s">
        <v>2135</v>
      </c>
      <c r="B83" s="189">
        <v>2.37</v>
      </c>
      <c r="C83" s="189">
        <v>26.88</v>
      </c>
      <c r="D83" s="189">
        <v>14.9</v>
      </c>
      <c r="E83" s="189">
        <v>6.25</v>
      </c>
      <c r="F83" s="189">
        <v>33.68</v>
      </c>
      <c r="G83" s="189">
        <v>64.02</v>
      </c>
      <c r="H83" s="189">
        <v>22.53</v>
      </c>
      <c r="I83" s="189">
        <v>4.75</v>
      </c>
      <c r="J83" s="189">
        <v>0.55000000000000004</v>
      </c>
      <c r="K83" s="189">
        <v>245.71</v>
      </c>
      <c r="L83" s="189">
        <v>35.78</v>
      </c>
      <c r="M83" s="189">
        <v>37.25</v>
      </c>
      <c r="N83" s="189">
        <v>1</v>
      </c>
      <c r="O83" s="189">
        <v>0</v>
      </c>
      <c r="P83" s="189">
        <v>0.44</v>
      </c>
      <c r="Q83" s="189">
        <v>4.4400000000000004</v>
      </c>
    </row>
    <row r="84" spans="1:17" customFormat="1">
      <c r="A84" s="6" t="s">
        <v>2136</v>
      </c>
      <c r="B84" s="189">
        <v>2.52</v>
      </c>
      <c r="C84" s="189">
        <v>29.64</v>
      </c>
      <c r="D84" s="189">
        <v>16.46</v>
      </c>
      <c r="E84" s="189">
        <v>6.2</v>
      </c>
      <c r="F84" s="189">
        <v>24.79</v>
      </c>
      <c r="G84" s="189">
        <v>65.319999999999993</v>
      </c>
      <c r="H84" s="189">
        <v>22.77</v>
      </c>
      <c r="I84" s="189">
        <v>4.29</v>
      </c>
      <c r="J84" s="189">
        <v>0.45</v>
      </c>
      <c r="K84" s="189">
        <v>232.52</v>
      </c>
      <c r="L84" s="189">
        <v>34.869999999999997</v>
      </c>
      <c r="M84" s="189">
        <v>40.659999999999997</v>
      </c>
      <c r="N84" s="189">
        <v>0</v>
      </c>
      <c r="O84" s="189">
        <v>0</v>
      </c>
      <c r="P84" s="189">
        <v>0.44</v>
      </c>
      <c r="Q84" s="189">
        <v>4.4000000000000004</v>
      </c>
    </row>
    <row r="85" spans="1:17" customFormat="1">
      <c r="A85" s="6" t="s">
        <v>2137</v>
      </c>
      <c r="B85" s="189">
        <v>2.74</v>
      </c>
      <c r="C85" s="189">
        <v>30.03</v>
      </c>
      <c r="D85" s="189">
        <v>16.84</v>
      </c>
      <c r="E85" s="189">
        <v>6.66</v>
      </c>
      <c r="F85" s="189">
        <v>26.68</v>
      </c>
      <c r="G85" s="189">
        <v>65.319999999999993</v>
      </c>
      <c r="H85" s="189">
        <v>22.77</v>
      </c>
      <c r="I85" s="189">
        <v>3.8</v>
      </c>
      <c r="J85" s="189">
        <v>0.66</v>
      </c>
      <c r="K85" s="189">
        <v>254.92</v>
      </c>
      <c r="L85" s="189">
        <v>34.04</v>
      </c>
      <c r="M85" s="189">
        <v>43.86</v>
      </c>
      <c r="N85" s="189">
        <v>0</v>
      </c>
      <c r="O85" s="189">
        <v>0</v>
      </c>
      <c r="P85" s="189">
        <v>0.45</v>
      </c>
      <c r="Q85" s="189">
        <v>4.3499999999999996</v>
      </c>
    </row>
    <row r="86" spans="1:17" customFormat="1">
      <c r="A86" s="6" t="s">
        <v>2138</v>
      </c>
      <c r="B86" s="189">
        <v>2.62</v>
      </c>
      <c r="C86" s="189">
        <v>28.15</v>
      </c>
      <c r="D86" s="189">
        <v>15.77</v>
      </c>
      <c r="E86" s="189">
        <v>6.54</v>
      </c>
      <c r="F86" s="189">
        <v>30.19</v>
      </c>
      <c r="G86" s="189">
        <v>65.319999999999993</v>
      </c>
      <c r="H86" s="189">
        <v>22.77</v>
      </c>
      <c r="I86" s="189">
        <v>3.84</v>
      </c>
      <c r="J86" s="189">
        <v>0.54</v>
      </c>
      <c r="K86" s="189">
        <v>248.87</v>
      </c>
      <c r="L86" s="189">
        <v>34</v>
      </c>
      <c r="M86" s="189">
        <v>43.86</v>
      </c>
      <c r="N86" s="189">
        <v>0</v>
      </c>
      <c r="O86" s="189">
        <v>0</v>
      </c>
      <c r="P86" s="189">
        <v>0.44</v>
      </c>
      <c r="Q86" s="189">
        <v>4.37</v>
      </c>
    </row>
    <row r="87" spans="1:17" customFormat="1">
      <c r="A87" s="6" t="s">
        <v>2139</v>
      </c>
      <c r="B87" s="189">
        <v>2.76</v>
      </c>
      <c r="C87" s="189">
        <v>28.25</v>
      </c>
      <c r="D87" s="189">
        <v>15.93</v>
      </c>
      <c r="E87" s="189">
        <v>6.65</v>
      </c>
      <c r="F87" s="189">
        <v>26.13</v>
      </c>
      <c r="G87" s="189">
        <v>62.13</v>
      </c>
      <c r="H87" s="189">
        <v>19.670000000000002</v>
      </c>
      <c r="I87" s="189">
        <v>3.87</v>
      </c>
      <c r="J87" s="189">
        <v>0.72</v>
      </c>
      <c r="K87" s="189">
        <v>243.04</v>
      </c>
      <c r="L87" s="189">
        <v>33.950000000000003</v>
      </c>
      <c r="M87" s="189">
        <v>43.7</v>
      </c>
      <c r="N87" s="189">
        <v>0</v>
      </c>
      <c r="O87" s="189">
        <v>0</v>
      </c>
      <c r="P87" s="189">
        <v>0.45</v>
      </c>
      <c r="Q87" s="189">
        <v>4.37</v>
      </c>
    </row>
    <row r="88" spans="1:17" customFormat="1">
      <c r="A88" s="6" t="s">
        <v>2140</v>
      </c>
      <c r="B88" s="189">
        <v>2.8</v>
      </c>
      <c r="C88" s="189">
        <v>26.85</v>
      </c>
      <c r="D88" s="189">
        <v>15.23</v>
      </c>
      <c r="E88" s="189">
        <v>6.81</v>
      </c>
      <c r="F88" s="189">
        <v>28.59</v>
      </c>
      <c r="G88" s="189">
        <v>60.28</v>
      </c>
      <c r="H88" s="189">
        <v>19.13</v>
      </c>
      <c r="I88" s="189">
        <v>3.71</v>
      </c>
      <c r="J88" s="189">
        <v>0.46</v>
      </c>
      <c r="K88" s="189">
        <v>245.67</v>
      </c>
      <c r="L88" s="189">
        <v>33.82</v>
      </c>
      <c r="M88" s="189">
        <v>44</v>
      </c>
      <c r="N88" s="189">
        <v>0</v>
      </c>
      <c r="O88" s="189">
        <v>0</v>
      </c>
      <c r="P88" s="189">
        <v>0.43</v>
      </c>
      <c r="Q88" s="189">
        <v>4.33</v>
      </c>
    </row>
    <row r="89" spans="1:17" customFormat="1">
      <c r="A89" s="6" t="s">
        <v>2141</v>
      </c>
      <c r="B89" s="189">
        <v>2.86</v>
      </c>
      <c r="C89" s="189">
        <v>27.82</v>
      </c>
      <c r="D89" s="189">
        <v>15.78</v>
      </c>
      <c r="E89" s="189">
        <v>6.93</v>
      </c>
      <c r="F89" s="189">
        <v>26.87</v>
      </c>
      <c r="G89" s="189">
        <v>60.28</v>
      </c>
      <c r="H89" s="189">
        <v>19.13</v>
      </c>
      <c r="I89" s="189">
        <v>3.7</v>
      </c>
      <c r="J89" s="189">
        <v>0.53</v>
      </c>
      <c r="K89" s="189">
        <v>242.54</v>
      </c>
      <c r="L89" s="189">
        <v>33.79</v>
      </c>
      <c r="M89" s="189">
        <v>43.78</v>
      </c>
      <c r="N89" s="189">
        <v>0</v>
      </c>
      <c r="O89" s="189">
        <v>0</v>
      </c>
      <c r="P89" s="189">
        <v>0.43</v>
      </c>
      <c r="Q89" s="189">
        <v>4.34</v>
      </c>
    </row>
    <row r="90" spans="1:17" customFormat="1">
      <c r="A90" s="6" t="s">
        <v>2142</v>
      </c>
      <c r="B90" s="189">
        <v>2.93</v>
      </c>
      <c r="C90" s="189">
        <v>26.33</v>
      </c>
      <c r="D90" s="189">
        <v>15.06</v>
      </c>
      <c r="E90" s="189">
        <v>7</v>
      </c>
      <c r="F90" s="189">
        <v>27.08</v>
      </c>
      <c r="G90" s="189">
        <v>60.28</v>
      </c>
      <c r="H90" s="189">
        <v>19.13</v>
      </c>
      <c r="I90" s="189">
        <v>3.69</v>
      </c>
      <c r="J90" s="189">
        <v>0.4</v>
      </c>
      <c r="K90" s="189">
        <v>234.4</v>
      </c>
      <c r="L90" s="189">
        <v>33.729999999999997</v>
      </c>
      <c r="M90" s="189">
        <v>43.71</v>
      </c>
      <c r="N90" s="189">
        <v>0</v>
      </c>
      <c r="O90" s="189">
        <v>0</v>
      </c>
      <c r="P90" s="189">
        <v>0.42</v>
      </c>
      <c r="Q90" s="189">
        <v>4.32</v>
      </c>
    </row>
    <row r="91" spans="1:17" customFormat="1">
      <c r="A91" s="6" t="s">
        <v>2143</v>
      </c>
      <c r="B91" s="189">
        <v>3.09</v>
      </c>
      <c r="C91" s="189">
        <v>28.82</v>
      </c>
      <c r="D91" s="189">
        <v>16.489999999999998</v>
      </c>
      <c r="E91" s="189">
        <v>7.22</v>
      </c>
      <c r="F91" s="189">
        <v>23.87</v>
      </c>
      <c r="G91" s="189">
        <v>52.99</v>
      </c>
      <c r="H91" s="189">
        <v>14.6</v>
      </c>
      <c r="I91" s="189">
        <v>3.57</v>
      </c>
      <c r="J91" s="189">
        <v>0.33</v>
      </c>
      <c r="K91" s="189">
        <v>237.6</v>
      </c>
      <c r="L91" s="189">
        <v>33.64</v>
      </c>
      <c r="M91" s="189">
        <v>43.83</v>
      </c>
      <c r="N91" s="189">
        <v>0</v>
      </c>
      <c r="O91" s="189">
        <v>0</v>
      </c>
      <c r="P91" s="189">
        <v>0.44</v>
      </c>
      <c r="Q91" s="189">
        <v>4.3600000000000003</v>
      </c>
    </row>
    <row r="92" spans="1:17" customFormat="1">
      <c r="A92" s="6" t="s">
        <v>2144</v>
      </c>
      <c r="B92" s="189">
        <v>3.31</v>
      </c>
      <c r="C92" s="189">
        <v>28.79</v>
      </c>
      <c r="D92" s="189">
        <v>16.649999999999999</v>
      </c>
      <c r="E92" s="189">
        <v>7.29</v>
      </c>
      <c r="F92" s="189">
        <v>26.01</v>
      </c>
      <c r="G92" s="189">
        <v>48.77</v>
      </c>
      <c r="H92" s="189">
        <v>13.79</v>
      </c>
      <c r="I92" s="189">
        <v>3.51</v>
      </c>
      <c r="J92" s="189">
        <v>0.31</v>
      </c>
      <c r="K92" s="189">
        <v>230.96</v>
      </c>
      <c r="L92" s="189">
        <v>33.57</v>
      </c>
      <c r="M92" s="189">
        <v>43.71</v>
      </c>
      <c r="N92" s="189">
        <v>0</v>
      </c>
      <c r="O92" s="189">
        <v>0</v>
      </c>
      <c r="P92" s="189">
        <v>0.44</v>
      </c>
      <c r="Q92" s="189">
        <v>4.4400000000000004</v>
      </c>
    </row>
    <row r="93" spans="1:17" customFormat="1">
      <c r="A93" s="6" t="s">
        <v>2145</v>
      </c>
      <c r="B93" s="189">
        <v>3.19</v>
      </c>
      <c r="C93" s="189">
        <v>27.04</v>
      </c>
      <c r="D93" s="189">
        <v>15.64</v>
      </c>
      <c r="E93" s="189">
        <v>7.24</v>
      </c>
      <c r="F93" s="189">
        <v>29.09</v>
      </c>
      <c r="G93" s="189">
        <v>48.77</v>
      </c>
      <c r="H93" s="189">
        <v>13.79</v>
      </c>
      <c r="I93" s="189">
        <v>3.46</v>
      </c>
      <c r="J93" s="189">
        <v>0.25</v>
      </c>
      <c r="K93" s="189">
        <v>222.54</v>
      </c>
      <c r="L93" s="189">
        <v>33.479999999999997</v>
      </c>
      <c r="M93" s="189">
        <v>44.03</v>
      </c>
      <c r="N93" s="189">
        <v>0</v>
      </c>
      <c r="O93" s="189">
        <v>0</v>
      </c>
      <c r="P93" s="189">
        <v>0.43</v>
      </c>
      <c r="Q93" s="189">
        <v>4.43</v>
      </c>
    </row>
    <row r="94" spans="1:17" customFormat="1">
      <c r="A94" s="6" t="s">
        <v>2146</v>
      </c>
      <c r="B94" s="189">
        <v>3.15</v>
      </c>
      <c r="C94" s="189">
        <v>25.97</v>
      </c>
      <c r="D94" s="189">
        <v>15.05</v>
      </c>
      <c r="E94" s="189">
        <v>7.15</v>
      </c>
      <c r="F94" s="189">
        <v>29.11</v>
      </c>
      <c r="G94" s="189">
        <v>48.77</v>
      </c>
      <c r="H94" s="189">
        <v>13.79</v>
      </c>
      <c r="I94" s="189">
        <v>3.39</v>
      </c>
      <c r="J94" s="189">
        <v>0.2</v>
      </c>
      <c r="K94" s="189">
        <v>90.81</v>
      </c>
      <c r="L94" s="189">
        <v>33.51</v>
      </c>
      <c r="M94" s="189">
        <v>43.94</v>
      </c>
      <c r="N94" s="189">
        <v>0</v>
      </c>
      <c r="O94" s="189">
        <v>0</v>
      </c>
      <c r="P94" s="189">
        <v>0.41</v>
      </c>
      <c r="Q94" s="189">
        <v>4.41</v>
      </c>
    </row>
    <row r="95" spans="1:17" customFormat="1">
      <c r="A95" s="6" t="s">
        <v>2147</v>
      </c>
      <c r="B95" s="189">
        <v>4.09</v>
      </c>
      <c r="C95" s="189">
        <v>30.86</v>
      </c>
      <c r="D95" s="189">
        <v>18.36</v>
      </c>
      <c r="E95" s="189">
        <v>6.87</v>
      </c>
      <c r="F95" s="189">
        <v>17.18</v>
      </c>
      <c r="G95" s="189">
        <v>42.21</v>
      </c>
      <c r="H95" s="189">
        <v>15.7</v>
      </c>
      <c r="I95" s="189">
        <v>3.2</v>
      </c>
      <c r="J95" s="189">
        <v>0.67</v>
      </c>
      <c r="K95" s="189">
        <v>109.55</v>
      </c>
      <c r="L95" s="189">
        <v>33.29</v>
      </c>
      <c r="M95" s="189">
        <v>45.63</v>
      </c>
      <c r="N95" s="189">
        <v>0</v>
      </c>
      <c r="O95" s="189">
        <v>0</v>
      </c>
      <c r="P95" s="189">
        <v>0.44</v>
      </c>
      <c r="Q95" s="189">
        <v>4.41</v>
      </c>
    </row>
    <row r="96" spans="1:17" customFormat="1">
      <c r="A96" s="6" t="s">
        <v>2148</v>
      </c>
      <c r="B96" s="189">
        <v>4.33</v>
      </c>
      <c r="C96" s="189">
        <v>29.95</v>
      </c>
      <c r="D96" s="189">
        <v>18.079999999999998</v>
      </c>
      <c r="E96" s="189">
        <v>7.02</v>
      </c>
      <c r="F96" s="189">
        <v>17.68</v>
      </c>
      <c r="G96" s="189">
        <v>38.409999999999997</v>
      </c>
      <c r="H96" s="189">
        <v>16.05</v>
      </c>
      <c r="I96" s="189">
        <v>3.25</v>
      </c>
      <c r="J96" s="189">
        <v>0.44</v>
      </c>
      <c r="K96" s="189">
        <v>114.6</v>
      </c>
      <c r="L96" s="189">
        <v>33.090000000000003</v>
      </c>
      <c r="M96" s="189">
        <v>46.73</v>
      </c>
      <c r="N96" s="189">
        <v>0</v>
      </c>
      <c r="O96" s="189">
        <v>0</v>
      </c>
      <c r="P96" s="189">
        <v>0.42</v>
      </c>
      <c r="Q96" s="189">
        <v>4.34</v>
      </c>
    </row>
    <row r="97" spans="1:22" customFormat="1">
      <c r="A97" s="6" t="s">
        <v>2149</v>
      </c>
      <c r="B97" s="189">
        <v>4.5199999999999996</v>
      </c>
      <c r="C97" s="189">
        <v>29.74</v>
      </c>
      <c r="D97" s="189">
        <v>18.12</v>
      </c>
      <c r="E97" s="189">
        <v>6.89</v>
      </c>
      <c r="F97" s="189">
        <v>15.53</v>
      </c>
      <c r="G97" s="189">
        <v>38.409999999999997</v>
      </c>
      <c r="H97" s="189">
        <v>16.05</v>
      </c>
      <c r="I97" s="189">
        <v>3.6</v>
      </c>
      <c r="J97" s="189">
        <v>0.47</v>
      </c>
      <c r="K97" s="189">
        <v>104.51</v>
      </c>
      <c r="L97" s="189">
        <v>32.840000000000003</v>
      </c>
      <c r="M97" s="189">
        <v>47.28</v>
      </c>
      <c r="N97" s="189">
        <v>0</v>
      </c>
      <c r="O97" s="189">
        <v>0</v>
      </c>
      <c r="P97" s="189">
        <v>0.43</v>
      </c>
      <c r="Q97" s="189">
        <v>4.32</v>
      </c>
    </row>
    <row r="98" spans="1:22" customFormat="1">
      <c r="A98" s="6" t="s">
        <v>2150</v>
      </c>
      <c r="B98" s="189">
        <v>4.54</v>
      </c>
      <c r="C98" s="189">
        <v>34.69</v>
      </c>
      <c r="D98" s="189">
        <v>20.72</v>
      </c>
      <c r="E98" s="189">
        <v>6.98</v>
      </c>
      <c r="F98" s="189">
        <v>13.88</v>
      </c>
      <c r="G98" s="189">
        <v>38.409999999999997</v>
      </c>
      <c r="H98" s="189">
        <v>16.05</v>
      </c>
      <c r="I98" s="189">
        <v>3.71</v>
      </c>
      <c r="J98" s="189">
        <v>0.38</v>
      </c>
      <c r="K98" s="189">
        <v>135.15</v>
      </c>
      <c r="L98" s="189">
        <v>32.6</v>
      </c>
      <c r="M98" s="189">
        <v>47.53</v>
      </c>
      <c r="N98" s="189">
        <v>0</v>
      </c>
      <c r="O98" s="189">
        <v>0</v>
      </c>
      <c r="P98" s="189">
        <v>0.45</v>
      </c>
      <c r="Q98" s="189">
        <v>4.41</v>
      </c>
    </row>
    <row r="99" spans="1:22" customFormat="1">
      <c r="A99" s="6" t="s">
        <v>2151</v>
      </c>
      <c r="B99" s="189">
        <v>4.99</v>
      </c>
      <c r="C99" s="189">
        <v>33.25</v>
      </c>
      <c r="D99" s="189">
        <v>20.329999999999998</v>
      </c>
      <c r="E99" s="189">
        <v>6.62</v>
      </c>
      <c r="F99" s="189">
        <v>14.25</v>
      </c>
      <c r="G99" s="189">
        <v>34.56</v>
      </c>
      <c r="H99" s="189">
        <v>15.11</v>
      </c>
      <c r="I99" s="189">
        <v>3.76</v>
      </c>
      <c r="J99" s="189">
        <v>0.46</v>
      </c>
      <c r="K99" s="189">
        <v>106.55</v>
      </c>
      <c r="L99" s="189">
        <v>32.42</v>
      </c>
      <c r="M99" s="189">
        <v>48.72</v>
      </c>
      <c r="N99" s="189">
        <v>0</v>
      </c>
      <c r="O99" s="189">
        <v>0</v>
      </c>
      <c r="P99" s="189">
        <v>0.46</v>
      </c>
      <c r="Q99" s="189">
        <v>4.45</v>
      </c>
    </row>
    <row r="100" spans="1:22" customFormat="1">
      <c r="A100" s="6" t="s">
        <v>2152</v>
      </c>
      <c r="B100" s="189">
        <v>4.74</v>
      </c>
      <c r="C100" s="189">
        <v>32.090000000000003</v>
      </c>
      <c r="D100" s="189">
        <v>19.53</v>
      </c>
      <c r="E100" s="189">
        <v>6.51</v>
      </c>
      <c r="F100" s="189">
        <v>19.420000000000002</v>
      </c>
      <c r="G100" s="189">
        <v>32.33</v>
      </c>
      <c r="H100" s="189">
        <v>14.95</v>
      </c>
      <c r="I100" s="189">
        <v>3.79</v>
      </c>
      <c r="J100" s="189">
        <v>0.28999999999999998</v>
      </c>
      <c r="K100" s="189">
        <v>120.25</v>
      </c>
      <c r="L100" s="189">
        <v>31.99</v>
      </c>
      <c r="M100" s="189">
        <v>51.27</v>
      </c>
      <c r="N100" s="189">
        <v>0</v>
      </c>
      <c r="O100" s="189">
        <v>0</v>
      </c>
      <c r="P100" s="189">
        <v>0.44</v>
      </c>
      <c r="Q100" s="189">
        <v>4.4400000000000004</v>
      </c>
    </row>
    <row r="101" spans="1:22" customFormat="1">
      <c r="A101" s="6" t="s">
        <v>2153</v>
      </c>
      <c r="B101" s="189">
        <v>4.66</v>
      </c>
      <c r="C101" s="189">
        <v>30.27</v>
      </c>
      <c r="D101" s="189">
        <v>18.510000000000002</v>
      </c>
      <c r="E101" s="189">
        <v>6.69</v>
      </c>
      <c r="F101" s="189">
        <v>19.54</v>
      </c>
      <c r="G101" s="189">
        <v>32.33</v>
      </c>
      <c r="H101" s="189">
        <v>14.95</v>
      </c>
      <c r="I101" s="189">
        <v>3.63</v>
      </c>
      <c r="J101" s="189">
        <v>0.36</v>
      </c>
      <c r="K101" s="189">
        <v>129.97999999999999</v>
      </c>
      <c r="L101" s="189">
        <v>31.62</v>
      </c>
      <c r="M101" s="189">
        <v>52.13</v>
      </c>
      <c r="N101" s="189">
        <v>0</v>
      </c>
      <c r="O101" s="189">
        <v>0</v>
      </c>
      <c r="P101" s="189">
        <v>0.42</v>
      </c>
      <c r="Q101" s="189">
        <v>4.3899999999999997</v>
      </c>
    </row>
    <row r="102" spans="1:22" customFormat="1">
      <c r="A102" s="6" t="s">
        <v>2154</v>
      </c>
      <c r="B102" s="189">
        <v>5</v>
      </c>
      <c r="C102" s="189">
        <v>31.75</v>
      </c>
      <c r="D102" s="189">
        <v>19.55</v>
      </c>
      <c r="E102" s="189">
        <v>6.98</v>
      </c>
      <c r="F102" s="189">
        <v>14.26</v>
      </c>
      <c r="G102" s="189">
        <v>32.33</v>
      </c>
      <c r="H102" s="189">
        <v>14.95</v>
      </c>
      <c r="I102" s="189">
        <v>3.42</v>
      </c>
      <c r="J102" s="189">
        <v>0.38</v>
      </c>
      <c r="K102" s="189">
        <v>129.79</v>
      </c>
      <c r="L102" s="189">
        <v>31.26</v>
      </c>
      <c r="M102" s="189">
        <v>52.77</v>
      </c>
      <c r="N102" s="189">
        <v>0</v>
      </c>
      <c r="O102" s="189">
        <v>0</v>
      </c>
      <c r="P102" s="189">
        <v>0.41</v>
      </c>
      <c r="Q102" s="189">
        <v>4.37</v>
      </c>
    </row>
    <row r="103" spans="1:22" customFormat="1">
      <c r="A103" s="6" t="s">
        <v>2155</v>
      </c>
      <c r="B103" s="189">
        <v>4.74</v>
      </c>
      <c r="C103" s="189">
        <v>33.53</v>
      </c>
      <c r="D103" s="189">
        <v>20.28</v>
      </c>
      <c r="E103" s="189">
        <v>6.27</v>
      </c>
      <c r="F103" s="189">
        <v>11.23</v>
      </c>
      <c r="G103" s="189">
        <v>32.619999999999997</v>
      </c>
      <c r="H103" s="189">
        <v>12.48</v>
      </c>
      <c r="I103" s="189">
        <v>3.42</v>
      </c>
      <c r="J103" s="189">
        <v>0.43</v>
      </c>
      <c r="K103" s="189">
        <v>144.21</v>
      </c>
      <c r="L103" s="189">
        <v>30.88</v>
      </c>
      <c r="M103" s="189">
        <v>54.37</v>
      </c>
      <c r="N103" s="189">
        <v>0</v>
      </c>
      <c r="O103" s="189">
        <v>0</v>
      </c>
      <c r="P103" s="189">
        <v>0.41</v>
      </c>
      <c r="Q103" s="189">
        <v>4.37</v>
      </c>
    </row>
    <row r="104" spans="1:22" customFormat="1">
      <c r="A104" s="6" t="s">
        <v>2156</v>
      </c>
      <c r="B104" s="189">
        <v>4.96</v>
      </c>
      <c r="C104" s="189">
        <v>36.22</v>
      </c>
      <c r="D104" s="189">
        <v>21.86</v>
      </c>
      <c r="E104" s="189">
        <v>7.42</v>
      </c>
      <c r="F104" s="189">
        <v>11.21</v>
      </c>
      <c r="G104" s="189">
        <v>32.79</v>
      </c>
      <c r="H104" s="189">
        <v>12.05</v>
      </c>
      <c r="I104" s="189">
        <v>3.49</v>
      </c>
      <c r="J104" s="189">
        <v>0.34</v>
      </c>
      <c r="K104" s="189">
        <v>149.13999999999999</v>
      </c>
      <c r="L104" s="189">
        <v>30.61</v>
      </c>
      <c r="M104" s="189">
        <v>55.31</v>
      </c>
      <c r="N104" s="189">
        <v>0</v>
      </c>
      <c r="O104" s="189">
        <v>0</v>
      </c>
      <c r="P104" s="189">
        <v>0.43</v>
      </c>
      <c r="Q104" s="189">
        <v>4.4800000000000004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1.18</v>
      </c>
      <c r="C106" s="183">
        <f>MIN(C9:C104)</f>
        <v>25.97</v>
      </c>
      <c r="D106" s="183">
        <f t="shared" ref="D106:Q106" si="0">MIN(D9:D104)</f>
        <v>14.9</v>
      </c>
      <c r="E106" s="183">
        <f t="shared" si="0"/>
        <v>5.03</v>
      </c>
      <c r="F106" s="183">
        <f t="shared" si="0"/>
        <v>7.58</v>
      </c>
      <c r="G106" s="183">
        <f t="shared" si="0"/>
        <v>32.33</v>
      </c>
      <c r="H106" s="183">
        <f t="shared" si="0"/>
        <v>12.05</v>
      </c>
      <c r="I106" s="183">
        <f t="shared" si="0"/>
        <v>3.2</v>
      </c>
      <c r="J106" s="183">
        <f t="shared" si="0"/>
        <v>0.11</v>
      </c>
      <c r="K106" s="183">
        <f t="shared" si="0"/>
        <v>14.37</v>
      </c>
      <c r="L106" s="183">
        <f t="shared" si="0"/>
        <v>29.56</v>
      </c>
      <c r="M106" s="183">
        <f t="shared" si="0"/>
        <v>23.83</v>
      </c>
      <c r="N106" s="183">
        <f t="shared" si="0"/>
        <v>0</v>
      </c>
      <c r="O106" s="183">
        <f t="shared" si="0"/>
        <v>0</v>
      </c>
      <c r="P106" s="183">
        <f t="shared" si="0"/>
        <v>0.4</v>
      </c>
      <c r="Q106" s="183">
        <f t="shared" si="0"/>
        <v>4.32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17.8</v>
      </c>
      <c r="C107" s="184">
        <f t="shared" ref="C107:Q107" si="1">MAX(C9:C104)</f>
        <v>44.82</v>
      </c>
      <c r="D107" s="184">
        <f t="shared" si="1"/>
        <v>35.28</v>
      </c>
      <c r="E107" s="184">
        <f t="shared" si="1"/>
        <v>42.7</v>
      </c>
      <c r="F107" s="184">
        <f t="shared" si="1"/>
        <v>34.39</v>
      </c>
      <c r="G107" s="184">
        <f t="shared" si="1"/>
        <v>73.069999999999993</v>
      </c>
      <c r="H107" s="184">
        <f t="shared" si="1"/>
        <v>23.87</v>
      </c>
      <c r="I107" s="184">
        <f t="shared" si="1"/>
        <v>5.18</v>
      </c>
      <c r="J107" s="184">
        <f t="shared" si="1"/>
        <v>1.23</v>
      </c>
      <c r="K107" s="184">
        <f t="shared" si="1"/>
        <v>356.1</v>
      </c>
      <c r="L107" s="184">
        <f t="shared" si="1"/>
        <v>41.44</v>
      </c>
      <c r="M107" s="184">
        <f t="shared" si="1"/>
        <v>55.31</v>
      </c>
      <c r="N107" s="184">
        <f t="shared" si="1"/>
        <v>825.4</v>
      </c>
      <c r="O107" s="184">
        <f t="shared" si="1"/>
        <v>0</v>
      </c>
      <c r="P107" s="184">
        <f t="shared" si="1"/>
        <v>0.56999999999999995</v>
      </c>
      <c r="Q107" s="184">
        <f t="shared" si="1"/>
        <v>5.24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7.0164583333333335</v>
      </c>
      <c r="C108" s="183">
        <f t="shared" ref="C108:Q108" si="2">AVERAGE(C9:C104)</f>
        <v>34.639583333333327</v>
      </c>
      <c r="D108" s="183">
        <f t="shared" si="2"/>
        <v>22.67947916666667</v>
      </c>
      <c r="E108" s="183">
        <f t="shared" si="2"/>
        <v>10.525104166666665</v>
      </c>
      <c r="F108" s="183">
        <f t="shared" si="2"/>
        <v>18.898125</v>
      </c>
      <c r="G108" s="183">
        <f t="shared" si="2"/>
        <v>57.323229166666671</v>
      </c>
      <c r="H108" s="183">
        <f t="shared" si="2"/>
        <v>18.027708333333337</v>
      </c>
      <c r="I108" s="183">
        <f t="shared" si="2"/>
        <v>4.1329166666666657</v>
      </c>
      <c r="J108" s="183">
        <f t="shared" si="2"/>
        <v>0.51468750000000008</v>
      </c>
      <c r="K108" s="183">
        <f t="shared" si="2"/>
        <v>208.65395833333324</v>
      </c>
      <c r="L108" s="183">
        <f t="shared" si="2"/>
        <v>35.348958333333343</v>
      </c>
      <c r="M108" s="183">
        <f t="shared" si="2"/>
        <v>38.246979166666662</v>
      </c>
      <c r="N108" s="183">
        <f t="shared" si="2"/>
        <v>166.02604166666663</v>
      </c>
      <c r="O108" s="183">
        <f t="shared" si="2"/>
        <v>0</v>
      </c>
      <c r="P108" s="183">
        <f t="shared" si="2"/>
        <v>0.47875000000000001</v>
      </c>
      <c r="Q108" s="183">
        <f t="shared" si="2"/>
        <v>4.6890625000000012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4.6212850751294372</v>
      </c>
      <c r="C109" s="183">
        <f t="shared" ref="C109:Q109" si="3">STDEV(C9:C104)</f>
        <v>4.2493895330399702</v>
      </c>
      <c r="D109" s="183">
        <f t="shared" si="3"/>
        <v>5.5586778757072173</v>
      </c>
      <c r="E109" s="183">
        <f t="shared" si="3"/>
        <v>6.6921193236273648</v>
      </c>
      <c r="F109" s="183">
        <f t="shared" si="3"/>
        <v>7.1079767367003699</v>
      </c>
      <c r="G109" s="183">
        <f t="shared" si="3"/>
        <v>9.4265866451492055</v>
      </c>
      <c r="H109" s="183">
        <f t="shared" si="3"/>
        <v>3.0487945777295495</v>
      </c>
      <c r="I109" s="183">
        <f t="shared" si="3"/>
        <v>0.5393678886421186</v>
      </c>
      <c r="J109" s="183">
        <f t="shared" si="3"/>
        <v>0.31240982909599579</v>
      </c>
      <c r="K109" s="183">
        <f t="shared" si="3"/>
        <v>79.192035491072787</v>
      </c>
      <c r="L109" s="183">
        <f t="shared" si="3"/>
        <v>4.0057470501548043</v>
      </c>
      <c r="M109" s="183">
        <f t="shared" si="3"/>
        <v>9.3215228166118074</v>
      </c>
      <c r="N109" s="183">
        <f t="shared" si="3"/>
        <v>238.5022865364482</v>
      </c>
      <c r="O109" s="183">
        <f t="shared" si="3"/>
        <v>0</v>
      </c>
      <c r="P109" s="183">
        <f t="shared" si="3"/>
        <v>5.217884225380328E-2</v>
      </c>
      <c r="Q109" s="183">
        <f t="shared" si="3"/>
        <v>0.27454873261214008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21/06/2023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2157</v>
      </c>
      <c r="B9" s="189">
        <v>6.29</v>
      </c>
      <c r="C9" s="189">
        <v>31.99</v>
      </c>
      <c r="D9" s="189">
        <v>20.71</v>
      </c>
      <c r="E9" s="189">
        <v>6.47</v>
      </c>
      <c r="F9" s="189">
        <v>16.3</v>
      </c>
      <c r="G9" s="189">
        <v>32.79</v>
      </c>
      <c r="H9" s="189">
        <v>12.05</v>
      </c>
      <c r="I9" s="189">
        <v>3.61</v>
      </c>
      <c r="J9" s="189">
        <v>0.28000000000000003</v>
      </c>
      <c r="K9" s="189">
        <v>151.07</v>
      </c>
      <c r="L9" s="189">
        <v>30.49</v>
      </c>
      <c r="M9" s="189">
        <v>55.71</v>
      </c>
      <c r="N9" s="189">
        <v>0</v>
      </c>
      <c r="O9" s="189">
        <v>0</v>
      </c>
      <c r="P9" s="189">
        <v>0.4</v>
      </c>
      <c r="Q9" s="189">
        <v>4.42</v>
      </c>
    </row>
    <row r="10" spans="1:21" customFormat="1">
      <c r="A10" s="6" t="s">
        <v>2158</v>
      </c>
      <c r="B10" s="189">
        <v>6.59</v>
      </c>
      <c r="C10" s="189">
        <v>34.61</v>
      </c>
      <c r="D10" s="189">
        <v>22.32</v>
      </c>
      <c r="E10" s="189">
        <v>6.25</v>
      </c>
      <c r="F10" s="189">
        <v>13.63</v>
      </c>
      <c r="G10" s="189">
        <v>32.79</v>
      </c>
      <c r="H10" s="189">
        <v>12.05</v>
      </c>
      <c r="I10" s="189">
        <v>3.58</v>
      </c>
      <c r="J10" s="189">
        <v>0.22</v>
      </c>
      <c r="K10" s="189">
        <v>178.4</v>
      </c>
      <c r="L10" s="189">
        <v>30.38</v>
      </c>
      <c r="M10" s="189">
        <v>55.65</v>
      </c>
      <c r="N10" s="189">
        <v>0</v>
      </c>
      <c r="O10" s="189">
        <v>0</v>
      </c>
      <c r="P10" s="189">
        <v>0.41</v>
      </c>
      <c r="Q10" s="189">
        <v>4.38</v>
      </c>
    </row>
    <row r="11" spans="1:21" customFormat="1">
      <c r="A11" s="6" t="s">
        <v>2159</v>
      </c>
      <c r="B11" s="189">
        <v>6.58</v>
      </c>
      <c r="C11" s="189">
        <v>31.41</v>
      </c>
      <c r="D11" s="189">
        <v>20.64</v>
      </c>
      <c r="E11" s="189">
        <v>7</v>
      </c>
      <c r="F11" s="189">
        <v>19.399999999999999</v>
      </c>
      <c r="G11" s="189">
        <v>28.23</v>
      </c>
      <c r="H11" s="189">
        <v>11.74</v>
      </c>
      <c r="I11" s="189">
        <v>3.3</v>
      </c>
      <c r="J11" s="189">
        <v>0.28999999999999998</v>
      </c>
      <c r="K11" s="189">
        <v>231.43</v>
      </c>
      <c r="L11" s="189">
        <v>30.29</v>
      </c>
      <c r="M11" s="189">
        <v>55.57</v>
      </c>
      <c r="N11" s="189">
        <v>0</v>
      </c>
      <c r="O11" s="189">
        <v>0</v>
      </c>
      <c r="P11" s="189">
        <v>0.4</v>
      </c>
      <c r="Q11" s="189">
        <v>4.49</v>
      </c>
    </row>
    <row r="12" spans="1:21" customFormat="1">
      <c r="A12" s="6" t="s">
        <v>2160</v>
      </c>
      <c r="B12" s="189">
        <v>7.05</v>
      </c>
      <c r="C12" s="189">
        <v>35.21</v>
      </c>
      <c r="D12" s="189">
        <v>23</v>
      </c>
      <c r="E12" s="189">
        <v>7</v>
      </c>
      <c r="F12" s="189">
        <v>11.24</v>
      </c>
      <c r="G12" s="189">
        <v>25.59</v>
      </c>
      <c r="H12" s="189">
        <v>11.65</v>
      </c>
      <c r="I12" s="189">
        <v>3.27</v>
      </c>
      <c r="J12" s="189">
        <v>0.3</v>
      </c>
      <c r="K12" s="189">
        <v>233.1</v>
      </c>
      <c r="L12" s="189">
        <v>30.23</v>
      </c>
      <c r="M12" s="189">
        <v>55.73</v>
      </c>
      <c r="N12" s="189">
        <v>0</v>
      </c>
      <c r="O12" s="189">
        <v>0</v>
      </c>
      <c r="P12" s="189">
        <v>0.42</v>
      </c>
      <c r="Q12" s="189">
        <v>4.46</v>
      </c>
    </row>
    <row r="13" spans="1:21" customFormat="1">
      <c r="A13" s="6" t="s">
        <v>2161</v>
      </c>
      <c r="B13" s="189">
        <v>6.97</v>
      </c>
      <c r="C13" s="189">
        <v>34.24</v>
      </c>
      <c r="D13" s="189">
        <v>22.43</v>
      </c>
      <c r="E13" s="189">
        <v>6.79</v>
      </c>
      <c r="F13" s="189">
        <v>16.510000000000002</v>
      </c>
      <c r="G13" s="189">
        <v>25.59</v>
      </c>
      <c r="H13" s="189">
        <v>11.65</v>
      </c>
      <c r="I13" s="189">
        <v>3.27</v>
      </c>
      <c r="J13" s="189">
        <v>0.4</v>
      </c>
      <c r="K13" s="189">
        <v>254.58</v>
      </c>
      <c r="L13" s="189">
        <v>30.12</v>
      </c>
      <c r="M13" s="189">
        <v>56.43</v>
      </c>
      <c r="N13" s="189">
        <v>0</v>
      </c>
      <c r="O13" s="189">
        <v>0</v>
      </c>
      <c r="P13" s="189">
        <v>0.41</v>
      </c>
      <c r="Q13" s="189">
        <v>4.51</v>
      </c>
    </row>
    <row r="14" spans="1:21" customFormat="1">
      <c r="A14" s="6" t="s">
        <v>2162</v>
      </c>
      <c r="B14" s="189">
        <v>7.05</v>
      </c>
      <c r="C14" s="189">
        <v>29.94</v>
      </c>
      <c r="D14" s="189">
        <v>20.25</v>
      </c>
      <c r="E14" s="189">
        <v>6.63</v>
      </c>
      <c r="F14" s="189">
        <v>20.11</v>
      </c>
      <c r="G14" s="189">
        <v>25.59</v>
      </c>
      <c r="H14" s="189">
        <v>11.65</v>
      </c>
      <c r="I14" s="189">
        <v>3.32</v>
      </c>
      <c r="J14" s="189">
        <v>0.37</v>
      </c>
      <c r="K14" s="189">
        <v>249.31</v>
      </c>
      <c r="L14" s="189">
        <v>30</v>
      </c>
      <c r="M14" s="189">
        <v>57.04</v>
      </c>
      <c r="N14" s="189">
        <v>0</v>
      </c>
      <c r="O14" s="189">
        <v>0</v>
      </c>
      <c r="P14" s="189">
        <v>0.38</v>
      </c>
      <c r="Q14" s="189">
        <v>4.4400000000000004</v>
      </c>
    </row>
    <row r="15" spans="1:21" customFormat="1">
      <c r="A15" s="6" t="s">
        <v>2163</v>
      </c>
      <c r="B15" s="189">
        <v>7.43</v>
      </c>
      <c r="C15" s="189">
        <v>33.619999999999997</v>
      </c>
      <c r="D15" s="189">
        <v>22.48</v>
      </c>
      <c r="E15" s="189">
        <v>7.01</v>
      </c>
      <c r="F15" s="189">
        <v>11.39</v>
      </c>
      <c r="G15" s="189">
        <v>23.18</v>
      </c>
      <c r="H15" s="189">
        <v>8.89</v>
      </c>
      <c r="I15" s="189">
        <v>3.24</v>
      </c>
      <c r="J15" s="189">
        <v>0.63</v>
      </c>
      <c r="K15" s="189">
        <v>250.49</v>
      </c>
      <c r="L15" s="189">
        <v>29.88</v>
      </c>
      <c r="M15" s="189">
        <v>57.36</v>
      </c>
      <c r="N15" s="189">
        <v>0</v>
      </c>
      <c r="O15" s="189">
        <v>0</v>
      </c>
      <c r="P15" s="189">
        <v>0.4</v>
      </c>
      <c r="Q15" s="189">
        <v>4.4400000000000004</v>
      </c>
    </row>
    <row r="16" spans="1:21" customFormat="1">
      <c r="A16" s="6" t="s">
        <v>2164</v>
      </c>
      <c r="B16" s="189">
        <v>7.62</v>
      </c>
      <c r="C16" s="189">
        <v>34.659999999999997</v>
      </c>
      <c r="D16" s="189">
        <v>23.17</v>
      </c>
      <c r="E16" s="189">
        <v>7.14</v>
      </c>
      <c r="F16" s="189">
        <v>13.5</v>
      </c>
      <c r="G16" s="189">
        <v>21.79</v>
      </c>
      <c r="H16" s="189">
        <v>8.35</v>
      </c>
      <c r="I16" s="189">
        <v>3.17</v>
      </c>
      <c r="J16" s="189">
        <v>0.66</v>
      </c>
      <c r="K16" s="189">
        <v>241.27</v>
      </c>
      <c r="L16" s="189">
        <v>29.87</v>
      </c>
      <c r="M16" s="189">
        <v>57.08</v>
      </c>
      <c r="N16" s="189">
        <v>0</v>
      </c>
      <c r="O16" s="189">
        <v>0</v>
      </c>
      <c r="P16" s="189">
        <v>0.4</v>
      </c>
      <c r="Q16" s="189">
        <v>4.51</v>
      </c>
    </row>
    <row r="17" spans="1:17" customFormat="1">
      <c r="A17" s="6" t="s">
        <v>2165</v>
      </c>
      <c r="B17" s="189">
        <v>7.43</v>
      </c>
      <c r="C17" s="189">
        <v>31.78</v>
      </c>
      <c r="D17" s="189">
        <v>21.52</v>
      </c>
      <c r="E17" s="189">
        <v>3.96</v>
      </c>
      <c r="F17" s="189">
        <v>14.75</v>
      </c>
      <c r="G17" s="189">
        <v>21.79</v>
      </c>
      <c r="H17" s="189">
        <v>8.35</v>
      </c>
      <c r="I17" s="189">
        <v>3.27</v>
      </c>
      <c r="J17" s="189">
        <v>0.68</v>
      </c>
      <c r="K17" s="189">
        <v>252.15</v>
      </c>
      <c r="L17" s="189">
        <v>29.93</v>
      </c>
      <c r="M17" s="189">
        <v>56.48</v>
      </c>
      <c r="N17" s="189">
        <v>0</v>
      </c>
      <c r="O17" s="189">
        <v>0</v>
      </c>
      <c r="P17" s="189">
        <v>0.38</v>
      </c>
      <c r="Q17" s="189">
        <v>4.4400000000000004</v>
      </c>
    </row>
    <row r="18" spans="1:17" customFormat="1">
      <c r="A18" s="6" t="s">
        <v>2166</v>
      </c>
      <c r="B18" s="189">
        <v>7.9</v>
      </c>
      <c r="C18" s="189">
        <v>37.74</v>
      </c>
      <c r="D18" s="189">
        <v>25.01</v>
      </c>
      <c r="E18" s="189">
        <v>4.9800000000000004</v>
      </c>
      <c r="F18" s="189">
        <v>8.75</v>
      </c>
      <c r="G18" s="189">
        <v>21.79</v>
      </c>
      <c r="H18" s="189">
        <v>8.35</v>
      </c>
      <c r="I18" s="189">
        <v>3.24</v>
      </c>
      <c r="J18" s="189">
        <v>0.63</v>
      </c>
      <c r="K18" s="189">
        <v>241.8</v>
      </c>
      <c r="L18" s="189">
        <v>29.82</v>
      </c>
      <c r="M18" s="189">
        <v>56.92</v>
      </c>
      <c r="N18" s="189">
        <v>0</v>
      </c>
      <c r="O18" s="189">
        <v>0</v>
      </c>
      <c r="P18" s="189">
        <v>0.4</v>
      </c>
      <c r="Q18" s="189">
        <v>4.47</v>
      </c>
    </row>
    <row r="19" spans="1:17" customFormat="1">
      <c r="A19" s="6" t="s">
        <v>2167</v>
      </c>
      <c r="B19" s="189">
        <v>7.73</v>
      </c>
      <c r="C19" s="189">
        <v>32.14</v>
      </c>
      <c r="D19" s="189">
        <v>21.94</v>
      </c>
      <c r="E19" s="189">
        <v>4.84</v>
      </c>
      <c r="F19" s="189">
        <v>15.64</v>
      </c>
      <c r="G19" s="189">
        <v>23.42</v>
      </c>
      <c r="H19" s="189">
        <v>9.35</v>
      </c>
      <c r="I19" s="189">
        <v>3.23</v>
      </c>
      <c r="J19" s="189">
        <v>0.7</v>
      </c>
      <c r="K19" s="189">
        <v>250.39</v>
      </c>
      <c r="L19" s="189">
        <v>29.62</v>
      </c>
      <c r="M19" s="189">
        <v>58.32</v>
      </c>
      <c r="N19" s="189">
        <v>0</v>
      </c>
      <c r="O19" s="189">
        <v>0</v>
      </c>
      <c r="P19" s="189">
        <v>0.39</v>
      </c>
      <c r="Q19" s="189">
        <v>4.5199999999999996</v>
      </c>
    </row>
    <row r="20" spans="1:17" customFormat="1">
      <c r="A20" s="6" t="s">
        <v>2168</v>
      </c>
      <c r="B20" s="189">
        <v>7.9</v>
      </c>
      <c r="C20" s="189">
        <v>33.65</v>
      </c>
      <c r="D20" s="189">
        <v>22.87</v>
      </c>
      <c r="E20" s="189">
        <v>4.9400000000000004</v>
      </c>
      <c r="F20" s="189">
        <v>10.67</v>
      </c>
      <c r="G20" s="189">
        <v>24.42</v>
      </c>
      <c r="H20" s="189">
        <v>9.5399999999999991</v>
      </c>
      <c r="I20" s="189">
        <v>3.3</v>
      </c>
      <c r="J20" s="189">
        <v>0.56000000000000005</v>
      </c>
      <c r="K20" s="189">
        <v>241.02</v>
      </c>
      <c r="L20" s="189">
        <v>29.46</v>
      </c>
      <c r="M20" s="189">
        <v>59.41</v>
      </c>
      <c r="N20" s="189">
        <v>0</v>
      </c>
      <c r="O20" s="189">
        <v>0</v>
      </c>
      <c r="P20" s="189">
        <v>0.39</v>
      </c>
      <c r="Q20" s="189">
        <v>4.46</v>
      </c>
    </row>
    <row r="21" spans="1:17" customFormat="1">
      <c r="A21" s="6" t="s">
        <v>2169</v>
      </c>
      <c r="B21" s="189">
        <v>8.1999999999999993</v>
      </c>
      <c r="C21" s="189">
        <v>37.22</v>
      </c>
      <c r="D21" s="189">
        <v>24.98</v>
      </c>
      <c r="E21" s="189">
        <v>5.09</v>
      </c>
      <c r="F21" s="189">
        <v>10.53</v>
      </c>
      <c r="G21" s="189">
        <v>24.42</v>
      </c>
      <c r="H21" s="189">
        <v>9.5399999999999991</v>
      </c>
      <c r="I21" s="189">
        <v>3.16</v>
      </c>
      <c r="J21" s="189">
        <v>0.65</v>
      </c>
      <c r="K21" s="189">
        <v>253.72</v>
      </c>
      <c r="L21" s="189">
        <v>29.37</v>
      </c>
      <c r="M21" s="189">
        <v>59.94</v>
      </c>
      <c r="N21" s="189">
        <v>0</v>
      </c>
      <c r="O21" s="189">
        <v>0</v>
      </c>
      <c r="P21" s="189">
        <v>0.41</v>
      </c>
      <c r="Q21" s="189">
        <v>4.54</v>
      </c>
    </row>
    <row r="22" spans="1:17" customFormat="1">
      <c r="A22" s="6" t="s">
        <v>2170</v>
      </c>
      <c r="B22" s="189">
        <v>8.49</v>
      </c>
      <c r="C22" s="189">
        <v>36.950000000000003</v>
      </c>
      <c r="D22" s="189">
        <v>25.07</v>
      </c>
      <c r="E22" s="189">
        <v>5.16</v>
      </c>
      <c r="F22" s="189">
        <v>8.75</v>
      </c>
      <c r="G22" s="189">
        <v>24.42</v>
      </c>
      <c r="H22" s="189">
        <v>9.5399999999999991</v>
      </c>
      <c r="I22" s="189">
        <v>3.22</v>
      </c>
      <c r="J22" s="189">
        <v>0.78</v>
      </c>
      <c r="K22" s="189">
        <v>240.06</v>
      </c>
      <c r="L22" s="189">
        <v>29.26</v>
      </c>
      <c r="M22" s="189">
        <v>60.53</v>
      </c>
      <c r="N22" s="189">
        <v>0</v>
      </c>
      <c r="O22" s="189">
        <v>0</v>
      </c>
      <c r="P22" s="189">
        <v>0.41</v>
      </c>
      <c r="Q22" s="189">
        <v>4.4800000000000004</v>
      </c>
    </row>
    <row r="23" spans="1:17" customFormat="1">
      <c r="A23" s="6" t="s">
        <v>2171</v>
      </c>
      <c r="B23" s="189">
        <v>8.61</v>
      </c>
      <c r="C23" s="189">
        <v>35.97</v>
      </c>
      <c r="D23" s="189">
        <v>24.65</v>
      </c>
      <c r="E23" s="189">
        <v>4.8099999999999996</v>
      </c>
      <c r="F23" s="189">
        <v>10.55</v>
      </c>
      <c r="G23" s="189">
        <v>21.16</v>
      </c>
      <c r="H23" s="189">
        <v>9.42</v>
      </c>
      <c r="I23" s="189">
        <v>3.33</v>
      </c>
      <c r="J23" s="189">
        <v>0.71</v>
      </c>
      <c r="K23" s="189">
        <v>242.77</v>
      </c>
      <c r="L23" s="189">
        <v>29.13</v>
      </c>
      <c r="M23" s="189">
        <v>61.26</v>
      </c>
      <c r="N23" s="189">
        <v>0</v>
      </c>
      <c r="O23" s="189">
        <v>0</v>
      </c>
      <c r="P23" s="189">
        <v>0.42</v>
      </c>
      <c r="Q23" s="189">
        <v>4.53</v>
      </c>
    </row>
    <row r="24" spans="1:17" customFormat="1">
      <c r="A24" s="6" t="s">
        <v>2172</v>
      </c>
      <c r="B24" s="189">
        <v>8.58</v>
      </c>
      <c r="C24" s="189">
        <v>35.700000000000003</v>
      </c>
      <c r="D24" s="189">
        <v>24.49</v>
      </c>
      <c r="E24" s="189">
        <v>4.57</v>
      </c>
      <c r="F24" s="189">
        <v>10.09</v>
      </c>
      <c r="G24" s="189">
        <v>19.27</v>
      </c>
      <c r="H24" s="189">
        <v>9.39</v>
      </c>
      <c r="I24" s="189">
        <v>3.29</v>
      </c>
      <c r="J24" s="189">
        <v>0.56000000000000005</v>
      </c>
      <c r="K24" s="189">
        <v>242.27</v>
      </c>
      <c r="L24" s="189">
        <v>29.03</v>
      </c>
      <c r="M24" s="189">
        <v>61.74</v>
      </c>
      <c r="N24" s="189">
        <v>0</v>
      </c>
      <c r="O24" s="189">
        <v>0</v>
      </c>
      <c r="P24" s="189">
        <v>0.39</v>
      </c>
      <c r="Q24" s="189">
        <v>4.53</v>
      </c>
    </row>
    <row r="25" spans="1:17" customFormat="1">
      <c r="A25" s="6" t="s">
        <v>2173</v>
      </c>
      <c r="B25" s="189">
        <v>9</v>
      </c>
      <c r="C25" s="189">
        <v>39.83</v>
      </c>
      <c r="D25" s="189">
        <v>26.99</v>
      </c>
      <c r="E25" s="189">
        <v>4.76</v>
      </c>
      <c r="F25" s="189">
        <v>7.85</v>
      </c>
      <c r="G25" s="189">
        <v>19.27</v>
      </c>
      <c r="H25" s="189">
        <v>9.39</v>
      </c>
      <c r="I25" s="189">
        <v>3.23</v>
      </c>
      <c r="J25" s="189">
        <v>0.79</v>
      </c>
      <c r="K25" s="189">
        <v>243.77</v>
      </c>
      <c r="L25" s="189">
        <v>28.96</v>
      </c>
      <c r="M25" s="189">
        <v>62.17</v>
      </c>
      <c r="N25" s="189">
        <v>0</v>
      </c>
      <c r="O25" s="189">
        <v>0</v>
      </c>
      <c r="P25" s="189">
        <v>0.41</v>
      </c>
      <c r="Q25" s="189">
        <v>4.59</v>
      </c>
    </row>
    <row r="26" spans="1:17" customFormat="1">
      <c r="A26" s="6" t="s">
        <v>2174</v>
      </c>
      <c r="B26" s="189">
        <v>8.93</v>
      </c>
      <c r="C26" s="189">
        <v>35.619999999999997</v>
      </c>
      <c r="D26" s="189">
        <v>24.72</v>
      </c>
      <c r="E26" s="189">
        <v>4.1900000000000004</v>
      </c>
      <c r="F26" s="189">
        <v>8.59</v>
      </c>
      <c r="G26" s="189">
        <v>19.27</v>
      </c>
      <c r="H26" s="189">
        <v>9.39</v>
      </c>
      <c r="I26" s="189">
        <v>3.27</v>
      </c>
      <c r="J26" s="189">
        <v>0.71</v>
      </c>
      <c r="K26" s="189">
        <v>242.82</v>
      </c>
      <c r="L26" s="189">
        <v>28.9</v>
      </c>
      <c r="M26" s="189">
        <v>62.75</v>
      </c>
      <c r="N26" s="189">
        <v>0</v>
      </c>
      <c r="O26" s="189">
        <v>0</v>
      </c>
      <c r="P26" s="189">
        <v>0.39</v>
      </c>
      <c r="Q26" s="189">
        <v>4.5199999999999996</v>
      </c>
    </row>
    <row r="27" spans="1:17" customFormat="1">
      <c r="A27" s="6" t="s">
        <v>2175</v>
      </c>
      <c r="B27" s="189">
        <v>9.0399999999999991</v>
      </c>
      <c r="C27" s="189">
        <v>38.630000000000003</v>
      </c>
      <c r="D27" s="189">
        <v>26.39</v>
      </c>
      <c r="E27" s="189">
        <v>4.83</v>
      </c>
      <c r="F27" s="189">
        <v>9.24</v>
      </c>
      <c r="G27" s="189">
        <v>20.47</v>
      </c>
      <c r="H27" s="189">
        <v>9.4600000000000009</v>
      </c>
      <c r="I27" s="189">
        <v>3.32</v>
      </c>
      <c r="J27" s="189">
        <v>0.6</v>
      </c>
      <c r="K27" s="189">
        <v>243.27</v>
      </c>
      <c r="L27" s="189">
        <v>28.85</v>
      </c>
      <c r="M27" s="189">
        <v>63.15</v>
      </c>
      <c r="N27" s="189">
        <v>0</v>
      </c>
      <c r="O27" s="189">
        <v>0</v>
      </c>
      <c r="P27" s="189">
        <v>0.4</v>
      </c>
      <c r="Q27" s="189">
        <v>4.59</v>
      </c>
    </row>
    <row r="28" spans="1:17" customFormat="1">
      <c r="A28" s="6" t="s">
        <v>2176</v>
      </c>
      <c r="B28" s="189">
        <v>9.1199999999999992</v>
      </c>
      <c r="C28" s="189">
        <v>37.92</v>
      </c>
      <c r="D28" s="189">
        <v>26.08</v>
      </c>
      <c r="E28" s="189">
        <v>5.01</v>
      </c>
      <c r="F28" s="189">
        <v>8.5500000000000007</v>
      </c>
      <c r="G28" s="189">
        <v>21.16</v>
      </c>
      <c r="H28" s="189">
        <v>9.4700000000000006</v>
      </c>
      <c r="I28" s="189">
        <v>3.28</v>
      </c>
      <c r="J28" s="189">
        <v>0.34</v>
      </c>
      <c r="K28" s="189">
        <v>239.7</v>
      </c>
      <c r="L28" s="189">
        <v>28.81</v>
      </c>
      <c r="M28" s="189">
        <v>63.79</v>
      </c>
      <c r="N28" s="189">
        <v>0</v>
      </c>
      <c r="O28" s="189">
        <v>0</v>
      </c>
      <c r="P28" s="189">
        <v>0.4</v>
      </c>
      <c r="Q28" s="189">
        <v>4.58</v>
      </c>
    </row>
    <row r="29" spans="1:17" customFormat="1">
      <c r="A29" s="6" t="s">
        <v>2177</v>
      </c>
      <c r="B29" s="189">
        <v>9.1300000000000008</v>
      </c>
      <c r="C29" s="189">
        <v>36.479999999999997</v>
      </c>
      <c r="D29" s="189">
        <v>25.34</v>
      </c>
      <c r="E29" s="189">
        <v>4.38</v>
      </c>
      <c r="F29" s="189">
        <v>11.2</v>
      </c>
      <c r="G29" s="189">
        <v>21.16</v>
      </c>
      <c r="H29" s="189">
        <v>9.4700000000000006</v>
      </c>
      <c r="I29" s="189">
        <v>3.24</v>
      </c>
      <c r="J29" s="189">
        <v>0.34</v>
      </c>
      <c r="K29" s="189">
        <v>231.31</v>
      </c>
      <c r="L29" s="189">
        <v>28.79</v>
      </c>
      <c r="M29" s="189">
        <v>64.36</v>
      </c>
      <c r="N29" s="189">
        <v>0</v>
      </c>
      <c r="O29" s="189">
        <v>0</v>
      </c>
      <c r="P29" s="189">
        <v>0.4</v>
      </c>
      <c r="Q29" s="189">
        <v>4.62</v>
      </c>
    </row>
    <row r="30" spans="1:17" customFormat="1">
      <c r="A30" s="6" t="s">
        <v>2178</v>
      </c>
      <c r="B30" s="189">
        <v>9.7200000000000006</v>
      </c>
      <c r="C30" s="189">
        <v>37.69</v>
      </c>
      <c r="D30" s="189">
        <v>26.44</v>
      </c>
      <c r="E30" s="189">
        <v>4.71</v>
      </c>
      <c r="F30" s="189">
        <v>8.24</v>
      </c>
      <c r="G30" s="189">
        <v>21.16</v>
      </c>
      <c r="H30" s="189">
        <v>9.4700000000000006</v>
      </c>
      <c r="I30" s="189">
        <v>3.12</v>
      </c>
      <c r="J30" s="189">
        <v>0.37</v>
      </c>
      <c r="K30" s="189">
        <v>235.31</v>
      </c>
      <c r="L30" s="189">
        <v>28.81</v>
      </c>
      <c r="M30" s="189">
        <v>64.48</v>
      </c>
      <c r="N30" s="189">
        <v>0.1</v>
      </c>
      <c r="O30" s="189">
        <v>0</v>
      </c>
      <c r="P30" s="189">
        <v>0.4</v>
      </c>
      <c r="Q30" s="189">
        <v>4.5999999999999996</v>
      </c>
    </row>
    <row r="31" spans="1:17" customFormat="1">
      <c r="A31" s="6" t="s">
        <v>2179</v>
      </c>
      <c r="B31" s="189">
        <v>9.6300000000000008</v>
      </c>
      <c r="C31" s="189">
        <v>36.06</v>
      </c>
      <c r="D31" s="189">
        <v>25.51</v>
      </c>
      <c r="E31" s="189">
        <v>4.93</v>
      </c>
      <c r="F31" s="189">
        <v>10.39</v>
      </c>
      <c r="G31" s="189">
        <v>22.63</v>
      </c>
      <c r="H31" s="189">
        <v>10.16</v>
      </c>
      <c r="I31" s="189">
        <v>3.1</v>
      </c>
      <c r="J31" s="189">
        <v>0.44</v>
      </c>
      <c r="K31" s="189">
        <v>238.83</v>
      </c>
      <c r="L31" s="189">
        <v>28.93</v>
      </c>
      <c r="M31" s="189">
        <v>64.17</v>
      </c>
      <c r="N31" s="189">
        <v>7.2</v>
      </c>
      <c r="O31" s="189">
        <v>0</v>
      </c>
      <c r="P31" s="189">
        <v>0.4</v>
      </c>
      <c r="Q31" s="189">
        <v>4.68</v>
      </c>
    </row>
    <row r="32" spans="1:17" customFormat="1">
      <c r="A32" s="6" t="s">
        <v>2180</v>
      </c>
      <c r="B32" s="189">
        <v>10.43</v>
      </c>
      <c r="C32" s="189">
        <v>39.61</v>
      </c>
      <c r="D32" s="189">
        <v>28.01</v>
      </c>
      <c r="E32" s="189">
        <v>5.31</v>
      </c>
      <c r="F32" s="189">
        <v>7.35</v>
      </c>
      <c r="G32" s="189">
        <v>23.48</v>
      </c>
      <c r="H32" s="189">
        <v>10.28</v>
      </c>
      <c r="I32" s="189">
        <v>3.13</v>
      </c>
      <c r="J32" s="189">
        <v>0.47</v>
      </c>
      <c r="K32" s="189">
        <v>242.6</v>
      </c>
      <c r="L32" s="189">
        <v>29.02</v>
      </c>
      <c r="M32" s="189">
        <v>64.239999999999995</v>
      </c>
      <c r="N32" s="189">
        <v>19.8</v>
      </c>
      <c r="O32" s="189">
        <v>0</v>
      </c>
      <c r="P32" s="189">
        <v>0.41</v>
      </c>
      <c r="Q32" s="189">
        <v>4.6500000000000004</v>
      </c>
    </row>
    <row r="33" spans="1:17" customFormat="1">
      <c r="A33" s="6" t="s">
        <v>2181</v>
      </c>
      <c r="B33" s="189">
        <v>10.49</v>
      </c>
      <c r="C33" s="189">
        <v>38.35</v>
      </c>
      <c r="D33" s="189">
        <v>27.41</v>
      </c>
      <c r="E33" s="189">
        <v>4.84</v>
      </c>
      <c r="F33" s="189">
        <v>8.3000000000000007</v>
      </c>
      <c r="G33" s="189">
        <v>23.48</v>
      </c>
      <c r="H33" s="189">
        <v>10.28</v>
      </c>
      <c r="I33" s="189">
        <v>3.23</v>
      </c>
      <c r="J33" s="189">
        <v>0.26</v>
      </c>
      <c r="K33" s="189">
        <v>236.22</v>
      </c>
      <c r="L33" s="189">
        <v>29.26</v>
      </c>
      <c r="M33" s="189">
        <v>63.74</v>
      </c>
      <c r="N33" s="189">
        <v>37</v>
      </c>
      <c r="O33" s="189">
        <v>0</v>
      </c>
      <c r="P33" s="189">
        <v>0.4</v>
      </c>
      <c r="Q33" s="189">
        <v>4.63</v>
      </c>
    </row>
    <row r="34" spans="1:17" customFormat="1">
      <c r="A34" s="6" t="s">
        <v>2182</v>
      </c>
      <c r="B34" s="189">
        <v>10.33</v>
      </c>
      <c r="C34" s="189">
        <v>38.229999999999997</v>
      </c>
      <c r="D34" s="189">
        <v>27.21</v>
      </c>
      <c r="E34" s="189">
        <v>4.71</v>
      </c>
      <c r="F34" s="189">
        <v>9.73</v>
      </c>
      <c r="G34" s="189">
        <v>23.48</v>
      </c>
      <c r="H34" s="189">
        <v>10.28</v>
      </c>
      <c r="I34" s="189">
        <v>3.25</v>
      </c>
      <c r="J34" s="189">
        <v>0.24</v>
      </c>
      <c r="K34" s="189">
        <v>229.44</v>
      </c>
      <c r="L34" s="189">
        <v>29.65</v>
      </c>
      <c r="M34" s="189">
        <v>63.26</v>
      </c>
      <c r="N34" s="189">
        <v>55.6</v>
      </c>
      <c r="O34" s="189">
        <v>0</v>
      </c>
      <c r="P34" s="189">
        <v>0.41</v>
      </c>
      <c r="Q34" s="189">
        <v>4.7</v>
      </c>
    </row>
    <row r="35" spans="1:17" customFormat="1">
      <c r="A35" s="6" t="s">
        <v>2183</v>
      </c>
      <c r="B35" s="189">
        <v>9.8800000000000008</v>
      </c>
      <c r="C35" s="189">
        <v>32.590000000000003</v>
      </c>
      <c r="D35" s="189">
        <v>23.9</v>
      </c>
      <c r="E35" s="189">
        <v>4.6500000000000004</v>
      </c>
      <c r="F35" s="189">
        <v>13.01</v>
      </c>
      <c r="G35" s="189">
        <v>22.74</v>
      </c>
      <c r="H35" s="189">
        <v>10.35</v>
      </c>
      <c r="I35" s="189">
        <v>3.19</v>
      </c>
      <c r="J35" s="189">
        <v>0.52</v>
      </c>
      <c r="K35" s="189">
        <v>251.96</v>
      </c>
      <c r="L35" s="189">
        <v>30.01</v>
      </c>
      <c r="M35" s="189">
        <v>61.71</v>
      </c>
      <c r="N35" s="189">
        <v>71.400000000000006</v>
      </c>
      <c r="O35" s="189">
        <v>0</v>
      </c>
      <c r="P35" s="189">
        <v>0.39</v>
      </c>
      <c r="Q35" s="189">
        <v>4.68</v>
      </c>
    </row>
    <row r="36" spans="1:17" customFormat="1">
      <c r="A36" s="6" t="s">
        <v>2184</v>
      </c>
      <c r="B36" s="189">
        <v>11.24</v>
      </c>
      <c r="C36" s="189">
        <v>38.76</v>
      </c>
      <c r="D36" s="189">
        <v>28.22</v>
      </c>
      <c r="E36" s="189">
        <v>5.0199999999999996</v>
      </c>
      <c r="F36" s="189">
        <v>7.31</v>
      </c>
      <c r="G36" s="189">
        <v>22.31</v>
      </c>
      <c r="H36" s="189">
        <v>10.38</v>
      </c>
      <c r="I36" s="189">
        <v>3.12</v>
      </c>
      <c r="J36" s="189">
        <v>0.53</v>
      </c>
      <c r="K36" s="189">
        <v>244.1</v>
      </c>
      <c r="L36" s="189">
        <v>30.43</v>
      </c>
      <c r="M36" s="189">
        <v>59.75</v>
      </c>
      <c r="N36" s="189">
        <v>87.6</v>
      </c>
      <c r="O36" s="189">
        <v>0</v>
      </c>
      <c r="P36" s="189">
        <v>0.41</v>
      </c>
      <c r="Q36" s="189">
        <v>4.71</v>
      </c>
    </row>
    <row r="37" spans="1:17" customFormat="1">
      <c r="A37" s="6" t="s">
        <v>2185</v>
      </c>
      <c r="B37" s="189">
        <v>11.43</v>
      </c>
      <c r="C37" s="189">
        <v>35.19</v>
      </c>
      <c r="D37" s="189">
        <v>26.51</v>
      </c>
      <c r="E37" s="189">
        <v>4.79</v>
      </c>
      <c r="F37" s="189">
        <v>10.4</v>
      </c>
      <c r="G37" s="189">
        <v>22.31</v>
      </c>
      <c r="H37" s="189">
        <v>10.38</v>
      </c>
      <c r="I37" s="189">
        <v>3.1</v>
      </c>
      <c r="J37" s="189">
        <v>0.65</v>
      </c>
      <c r="K37" s="189">
        <v>257.77</v>
      </c>
      <c r="L37" s="189">
        <v>30.96</v>
      </c>
      <c r="M37" s="189">
        <v>57.74</v>
      </c>
      <c r="N37" s="189">
        <v>100.8</v>
      </c>
      <c r="O37" s="189">
        <v>0</v>
      </c>
      <c r="P37" s="189">
        <v>0.41</v>
      </c>
      <c r="Q37" s="189">
        <v>4.72</v>
      </c>
    </row>
    <row r="38" spans="1:17" customFormat="1">
      <c r="A38" s="6" t="s">
        <v>2186</v>
      </c>
      <c r="B38" s="189">
        <v>10.95</v>
      </c>
      <c r="C38" s="189">
        <v>34.6</v>
      </c>
      <c r="D38" s="189">
        <v>25.81</v>
      </c>
      <c r="E38" s="189">
        <v>4.82</v>
      </c>
      <c r="F38" s="189">
        <v>8.98</v>
      </c>
      <c r="G38" s="189">
        <v>22.31</v>
      </c>
      <c r="H38" s="189">
        <v>10.38</v>
      </c>
      <c r="I38" s="189">
        <v>3.31</v>
      </c>
      <c r="J38" s="189">
        <v>0.78</v>
      </c>
      <c r="K38" s="189">
        <v>260.12</v>
      </c>
      <c r="L38" s="189">
        <v>31.38</v>
      </c>
      <c r="M38" s="189">
        <v>56.09</v>
      </c>
      <c r="N38" s="189">
        <v>116.5</v>
      </c>
      <c r="O38" s="189">
        <v>0</v>
      </c>
      <c r="P38" s="189">
        <v>0.39</v>
      </c>
      <c r="Q38" s="189">
        <v>4.67</v>
      </c>
    </row>
    <row r="39" spans="1:17" customFormat="1">
      <c r="A39" s="6" t="s">
        <v>2187</v>
      </c>
      <c r="B39" s="189">
        <v>11.1</v>
      </c>
      <c r="C39" s="189">
        <v>39.46</v>
      </c>
      <c r="D39" s="189">
        <v>28.47</v>
      </c>
      <c r="E39" s="189">
        <v>5.2</v>
      </c>
      <c r="F39" s="189">
        <v>10.11</v>
      </c>
      <c r="G39" s="189">
        <v>21.57</v>
      </c>
      <c r="H39" s="189">
        <v>7.98</v>
      </c>
      <c r="I39" s="189">
        <v>3.28</v>
      </c>
      <c r="J39" s="189">
        <v>0.75</v>
      </c>
      <c r="K39" s="189">
        <v>262.99</v>
      </c>
      <c r="L39" s="189">
        <v>31.97</v>
      </c>
      <c r="M39" s="189">
        <v>53.98</v>
      </c>
      <c r="N39" s="189">
        <v>124</v>
      </c>
      <c r="O39" s="189">
        <v>0</v>
      </c>
      <c r="P39" s="189">
        <v>0.42</v>
      </c>
      <c r="Q39" s="189">
        <v>4.7300000000000004</v>
      </c>
    </row>
    <row r="40" spans="1:17" customFormat="1">
      <c r="A40" s="6" t="s">
        <v>2188</v>
      </c>
      <c r="B40" s="189">
        <v>11.17</v>
      </c>
      <c r="C40" s="189">
        <v>39.96</v>
      </c>
      <c r="D40" s="189">
        <v>28.79</v>
      </c>
      <c r="E40" s="189">
        <v>6.49</v>
      </c>
      <c r="F40" s="189">
        <v>9.3800000000000008</v>
      </c>
      <c r="G40" s="189">
        <v>21.12</v>
      </c>
      <c r="H40" s="189">
        <v>7.51</v>
      </c>
      <c r="I40" s="189">
        <v>3.35</v>
      </c>
      <c r="J40" s="189">
        <v>1.07</v>
      </c>
      <c r="K40" s="189">
        <v>276.57</v>
      </c>
      <c r="L40" s="189">
        <v>32.369999999999997</v>
      </c>
      <c r="M40" s="189">
        <v>50.47</v>
      </c>
      <c r="N40" s="189">
        <v>131</v>
      </c>
      <c r="O40" s="189">
        <v>0</v>
      </c>
      <c r="P40" s="189">
        <v>0.43</v>
      </c>
      <c r="Q40" s="189">
        <v>4.7</v>
      </c>
    </row>
    <row r="41" spans="1:17" customFormat="1">
      <c r="A41" s="6" t="s">
        <v>2189</v>
      </c>
      <c r="B41" s="189">
        <v>10.94</v>
      </c>
      <c r="C41" s="189">
        <v>37.86</v>
      </c>
      <c r="D41" s="189">
        <v>27.51</v>
      </c>
      <c r="E41" s="189">
        <v>6.79</v>
      </c>
      <c r="F41" s="189">
        <v>8.16</v>
      </c>
      <c r="G41" s="189">
        <v>21.12</v>
      </c>
      <c r="H41" s="189">
        <v>7.51</v>
      </c>
      <c r="I41" s="189">
        <v>3.49</v>
      </c>
      <c r="J41" s="189">
        <v>1.19</v>
      </c>
      <c r="K41" s="189">
        <v>263.64</v>
      </c>
      <c r="L41" s="189">
        <v>32.61</v>
      </c>
      <c r="M41" s="189">
        <v>49.83</v>
      </c>
      <c r="N41" s="189">
        <v>140.4</v>
      </c>
      <c r="O41" s="189">
        <v>0</v>
      </c>
      <c r="P41" s="189">
        <v>0.44</v>
      </c>
      <c r="Q41" s="189">
        <v>4.6399999999999997</v>
      </c>
    </row>
    <row r="42" spans="1:17" customFormat="1">
      <c r="A42" s="6" t="s">
        <v>2190</v>
      </c>
      <c r="B42" s="189">
        <v>10.5</v>
      </c>
      <c r="C42" s="189">
        <v>40.380000000000003</v>
      </c>
      <c r="D42" s="189">
        <v>28.47</v>
      </c>
      <c r="E42" s="189">
        <v>7.07</v>
      </c>
      <c r="F42" s="189">
        <v>9.0299999999999994</v>
      </c>
      <c r="G42" s="189">
        <v>21.12</v>
      </c>
      <c r="H42" s="189">
        <v>7.51</v>
      </c>
      <c r="I42" s="189">
        <v>3.6</v>
      </c>
      <c r="J42" s="189">
        <v>0.94</v>
      </c>
      <c r="K42" s="189">
        <v>263.66000000000003</v>
      </c>
      <c r="L42" s="189">
        <v>33.01</v>
      </c>
      <c r="M42" s="189">
        <v>49.09</v>
      </c>
      <c r="N42" s="189">
        <v>147</v>
      </c>
      <c r="O42" s="189">
        <v>0</v>
      </c>
      <c r="P42" s="189">
        <v>0.5</v>
      </c>
      <c r="Q42" s="189">
        <v>4.6399999999999997</v>
      </c>
    </row>
    <row r="43" spans="1:17" customFormat="1">
      <c r="A43" s="6" t="s">
        <v>2191</v>
      </c>
      <c r="B43" s="189">
        <v>9.99</v>
      </c>
      <c r="C43" s="189">
        <v>39.24</v>
      </c>
      <c r="D43" s="189">
        <v>27.47</v>
      </c>
      <c r="E43" s="189">
        <v>9.65</v>
      </c>
      <c r="F43" s="189">
        <v>10.96</v>
      </c>
      <c r="G43" s="189">
        <v>24.11</v>
      </c>
      <c r="H43" s="189">
        <v>9.82</v>
      </c>
      <c r="I43" s="189">
        <v>3.81</v>
      </c>
      <c r="J43" s="189">
        <v>0.83</v>
      </c>
      <c r="K43" s="189">
        <v>260.16000000000003</v>
      </c>
      <c r="L43" s="189">
        <v>33.479999999999997</v>
      </c>
      <c r="M43" s="189">
        <v>48.26</v>
      </c>
      <c r="N43" s="189">
        <v>159.6</v>
      </c>
      <c r="O43" s="189">
        <v>0</v>
      </c>
      <c r="P43" s="189">
        <v>0.53</v>
      </c>
      <c r="Q43" s="189">
        <v>4.66</v>
      </c>
    </row>
    <row r="44" spans="1:17" customFormat="1">
      <c r="A44" s="6" t="s">
        <v>2192</v>
      </c>
      <c r="B44" s="189">
        <v>9.68</v>
      </c>
      <c r="C44" s="189">
        <v>38</v>
      </c>
      <c r="D44" s="189">
        <v>26.57</v>
      </c>
      <c r="E44" s="189">
        <v>9.85</v>
      </c>
      <c r="F44" s="189">
        <v>10.64</v>
      </c>
      <c r="G44" s="189">
        <v>25.84</v>
      </c>
      <c r="H44" s="189">
        <v>10.24</v>
      </c>
      <c r="I44" s="189">
        <v>4.05</v>
      </c>
      <c r="J44" s="189">
        <v>0.83</v>
      </c>
      <c r="K44" s="189">
        <v>261.22000000000003</v>
      </c>
      <c r="L44" s="189">
        <v>34.08</v>
      </c>
      <c r="M44" s="189">
        <v>46.82</v>
      </c>
      <c r="N44" s="189">
        <v>160.6</v>
      </c>
      <c r="O44" s="189">
        <v>0</v>
      </c>
      <c r="P44" s="189">
        <v>0.52</v>
      </c>
      <c r="Q44" s="189">
        <v>4.62</v>
      </c>
    </row>
    <row r="45" spans="1:17" customFormat="1">
      <c r="A45" s="6" t="s">
        <v>2193</v>
      </c>
      <c r="B45" s="189">
        <v>9.1300000000000008</v>
      </c>
      <c r="C45" s="189">
        <v>36.1</v>
      </c>
      <c r="D45" s="189">
        <v>25.14</v>
      </c>
      <c r="E45" s="189">
        <v>10.37</v>
      </c>
      <c r="F45" s="189">
        <v>14.98</v>
      </c>
      <c r="G45" s="189">
        <v>25.84</v>
      </c>
      <c r="H45" s="189">
        <v>10.24</v>
      </c>
      <c r="I45" s="189">
        <v>4.33</v>
      </c>
      <c r="J45" s="189">
        <v>0.83</v>
      </c>
      <c r="K45" s="189">
        <v>269.88</v>
      </c>
      <c r="L45" s="189">
        <v>34.549999999999997</v>
      </c>
      <c r="M45" s="189">
        <v>45.95</v>
      </c>
      <c r="N45" s="189">
        <v>171.4</v>
      </c>
      <c r="O45" s="189">
        <v>0</v>
      </c>
      <c r="P45" s="189">
        <v>0.55000000000000004</v>
      </c>
      <c r="Q45" s="189">
        <v>4.5999999999999996</v>
      </c>
    </row>
    <row r="46" spans="1:17" customFormat="1">
      <c r="A46" s="6" t="s">
        <v>2194</v>
      </c>
      <c r="B46" s="189">
        <v>8.89</v>
      </c>
      <c r="C46" s="189">
        <v>36.74</v>
      </c>
      <c r="D46" s="189">
        <v>25.28</v>
      </c>
      <c r="E46" s="189">
        <v>8.44</v>
      </c>
      <c r="F46" s="189">
        <v>15.07</v>
      </c>
      <c r="G46" s="189">
        <v>25.84</v>
      </c>
      <c r="H46" s="189">
        <v>10.24</v>
      </c>
      <c r="I46" s="189">
        <v>4.7300000000000004</v>
      </c>
      <c r="J46" s="189">
        <v>0.97</v>
      </c>
      <c r="K46" s="189">
        <v>282.05</v>
      </c>
      <c r="L46" s="189">
        <v>34.85</v>
      </c>
      <c r="M46" s="189">
        <v>44.31</v>
      </c>
      <c r="N46" s="189">
        <v>183.7</v>
      </c>
      <c r="O46" s="189">
        <v>0</v>
      </c>
      <c r="P46" s="189">
        <v>0.56000000000000005</v>
      </c>
      <c r="Q46" s="189">
        <v>4.57</v>
      </c>
    </row>
    <row r="47" spans="1:17" customFormat="1">
      <c r="A47" s="6" t="s">
        <v>2195</v>
      </c>
      <c r="B47" s="189">
        <v>8.5500000000000007</v>
      </c>
      <c r="C47" s="189">
        <v>36.79</v>
      </c>
      <c r="D47" s="189">
        <v>25.03</v>
      </c>
      <c r="E47" s="189">
        <v>6.7</v>
      </c>
      <c r="F47" s="189">
        <v>14.1</v>
      </c>
      <c r="G47" s="189">
        <v>33.31</v>
      </c>
      <c r="H47" s="189">
        <v>14.15</v>
      </c>
      <c r="I47" s="189">
        <v>4.95</v>
      </c>
      <c r="J47" s="189">
        <v>1.02</v>
      </c>
      <c r="K47" s="189">
        <v>284.13</v>
      </c>
      <c r="L47" s="189">
        <v>35.270000000000003</v>
      </c>
      <c r="M47" s="189">
        <v>43.28</v>
      </c>
      <c r="N47" s="189">
        <v>189.8</v>
      </c>
      <c r="O47" s="189">
        <v>0</v>
      </c>
      <c r="P47" s="189">
        <v>0.56000000000000005</v>
      </c>
      <c r="Q47" s="189">
        <v>4.53</v>
      </c>
    </row>
    <row r="48" spans="1:17" customFormat="1">
      <c r="A48" s="6" t="s">
        <v>2196</v>
      </c>
      <c r="B48" s="189">
        <v>8.6999999999999993</v>
      </c>
      <c r="C48" s="189">
        <v>35.840000000000003</v>
      </c>
      <c r="D48" s="189">
        <v>24.66</v>
      </c>
      <c r="E48" s="189">
        <v>6.32</v>
      </c>
      <c r="F48" s="189">
        <v>17.059999999999999</v>
      </c>
      <c r="G48" s="189">
        <v>37.630000000000003</v>
      </c>
      <c r="H48" s="189">
        <v>14.85</v>
      </c>
      <c r="I48" s="189">
        <v>4.82</v>
      </c>
      <c r="J48" s="189">
        <v>0.72</v>
      </c>
      <c r="K48" s="189">
        <v>295.49</v>
      </c>
      <c r="L48" s="189">
        <v>36.049999999999997</v>
      </c>
      <c r="M48" s="189">
        <v>41.75</v>
      </c>
      <c r="N48" s="189">
        <v>196.8</v>
      </c>
      <c r="O48" s="189">
        <v>0</v>
      </c>
      <c r="P48" s="189">
        <v>0.55000000000000004</v>
      </c>
      <c r="Q48" s="189">
        <v>4.5</v>
      </c>
    </row>
    <row r="49" spans="1:17" customFormat="1">
      <c r="A49" s="6" t="s">
        <v>2197</v>
      </c>
      <c r="B49" s="189">
        <v>8.1300000000000008</v>
      </c>
      <c r="C49" s="189">
        <v>34.450000000000003</v>
      </c>
      <c r="D49" s="189">
        <v>23.47</v>
      </c>
      <c r="E49" s="189">
        <v>7.67</v>
      </c>
      <c r="F49" s="189">
        <v>19.760000000000002</v>
      </c>
      <c r="G49" s="189">
        <v>37.630000000000003</v>
      </c>
      <c r="H49" s="189">
        <v>14.85</v>
      </c>
      <c r="I49" s="189">
        <v>4.76</v>
      </c>
      <c r="J49" s="189">
        <v>0.81</v>
      </c>
      <c r="K49" s="189">
        <v>309.10000000000002</v>
      </c>
      <c r="L49" s="189">
        <v>36.29</v>
      </c>
      <c r="M49" s="189">
        <v>41.16</v>
      </c>
      <c r="N49" s="189">
        <v>203.2</v>
      </c>
      <c r="O49" s="189">
        <v>0</v>
      </c>
      <c r="P49" s="189">
        <v>0.56000000000000005</v>
      </c>
      <c r="Q49" s="189">
        <v>4.47</v>
      </c>
    </row>
    <row r="50" spans="1:17" customFormat="1">
      <c r="A50" s="6" t="s">
        <v>2198</v>
      </c>
      <c r="B50" s="189">
        <v>8.73</v>
      </c>
      <c r="C50" s="189">
        <v>35.75</v>
      </c>
      <c r="D50" s="189">
        <v>24.63</v>
      </c>
      <c r="E50" s="189">
        <v>8.58</v>
      </c>
      <c r="F50" s="189">
        <v>17.329999999999998</v>
      </c>
      <c r="G50" s="189">
        <v>37.630000000000003</v>
      </c>
      <c r="H50" s="189">
        <v>14.85</v>
      </c>
      <c r="I50" s="189">
        <v>4.62</v>
      </c>
      <c r="J50" s="189">
        <v>1.31</v>
      </c>
      <c r="K50" s="189">
        <v>304</v>
      </c>
      <c r="L50" s="189">
        <v>36.21</v>
      </c>
      <c r="M50" s="189">
        <v>41.09</v>
      </c>
      <c r="N50" s="189">
        <v>209.7</v>
      </c>
      <c r="O50" s="189">
        <v>0</v>
      </c>
      <c r="P50" s="189">
        <v>0.56000000000000005</v>
      </c>
      <c r="Q50" s="189">
        <v>4.47</v>
      </c>
    </row>
    <row r="51" spans="1:17" customFormat="1">
      <c r="A51" s="6" t="s">
        <v>2199</v>
      </c>
      <c r="B51" s="189">
        <v>7.52</v>
      </c>
      <c r="C51" s="189">
        <v>33.840000000000003</v>
      </c>
      <c r="D51" s="189">
        <v>22.67</v>
      </c>
      <c r="E51" s="189">
        <v>9.2200000000000006</v>
      </c>
      <c r="F51" s="189">
        <v>24.08</v>
      </c>
      <c r="G51" s="189">
        <v>40.369999999999997</v>
      </c>
      <c r="H51" s="189">
        <v>15.81</v>
      </c>
      <c r="I51" s="189">
        <v>4.59</v>
      </c>
      <c r="J51" s="189">
        <v>0.87</v>
      </c>
      <c r="K51" s="189">
        <v>318.32</v>
      </c>
      <c r="L51" s="189">
        <v>36.79</v>
      </c>
      <c r="M51" s="189">
        <v>39.4</v>
      </c>
      <c r="N51" s="189">
        <v>216.2</v>
      </c>
      <c r="O51" s="189">
        <v>0</v>
      </c>
      <c r="P51" s="189">
        <v>0.56000000000000005</v>
      </c>
      <c r="Q51" s="189">
        <v>4.46</v>
      </c>
    </row>
    <row r="52" spans="1:17" customFormat="1">
      <c r="A52" s="6" t="s">
        <v>2200</v>
      </c>
      <c r="B52" s="189">
        <v>7.27</v>
      </c>
      <c r="C52" s="189">
        <v>33.36</v>
      </c>
      <c r="D52" s="189">
        <v>22.21</v>
      </c>
      <c r="E52" s="189">
        <v>9.64</v>
      </c>
      <c r="F52" s="189">
        <v>23.27</v>
      </c>
      <c r="G52" s="189">
        <v>41.95</v>
      </c>
      <c r="H52" s="189">
        <v>15.98</v>
      </c>
      <c r="I52" s="189">
        <v>4.57</v>
      </c>
      <c r="J52" s="189">
        <v>0.65</v>
      </c>
      <c r="K52" s="189">
        <v>317.2</v>
      </c>
      <c r="L52" s="189">
        <v>37.409999999999997</v>
      </c>
      <c r="M52" s="189">
        <v>38.159999999999997</v>
      </c>
      <c r="N52" s="189">
        <v>220.6</v>
      </c>
      <c r="O52" s="189">
        <v>0</v>
      </c>
      <c r="P52" s="189">
        <v>0.55000000000000004</v>
      </c>
      <c r="Q52" s="189">
        <v>4.46</v>
      </c>
    </row>
    <row r="53" spans="1:17" customFormat="1">
      <c r="A53" s="6" t="s">
        <v>2201</v>
      </c>
      <c r="B53" s="189">
        <v>6.6</v>
      </c>
      <c r="C53" s="189">
        <v>31.81</v>
      </c>
      <c r="D53" s="189">
        <v>20.87</v>
      </c>
      <c r="E53" s="189">
        <v>11.15</v>
      </c>
      <c r="F53" s="189">
        <v>30.23</v>
      </c>
      <c r="G53" s="189">
        <v>41.95</v>
      </c>
      <c r="H53" s="189">
        <v>15.98</v>
      </c>
      <c r="I53" s="189">
        <v>4.47</v>
      </c>
      <c r="J53" s="189">
        <v>0.6</v>
      </c>
      <c r="K53" s="189">
        <v>344.69</v>
      </c>
      <c r="L53" s="189">
        <v>38.14</v>
      </c>
      <c r="M53" s="189">
        <v>36.72</v>
      </c>
      <c r="N53" s="189">
        <v>230.7</v>
      </c>
      <c r="O53" s="189">
        <v>0</v>
      </c>
      <c r="P53" s="189">
        <v>0.53</v>
      </c>
      <c r="Q53" s="189">
        <v>4.4400000000000004</v>
      </c>
    </row>
    <row r="54" spans="1:17" customFormat="1">
      <c r="A54" s="6" t="s">
        <v>2202</v>
      </c>
      <c r="B54" s="189">
        <v>6.21</v>
      </c>
      <c r="C54" s="189">
        <v>31.32</v>
      </c>
      <c r="D54" s="189">
        <v>20.3</v>
      </c>
      <c r="E54" s="189">
        <v>12.05</v>
      </c>
      <c r="F54" s="189">
        <v>27.84</v>
      </c>
      <c r="G54" s="189">
        <v>41.95</v>
      </c>
      <c r="H54" s="189">
        <v>15.98</v>
      </c>
      <c r="I54" s="189">
        <v>4.41</v>
      </c>
      <c r="J54" s="189">
        <v>0.75</v>
      </c>
      <c r="K54" s="189">
        <v>297.76</v>
      </c>
      <c r="L54" s="189">
        <v>38.53</v>
      </c>
      <c r="M54" s="189">
        <v>35.67</v>
      </c>
      <c r="N54" s="189">
        <v>251.1</v>
      </c>
      <c r="O54" s="189">
        <v>0</v>
      </c>
      <c r="P54" s="189">
        <v>0.54</v>
      </c>
      <c r="Q54" s="189">
        <v>4.4400000000000004</v>
      </c>
    </row>
    <row r="55" spans="1:17" customFormat="1">
      <c r="A55" s="6" t="s">
        <v>2203</v>
      </c>
      <c r="B55" s="189">
        <v>6.05</v>
      </c>
      <c r="C55" s="189">
        <v>31.4</v>
      </c>
      <c r="D55" s="189">
        <v>20.21</v>
      </c>
      <c r="E55" s="189">
        <v>11.54</v>
      </c>
      <c r="F55" s="189">
        <v>22.82</v>
      </c>
      <c r="G55" s="189">
        <v>44.38</v>
      </c>
      <c r="H55" s="189">
        <v>17.559999999999999</v>
      </c>
      <c r="I55" s="189">
        <v>4.26</v>
      </c>
      <c r="J55" s="189">
        <v>0.56999999999999995</v>
      </c>
      <c r="K55" s="189">
        <v>300.55</v>
      </c>
      <c r="L55" s="189">
        <v>38.97</v>
      </c>
      <c r="M55" s="189">
        <v>34.06</v>
      </c>
      <c r="N55" s="189">
        <v>402.7</v>
      </c>
      <c r="O55" s="189">
        <v>0</v>
      </c>
      <c r="P55" s="189">
        <v>0.54</v>
      </c>
      <c r="Q55" s="189">
        <v>4.41</v>
      </c>
    </row>
    <row r="56" spans="1:17" customFormat="1">
      <c r="A56" s="6" t="s">
        <v>2204</v>
      </c>
      <c r="B56" s="189">
        <v>6.28</v>
      </c>
      <c r="C56" s="189">
        <v>31.12</v>
      </c>
      <c r="D56" s="189">
        <v>20.25</v>
      </c>
      <c r="E56" s="189">
        <v>11.03</v>
      </c>
      <c r="F56" s="189">
        <v>33.57</v>
      </c>
      <c r="G56" s="189">
        <v>45.79</v>
      </c>
      <c r="H56" s="189">
        <v>17.850000000000001</v>
      </c>
      <c r="I56" s="189">
        <v>4.3499999999999996</v>
      </c>
      <c r="J56" s="189">
        <v>0.52</v>
      </c>
      <c r="K56" s="189">
        <v>358.8</v>
      </c>
      <c r="L56" s="189">
        <v>38.770000000000003</v>
      </c>
      <c r="M56" s="189">
        <v>33.89</v>
      </c>
      <c r="N56" s="189">
        <v>711.6</v>
      </c>
      <c r="O56" s="189">
        <v>0</v>
      </c>
      <c r="P56" s="189">
        <v>0.52</v>
      </c>
      <c r="Q56" s="189">
        <v>4.3899999999999997</v>
      </c>
    </row>
    <row r="57" spans="1:17" customFormat="1">
      <c r="A57" s="6" t="s">
        <v>2205</v>
      </c>
      <c r="B57" s="189">
        <v>6.02</v>
      </c>
      <c r="C57" s="189">
        <v>30.16</v>
      </c>
      <c r="D57" s="189">
        <v>19.54</v>
      </c>
      <c r="E57" s="189">
        <v>11.92</v>
      </c>
      <c r="F57" s="189">
        <v>31.25</v>
      </c>
      <c r="G57" s="189">
        <v>45.79</v>
      </c>
      <c r="H57" s="189">
        <v>17.850000000000001</v>
      </c>
      <c r="I57" s="189">
        <v>4.5</v>
      </c>
      <c r="J57" s="189">
        <v>0.77</v>
      </c>
      <c r="K57" s="189">
        <v>289.75</v>
      </c>
      <c r="L57" s="189">
        <v>39.64</v>
      </c>
      <c r="M57" s="189">
        <v>32.5</v>
      </c>
      <c r="N57" s="189">
        <v>787.3</v>
      </c>
      <c r="O57" s="189">
        <v>0</v>
      </c>
      <c r="P57" s="189">
        <v>0.52</v>
      </c>
      <c r="Q57" s="189">
        <v>4.4000000000000004</v>
      </c>
    </row>
    <row r="58" spans="1:17" customFormat="1">
      <c r="A58" s="6" t="s">
        <v>2206</v>
      </c>
      <c r="B58" s="189">
        <v>6.05</v>
      </c>
      <c r="C58" s="189">
        <v>32.57</v>
      </c>
      <c r="D58" s="189">
        <v>20.82</v>
      </c>
      <c r="E58" s="189">
        <v>10.62</v>
      </c>
      <c r="F58" s="189">
        <v>31.11</v>
      </c>
      <c r="G58" s="189">
        <v>45.79</v>
      </c>
      <c r="H58" s="189">
        <v>17.850000000000001</v>
      </c>
      <c r="I58" s="189">
        <v>4.24</v>
      </c>
      <c r="J58" s="189">
        <v>0.63</v>
      </c>
      <c r="K58" s="189">
        <v>322.7</v>
      </c>
      <c r="L58" s="189">
        <v>39.29</v>
      </c>
      <c r="M58" s="189">
        <v>32.21</v>
      </c>
      <c r="N58" s="189">
        <v>820.9</v>
      </c>
      <c r="O58" s="189">
        <v>0</v>
      </c>
      <c r="P58" s="189">
        <v>0.52</v>
      </c>
      <c r="Q58" s="189">
        <v>4.37</v>
      </c>
    </row>
    <row r="59" spans="1:17" customFormat="1">
      <c r="A59" s="6" t="s">
        <v>2207</v>
      </c>
      <c r="B59" s="189">
        <v>5.21</v>
      </c>
      <c r="C59" s="189">
        <v>27.72</v>
      </c>
      <c r="D59" s="189">
        <v>17.62</v>
      </c>
      <c r="E59" s="189">
        <v>11.87</v>
      </c>
      <c r="F59" s="189">
        <v>36.89</v>
      </c>
      <c r="G59" s="189">
        <v>48.53</v>
      </c>
      <c r="H59" s="189">
        <v>18.2</v>
      </c>
      <c r="I59" s="189">
        <v>4.22</v>
      </c>
      <c r="J59" s="189">
        <v>0.06</v>
      </c>
      <c r="K59" s="189">
        <v>290.56</v>
      </c>
      <c r="L59" s="189">
        <v>40.619999999999997</v>
      </c>
      <c r="M59" s="189">
        <v>29.97</v>
      </c>
      <c r="N59" s="189">
        <v>663.2</v>
      </c>
      <c r="O59" s="189">
        <v>0</v>
      </c>
      <c r="P59" s="189">
        <v>0.49</v>
      </c>
      <c r="Q59" s="189">
        <v>4.3499999999999996</v>
      </c>
    </row>
    <row r="60" spans="1:17" customFormat="1">
      <c r="A60" s="6" t="s">
        <v>2208</v>
      </c>
      <c r="B60" s="189">
        <v>6.07</v>
      </c>
      <c r="C60" s="189">
        <v>30</v>
      </c>
      <c r="D60" s="189">
        <v>19.5</v>
      </c>
      <c r="E60" s="189">
        <v>11.46</v>
      </c>
      <c r="F60" s="189">
        <v>31.6</v>
      </c>
      <c r="G60" s="189">
        <v>50.19</v>
      </c>
      <c r="H60" s="189">
        <v>18.309999999999999</v>
      </c>
      <c r="I60" s="189">
        <v>4.26</v>
      </c>
      <c r="J60" s="189">
        <v>0.71</v>
      </c>
      <c r="K60" s="189">
        <v>330.54</v>
      </c>
      <c r="L60" s="189">
        <v>40.01</v>
      </c>
      <c r="M60" s="189">
        <v>31.18</v>
      </c>
      <c r="N60" s="189">
        <v>587.9</v>
      </c>
      <c r="O60" s="189">
        <v>0</v>
      </c>
      <c r="P60" s="189">
        <v>0.52</v>
      </c>
      <c r="Q60" s="189">
        <v>4.34</v>
      </c>
    </row>
    <row r="61" spans="1:17" customFormat="1">
      <c r="A61" s="6" t="s">
        <v>2209</v>
      </c>
      <c r="B61" s="189">
        <v>5.27</v>
      </c>
      <c r="C61" s="189">
        <v>31.04</v>
      </c>
      <c r="D61" s="189">
        <v>19.399999999999999</v>
      </c>
      <c r="E61" s="189">
        <v>11.31</v>
      </c>
      <c r="F61" s="189">
        <v>31.93</v>
      </c>
      <c r="G61" s="189">
        <v>50.19</v>
      </c>
      <c r="H61" s="189">
        <v>18.309999999999999</v>
      </c>
      <c r="I61" s="189">
        <v>3.99</v>
      </c>
      <c r="J61" s="189">
        <v>0.49</v>
      </c>
      <c r="K61" s="189">
        <v>37.119999999999997</v>
      </c>
      <c r="L61" s="189">
        <v>40.409999999999997</v>
      </c>
      <c r="M61" s="189">
        <v>29.35</v>
      </c>
      <c r="N61" s="189">
        <v>792.3</v>
      </c>
      <c r="O61" s="189">
        <v>0</v>
      </c>
      <c r="P61" s="189">
        <v>0.52</v>
      </c>
      <c r="Q61" s="189">
        <v>4.3499999999999996</v>
      </c>
    </row>
    <row r="62" spans="1:17" customFormat="1">
      <c r="A62" s="6" t="s">
        <v>2210</v>
      </c>
      <c r="B62" s="189">
        <v>5.35</v>
      </c>
      <c r="C62" s="189">
        <v>33.07</v>
      </c>
      <c r="D62" s="189">
        <v>20.52</v>
      </c>
      <c r="E62" s="189">
        <v>11.38</v>
      </c>
      <c r="F62" s="189">
        <v>31.42</v>
      </c>
      <c r="G62" s="189">
        <v>50.19</v>
      </c>
      <c r="H62" s="189">
        <v>18.309999999999999</v>
      </c>
      <c r="I62" s="189">
        <v>4.25</v>
      </c>
      <c r="J62" s="189">
        <v>0.78</v>
      </c>
      <c r="K62" s="189">
        <v>11.69</v>
      </c>
      <c r="L62" s="189">
        <v>40.28</v>
      </c>
      <c r="M62" s="189">
        <v>29.8</v>
      </c>
      <c r="N62" s="189">
        <v>772</v>
      </c>
      <c r="O62" s="189">
        <v>0</v>
      </c>
      <c r="P62" s="189">
        <v>0.54</v>
      </c>
      <c r="Q62" s="189">
        <v>4.4400000000000004</v>
      </c>
    </row>
    <row r="63" spans="1:17" customFormat="1">
      <c r="A63" s="6" t="s">
        <v>2211</v>
      </c>
      <c r="B63" s="189">
        <v>5.2</v>
      </c>
      <c r="C63" s="189">
        <v>31.13</v>
      </c>
      <c r="D63" s="189">
        <v>19.39</v>
      </c>
      <c r="E63" s="189">
        <v>12.13</v>
      </c>
      <c r="F63" s="189">
        <v>41.6</v>
      </c>
      <c r="G63" s="189">
        <v>49.24</v>
      </c>
      <c r="H63" s="189">
        <v>18.04</v>
      </c>
      <c r="I63" s="189">
        <v>4.3600000000000003</v>
      </c>
      <c r="J63" s="189">
        <v>0.67</v>
      </c>
      <c r="K63" s="189">
        <v>23.53</v>
      </c>
      <c r="L63" s="189">
        <v>40.520000000000003</v>
      </c>
      <c r="M63" s="189">
        <v>29.14</v>
      </c>
      <c r="N63" s="189">
        <v>733.6</v>
      </c>
      <c r="O63" s="189">
        <v>0</v>
      </c>
      <c r="P63" s="189">
        <v>0.52</v>
      </c>
      <c r="Q63" s="189">
        <v>4.43</v>
      </c>
    </row>
    <row r="64" spans="1:17" customFormat="1">
      <c r="A64" s="6" t="s">
        <v>2212</v>
      </c>
      <c r="B64" s="189">
        <v>5.29</v>
      </c>
      <c r="C64" s="189">
        <v>33.79</v>
      </c>
      <c r="D64" s="189">
        <v>20.85</v>
      </c>
      <c r="E64" s="189">
        <v>11.01</v>
      </c>
      <c r="F64" s="189">
        <v>32.6</v>
      </c>
      <c r="G64" s="189">
        <v>48.68</v>
      </c>
      <c r="H64" s="189">
        <v>17.989999999999998</v>
      </c>
      <c r="I64" s="189">
        <v>4.22</v>
      </c>
      <c r="J64" s="189">
        <v>0.47</v>
      </c>
      <c r="K64" s="189">
        <v>261.01</v>
      </c>
      <c r="L64" s="189">
        <v>40.840000000000003</v>
      </c>
      <c r="M64" s="189">
        <v>28.47</v>
      </c>
      <c r="N64" s="189">
        <v>713</v>
      </c>
      <c r="O64" s="189">
        <v>0</v>
      </c>
      <c r="P64" s="189">
        <v>0.51</v>
      </c>
      <c r="Q64" s="189">
        <v>4.4400000000000004</v>
      </c>
    </row>
    <row r="65" spans="1:17" customFormat="1">
      <c r="A65" s="6" t="s">
        <v>2213</v>
      </c>
      <c r="B65" s="189">
        <v>4.9400000000000004</v>
      </c>
      <c r="C65" s="189">
        <v>33.51</v>
      </c>
      <c r="D65" s="189">
        <v>20.43</v>
      </c>
      <c r="E65" s="189">
        <v>8.8800000000000008</v>
      </c>
      <c r="F65" s="189">
        <v>22.34</v>
      </c>
      <c r="G65" s="189">
        <v>48.68</v>
      </c>
      <c r="H65" s="189">
        <v>17.989999999999998</v>
      </c>
      <c r="I65" s="189">
        <v>4.18</v>
      </c>
      <c r="J65" s="189">
        <v>0.96</v>
      </c>
      <c r="K65" s="189">
        <v>254.31</v>
      </c>
      <c r="L65" s="189">
        <v>41.15</v>
      </c>
      <c r="M65" s="189">
        <v>26.84</v>
      </c>
      <c r="N65" s="189">
        <v>648.4</v>
      </c>
      <c r="O65" s="189">
        <v>0</v>
      </c>
      <c r="P65" s="189">
        <v>0.41</v>
      </c>
      <c r="Q65" s="189">
        <v>4.4000000000000004</v>
      </c>
    </row>
    <row r="66" spans="1:17" customFormat="1">
      <c r="A66" s="6" t="s">
        <v>2214</v>
      </c>
      <c r="B66" s="189">
        <v>4.57</v>
      </c>
      <c r="C66" s="189">
        <v>32.42</v>
      </c>
      <c r="D66" s="189">
        <v>19.559999999999999</v>
      </c>
      <c r="E66" s="189">
        <v>8.3699999999999992</v>
      </c>
      <c r="F66" s="189">
        <v>29.44</v>
      </c>
      <c r="G66" s="189">
        <v>48.68</v>
      </c>
      <c r="H66" s="189">
        <v>17.989999999999998</v>
      </c>
      <c r="I66" s="189">
        <v>4.46</v>
      </c>
      <c r="J66" s="189">
        <v>0.71</v>
      </c>
      <c r="K66" s="189">
        <v>271.07</v>
      </c>
      <c r="L66" s="189">
        <v>39.96</v>
      </c>
      <c r="M66" s="189">
        <v>28.36</v>
      </c>
      <c r="N66" s="189">
        <v>176.5</v>
      </c>
      <c r="O66" s="189">
        <v>0</v>
      </c>
      <c r="P66" s="189">
        <v>0.42</v>
      </c>
      <c r="Q66" s="189">
        <v>4.3499999999999996</v>
      </c>
    </row>
    <row r="67" spans="1:17" customFormat="1">
      <c r="A67" s="6" t="s">
        <v>2215</v>
      </c>
      <c r="B67" s="189">
        <v>6.85</v>
      </c>
      <c r="C67" s="189">
        <v>37.04</v>
      </c>
      <c r="D67" s="189">
        <v>23.8</v>
      </c>
      <c r="E67" s="189">
        <v>8.27</v>
      </c>
      <c r="F67" s="189">
        <v>21.62</v>
      </c>
      <c r="G67" s="189">
        <v>47.98</v>
      </c>
      <c r="H67" s="189">
        <v>18.600000000000001</v>
      </c>
      <c r="I67" s="189">
        <v>4.59</v>
      </c>
      <c r="J67" s="189">
        <v>1.46</v>
      </c>
      <c r="K67" s="189">
        <v>302.64</v>
      </c>
      <c r="L67" s="189">
        <v>38.590000000000003</v>
      </c>
      <c r="M67" s="189">
        <v>32.619999999999997</v>
      </c>
      <c r="N67" s="189">
        <v>145.30000000000001</v>
      </c>
      <c r="O67" s="189">
        <v>0</v>
      </c>
      <c r="P67" s="189">
        <v>0.44</v>
      </c>
      <c r="Q67" s="189">
        <v>4.33</v>
      </c>
    </row>
    <row r="68" spans="1:17" customFormat="1">
      <c r="A68" s="6" t="s">
        <v>2216</v>
      </c>
      <c r="B68" s="189">
        <v>5.64</v>
      </c>
      <c r="C68" s="189">
        <v>33.79</v>
      </c>
      <c r="D68" s="189">
        <v>21.13</v>
      </c>
      <c r="E68" s="189">
        <v>8.65</v>
      </c>
      <c r="F68" s="189">
        <v>19.88</v>
      </c>
      <c r="G68" s="189">
        <v>47.57</v>
      </c>
      <c r="H68" s="189">
        <v>18.71</v>
      </c>
      <c r="I68" s="189">
        <v>4.47</v>
      </c>
      <c r="J68" s="189">
        <v>1.19</v>
      </c>
      <c r="K68" s="189">
        <v>296.05</v>
      </c>
      <c r="L68" s="189">
        <v>37.65</v>
      </c>
      <c r="M68" s="189">
        <v>33.78</v>
      </c>
      <c r="N68" s="189">
        <v>118.9</v>
      </c>
      <c r="O68" s="189">
        <v>0</v>
      </c>
      <c r="P68" s="189">
        <v>0.42</v>
      </c>
      <c r="Q68" s="189">
        <v>4.29</v>
      </c>
    </row>
    <row r="69" spans="1:17" customFormat="1">
      <c r="A69" s="6" t="s">
        <v>2217</v>
      </c>
      <c r="B69" s="189">
        <v>5.71</v>
      </c>
      <c r="C69" s="189">
        <v>32.82</v>
      </c>
      <c r="D69" s="189">
        <v>20.68</v>
      </c>
      <c r="E69" s="189">
        <v>7.6</v>
      </c>
      <c r="F69" s="189">
        <v>25.73</v>
      </c>
      <c r="G69" s="189">
        <v>47.57</v>
      </c>
      <c r="H69" s="189">
        <v>18.71</v>
      </c>
      <c r="I69" s="189">
        <v>4.51</v>
      </c>
      <c r="J69" s="189">
        <v>0.77</v>
      </c>
      <c r="K69" s="189">
        <v>354.34</v>
      </c>
      <c r="L69" s="189">
        <v>37.31</v>
      </c>
      <c r="M69" s="189">
        <v>33.75</v>
      </c>
      <c r="N69" s="189">
        <v>122.9</v>
      </c>
      <c r="O69" s="189">
        <v>0</v>
      </c>
      <c r="P69" s="189">
        <v>0.42</v>
      </c>
      <c r="Q69" s="189">
        <v>4.3</v>
      </c>
    </row>
    <row r="70" spans="1:17" customFormat="1">
      <c r="A70" s="6" t="s">
        <v>2218</v>
      </c>
      <c r="B70" s="189">
        <v>6.57</v>
      </c>
      <c r="C70" s="189">
        <v>32.869999999999997</v>
      </c>
      <c r="D70" s="189">
        <v>21.4</v>
      </c>
      <c r="E70" s="189">
        <v>8.6999999999999993</v>
      </c>
      <c r="F70" s="189">
        <v>33.659999999999997</v>
      </c>
      <c r="G70" s="189">
        <v>47.57</v>
      </c>
      <c r="H70" s="189">
        <v>18.71</v>
      </c>
      <c r="I70" s="189">
        <v>4.47</v>
      </c>
      <c r="J70" s="189">
        <v>0.82</v>
      </c>
      <c r="K70" s="189">
        <v>27.27</v>
      </c>
      <c r="L70" s="189">
        <v>37.450000000000003</v>
      </c>
      <c r="M70" s="189">
        <v>33.35</v>
      </c>
      <c r="N70" s="189">
        <v>181.3</v>
      </c>
      <c r="O70" s="189">
        <v>0</v>
      </c>
      <c r="P70" s="189">
        <v>0.39</v>
      </c>
      <c r="Q70" s="189">
        <v>4.3099999999999996</v>
      </c>
    </row>
    <row r="71" spans="1:17" customFormat="1">
      <c r="A71" s="6" t="s">
        <v>2219</v>
      </c>
      <c r="B71" s="189">
        <v>6.16</v>
      </c>
      <c r="C71" s="189">
        <v>30.22</v>
      </c>
      <c r="D71" s="189">
        <v>19.68</v>
      </c>
      <c r="E71" s="189">
        <v>8.99</v>
      </c>
      <c r="F71" s="189">
        <v>23.83</v>
      </c>
      <c r="G71" s="189">
        <v>50.29</v>
      </c>
      <c r="H71" s="189">
        <v>19.829999999999998</v>
      </c>
      <c r="I71" s="189">
        <v>4.08</v>
      </c>
      <c r="J71" s="189">
        <v>1.33</v>
      </c>
      <c r="K71" s="189">
        <v>311.69</v>
      </c>
      <c r="L71" s="189">
        <v>37.86</v>
      </c>
      <c r="M71" s="189">
        <v>32.57</v>
      </c>
      <c r="N71" s="189">
        <v>256.8</v>
      </c>
      <c r="O71" s="189">
        <v>0</v>
      </c>
      <c r="P71" s="189">
        <v>0.4</v>
      </c>
      <c r="Q71" s="189">
        <v>4.3099999999999996</v>
      </c>
    </row>
    <row r="72" spans="1:17" customFormat="1">
      <c r="A72" s="6" t="s">
        <v>2220</v>
      </c>
      <c r="B72" s="189">
        <v>6.21</v>
      </c>
      <c r="C72" s="189">
        <v>33.65</v>
      </c>
      <c r="D72" s="189">
        <v>21.51</v>
      </c>
      <c r="E72" s="189">
        <v>9.98</v>
      </c>
      <c r="F72" s="189">
        <v>14.55</v>
      </c>
      <c r="G72" s="189">
        <v>51.87</v>
      </c>
      <c r="H72" s="189">
        <v>20.03</v>
      </c>
      <c r="I72" s="189">
        <v>3.66</v>
      </c>
      <c r="J72" s="189">
        <v>1.63</v>
      </c>
      <c r="K72" s="189">
        <v>309.79000000000002</v>
      </c>
      <c r="L72" s="189">
        <v>37.340000000000003</v>
      </c>
      <c r="M72" s="189">
        <v>33.96</v>
      </c>
      <c r="N72" s="189">
        <v>241.2</v>
      </c>
      <c r="O72" s="189">
        <v>0</v>
      </c>
      <c r="P72" s="189">
        <v>0.39</v>
      </c>
      <c r="Q72" s="189">
        <v>4.32</v>
      </c>
    </row>
    <row r="73" spans="1:17" customFormat="1">
      <c r="A73" s="6" t="s">
        <v>2221</v>
      </c>
      <c r="B73" s="189">
        <v>6.39</v>
      </c>
      <c r="C73" s="189">
        <v>34.21</v>
      </c>
      <c r="D73" s="189">
        <v>21.96</v>
      </c>
      <c r="E73" s="189">
        <v>11.8</v>
      </c>
      <c r="F73" s="189">
        <v>13.51</v>
      </c>
      <c r="G73" s="189">
        <v>51.87</v>
      </c>
      <c r="H73" s="189">
        <v>20.03</v>
      </c>
      <c r="I73" s="189">
        <v>3.92</v>
      </c>
      <c r="J73" s="189">
        <v>1.66</v>
      </c>
      <c r="K73" s="189">
        <v>297.47000000000003</v>
      </c>
      <c r="L73" s="189">
        <v>37.049999999999997</v>
      </c>
      <c r="M73" s="189">
        <v>34.08</v>
      </c>
      <c r="N73" s="189">
        <v>144.69999999999999</v>
      </c>
      <c r="O73" s="189">
        <v>0</v>
      </c>
      <c r="P73" s="189">
        <v>0.38</v>
      </c>
      <c r="Q73" s="189">
        <v>4.26</v>
      </c>
    </row>
    <row r="74" spans="1:17" customFormat="1">
      <c r="A74" s="6" t="s">
        <v>2222</v>
      </c>
      <c r="B74" s="189">
        <v>6.38</v>
      </c>
      <c r="C74" s="189">
        <v>35.51</v>
      </c>
      <c r="D74" s="189">
        <v>22.62</v>
      </c>
      <c r="E74" s="189">
        <v>8.8000000000000007</v>
      </c>
      <c r="F74" s="189">
        <v>10.68</v>
      </c>
      <c r="G74" s="189">
        <v>51.87</v>
      </c>
      <c r="H74" s="189">
        <v>20.03</v>
      </c>
      <c r="I74" s="189">
        <v>4.26</v>
      </c>
      <c r="J74" s="189">
        <v>1.86</v>
      </c>
      <c r="K74" s="189">
        <v>276.56</v>
      </c>
      <c r="L74" s="189">
        <v>36.19</v>
      </c>
      <c r="M74" s="189">
        <v>34.75</v>
      </c>
      <c r="N74" s="189">
        <v>118.7</v>
      </c>
      <c r="O74" s="189">
        <v>0</v>
      </c>
      <c r="P74" s="189">
        <v>0.38</v>
      </c>
      <c r="Q74" s="189">
        <v>4.25</v>
      </c>
    </row>
    <row r="75" spans="1:17" customFormat="1">
      <c r="A75" s="6" t="s">
        <v>2223</v>
      </c>
      <c r="B75" s="189">
        <v>5.91</v>
      </c>
      <c r="C75" s="189">
        <v>34.119999999999997</v>
      </c>
      <c r="D75" s="189">
        <v>21.52</v>
      </c>
      <c r="E75" s="189">
        <v>7.85</v>
      </c>
      <c r="F75" s="189">
        <v>13.27</v>
      </c>
      <c r="G75" s="189">
        <v>55.1</v>
      </c>
      <c r="H75" s="189">
        <v>19.79</v>
      </c>
      <c r="I75" s="189">
        <v>4.2699999999999996</v>
      </c>
      <c r="J75" s="189">
        <v>1.25</v>
      </c>
      <c r="K75" s="189">
        <v>262.60000000000002</v>
      </c>
      <c r="L75" s="189">
        <v>34.19</v>
      </c>
      <c r="M75" s="189">
        <v>43.16</v>
      </c>
      <c r="N75" s="189">
        <v>66.599999999999994</v>
      </c>
      <c r="O75" s="189">
        <v>0</v>
      </c>
      <c r="P75" s="189">
        <v>0.38</v>
      </c>
      <c r="Q75" s="189">
        <v>4.29</v>
      </c>
    </row>
    <row r="76" spans="1:17" customFormat="1">
      <c r="A76" s="6" t="s">
        <v>2224</v>
      </c>
      <c r="B76" s="189">
        <v>5.52</v>
      </c>
      <c r="C76" s="189">
        <v>31.04</v>
      </c>
      <c r="D76" s="189">
        <v>19.600000000000001</v>
      </c>
      <c r="E76" s="189">
        <v>7.74</v>
      </c>
      <c r="F76" s="189">
        <v>16.989999999999998</v>
      </c>
      <c r="G76" s="189">
        <v>56.98</v>
      </c>
      <c r="H76" s="189">
        <v>19.739999999999998</v>
      </c>
      <c r="I76" s="189">
        <v>4.29</v>
      </c>
      <c r="J76" s="189">
        <v>0.75</v>
      </c>
      <c r="K76" s="189">
        <v>272.52999999999997</v>
      </c>
      <c r="L76" s="189">
        <v>33.9</v>
      </c>
      <c r="M76" s="189">
        <v>43.75</v>
      </c>
      <c r="N76" s="189">
        <v>30.8</v>
      </c>
      <c r="O76" s="189">
        <v>0</v>
      </c>
      <c r="P76" s="189">
        <v>0.38</v>
      </c>
      <c r="Q76" s="189">
        <v>4.2699999999999996</v>
      </c>
    </row>
    <row r="77" spans="1:17" customFormat="1">
      <c r="A77" s="6" t="s">
        <v>2225</v>
      </c>
      <c r="B77" s="189">
        <v>5.37</v>
      </c>
      <c r="C77" s="189">
        <v>31.76</v>
      </c>
      <c r="D77" s="189">
        <v>19.850000000000001</v>
      </c>
      <c r="E77" s="189">
        <v>7.96</v>
      </c>
      <c r="F77" s="189">
        <v>22.1</v>
      </c>
      <c r="G77" s="189">
        <v>56.98</v>
      </c>
      <c r="H77" s="189">
        <v>19.739999999999998</v>
      </c>
      <c r="I77" s="189">
        <v>4.18</v>
      </c>
      <c r="J77" s="189">
        <v>0.26</v>
      </c>
      <c r="K77" s="189">
        <v>210.47</v>
      </c>
      <c r="L77" s="189">
        <v>33.51</v>
      </c>
      <c r="M77" s="189">
        <v>46.81</v>
      </c>
      <c r="N77" s="189">
        <v>36.6</v>
      </c>
      <c r="O77" s="189">
        <v>0</v>
      </c>
      <c r="P77" s="189">
        <v>0.38</v>
      </c>
      <c r="Q77" s="189">
        <v>4.33</v>
      </c>
    </row>
    <row r="78" spans="1:17" customFormat="1">
      <c r="A78" s="6" t="s">
        <v>2226</v>
      </c>
      <c r="B78" s="189">
        <v>5.4</v>
      </c>
      <c r="C78" s="189">
        <v>29.22</v>
      </c>
      <c r="D78" s="189">
        <v>18.55</v>
      </c>
      <c r="E78" s="189">
        <v>7.65</v>
      </c>
      <c r="F78" s="189">
        <v>25.04</v>
      </c>
      <c r="G78" s="189">
        <v>56.98</v>
      </c>
      <c r="H78" s="189">
        <v>19.739999999999998</v>
      </c>
      <c r="I78" s="189">
        <v>3.95</v>
      </c>
      <c r="J78" s="189">
        <v>0.23</v>
      </c>
      <c r="K78" s="189">
        <v>250.63</v>
      </c>
      <c r="L78" s="189">
        <v>32.799999999999997</v>
      </c>
      <c r="M78" s="189">
        <v>49.23</v>
      </c>
      <c r="N78" s="189">
        <v>25</v>
      </c>
      <c r="O78" s="189">
        <v>0</v>
      </c>
      <c r="P78" s="189">
        <v>0.39</v>
      </c>
      <c r="Q78" s="189">
        <v>4.3499999999999996</v>
      </c>
    </row>
    <row r="79" spans="1:17" customFormat="1">
      <c r="A79" s="6" t="s">
        <v>2227</v>
      </c>
      <c r="B79" s="189">
        <v>5.26</v>
      </c>
      <c r="C79" s="189">
        <v>27.67</v>
      </c>
      <c r="D79" s="189">
        <v>17.63</v>
      </c>
      <c r="E79" s="189">
        <v>8.3800000000000008</v>
      </c>
      <c r="F79" s="189">
        <v>25.93</v>
      </c>
      <c r="G79" s="189">
        <v>54.04</v>
      </c>
      <c r="H79" s="189">
        <v>17.579999999999998</v>
      </c>
      <c r="I79" s="189">
        <v>3.83</v>
      </c>
      <c r="J79" s="189">
        <v>0.24</v>
      </c>
      <c r="K79" s="189">
        <v>237.99</v>
      </c>
      <c r="L79" s="189">
        <v>32.39</v>
      </c>
      <c r="M79" s="189">
        <v>51.58</v>
      </c>
      <c r="N79" s="189">
        <v>10.6</v>
      </c>
      <c r="O79" s="189">
        <v>0</v>
      </c>
      <c r="P79" s="189">
        <v>0.37</v>
      </c>
      <c r="Q79" s="189">
        <v>4.33</v>
      </c>
    </row>
    <row r="80" spans="1:17" customFormat="1">
      <c r="A80" s="6" t="s">
        <v>2228</v>
      </c>
      <c r="B80" s="189">
        <v>5.87</v>
      </c>
      <c r="C80" s="189">
        <v>30.91</v>
      </c>
      <c r="D80" s="189">
        <v>19.809999999999999</v>
      </c>
      <c r="E80" s="189">
        <v>7.94</v>
      </c>
      <c r="F80" s="189">
        <v>12.61</v>
      </c>
      <c r="G80" s="189">
        <v>52.34</v>
      </c>
      <c r="H80" s="189">
        <v>17.190000000000001</v>
      </c>
      <c r="I80" s="189">
        <v>3.63</v>
      </c>
      <c r="J80" s="189">
        <v>0.23</v>
      </c>
      <c r="K80" s="189">
        <v>168.88</v>
      </c>
      <c r="L80" s="189">
        <v>31.27</v>
      </c>
      <c r="M80" s="189">
        <v>57.43</v>
      </c>
      <c r="N80" s="189">
        <v>8.1</v>
      </c>
      <c r="O80" s="189">
        <v>0</v>
      </c>
      <c r="P80" s="189">
        <v>0.39</v>
      </c>
      <c r="Q80" s="189">
        <v>4.3</v>
      </c>
    </row>
    <row r="81" spans="1:17" customFormat="1">
      <c r="A81" s="6" t="s">
        <v>2229</v>
      </c>
      <c r="B81" s="189">
        <v>6.12</v>
      </c>
      <c r="C81" s="189">
        <v>32.76</v>
      </c>
      <c r="D81" s="189">
        <v>20.98</v>
      </c>
      <c r="E81" s="189">
        <v>6.2</v>
      </c>
      <c r="F81" s="189">
        <v>12.67</v>
      </c>
      <c r="G81" s="189">
        <v>52.34</v>
      </c>
      <c r="H81" s="189">
        <v>17.190000000000001</v>
      </c>
      <c r="I81" s="189">
        <v>3.69</v>
      </c>
      <c r="J81" s="189">
        <v>0.2</v>
      </c>
      <c r="K81" s="189">
        <v>203.98</v>
      </c>
      <c r="L81" s="189">
        <v>30.41</v>
      </c>
      <c r="M81" s="189">
        <v>62.18</v>
      </c>
      <c r="N81" s="189">
        <v>11.7</v>
      </c>
      <c r="O81" s="189">
        <v>0</v>
      </c>
      <c r="P81" s="189">
        <v>0.41</v>
      </c>
      <c r="Q81" s="189">
        <v>4.32</v>
      </c>
    </row>
    <row r="82" spans="1:17" customFormat="1">
      <c r="A82" s="6" t="s">
        <v>2230</v>
      </c>
      <c r="B82" s="189">
        <v>6.14</v>
      </c>
      <c r="C82" s="189">
        <v>30.89</v>
      </c>
      <c r="D82" s="189">
        <v>20.02</v>
      </c>
      <c r="E82" s="189">
        <v>6.83</v>
      </c>
      <c r="F82" s="189">
        <v>17</v>
      </c>
      <c r="G82" s="189">
        <v>52.34</v>
      </c>
      <c r="H82" s="189">
        <v>17.190000000000001</v>
      </c>
      <c r="I82" s="189">
        <v>4.04</v>
      </c>
      <c r="J82" s="189">
        <v>0.27</v>
      </c>
      <c r="K82" s="189">
        <v>229.7</v>
      </c>
      <c r="L82" s="189">
        <v>30.23</v>
      </c>
      <c r="M82" s="189">
        <v>62.27</v>
      </c>
      <c r="N82" s="189">
        <v>0.4</v>
      </c>
      <c r="O82" s="189">
        <v>0</v>
      </c>
      <c r="P82" s="189">
        <v>0.39</v>
      </c>
      <c r="Q82" s="189">
        <v>4.32</v>
      </c>
    </row>
    <row r="83" spans="1:17" customFormat="1">
      <c r="A83" s="6" t="s">
        <v>2231</v>
      </c>
      <c r="B83" s="189">
        <v>5.69</v>
      </c>
      <c r="C83" s="189">
        <v>27.99</v>
      </c>
      <c r="D83" s="189">
        <v>18.14</v>
      </c>
      <c r="E83" s="189">
        <v>6.74</v>
      </c>
      <c r="F83" s="189">
        <v>22.79</v>
      </c>
      <c r="G83" s="189">
        <v>45.19</v>
      </c>
      <c r="H83" s="189">
        <v>14.71</v>
      </c>
      <c r="I83" s="189">
        <v>4.16</v>
      </c>
      <c r="J83" s="189">
        <v>0.31</v>
      </c>
      <c r="K83" s="189">
        <v>232.91</v>
      </c>
      <c r="L83" s="189">
        <v>30.31</v>
      </c>
      <c r="M83" s="189">
        <v>59.96</v>
      </c>
      <c r="N83" s="189">
        <v>0</v>
      </c>
      <c r="O83" s="189">
        <v>0</v>
      </c>
      <c r="P83" s="189">
        <v>0.37</v>
      </c>
      <c r="Q83" s="189">
        <v>4.32</v>
      </c>
    </row>
    <row r="84" spans="1:17" customFormat="1">
      <c r="A84" s="6" t="s">
        <v>2232</v>
      </c>
      <c r="B84" s="189">
        <v>6.38</v>
      </c>
      <c r="C84" s="189">
        <v>35.22</v>
      </c>
      <c r="D84" s="189">
        <v>22.47</v>
      </c>
      <c r="E84" s="189">
        <v>7.17</v>
      </c>
      <c r="F84" s="189">
        <v>10.58</v>
      </c>
      <c r="G84" s="189">
        <v>41.05</v>
      </c>
      <c r="H84" s="189">
        <v>13.96</v>
      </c>
      <c r="I84" s="189">
        <v>3.96</v>
      </c>
      <c r="J84" s="189">
        <v>0.43</v>
      </c>
      <c r="K84" s="189">
        <v>244</v>
      </c>
      <c r="L84" s="189">
        <v>30.18</v>
      </c>
      <c r="M84" s="189">
        <v>60.08</v>
      </c>
      <c r="N84" s="189">
        <v>0</v>
      </c>
      <c r="O84" s="189">
        <v>0</v>
      </c>
      <c r="P84" s="189">
        <v>0.4</v>
      </c>
      <c r="Q84" s="189">
        <v>4.34</v>
      </c>
    </row>
    <row r="85" spans="1:17" customFormat="1">
      <c r="A85" s="6" t="s">
        <v>2233</v>
      </c>
      <c r="B85" s="189">
        <v>6.78</v>
      </c>
      <c r="C85" s="189">
        <v>34.64</v>
      </c>
      <c r="D85" s="189">
        <v>22.49</v>
      </c>
      <c r="E85" s="189">
        <v>7</v>
      </c>
      <c r="F85" s="189">
        <v>12.77</v>
      </c>
      <c r="G85" s="189">
        <v>41.05</v>
      </c>
      <c r="H85" s="189">
        <v>13.96</v>
      </c>
      <c r="I85" s="189">
        <v>3.93</v>
      </c>
      <c r="J85" s="189">
        <v>0.32</v>
      </c>
      <c r="K85" s="189">
        <v>168.42</v>
      </c>
      <c r="L85" s="189">
        <v>29.78</v>
      </c>
      <c r="M85" s="189">
        <v>61.47</v>
      </c>
      <c r="N85" s="189">
        <v>0</v>
      </c>
      <c r="O85" s="189">
        <v>0</v>
      </c>
      <c r="P85" s="189">
        <v>0.4</v>
      </c>
      <c r="Q85" s="189">
        <v>4.43</v>
      </c>
    </row>
    <row r="86" spans="1:17" customFormat="1">
      <c r="A86" s="6" t="s">
        <v>2234</v>
      </c>
      <c r="B86" s="189">
        <v>6.94</v>
      </c>
      <c r="C86" s="189">
        <v>34.880000000000003</v>
      </c>
      <c r="D86" s="189">
        <v>22.74</v>
      </c>
      <c r="E86" s="189">
        <v>6.33</v>
      </c>
      <c r="F86" s="189">
        <v>11.43</v>
      </c>
      <c r="G86" s="189">
        <v>41.05</v>
      </c>
      <c r="H86" s="189">
        <v>13.96</v>
      </c>
      <c r="I86" s="189">
        <v>4.1100000000000003</v>
      </c>
      <c r="J86" s="189">
        <v>0.18</v>
      </c>
      <c r="K86" s="189">
        <v>185.77</v>
      </c>
      <c r="L86" s="189">
        <v>29.43</v>
      </c>
      <c r="M86" s="189">
        <v>61.06</v>
      </c>
      <c r="N86" s="189">
        <v>0</v>
      </c>
      <c r="O86" s="189">
        <v>0</v>
      </c>
      <c r="P86" s="189">
        <v>0.38</v>
      </c>
      <c r="Q86" s="189">
        <v>4.3600000000000003</v>
      </c>
    </row>
    <row r="87" spans="1:17" customFormat="1">
      <c r="A87" s="6" t="s">
        <v>2235</v>
      </c>
      <c r="B87" s="189">
        <v>7.06</v>
      </c>
      <c r="C87" s="189">
        <v>38.14</v>
      </c>
      <c r="D87" s="189">
        <v>24.54</v>
      </c>
      <c r="E87" s="189">
        <v>6.5</v>
      </c>
      <c r="F87" s="189">
        <v>9.43</v>
      </c>
      <c r="G87" s="189">
        <v>36.43</v>
      </c>
      <c r="H87" s="189">
        <v>11.83</v>
      </c>
      <c r="I87" s="189">
        <v>4.1100000000000003</v>
      </c>
      <c r="J87" s="189">
        <v>0.21</v>
      </c>
      <c r="K87" s="189">
        <v>181.72</v>
      </c>
      <c r="L87" s="189">
        <v>29.51</v>
      </c>
      <c r="M87" s="189">
        <v>61.53</v>
      </c>
      <c r="N87" s="189">
        <v>0</v>
      </c>
      <c r="O87" s="189">
        <v>0</v>
      </c>
      <c r="P87" s="189">
        <v>0.4</v>
      </c>
      <c r="Q87" s="189">
        <v>4.3899999999999997</v>
      </c>
    </row>
    <row r="88" spans="1:17" customFormat="1">
      <c r="A88" s="6" t="s">
        <v>2236</v>
      </c>
      <c r="B88" s="189">
        <v>6.97</v>
      </c>
      <c r="C88" s="189">
        <v>35.18</v>
      </c>
      <c r="D88" s="189">
        <v>22.92</v>
      </c>
      <c r="E88" s="189">
        <v>6.93</v>
      </c>
      <c r="F88" s="189">
        <v>14.97</v>
      </c>
      <c r="G88" s="189">
        <v>33.75</v>
      </c>
      <c r="H88" s="189">
        <v>11.45</v>
      </c>
      <c r="I88" s="189">
        <v>4.12</v>
      </c>
      <c r="J88" s="189">
        <v>0.13</v>
      </c>
      <c r="K88" s="189">
        <v>231.04</v>
      </c>
      <c r="L88" s="189">
        <v>29.37</v>
      </c>
      <c r="M88" s="189">
        <v>63.72</v>
      </c>
      <c r="N88" s="189">
        <v>0</v>
      </c>
      <c r="O88" s="189">
        <v>0</v>
      </c>
      <c r="P88" s="189">
        <v>0.39</v>
      </c>
      <c r="Q88" s="189">
        <v>4.46</v>
      </c>
    </row>
    <row r="89" spans="1:17" customFormat="1">
      <c r="A89" s="6" t="s">
        <v>2237</v>
      </c>
      <c r="B89" s="189">
        <v>7.24</v>
      </c>
      <c r="C89" s="189">
        <v>34.4</v>
      </c>
      <c r="D89" s="189">
        <v>22.74</v>
      </c>
      <c r="E89" s="189">
        <v>6.71</v>
      </c>
      <c r="F89" s="189">
        <v>11.94</v>
      </c>
      <c r="G89" s="189">
        <v>33.75</v>
      </c>
      <c r="H89" s="189">
        <v>11.45</v>
      </c>
      <c r="I89" s="189">
        <v>4.0599999999999996</v>
      </c>
      <c r="J89" s="189">
        <v>7.0000000000000007E-2</v>
      </c>
      <c r="K89" s="189">
        <v>248.92</v>
      </c>
      <c r="L89" s="189">
        <v>29.39</v>
      </c>
      <c r="M89" s="189">
        <v>63.94</v>
      </c>
      <c r="N89" s="189">
        <v>0</v>
      </c>
      <c r="O89" s="189">
        <v>0</v>
      </c>
      <c r="P89" s="189">
        <v>0.39</v>
      </c>
      <c r="Q89" s="189">
        <v>4.41</v>
      </c>
    </row>
    <row r="90" spans="1:17" customFormat="1">
      <c r="A90" s="6" t="s">
        <v>2238</v>
      </c>
      <c r="B90" s="189">
        <v>7.83</v>
      </c>
      <c r="C90" s="189">
        <v>39.4</v>
      </c>
      <c r="D90" s="189">
        <v>25.82</v>
      </c>
      <c r="E90" s="189">
        <v>6.56</v>
      </c>
      <c r="F90" s="189">
        <v>8.15</v>
      </c>
      <c r="G90" s="189">
        <v>33.75</v>
      </c>
      <c r="H90" s="189">
        <v>11.45</v>
      </c>
      <c r="I90" s="189">
        <v>3.91</v>
      </c>
      <c r="J90" s="189">
        <v>0.35</v>
      </c>
      <c r="K90" s="189">
        <v>139.97999999999999</v>
      </c>
      <c r="L90" s="189">
        <v>28.97</v>
      </c>
      <c r="M90" s="189">
        <v>67.94</v>
      </c>
      <c r="N90" s="189">
        <v>0</v>
      </c>
      <c r="O90" s="189">
        <v>0</v>
      </c>
      <c r="P90" s="189">
        <v>0.4</v>
      </c>
      <c r="Q90" s="189">
        <v>4.47</v>
      </c>
    </row>
    <row r="91" spans="1:17" customFormat="1">
      <c r="A91" s="6" t="s">
        <v>2239</v>
      </c>
      <c r="B91" s="189">
        <v>7.59</v>
      </c>
      <c r="C91" s="189">
        <v>34.35</v>
      </c>
      <c r="D91" s="189">
        <v>22.99</v>
      </c>
      <c r="E91" s="189">
        <v>6.78</v>
      </c>
      <c r="F91" s="189">
        <v>13.19</v>
      </c>
      <c r="G91" s="189">
        <v>32.130000000000003</v>
      </c>
      <c r="H91" s="189">
        <v>17.2</v>
      </c>
      <c r="I91" s="189">
        <v>4</v>
      </c>
      <c r="J91" s="189">
        <v>0.21</v>
      </c>
      <c r="K91" s="189">
        <v>222.13</v>
      </c>
      <c r="L91" s="189">
        <v>28.18</v>
      </c>
      <c r="M91" s="189">
        <v>73.81</v>
      </c>
      <c r="N91" s="189">
        <v>0</v>
      </c>
      <c r="O91" s="189">
        <v>0</v>
      </c>
      <c r="P91" s="189">
        <v>0.38</v>
      </c>
      <c r="Q91" s="189">
        <v>4.42</v>
      </c>
    </row>
    <row r="92" spans="1:17" customFormat="1">
      <c r="A92" s="6" t="s">
        <v>2240</v>
      </c>
      <c r="B92" s="189">
        <v>8.25</v>
      </c>
      <c r="C92" s="189">
        <v>39.33</v>
      </c>
      <c r="D92" s="189">
        <v>26.12</v>
      </c>
      <c r="E92" s="189">
        <v>7.15</v>
      </c>
      <c r="F92" s="189">
        <v>7.92</v>
      </c>
      <c r="G92" s="189">
        <v>31.19</v>
      </c>
      <c r="H92" s="189">
        <v>18.23</v>
      </c>
      <c r="I92" s="189">
        <v>4.03</v>
      </c>
      <c r="J92" s="189">
        <v>0.23</v>
      </c>
      <c r="K92" s="189">
        <v>179.85</v>
      </c>
      <c r="L92" s="189">
        <v>27.85</v>
      </c>
      <c r="M92" s="189">
        <v>74.739999999999995</v>
      </c>
      <c r="N92" s="189">
        <v>0</v>
      </c>
      <c r="O92" s="189">
        <v>0</v>
      </c>
      <c r="P92" s="189">
        <v>0.4</v>
      </c>
      <c r="Q92" s="189">
        <v>4.5</v>
      </c>
    </row>
    <row r="93" spans="1:17" customFormat="1">
      <c r="A93" s="6" t="s">
        <v>2241</v>
      </c>
      <c r="B93" s="189">
        <v>8.43</v>
      </c>
      <c r="C93" s="189">
        <v>37.68</v>
      </c>
      <c r="D93" s="189">
        <v>25.4</v>
      </c>
      <c r="E93" s="189">
        <v>6.75</v>
      </c>
      <c r="F93" s="189">
        <v>9.81</v>
      </c>
      <c r="G93" s="189">
        <v>31.19</v>
      </c>
      <c r="H93" s="189">
        <v>18.23</v>
      </c>
      <c r="I93" s="189">
        <v>3.98</v>
      </c>
      <c r="J93" s="189">
        <v>0.26</v>
      </c>
      <c r="K93" s="189">
        <v>164.13</v>
      </c>
      <c r="L93" s="189">
        <v>27.96</v>
      </c>
      <c r="M93" s="189">
        <v>74.39</v>
      </c>
      <c r="N93" s="189">
        <v>0</v>
      </c>
      <c r="O93" s="189">
        <v>0</v>
      </c>
      <c r="P93" s="189">
        <v>0.38</v>
      </c>
      <c r="Q93" s="189">
        <v>4.5199999999999996</v>
      </c>
    </row>
    <row r="94" spans="1:17" customFormat="1">
      <c r="A94" s="6" t="s">
        <v>2242</v>
      </c>
      <c r="B94" s="189">
        <v>8.86</v>
      </c>
      <c r="C94" s="189">
        <v>39.43</v>
      </c>
      <c r="D94" s="189">
        <v>26.66</v>
      </c>
      <c r="E94" s="189">
        <v>6.83</v>
      </c>
      <c r="F94" s="189">
        <v>8.44</v>
      </c>
      <c r="G94" s="189">
        <v>31.19</v>
      </c>
      <c r="H94" s="189">
        <v>18.23</v>
      </c>
      <c r="I94" s="189">
        <v>4.05</v>
      </c>
      <c r="J94" s="189">
        <v>0.31</v>
      </c>
      <c r="K94" s="189">
        <v>247.31</v>
      </c>
      <c r="L94" s="189">
        <v>28.14</v>
      </c>
      <c r="M94" s="189">
        <v>71.77</v>
      </c>
      <c r="N94" s="189">
        <v>0</v>
      </c>
      <c r="O94" s="189">
        <v>0</v>
      </c>
      <c r="P94" s="189">
        <v>0.4</v>
      </c>
      <c r="Q94" s="189">
        <v>4.5</v>
      </c>
    </row>
    <row r="95" spans="1:17" customFormat="1">
      <c r="A95" s="6" t="s">
        <v>2243</v>
      </c>
      <c r="B95" s="189">
        <v>8.91</v>
      </c>
      <c r="C95" s="189">
        <v>37.07</v>
      </c>
      <c r="D95" s="189">
        <v>25.47</v>
      </c>
      <c r="E95" s="189">
        <v>7.05</v>
      </c>
      <c r="F95" s="189">
        <v>10.92</v>
      </c>
      <c r="G95" s="189">
        <v>24.26</v>
      </c>
      <c r="H95" s="189">
        <v>14.11</v>
      </c>
      <c r="I95" s="189">
        <v>3.97</v>
      </c>
      <c r="J95" s="189">
        <v>0.44</v>
      </c>
      <c r="K95" s="189">
        <v>249.31</v>
      </c>
      <c r="L95" s="189">
        <v>28.16</v>
      </c>
      <c r="M95" s="189">
        <v>70.77</v>
      </c>
      <c r="N95" s="189">
        <v>0</v>
      </c>
      <c r="O95" s="189">
        <v>0</v>
      </c>
      <c r="P95" s="189">
        <v>0.39</v>
      </c>
      <c r="Q95" s="189">
        <v>4.54</v>
      </c>
    </row>
    <row r="96" spans="1:17" customFormat="1">
      <c r="A96" s="6" t="s">
        <v>2244</v>
      </c>
      <c r="B96" s="189">
        <v>9.41</v>
      </c>
      <c r="C96" s="189">
        <v>38.840000000000003</v>
      </c>
      <c r="D96" s="189">
        <v>26.8</v>
      </c>
      <c r="E96" s="189">
        <v>6.71</v>
      </c>
      <c r="F96" s="189">
        <v>8.5299999999999994</v>
      </c>
      <c r="G96" s="189">
        <v>20.239999999999998</v>
      </c>
      <c r="H96" s="189">
        <v>13.37</v>
      </c>
      <c r="I96" s="189">
        <v>3.89</v>
      </c>
      <c r="J96" s="189">
        <v>0.38</v>
      </c>
      <c r="K96" s="189">
        <v>250.76</v>
      </c>
      <c r="L96" s="189">
        <v>28.17</v>
      </c>
      <c r="M96" s="189">
        <v>72.489999999999995</v>
      </c>
      <c r="N96" s="189">
        <v>0</v>
      </c>
      <c r="O96" s="189">
        <v>0</v>
      </c>
      <c r="P96" s="189">
        <v>0.39</v>
      </c>
      <c r="Q96" s="189">
        <v>4.6100000000000003</v>
      </c>
    </row>
    <row r="97" spans="1:22" customFormat="1">
      <c r="A97" s="6" t="s">
        <v>2245</v>
      </c>
      <c r="B97" s="189">
        <v>9.48</v>
      </c>
      <c r="C97" s="189">
        <v>37.04</v>
      </c>
      <c r="D97" s="189">
        <v>25.91</v>
      </c>
      <c r="E97" s="189">
        <v>6.61</v>
      </c>
      <c r="F97" s="189">
        <v>9.5</v>
      </c>
      <c r="G97" s="189">
        <v>20.239999999999998</v>
      </c>
      <c r="H97" s="189">
        <v>13.37</v>
      </c>
      <c r="I97" s="189">
        <v>3.86</v>
      </c>
      <c r="J97" s="189">
        <v>0.36</v>
      </c>
      <c r="K97" s="189">
        <v>243.71</v>
      </c>
      <c r="L97" s="189">
        <v>28.41</v>
      </c>
      <c r="M97" s="189">
        <v>72.09</v>
      </c>
      <c r="N97" s="189">
        <v>0</v>
      </c>
      <c r="O97" s="189">
        <v>0</v>
      </c>
      <c r="P97" s="189">
        <v>0.39</v>
      </c>
      <c r="Q97" s="189">
        <v>4.58</v>
      </c>
    </row>
    <row r="98" spans="1:22" customFormat="1">
      <c r="A98" s="6" t="s">
        <v>2246</v>
      </c>
      <c r="B98" s="189">
        <v>9.61</v>
      </c>
      <c r="C98" s="189">
        <v>38.07</v>
      </c>
      <c r="D98" s="189">
        <v>26.55</v>
      </c>
      <c r="E98" s="189">
        <v>6.9</v>
      </c>
      <c r="F98" s="189">
        <v>10.61</v>
      </c>
      <c r="G98" s="189">
        <v>20.239999999999998</v>
      </c>
      <c r="H98" s="189">
        <v>13.37</v>
      </c>
      <c r="I98" s="189">
        <v>3.92</v>
      </c>
      <c r="J98" s="189">
        <v>0.34</v>
      </c>
      <c r="K98" s="189">
        <v>226.51</v>
      </c>
      <c r="L98" s="189">
        <v>28.68</v>
      </c>
      <c r="M98" s="189">
        <v>70.84</v>
      </c>
      <c r="N98" s="189">
        <v>0</v>
      </c>
      <c r="O98" s="189">
        <v>0</v>
      </c>
      <c r="P98" s="189">
        <v>0.39</v>
      </c>
      <c r="Q98" s="189">
        <v>4.6500000000000004</v>
      </c>
    </row>
    <row r="99" spans="1:22" customFormat="1">
      <c r="A99" s="6" t="s">
        <v>2247</v>
      </c>
      <c r="B99" s="189">
        <v>9.4700000000000006</v>
      </c>
      <c r="C99" s="189">
        <v>34.090000000000003</v>
      </c>
      <c r="D99" s="189">
        <v>24.36</v>
      </c>
      <c r="E99" s="189">
        <v>6.77</v>
      </c>
      <c r="F99" s="189">
        <v>10.27</v>
      </c>
      <c r="G99" s="189">
        <v>20.18</v>
      </c>
      <c r="H99" s="189">
        <v>9.9</v>
      </c>
      <c r="I99" s="189">
        <v>3.81</v>
      </c>
      <c r="J99" s="189">
        <v>1.1000000000000001</v>
      </c>
      <c r="K99" s="189">
        <v>300.27999999999997</v>
      </c>
      <c r="L99" s="189">
        <v>28.78</v>
      </c>
      <c r="M99" s="189">
        <v>70.599999999999994</v>
      </c>
      <c r="N99" s="189">
        <v>0</v>
      </c>
      <c r="O99" s="189">
        <v>0</v>
      </c>
      <c r="P99" s="189">
        <v>0.37</v>
      </c>
      <c r="Q99" s="189">
        <v>4.5999999999999996</v>
      </c>
    </row>
    <row r="100" spans="1:22" customFormat="1">
      <c r="A100" s="6" t="s">
        <v>2248</v>
      </c>
      <c r="B100" s="189">
        <v>10.68</v>
      </c>
      <c r="C100" s="189">
        <v>41.56</v>
      </c>
      <c r="D100" s="189">
        <v>29.23</v>
      </c>
      <c r="E100" s="189">
        <v>6.61</v>
      </c>
      <c r="F100" s="189">
        <v>6.1</v>
      </c>
      <c r="G100" s="189">
        <v>20.149999999999999</v>
      </c>
      <c r="H100" s="189">
        <v>9.2799999999999994</v>
      </c>
      <c r="I100" s="189">
        <v>3.68</v>
      </c>
      <c r="J100" s="189">
        <v>0.9</v>
      </c>
      <c r="K100" s="189">
        <v>260.5</v>
      </c>
      <c r="L100" s="189">
        <v>29.12</v>
      </c>
      <c r="M100" s="189">
        <v>68.680000000000007</v>
      </c>
      <c r="N100" s="189">
        <v>0</v>
      </c>
      <c r="O100" s="189">
        <v>0</v>
      </c>
      <c r="P100" s="189">
        <v>0.41</v>
      </c>
      <c r="Q100" s="189">
        <v>4.67</v>
      </c>
    </row>
    <row r="101" spans="1:22" customFormat="1">
      <c r="A101" s="6" t="s">
        <v>2249</v>
      </c>
      <c r="B101" s="189">
        <v>10.66</v>
      </c>
      <c r="C101" s="189">
        <v>40.08</v>
      </c>
      <c r="D101" s="189">
        <v>28.44</v>
      </c>
      <c r="E101" s="189">
        <v>6.5</v>
      </c>
      <c r="F101" s="189">
        <v>8.41</v>
      </c>
      <c r="G101" s="189">
        <v>20.149999999999999</v>
      </c>
      <c r="H101" s="189">
        <v>9.2799999999999994</v>
      </c>
      <c r="I101" s="189">
        <v>3.68</v>
      </c>
      <c r="J101" s="189">
        <v>1.0900000000000001</v>
      </c>
      <c r="K101" s="189">
        <v>255.51</v>
      </c>
      <c r="L101" s="189">
        <v>29.31</v>
      </c>
      <c r="M101" s="189">
        <v>65.5</v>
      </c>
      <c r="N101" s="189">
        <v>0</v>
      </c>
      <c r="O101" s="189">
        <v>0</v>
      </c>
      <c r="P101" s="189">
        <v>0.38</v>
      </c>
      <c r="Q101" s="189">
        <v>4.6399999999999997</v>
      </c>
    </row>
    <row r="102" spans="1:22" customFormat="1">
      <c r="A102" s="6" t="s">
        <v>2250</v>
      </c>
      <c r="B102" s="189">
        <v>10.79</v>
      </c>
      <c r="C102" s="189">
        <v>41.52</v>
      </c>
      <c r="D102" s="189">
        <v>29.3</v>
      </c>
      <c r="E102" s="189">
        <v>7</v>
      </c>
      <c r="F102" s="189">
        <v>6.5</v>
      </c>
      <c r="G102" s="189">
        <v>20.149999999999999</v>
      </c>
      <c r="H102" s="189">
        <v>9.2799999999999994</v>
      </c>
      <c r="I102" s="189">
        <v>3.94</v>
      </c>
      <c r="J102" s="189">
        <v>0.81</v>
      </c>
      <c r="K102" s="189">
        <v>255.35</v>
      </c>
      <c r="L102" s="189">
        <v>28.4</v>
      </c>
      <c r="M102" s="189">
        <v>69.52</v>
      </c>
      <c r="N102" s="189">
        <v>0</v>
      </c>
      <c r="O102" s="189">
        <v>0</v>
      </c>
      <c r="P102" s="189">
        <v>0.39</v>
      </c>
      <c r="Q102" s="189">
        <v>4.62</v>
      </c>
    </row>
    <row r="103" spans="1:22" customFormat="1">
      <c r="A103" s="6" t="s">
        <v>2251</v>
      </c>
      <c r="B103" s="189">
        <v>10.64</v>
      </c>
      <c r="C103" s="189">
        <v>41.02</v>
      </c>
      <c r="D103" s="189">
        <v>28.92</v>
      </c>
      <c r="E103" s="189">
        <v>6.88</v>
      </c>
      <c r="F103" s="189">
        <v>7.32</v>
      </c>
      <c r="G103" s="189">
        <v>19.649999999999999</v>
      </c>
      <c r="H103" s="189">
        <v>11.24</v>
      </c>
      <c r="I103" s="189">
        <v>3.85</v>
      </c>
      <c r="J103" s="189">
        <v>1.0900000000000001</v>
      </c>
      <c r="K103" s="189">
        <v>253.88</v>
      </c>
      <c r="L103" s="189">
        <v>27.92</v>
      </c>
      <c r="M103" s="189">
        <v>70.58</v>
      </c>
      <c r="N103" s="189">
        <v>0</v>
      </c>
      <c r="O103" s="189">
        <v>0</v>
      </c>
      <c r="P103" s="189">
        <v>0.38</v>
      </c>
      <c r="Q103" s="189">
        <v>4.6500000000000004</v>
      </c>
    </row>
    <row r="104" spans="1:22" customFormat="1">
      <c r="A104" s="6" t="s">
        <v>2252</v>
      </c>
      <c r="B104" s="189">
        <v>10.27</v>
      </c>
      <c r="C104" s="189">
        <v>41.38</v>
      </c>
      <c r="D104" s="189">
        <v>28.81</v>
      </c>
      <c r="E104" s="189">
        <v>6.36</v>
      </c>
      <c r="F104" s="189">
        <v>6.16</v>
      </c>
      <c r="G104" s="189">
        <v>19.36</v>
      </c>
      <c r="H104" s="189">
        <v>11.59</v>
      </c>
      <c r="I104" s="189">
        <v>3.87</v>
      </c>
      <c r="J104" s="189">
        <v>1.06</v>
      </c>
      <c r="K104" s="189">
        <v>248.59</v>
      </c>
      <c r="L104" s="189">
        <v>27.63</v>
      </c>
      <c r="M104" s="189">
        <v>71.39</v>
      </c>
      <c r="N104" s="189">
        <v>0</v>
      </c>
      <c r="O104" s="189">
        <v>0</v>
      </c>
      <c r="P104" s="189">
        <v>0.38</v>
      </c>
      <c r="Q104" s="189">
        <v>4.5999999999999996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4.57</v>
      </c>
      <c r="C106" s="183">
        <f>MIN(C9:C104)</f>
        <v>27.67</v>
      </c>
      <c r="D106" s="183">
        <f t="shared" ref="D106:Q106" si="0">MIN(D9:D104)</f>
        <v>17.62</v>
      </c>
      <c r="E106" s="183">
        <f t="shared" si="0"/>
        <v>3.96</v>
      </c>
      <c r="F106" s="183">
        <f t="shared" si="0"/>
        <v>6.1</v>
      </c>
      <c r="G106" s="183">
        <f t="shared" si="0"/>
        <v>19.27</v>
      </c>
      <c r="H106" s="183">
        <f t="shared" si="0"/>
        <v>7.51</v>
      </c>
      <c r="I106" s="183">
        <f t="shared" si="0"/>
        <v>3.1</v>
      </c>
      <c r="J106" s="183">
        <f t="shared" si="0"/>
        <v>0.06</v>
      </c>
      <c r="K106" s="183">
        <f t="shared" si="0"/>
        <v>11.69</v>
      </c>
      <c r="L106" s="183">
        <f t="shared" si="0"/>
        <v>27.63</v>
      </c>
      <c r="M106" s="183">
        <f t="shared" si="0"/>
        <v>26.84</v>
      </c>
      <c r="N106" s="183">
        <f t="shared" si="0"/>
        <v>0</v>
      </c>
      <c r="O106" s="183">
        <f t="shared" si="0"/>
        <v>0</v>
      </c>
      <c r="P106" s="183">
        <f t="shared" si="0"/>
        <v>0.37</v>
      </c>
      <c r="Q106" s="183">
        <f t="shared" si="0"/>
        <v>4.25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11.43</v>
      </c>
      <c r="C107" s="184">
        <f t="shared" ref="C107:Q107" si="1">MAX(C9:C104)</f>
        <v>41.56</v>
      </c>
      <c r="D107" s="184">
        <f t="shared" si="1"/>
        <v>29.3</v>
      </c>
      <c r="E107" s="184">
        <f t="shared" si="1"/>
        <v>12.13</v>
      </c>
      <c r="F107" s="184">
        <f t="shared" si="1"/>
        <v>41.6</v>
      </c>
      <c r="G107" s="184">
        <f t="shared" si="1"/>
        <v>56.98</v>
      </c>
      <c r="H107" s="184">
        <f t="shared" si="1"/>
        <v>20.03</v>
      </c>
      <c r="I107" s="184">
        <f t="shared" si="1"/>
        <v>4.95</v>
      </c>
      <c r="J107" s="184">
        <f t="shared" si="1"/>
        <v>1.86</v>
      </c>
      <c r="K107" s="184">
        <f t="shared" si="1"/>
        <v>358.8</v>
      </c>
      <c r="L107" s="184">
        <f t="shared" si="1"/>
        <v>41.15</v>
      </c>
      <c r="M107" s="184">
        <f t="shared" si="1"/>
        <v>74.739999999999995</v>
      </c>
      <c r="N107" s="184">
        <f t="shared" si="1"/>
        <v>820.9</v>
      </c>
      <c r="O107" s="184">
        <f t="shared" si="1"/>
        <v>0</v>
      </c>
      <c r="P107" s="184">
        <f t="shared" si="1"/>
        <v>0.56000000000000005</v>
      </c>
      <c r="Q107" s="184">
        <f t="shared" si="1"/>
        <v>4.7300000000000004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7.8394791666666661</v>
      </c>
      <c r="C108" s="183">
        <f t="shared" ref="C108:Q108" si="2">AVERAGE(C9:C104)</f>
        <v>35.052187499999995</v>
      </c>
      <c r="D108" s="183">
        <f t="shared" si="2"/>
        <v>23.554791666666674</v>
      </c>
      <c r="E108" s="183">
        <f t="shared" si="2"/>
        <v>7.38</v>
      </c>
      <c r="F108" s="183">
        <f t="shared" si="2"/>
        <v>15.774270833333338</v>
      </c>
      <c r="G108" s="183">
        <f t="shared" si="2"/>
        <v>33.818854166666675</v>
      </c>
      <c r="H108" s="183">
        <f t="shared" si="2"/>
        <v>13.569375000000001</v>
      </c>
      <c r="I108" s="183">
        <f t="shared" si="2"/>
        <v>3.8493750000000007</v>
      </c>
      <c r="J108" s="183">
        <f t="shared" si="2"/>
        <v>0.64239583333333361</v>
      </c>
      <c r="K108" s="183">
        <f t="shared" si="2"/>
        <v>244.96572916666665</v>
      </c>
      <c r="L108" s="183">
        <f t="shared" si="2"/>
        <v>32.536458333333329</v>
      </c>
      <c r="M108" s="183">
        <f t="shared" si="2"/>
        <v>52.608541666666689</v>
      </c>
      <c r="N108" s="183">
        <f t="shared" si="2"/>
        <v>132.92499999999998</v>
      </c>
      <c r="O108" s="183">
        <f t="shared" si="2"/>
        <v>0</v>
      </c>
      <c r="P108" s="183">
        <f t="shared" si="2"/>
        <v>0.43010416666666668</v>
      </c>
      <c r="Q108" s="183">
        <f t="shared" si="2"/>
        <v>4.4824999999999999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1.8558626138986316</v>
      </c>
      <c r="C109" s="183">
        <f t="shared" ref="C109:Q109" si="3">STDEV(C9:C104)</f>
        <v>3.3598722416579516</v>
      </c>
      <c r="D109" s="183">
        <f t="shared" si="3"/>
        <v>3.073336256515653</v>
      </c>
      <c r="E109" s="183">
        <f t="shared" si="3"/>
        <v>2.1660048111916228</v>
      </c>
      <c r="F109" s="183">
        <f t="shared" si="3"/>
        <v>8.3682681028792647</v>
      </c>
      <c r="G109" s="183">
        <f t="shared" si="3"/>
        <v>12.514342749929723</v>
      </c>
      <c r="H109" s="183">
        <f t="shared" si="3"/>
        <v>3.9975994935118644</v>
      </c>
      <c r="I109" s="183">
        <f t="shared" si="3"/>
        <v>0.49886357696372852</v>
      </c>
      <c r="J109" s="183">
        <f t="shared" si="3"/>
        <v>0.36899221156141249</v>
      </c>
      <c r="K109" s="183">
        <f t="shared" si="3"/>
        <v>61.862588758342199</v>
      </c>
      <c r="L109" s="183">
        <f t="shared" si="3"/>
        <v>4.1621717456577247</v>
      </c>
      <c r="M109" s="183">
        <f t="shared" si="3"/>
        <v>13.945160713471857</v>
      </c>
      <c r="N109" s="183">
        <f t="shared" si="3"/>
        <v>220.63831465712579</v>
      </c>
      <c r="O109" s="183">
        <f t="shared" si="3"/>
        <v>0</v>
      </c>
      <c r="P109" s="183">
        <f t="shared" si="3"/>
        <v>6.0654236484427873E-2</v>
      </c>
      <c r="Q109" s="183">
        <f t="shared" si="3"/>
        <v>0.12839085063316985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22/06/2023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2253</v>
      </c>
      <c r="B9" s="189">
        <v>8.7799999999999994</v>
      </c>
      <c r="C9" s="189">
        <v>40.299999999999997</v>
      </c>
      <c r="D9" s="189">
        <v>27.05</v>
      </c>
      <c r="E9" s="189">
        <v>6.54</v>
      </c>
      <c r="F9" s="189">
        <v>8.6199999999999992</v>
      </c>
      <c r="G9" s="189">
        <v>19.36</v>
      </c>
      <c r="H9" s="189">
        <v>11.59</v>
      </c>
      <c r="I9" s="189">
        <v>3.85</v>
      </c>
      <c r="J9" s="189">
        <v>0.77</v>
      </c>
      <c r="K9" s="189">
        <v>58.9</v>
      </c>
      <c r="L9" s="189">
        <v>27.41</v>
      </c>
      <c r="M9" s="189">
        <v>72.66</v>
      </c>
      <c r="N9" s="189">
        <v>0</v>
      </c>
      <c r="O9" s="189">
        <v>0</v>
      </c>
      <c r="P9" s="189">
        <v>0.38</v>
      </c>
      <c r="Q9" s="189">
        <v>4.5999999999999996</v>
      </c>
    </row>
    <row r="10" spans="1:21" customFormat="1">
      <c r="A10" s="6" t="s">
        <v>2254</v>
      </c>
      <c r="B10" s="189">
        <v>8.73</v>
      </c>
      <c r="C10" s="189">
        <v>42.38</v>
      </c>
      <c r="D10" s="189">
        <v>28.1</v>
      </c>
      <c r="E10" s="189">
        <v>6.38</v>
      </c>
      <c r="F10" s="189">
        <v>6.28</v>
      </c>
      <c r="G10" s="189">
        <v>19.36</v>
      </c>
      <c r="H10" s="189">
        <v>11.59</v>
      </c>
      <c r="I10" s="189">
        <v>3.79</v>
      </c>
      <c r="J10" s="189">
        <v>0.69</v>
      </c>
      <c r="K10" s="189">
        <v>76.959999999999994</v>
      </c>
      <c r="L10" s="189">
        <v>26.99</v>
      </c>
      <c r="M10" s="189">
        <v>78.8</v>
      </c>
      <c r="N10" s="189">
        <v>0</v>
      </c>
      <c r="O10" s="189">
        <v>0</v>
      </c>
      <c r="P10" s="189">
        <v>0.38</v>
      </c>
      <c r="Q10" s="189">
        <v>4.5999999999999996</v>
      </c>
    </row>
    <row r="11" spans="1:21" customFormat="1">
      <c r="A11" s="6" t="s">
        <v>2255</v>
      </c>
      <c r="B11" s="189">
        <v>8.3800000000000008</v>
      </c>
      <c r="C11" s="189">
        <v>40.729999999999997</v>
      </c>
      <c r="D11" s="189">
        <v>26.95</v>
      </c>
      <c r="E11" s="189">
        <v>6.22</v>
      </c>
      <c r="F11" s="189">
        <v>6.81</v>
      </c>
      <c r="G11" s="189">
        <v>18.62</v>
      </c>
      <c r="H11" s="189">
        <v>9.11</v>
      </c>
      <c r="I11" s="189">
        <v>3.76</v>
      </c>
      <c r="J11" s="189">
        <v>0.7</v>
      </c>
      <c r="K11" s="189">
        <v>81.94</v>
      </c>
      <c r="L11" s="189">
        <v>26.04</v>
      </c>
      <c r="M11" s="189">
        <v>84.21</v>
      </c>
      <c r="N11" s="189">
        <v>0</v>
      </c>
      <c r="O11" s="189">
        <v>0</v>
      </c>
      <c r="P11" s="189">
        <v>0.36</v>
      </c>
      <c r="Q11" s="189">
        <v>4.54</v>
      </c>
    </row>
    <row r="12" spans="1:21" customFormat="1">
      <c r="A12" s="6" t="s">
        <v>2256</v>
      </c>
      <c r="B12" s="189">
        <v>8.4700000000000006</v>
      </c>
      <c r="C12" s="189">
        <v>44.33</v>
      </c>
      <c r="D12" s="189">
        <v>28.91</v>
      </c>
      <c r="E12" s="189">
        <v>6.24</v>
      </c>
      <c r="F12" s="189">
        <v>4.5</v>
      </c>
      <c r="G12" s="189">
        <v>18.190000000000001</v>
      </c>
      <c r="H12" s="189">
        <v>8.3800000000000008</v>
      </c>
      <c r="I12" s="189">
        <v>3.67</v>
      </c>
      <c r="J12" s="189">
        <v>0.43</v>
      </c>
      <c r="K12" s="189">
        <v>75.16</v>
      </c>
      <c r="L12" s="189">
        <v>24.91</v>
      </c>
      <c r="M12" s="189">
        <v>91.83</v>
      </c>
      <c r="N12" s="189">
        <v>0</v>
      </c>
      <c r="O12" s="189">
        <v>0</v>
      </c>
      <c r="P12" s="189">
        <v>0.37</v>
      </c>
      <c r="Q12" s="189">
        <v>4.6100000000000003</v>
      </c>
    </row>
    <row r="13" spans="1:21" customFormat="1">
      <c r="A13" s="6" t="s">
        <v>2257</v>
      </c>
      <c r="B13" s="189">
        <v>8.6300000000000008</v>
      </c>
      <c r="C13" s="189">
        <v>43.78</v>
      </c>
      <c r="D13" s="189">
        <v>28.75</v>
      </c>
      <c r="E13" s="189">
        <v>6.27</v>
      </c>
      <c r="F13" s="189">
        <v>4.46</v>
      </c>
      <c r="G13" s="189">
        <v>18.190000000000001</v>
      </c>
      <c r="H13" s="189">
        <v>8.3800000000000008</v>
      </c>
      <c r="I13" s="189">
        <v>3.63</v>
      </c>
      <c r="J13" s="189">
        <v>0.81</v>
      </c>
      <c r="K13" s="189">
        <v>65.59</v>
      </c>
      <c r="L13" s="189">
        <v>24.64</v>
      </c>
      <c r="M13" s="189">
        <v>94.06</v>
      </c>
      <c r="N13" s="189">
        <v>0</v>
      </c>
      <c r="O13" s="189">
        <v>0</v>
      </c>
      <c r="P13" s="189">
        <v>0.36</v>
      </c>
      <c r="Q13" s="189">
        <v>4.5599999999999996</v>
      </c>
    </row>
    <row r="14" spans="1:21" customFormat="1">
      <c r="A14" s="6" t="s">
        <v>2258</v>
      </c>
      <c r="B14" s="189">
        <v>9.1199999999999992</v>
      </c>
      <c r="C14" s="189">
        <v>44.07</v>
      </c>
      <c r="D14" s="189">
        <v>29.3</v>
      </c>
      <c r="E14" s="189">
        <v>6.33</v>
      </c>
      <c r="F14" s="189">
        <v>4.2300000000000004</v>
      </c>
      <c r="G14" s="189">
        <v>18.190000000000001</v>
      </c>
      <c r="H14" s="189">
        <v>8.3800000000000008</v>
      </c>
      <c r="I14" s="189">
        <v>3.68</v>
      </c>
      <c r="J14" s="189">
        <v>0.47</v>
      </c>
      <c r="K14" s="189">
        <v>77.989999999999995</v>
      </c>
      <c r="L14" s="189">
        <v>24.72</v>
      </c>
      <c r="M14" s="189">
        <v>94.86</v>
      </c>
      <c r="N14" s="189">
        <v>0</v>
      </c>
      <c r="O14" s="189">
        <v>0</v>
      </c>
      <c r="P14" s="189">
        <v>0.36</v>
      </c>
      <c r="Q14" s="189">
        <v>4.5999999999999996</v>
      </c>
    </row>
    <row r="15" spans="1:21" customFormat="1">
      <c r="A15" s="6" t="s">
        <v>2259</v>
      </c>
      <c r="B15" s="189">
        <v>9.67</v>
      </c>
      <c r="C15" s="189">
        <v>45.38</v>
      </c>
      <c r="D15" s="189">
        <v>30.41</v>
      </c>
      <c r="E15" s="189">
        <v>6.52</v>
      </c>
      <c r="F15" s="189">
        <v>4.33</v>
      </c>
      <c r="G15" s="189">
        <v>18.03</v>
      </c>
      <c r="H15" s="189">
        <v>6.49</v>
      </c>
      <c r="I15" s="189">
        <v>3.63</v>
      </c>
      <c r="J15" s="189">
        <v>0.94</v>
      </c>
      <c r="K15" s="189">
        <v>63.48</v>
      </c>
      <c r="L15" s="189">
        <v>24.75</v>
      </c>
      <c r="M15" s="189">
        <v>94.55</v>
      </c>
      <c r="N15" s="189">
        <v>0</v>
      </c>
      <c r="O15" s="189">
        <v>0</v>
      </c>
      <c r="P15" s="189">
        <v>0.36</v>
      </c>
      <c r="Q15" s="189">
        <v>4.6399999999999997</v>
      </c>
    </row>
    <row r="16" spans="1:21" customFormat="1">
      <c r="A16" s="6" t="s">
        <v>2260</v>
      </c>
      <c r="B16" s="189">
        <v>10.23</v>
      </c>
      <c r="C16" s="189">
        <v>45.36</v>
      </c>
      <c r="D16" s="189">
        <v>30.86</v>
      </c>
      <c r="E16" s="189">
        <v>6.88</v>
      </c>
      <c r="F16" s="189">
        <v>4.29</v>
      </c>
      <c r="G16" s="189">
        <v>17.940000000000001</v>
      </c>
      <c r="H16" s="189">
        <v>6.12</v>
      </c>
      <c r="I16" s="189">
        <v>3.69</v>
      </c>
      <c r="J16" s="189">
        <v>0.35</v>
      </c>
      <c r="K16" s="189">
        <v>82.62</v>
      </c>
      <c r="L16" s="189">
        <v>24.93</v>
      </c>
      <c r="M16" s="189">
        <v>94.33</v>
      </c>
      <c r="N16" s="189">
        <v>0</v>
      </c>
      <c r="O16" s="189">
        <v>0</v>
      </c>
      <c r="P16" s="189">
        <v>0.36</v>
      </c>
      <c r="Q16" s="189">
        <v>4.6500000000000004</v>
      </c>
    </row>
    <row r="17" spans="1:17" customFormat="1">
      <c r="A17" s="6" t="s">
        <v>2261</v>
      </c>
      <c r="B17" s="189">
        <v>10.67</v>
      </c>
      <c r="C17" s="189">
        <v>44.13</v>
      </c>
      <c r="D17" s="189">
        <v>30.57</v>
      </c>
      <c r="E17" s="189">
        <v>4.53</v>
      </c>
      <c r="F17" s="189">
        <v>5.33</v>
      </c>
      <c r="G17" s="189">
        <v>17.940000000000001</v>
      </c>
      <c r="H17" s="189">
        <v>6.12</v>
      </c>
      <c r="I17" s="189">
        <v>3.69</v>
      </c>
      <c r="J17" s="189">
        <v>0.57999999999999996</v>
      </c>
      <c r="K17" s="189">
        <v>64.150000000000006</v>
      </c>
      <c r="L17" s="189">
        <v>24.87</v>
      </c>
      <c r="M17" s="189">
        <v>93.95</v>
      </c>
      <c r="N17" s="189">
        <v>0</v>
      </c>
      <c r="O17" s="189">
        <v>0</v>
      </c>
      <c r="P17" s="189">
        <v>0.35</v>
      </c>
      <c r="Q17" s="189">
        <v>4.7</v>
      </c>
    </row>
    <row r="18" spans="1:17" customFormat="1">
      <c r="A18" s="6" t="s">
        <v>2262</v>
      </c>
      <c r="B18" s="189">
        <v>11.3</v>
      </c>
      <c r="C18" s="189">
        <v>46.06</v>
      </c>
      <c r="D18" s="189">
        <v>32.08</v>
      </c>
      <c r="E18" s="189">
        <v>5.49</v>
      </c>
      <c r="F18" s="189">
        <v>4.1100000000000003</v>
      </c>
      <c r="G18" s="189">
        <v>17.940000000000001</v>
      </c>
      <c r="H18" s="189">
        <v>6.12</v>
      </c>
      <c r="I18" s="189">
        <v>3.63</v>
      </c>
      <c r="J18" s="189">
        <v>0.23</v>
      </c>
      <c r="K18" s="189">
        <v>100.63</v>
      </c>
      <c r="L18" s="189">
        <v>24.96</v>
      </c>
      <c r="M18" s="189">
        <v>94.29</v>
      </c>
      <c r="N18" s="189">
        <v>0</v>
      </c>
      <c r="O18" s="189">
        <v>0</v>
      </c>
      <c r="P18" s="189">
        <v>0.36</v>
      </c>
      <c r="Q18" s="189">
        <v>4.76</v>
      </c>
    </row>
    <row r="19" spans="1:17" customFormat="1">
      <c r="A19" s="6" t="s">
        <v>2263</v>
      </c>
      <c r="B19" s="189">
        <v>11.94</v>
      </c>
      <c r="C19" s="189">
        <v>45.98</v>
      </c>
      <c r="D19" s="189">
        <v>32.549999999999997</v>
      </c>
      <c r="E19" s="189">
        <v>5.25</v>
      </c>
      <c r="F19" s="189">
        <v>3.99</v>
      </c>
      <c r="G19" s="189">
        <v>16.8</v>
      </c>
      <c r="H19" s="189">
        <v>7.21</v>
      </c>
      <c r="I19" s="189">
        <v>3.64</v>
      </c>
      <c r="J19" s="189">
        <v>0.32</v>
      </c>
      <c r="K19" s="189">
        <v>167.82</v>
      </c>
      <c r="L19" s="189">
        <v>25.09</v>
      </c>
      <c r="M19" s="189">
        <v>95.57</v>
      </c>
      <c r="N19" s="189">
        <v>0</v>
      </c>
      <c r="O19" s="189">
        <v>0</v>
      </c>
      <c r="P19" s="189">
        <v>0.36</v>
      </c>
      <c r="Q19" s="189">
        <v>4.78</v>
      </c>
    </row>
    <row r="20" spans="1:17" customFormat="1">
      <c r="A20" s="6" t="s">
        <v>2264</v>
      </c>
      <c r="B20" s="189">
        <v>12.63</v>
      </c>
      <c r="C20" s="189">
        <v>46.08</v>
      </c>
      <c r="D20" s="189">
        <v>33.159999999999997</v>
      </c>
      <c r="E20" s="189">
        <v>5.19</v>
      </c>
      <c r="F20" s="189">
        <v>4.09</v>
      </c>
      <c r="G20" s="189">
        <v>16.100000000000001</v>
      </c>
      <c r="H20" s="189">
        <v>7.42</v>
      </c>
      <c r="I20" s="189">
        <v>3.68</v>
      </c>
      <c r="J20" s="189">
        <v>0.21</v>
      </c>
      <c r="K20" s="189">
        <v>219.49</v>
      </c>
      <c r="L20" s="189">
        <v>24.93</v>
      </c>
      <c r="M20" s="189">
        <v>96.53</v>
      </c>
      <c r="N20" s="189">
        <v>0</v>
      </c>
      <c r="O20" s="189">
        <v>0</v>
      </c>
      <c r="P20" s="189">
        <v>0.35</v>
      </c>
      <c r="Q20" s="189">
        <v>4.79</v>
      </c>
    </row>
    <row r="21" spans="1:17" customFormat="1">
      <c r="A21" s="6" t="s">
        <v>2265</v>
      </c>
      <c r="B21" s="189">
        <v>13.01</v>
      </c>
      <c r="C21" s="189">
        <v>46.48</v>
      </c>
      <c r="D21" s="189">
        <v>33.68</v>
      </c>
      <c r="E21" s="189">
        <v>5.77</v>
      </c>
      <c r="F21" s="189">
        <v>4.13</v>
      </c>
      <c r="G21" s="189">
        <v>16.100000000000001</v>
      </c>
      <c r="H21" s="189">
        <v>7.42</v>
      </c>
      <c r="I21" s="189">
        <v>3.66</v>
      </c>
      <c r="J21" s="189">
        <v>0.18</v>
      </c>
      <c r="K21" s="189">
        <v>226.97</v>
      </c>
      <c r="L21" s="189">
        <v>25.12</v>
      </c>
      <c r="M21" s="189">
        <v>97.24</v>
      </c>
      <c r="N21" s="189">
        <v>0</v>
      </c>
      <c r="O21" s="189">
        <v>0</v>
      </c>
      <c r="P21" s="189">
        <v>0.36</v>
      </c>
      <c r="Q21" s="189">
        <v>4.82</v>
      </c>
    </row>
    <row r="22" spans="1:17" customFormat="1">
      <c r="A22" s="6" t="s">
        <v>2266</v>
      </c>
      <c r="B22" s="189">
        <v>13.63</v>
      </c>
      <c r="C22" s="189">
        <v>45.25</v>
      </c>
      <c r="D22" s="189">
        <v>33.53</v>
      </c>
      <c r="E22" s="189">
        <v>5.33</v>
      </c>
      <c r="F22" s="189">
        <v>4.32</v>
      </c>
      <c r="G22" s="189">
        <v>16.100000000000001</v>
      </c>
      <c r="H22" s="189">
        <v>7.42</v>
      </c>
      <c r="I22" s="189">
        <v>3.69</v>
      </c>
      <c r="J22" s="189">
        <v>0.57999999999999996</v>
      </c>
      <c r="K22" s="189">
        <v>269.12</v>
      </c>
      <c r="L22" s="189">
        <v>25.26</v>
      </c>
      <c r="M22" s="189">
        <v>97.65</v>
      </c>
      <c r="N22" s="189">
        <v>0</v>
      </c>
      <c r="O22" s="189">
        <v>0</v>
      </c>
      <c r="P22" s="189">
        <v>0.35</v>
      </c>
      <c r="Q22" s="189">
        <v>4.79</v>
      </c>
    </row>
    <row r="23" spans="1:17" customFormat="1">
      <c r="A23" s="6" t="s">
        <v>2267</v>
      </c>
      <c r="B23" s="189">
        <v>14.14</v>
      </c>
      <c r="C23" s="189">
        <v>48.4</v>
      </c>
      <c r="D23" s="189">
        <v>35.58</v>
      </c>
      <c r="E23" s="189">
        <v>6.1</v>
      </c>
      <c r="F23" s="189">
        <v>3.51</v>
      </c>
      <c r="G23" s="189">
        <v>14.55</v>
      </c>
      <c r="H23" s="189">
        <v>7.72</v>
      </c>
      <c r="I23" s="189">
        <v>3.66</v>
      </c>
      <c r="J23" s="189">
        <v>0.3</v>
      </c>
      <c r="K23" s="189">
        <v>209.29</v>
      </c>
      <c r="L23" s="189">
        <v>25.49</v>
      </c>
      <c r="M23" s="189">
        <v>97.72</v>
      </c>
      <c r="N23" s="189">
        <v>0</v>
      </c>
      <c r="O23" s="189">
        <v>0</v>
      </c>
      <c r="P23" s="189">
        <v>0.37</v>
      </c>
      <c r="Q23" s="189">
        <v>4.91</v>
      </c>
    </row>
    <row r="24" spans="1:17" customFormat="1">
      <c r="A24" s="6" t="s">
        <v>2268</v>
      </c>
      <c r="B24" s="189">
        <v>14.07</v>
      </c>
      <c r="C24" s="189">
        <v>43.61</v>
      </c>
      <c r="D24" s="189">
        <v>33.020000000000003</v>
      </c>
      <c r="E24" s="189">
        <v>5.39</v>
      </c>
      <c r="F24" s="189">
        <v>5.39</v>
      </c>
      <c r="G24" s="189">
        <v>13.61</v>
      </c>
      <c r="H24" s="189">
        <v>7.78</v>
      </c>
      <c r="I24" s="189">
        <v>3.64</v>
      </c>
      <c r="J24" s="189">
        <v>0.3</v>
      </c>
      <c r="K24" s="189">
        <v>182.36</v>
      </c>
      <c r="L24" s="189">
        <v>25.63</v>
      </c>
      <c r="M24" s="189">
        <v>97.53</v>
      </c>
      <c r="N24" s="189">
        <v>0</v>
      </c>
      <c r="O24" s="189">
        <v>0</v>
      </c>
      <c r="P24" s="189">
        <v>0.34</v>
      </c>
      <c r="Q24" s="189">
        <v>4.9000000000000004</v>
      </c>
    </row>
    <row r="25" spans="1:17" customFormat="1">
      <c r="A25" s="6" t="s">
        <v>2269</v>
      </c>
      <c r="B25" s="189">
        <v>14.58</v>
      </c>
      <c r="C25" s="189">
        <v>44.2</v>
      </c>
      <c r="D25" s="189">
        <v>33.729999999999997</v>
      </c>
      <c r="E25" s="189">
        <v>5.17</v>
      </c>
      <c r="F25" s="189">
        <v>4.58</v>
      </c>
      <c r="G25" s="189">
        <v>13.61</v>
      </c>
      <c r="H25" s="189">
        <v>7.78</v>
      </c>
      <c r="I25" s="189">
        <v>3.62</v>
      </c>
      <c r="J25" s="189">
        <v>0.19</v>
      </c>
      <c r="K25" s="189">
        <v>180.96</v>
      </c>
      <c r="L25" s="189">
        <v>25.92</v>
      </c>
      <c r="M25" s="189">
        <v>97.39</v>
      </c>
      <c r="N25" s="189">
        <v>0</v>
      </c>
      <c r="O25" s="189">
        <v>0</v>
      </c>
      <c r="P25" s="189">
        <v>0.34</v>
      </c>
      <c r="Q25" s="189">
        <v>4.87</v>
      </c>
    </row>
    <row r="26" spans="1:17" customFormat="1">
      <c r="A26" s="6" t="s">
        <v>2270</v>
      </c>
      <c r="B26" s="189">
        <v>14.38</v>
      </c>
      <c r="C26" s="189">
        <v>42.64</v>
      </c>
      <c r="D26" s="189">
        <v>32.770000000000003</v>
      </c>
      <c r="E26" s="189">
        <v>5.64</v>
      </c>
      <c r="F26" s="189">
        <v>5.28</v>
      </c>
      <c r="G26" s="189">
        <v>13.61</v>
      </c>
      <c r="H26" s="189">
        <v>7.78</v>
      </c>
      <c r="I26" s="189">
        <v>3.5</v>
      </c>
      <c r="J26" s="189">
        <v>0.15</v>
      </c>
      <c r="K26" s="189">
        <v>215.97</v>
      </c>
      <c r="L26" s="189">
        <v>26.02</v>
      </c>
      <c r="M26" s="189">
        <v>97.15</v>
      </c>
      <c r="N26" s="189">
        <v>0</v>
      </c>
      <c r="O26" s="189">
        <v>0</v>
      </c>
      <c r="P26" s="189">
        <v>0.34</v>
      </c>
      <c r="Q26" s="189">
        <v>4.93</v>
      </c>
    </row>
    <row r="27" spans="1:17" customFormat="1">
      <c r="A27" s="6" t="s">
        <v>2271</v>
      </c>
      <c r="B27" s="189">
        <v>15.13</v>
      </c>
      <c r="C27" s="189">
        <v>44.57</v>
      </c>
      <c r="D27" s="189">
        <v>34.380000000000003</v>
      </c>
      <c r="E27" s="189">
        <v>5.79</v>
      </c>
      <c r="F27" s="189">
        <v>4.71</v>
      </c>
      <c r="G27" s="189">
        <v>12.42</v>
      </c>
      <c r="H27" s="189">
        <v>6.29</v>
      </c>
      <c r="I27" s="189">
        <v>3.46</v>
      </c>
      <c r="J27" s="189">
        <v>0.39</v>
      </c>
      <c r="K27" s="189">
        <v>245.07</v>
      </c>
      <c r="L27" s="189">
        <v>26.05</v>
      </c>
      <c r="M27" s="189">
        <v>95.41</v>
      </c>
      <c r="N27" s="189">
        <v>0</v>
      </c>
      <c r="O27" s="189">
        <v>0</v>
      </c>
      <c r="P27" s="189">
        <v>0.36</v>
      </c>
      <c r="Q27" s="189">
        <v>4.92</v>
      </c>
    </row>
    <row r="28" spans="1:17" customFormat="1">
      <c r="A28" s="6" t="s">
        <v>2272</v>
      </c>
      <c r="B28" s="189">
        <v>15.79</v>
      </c>
      <c r="C28" s="189">
        <v>44.66</v>
      </c>
      <c r="D28" s="189">
        <v>34.950000000000003</v>
      </c>
      <c r="E28" s="189">
        <v>5.51</v>
      </c>
      <c r="F28" s="189">
        <v>5.36</v>
      </c>
      <c r="G28" s="189">
        <v>11.74</v>
      </c>
      <c r="H28" s="189">
        <v>5.99</v>
      </c>
      <c r="I28" s="189">
        <v>3.46</v>
      </c>
      <c r="J28" s="189">
        <v>0.41</v>
      </c>
      <c r="K28" s="189">
        <v>240.94</v>
      </c>
      <c r="L28" s="189">
        <v>26.1</v>
      </c>
      <c r="M28" s="189">
        <v>90.93</v>
      </c>
      <c r="N28" s="189">
        <v>0</v>
      </c>
      <c r="O28" s="189">
        <v>0</v>
      </c>
      <c r="P28" s="189">
        <v>0.35</v>
      </c>
      <c r="Q28" s="189">
        <v>5</v>
      </c>
    </row>
    <row r="29" spans="1:17" customFormat="1">
      <c r="A29" s="6" t="s">
        <v>2273</v>
      </c>
      <c r="B29" s="189">
        <v>16.32</v>
      </c>
      <c r="C29" s="189">
        <v>45.81</v>
      </c>
      <c r="D29" s="189">
        <v>35.979999999999997</v>
      </c>
      <c r="E29" s="189">
        <v>5.18</v>
      </c>
      <c r="F29" s="189">
        <v>4.34</v>
      </c>
      <c r="G29" s="189">
        <v>11.74</v>
      </c>
      <c r="H29" s="189">
        <v>5.99</v>
      </c>
      <c r="I29" s="189">
        <v>3.5</v>
      </c>
      <c r="J29" s="189">
        <v>0.33</v>
      </c>
      <c r="K29" s="189">
        <v>219.33</v>
      </c>
      <c r="L29" s="189">
        <v>26.03</v>
      </c>
      <c r="M29" s="189">
        <v>91.18</v>
      </c>
      <c r="N29" s="189">
        <v>0</v>
      </c>
      <c r="O29" s="189">
        <v>0</v>
      </c>
      <c r="P29" s="189">
        <v>0.36</v>
      </c>
      <c r="Q29" s="189">
        <v>4.99</v>
      </c>
    </row>
    <row r="30" spans="1:17" customFormat="1">
      <c r="A30" s="6" t="s">
        <v>2274</v>
      </c>
      <c r="B30" s="189">
        <v>16.260000000000002</v>
      </c>
      <c r="C30" s="189">
        <v>44.17</v>
      </c>
      <c r="D30" s="189">
        <v>35.07</v>
      </c>
      <c r="E30" s="189">
        <v>5.13</v>
      </c>
      <c r="F30" s="189">
        <v>5.0199999999999996</v>
      </c>
      <c r="G30" s="189">
        <v>11.74</v>
      </c>
      <c r="H30" s="189">
        <v>5.99</v>
      </c>
      <c r="I30" s="189">
        <v>3.55</v>
      </c>
      <c r="J30" s="189">
        <v>0.34</v>
      </c>
      <c r="K30" s="189">
        <v>218.62</v>
      </c>
      <c r="L30" s="189">
        <v>25.84</v>
      </c>
      <c r="M30" s="189">
        <v>93.08</v>
      </c>
      <c r="N30" s="189">
        <v>1.1000000000000001</v>
      </c>
      <c r="O30" s="189">
        <v>0</v>
      </c>
      <c r="P30" s="189">
        <v>0.34</v>
      </c>
      <c r="Q30" s="189">
        <v>5.03</v>
      </c>
    </row>
    <row r="31" spans="1:17" customFormat="1">
      <c r="A31" s="6" t="s">
        <v>2275</v>
      </c>
      <c r="B31" s="189">
        <v>16.600000000000001</v>
      </c>
      <c r="C31" s="189">
        <v>45.49</v>
      </c>
      <c r="D31" s="189">
        <v>36.03</v>
      </c>
      <c r="E31" s="189">
        <v>5.66</v>
      </c>
      <c r="F31" s="189">
        <v>4.21</v>
      </c>
      <c r="G31" s="189">
        <v>14.35</v>
      </c>
      <c r="H31" s="189">
        <v>6.41</v>
      </c>
      <c r="I31" s="189">
        <v>3.54</v>
      </c>
      <c r="J31" s="189">
        <v>0.36</v>
      </c>
      <c r="K31" s="189">
        <v>240.63</v>
      </c>
      <c r="L31" s="189">
        <v>25.95</v>
      </c>
      <c r="M31" s="189">
        <v>93.29</v>
      </c>
      <c r="N31" s="189">
        <v>17.399999999999999</v>
      </c>
      <c r="O31" s="189">
        <v>0</v>
      </c>
      <c r="P31" s="189">
        <v>0.36</v>
      </c>
      <c r="Q31" s="189">
        <v>5</v>
      </c>
    </row>
    <row r="32" spans="1:17" customFormat="1">
      <c r="A32" s="6" t="s">
        <v>2276</v>
      </c>
      <c r="B32" s="189">
        <v>17.04</v>
      </c>
      <c r="C32" s="189">
        <v>44.99</v>
      </c>
      <c r="D32" s="189">
        <v>36.130000000000003</v>
      </c>
      <c r="E32" s="189">
        <v>5.38</v>
      </c>
      <c r="F32" s="189">
        <v>4.3899999999999997</v>
      </c>
      <c r="G32" s="189">
        <v>15.87</v>
      </c>
      <c r="H32" s="189">
        <v>6.49</v>
      </c>
      <c r="I32" s="189">
        <v>3.5</v>
      </c>
      <c r="J32" s="189">
        <v>0.3</v>
      </c>
      <c r="K32" s="189">
        <v>245.73</v>
      </c>
      <c r="L32" s="189">
        <v>26.21</v>
      </c>
      <c r="M32" s="189">
        <v>92.56</v>
      </c>
      <c r="N32" s="189">
        <v>41.6</v>
      </c>
      <c r="O32" s="189">
        <v>0</v>
      </c>
      <c r="P32" s="189">
        <v>0.35</v>
      </c>
      <c r="Q32" s="189">
        <v>5.0599999999999996</v>
      </c>
    </row>
    <row r="33" spans="1:17" customFormat="1">
      <c r="A33" s="6" t="s">
        <v>2277</v>
      </c>
      <c r="B33" s="189">
        <v>17.579999999999998</v>
      </c>
      <c r="C33" s="189">
        <v>46.96</v>
      </c>
      <c r="D33" s="189">
        <v>37.590000000000003</v>
      </c>
      <c r="E33" s="189">
        <v>5.35</v>
      </c>
      <c r="F33" s="189">
        <v>4.1100000000000003</v>
      </c>
      <c r="G33" s="189">
        <v>15.87</v>
      </c>
      <c r="H33" s="189">
        <v>6.49</v>
      </c>
      <c r="I33" s="189">
        <v>3.52</v>
      </c>
      <c r="J33" s="189">
        <v>0.41</v>
      </c>
      <c r="K33" s="189">
        <v>235.09</v>
      </c>
      <c r="L33" s="189">
        <v>26.45</v>
      </c>
      <c r="M33" s="189">
        <v>89.7</v>
      </c>
      <c r="N33" s="189">
        <v>62.7</v>
      </c>
      <c r="O33" s="189">
        <v>0</v>
      </c>
      <c r="P33" s="189">
        <v>0.37</v>
      </c>
      <c r="Q33" s="189">
        <v>5.0999999999999996</v>
      </c>
    </row>
    <row r="34" spans="1:17" customFormat="1">
      <c r="A34" s="6" t="s">
        <v>2278</v>
      </c>
      <c r="B34" s="189">
        <v>17.98</v>
      </c>
      <c r="C34" s="189">
        <v>44.31</v>
      </c>
      <c r="D34" s="189">
        <v>36.520000000000003</v>
      </c>
      <c r="E34" s="189">
        <v>4.84</v>
      </c>
      <c r="F34" s="189">
        <v>4.68</v>
      </c>
      <c r="G34" s="189">
        <v>15.87</v>
      </c>
      <c r="H34" s="189">
        <v>6.49</v>
      </c>
      <c r="I34" s="189">
        <v>3.59</v>
      </c>
      <c r="J34" s="189">
        <v>0.28000000000000003</v>
      </c>
      <c r="K34" s="189">
        <v>241.98</v>
      </c>
      <c r="L34" s="189">
        <v>26.77</v>
      </c>
      <c r="M34" s="189">
        <v>87.41</v>
      </c>
      <c r="N34" s="189">
        <v>67.7</v>
      </c>
      <c r="O34" s="189">
        <v>0</v>
      </c>
      <c r="P34" s="189">
        <v>0.35</v>
      </c>
      <c r="Q34" s="189">
        <v>5.0599999999999996</v>
      </c>
    </row>
    <row r="35" spans="1:17" customFormat="1">
      <c r="A35" s="6" t="s">
        <v>2279</v>
      </c>
      <c r="B35" s="189">
        <v>17</v>
      </c>
      <c r="C35" s="189">
        <v>42.31</v>
      </c>
      <c r="D35" s="189">
        <v>34.69</v>
      </c>
      <c r="E35" s="189">
        <v>5.82</v>
      </c>
      <c r="F35" s="189">
        <v>6.97</v>
      </c>
      <c r="G35" s="189">
        <v>14.34</v>
      </c>
      <c r="H35" s="189">
        <v>7.18</v>
      </c>
      <c r="I35" s="189">
        <v>3.62</v>
      </c>
      <c r="J35" s="189">
        <v>0.24</v>
      </c>
      <c r="K35" s="189">
        <v>243.61</v>
      </c>
      <c r="L35" s="189">
        <v>26.93</v>
      </c>
      <c r="M35" s="189">
        <v>86.84</v>
      </c>
      <c r="N35" s="189">
        <v>61.4</v>
      </c>
      <c r="O35" s="189">
        <v>0</v>
      </c>
      <c r="P35" s="189">
        <v>0.35</v>
      </c>
      <c r="Q35" s="189">
        <v>5.13</v>
      </c>
    </row>
    <row r="36" spans="1:17" customFormat="1">
      <c r="A36" s="6" t="s">
        <v>2280</v>
      </c>
      <c r="B36" s="189">
        <v>17.73</v>
      </c>
      <c r="C36" s="189">
        <v>43.37</v>
      </c>
      <c r="D36" s="189">
        <v>35.840000000000003</v>
      </c>
      <c r="E36" s="189">
        <v>5.29</v>
      </c>
      <c r="F36" s="189">
        <v>6.11</v>
      </c>
      <c r="G36" s="189">
        <v>13.45</v>
      </c>
      <c r="H36" s="189">
        <v>7.38</v>
      </c>
      <c r="I36" s="189">
        <v>3.58</v>
      </c>
      <c r="J36" s="189">
        <v>0.28000000000000003</v>
      </c>
      <c r="K36" s="189">
        <v>240.87</v>
      </c>
      <c r="L36" s="189">
        <v>26.94</v>
      </c>
      <c r="M36" s="189">
        <v>86.9</v>
      </c>
      <c r="N36" s="189">
        <v>61.6</v>
      </c>
      <c r="O36" s="189">
        <v>0</v>
      </c>
      <c r="P36" s="189">
        <v>0.36</v>
      </c>
      <c r="Q36" s="189">
        <v>5.13</v>
      </c>
    </row>
    <row r="37" spans="1:17" customFormat="1">
      <c r="A37" s="6" t="s">
        <v>2281</v>
      </c>
      <c r="B37" s="189">
        <v>17.940000000000001</v>
      </c>
      <c r="C37" s="189">
        <v>42.37</v>
      </c>
      <c r="D37" s="189">
        <v>35.479999999999997</v>
      </c>
      <c r="E37" s="189">
        <v>4.99</v>
      </c>
      <c r="F37" s="189">
        <v>6.35</v>
      </c>
      <c r="G37" s="189">
        <v>13.45</v>
      </c>
      <c r="H37" s="189">
        <v>7.38</v>
      </c>
      <c r="I37" s="189">
        <v>3.54</v>
      </c>
      <c r="J37" s="189">
        <v>0.36</v>
      </c>
      <c r="K37" s="189">
        <v>248.32</v>
      </c>
      <c r="L37" s="189">
        <v>27.21</v>
      </c>
      <c r="M37" s="189">
        <v>85.48</v>
      </c>
      <c r="N37" s="189">
        <v>87.3</v>
      </c>
      <c r="O37" s="189">
        <v>0</v>
      </c>
      <c r="P37" s="189">
        <v>0.35</v>
      </c>
      <c r="Q37" s="189">
        <v>5.17</v>
      </c>
    </row>
    <row r="38" spans="1:17" customFormat="1">
      <c r="A38" s="6" t="s">
        <v>2282</v>
      </c>
      <c r="B38" s="189">
        <v>18.100000000000001</v>
      </c>
      <c r="C38" s="189">
        <v>42.98</v>
      </c>
      <c r="D38" s="189">
        <v>35.92</v>
      </c>
      <c r="E38" s="189">
        <v>5.1100000000000003</v>
      </c>
      <c r="F38" s="189">
        <v>5.92</v>
      </c>
      <c r="G38" s="189">
        <v>13.45</v>
      </c>
      <c r="H38" s="189">
        <v>7.38</v>
      </c>
      <c r="I38" s="189">
        <v>3.52</v>
      </c>
      <c r="J38" s="189">
        <v>0.3</v>
      </c>
      <c r="K38" s="189">
        <v>242.78</v>
      </c>
      <c r="L38" s="189">
        <v>28.02</v>
      </c>
      <c r="M38" s="189">
        <v>82.46</v>
      </c>
      <c r="N38" s="189">
        <v>133.6</v>
      </c>
      <c r="O38" s="189">
        <v>0</v>
      </c>
      <c r="P38" s="189">
        <v>0.35</v>
      </c>
      <c r="Q38" s="189">
        <v>5.12</v>
      </c>
    </row>
    <row r="39" spans="1:17" customFormat="1">
      <c r="A39" s="6" t="s">
        <v>2283</v>
      </c>
      <c r="B39" s="189">
        <v>17.899999999999999</v>
      </c>
      <c r="C39" s="189">
        <v>44.44</v>
      </c>
      <c r="D39" s="189">
        <v>36.53</v>
      </c>
      <c r="E39" s="189">
        <v>5.8</v>
      </c>
      <c r="F39" s="189">
        <v>6.55</v>
      </c>
      <c r="G39" s="189">
        <v>13.38</v>
      </c>
      <c r="H39" s="189">
        <v>7.79</v>
      </c>
      <c r="I39" s="189">
        <v>3.54</v>
      </c>
      <c r="J39" s="189">
        <v>0.61</v>
      </c>
      <c r="K39" s="189">
        <v>262.32</v>
      </c>
      <c r="L39" s="189">
        <v>28.79</v>
      </c>
      <c r="M39" s="189">
        <v>78.09</v>
      </c>
      <c r="N39" s="189">
        <v>143.1</v>
      </c>
      <c r="O39" s="189">
        <v>0</v>
      </c>
      <c r="P39" s="189">
        <v>0.36</v>
      </c>
      <c r="Q39" s="189">
        <v>5.17</v>
      </c>
    </row>
    <row r="40" spans="1:17" customFormat="1">
      <c r="A40" s="6" t="s">
        <v>2284</v>
      </c>
      <c r="B40" s="189">
        <v>18.05</v>
      </c>
      <c r="C40" s="189">
        <v>42.04</v>
      </c>
      <c r="D40" s="189">
        <v>35.4</v>
      </c>
      <c r="E40" s="189">
        <v>5.12</v>
      </c>
      <c r="F40" s="189">
        <v>7.02</v>
      </c>
      <c r="G40" s="189">
        <v>13.33</v>
      </c>
      <c r="H40" s="189">
        <v>7.86</v>
      </c>
      <c r="I40" s="189">
        <v>3.5</v>
      </c>
      <c r="J40" s="189">
        <v>0.61</v>
      </c>
      <c r="K40" s="189">
        <v>260.01</v>
      </c>
      <c r="L40" s="189">
        <v>29.07</v>
      </c>
      <c r="M40" s="189">
        <v>76.77</v>
      </c>
      <c r="N40" s="189">
        <v>137.69999999999999</v>
      </c>
      <c r="O40" s="189">
        <v>0</v>
      </c>
      <c r="P40" s="189">
        <v>0.33</v>
      </c>
      <c r="Q40" s="189">
        <v>5.08</v>
      </c>
    </row>
    <row r="41" spans="1:17" customFormat="1">
      <c r="A41" s="6" t="s">
        <v>2285</v>
      </c>
      <c r="B41" s="189">
        <v>18.309999999999999</v>
      </c>
      <c r="C41" s="189">
        <v>46.23</v>
      </c>
      <c r="D41" s="189">
        <v>37.799999999999997</v>
      </c>
      <c r="E41" s="189">
        <v>5.67</v>
      </c>
      <c r="F41" s="189">
        <v>4.67</v>
      </c>
      <c r="G41" s="189">
        <v>13.33</v>
      </c>
      <c r="H41" s="189">
        <v>7.86</v>
      </c>
      <c r="I41" s="189">
        <v>3.52</v>
      </c>
      <c r="J41" s="189">
        <v>0.65</v>
      </c>
      <c r="K41" s="189">
        <v>250.3</v>
      </c>
      <c r="L41" s="189">
        <v>29.48</v>
      </c>
      <c r="M41" s="189">
        <v>74.58</v>
      </c>
      <c r="N41" s="189">
        <v>169.4</v>
      </c>
      <c r="O41" s="189">
        <v>0</v>
      </c>
      <c r="P41" s="189">
        <v>0.37</v>
      </c>
      <c r="Q41" s="189">
        <v>5.12</v>
      </c>
    </row>
    <row r="42" spans="1:17" customFormat="1">
      <c r="A42" s="6" t="s">
        <v>2286</v>
      </c>
      <c r="B42" s="189">
        <v>18.010000000000002</v>
      </c>
      <c r="C42" s="189">
        <v>44.83</v>
      </c>
      <c r="D42" s="189">
        <v>36.82</v>
      </c>
      <c r="E42" s="189">
        <v>5.64</v>
      </c>
      <c r="F42" s="189">
        <v>5.36</v>
      </c>
      <c r="G42" s="189">
        <v>13.33</v>
      </c>
      <c r="H42" s="189">
        <v>7.86</v>
      </c>
      <c r="I42" s="189">
        <v>3.61</v>
      </c>
      <c r="J42" s="189">
        <v>0.84</v>
      </c>
      <c r="K42" s="189">
        <v>268.8</v>
      </c>
      <c r="L42" s="189">
        <v>29.16</v>
      </c>
      <c r="M42" s="189">
        <v>74.58</v>
      </c>
      <c r="N42" s="189">
        <v>180.2</v>
      </c>
      <c r="O42" s="189">
        <v>0</v>
      </c>
      <c r="P42" s="189">
        <v>0.36</v>
      </c>
      <c r="Q42" s="189">
        <v>5.08</v>
      </c>
    </row>
    <row r="43" spans="1:17" customFormat="1">
      <c r="A43" s="6" t="s">
        <v>2287</v>
      </c>
      <c r="B43" s="189">
        <v>17.07</v>
      </c>
      <c r="C43" s="189">
        <v>43.9</v>
      </c>
      <c r="D43" s="189">
        <v>35.58</v>
      </c>
      <c r="E43" s="189">
        <v>4.5999999999999996</v>
      </c>
      <c r="F43" s="189">
        <v>6.95</v>
      </c>
      <c r="G43" s="189">
        <v>16.73</v>
      </c>
      <c r="H43" s="189">
        <v>6.93</v>
      </c>
      <c r="I43" s="189">
        <v>3.7</v>
      </c>
      <c r="J43" s="189">
        <v>0.75</v>
      </c>
      <c r="K43" s="189">
        <v>262.01</v>
      </c>
      <c r="L43" s="189">
        <v>29.02</v>
      </c>
      <c r="M43" s="189">
        <v>74.260000000000005</v>
      </c>
      <c r="N43" s="189">
        <v>194</v>
      </c>
      <c r="O43" s="189">
        <v>0</v>
      </c>
      <c r="P43" s="189">
        <v>0.37</v>
      </c>
      <c r="Q43" s="189">
        <v>5.08</v>
      </c>
    </row>
    <row r="44" spans="1:17" customFormat="1">
      <c r="A44" s="6" t="s">
        <v>2288</v>
      </c>
      <c r="B44" s="189">
        <v>16.010000000000002</v>
      </c>
      <c r="C44" s="189">
        <v>40.4</v>
      </c>
      <c r="D44" s="189">
        <v>32.9</v>
      </c>
      <c r="E44" s="189">
        <v>4.4000000000000004</v>
      </c>
      <c r="F44" s="189">
        <v>8.7799999999999994</v>
      </c>
      <c r="G44" s="189">
        <v>18.7</v>
      </c>
      <c r="H44" s="189">
        <v>6.77</v>
      </c>
      <c r="I44" s="189">
        <v>3.64</v>
      </c>
      <c r="J44" s="189">
        <v>0.7</v>
      </c>
      <c r="K44" s="189">
        <v>271.35000000000002</v>
      </c>
      <c r="L44" s="189">
        <v>29.13</v>
      </c>
      <c r="M44" s="189">
        <v>73.16</v>
      </c>
      <c r="N44" s="189">
        <v>185.8</v>
      </c>
      <c r="O44" s="189">
        <v>0</v>
      </c>
      <c r="P44" s="189">
        <v>0.35</v>
      </c>
      <c r="Q44" s="189">
        <v>5.01</v>
      </c>
    </row>
    <row r="45" spans="1:17" customFormat="1">
      <c r="A45" s="6" t="s">
        <v>2289</v>
      </c>
      <c r="B45" s="189">
        <v>15.46</v>
      </c>
      <c r="C45" s="189">
        <v>42.41</v>
      </c>
      <c r="D45" s="189">
        <v>33.51</v>
      </c>
      <c r="E45" s="189">
        <v>4.6399999999999997</v>
      </c>
      <c r="F45" s="189">
        <v>7.33</v>
      </c>
      <c r="G45" s="189">
        <v>18.7</v>
      </c>
      <c r="H45" s="189">
        <v>6.77</v>
      </c>
      <c r="I45" s="189">
        <v>3.59</v>
      </c>
      <c r="J45" s="189">
        <v>0.56000000000000005</v>
      </c>
      <c r="K45" s="189">
        <v>264.74</v>
      </c>
      <c r="L45" s="189">
        <v>29.29</v>
      </c>
      <c r="M45" s="189">
        <v>73.3</v>
      </c>
      <c r="N45" s="189">
        <v>182.6</v>
      </c>
      <c r="O45" s="189">
        <v>0</v>
      </c>
      <c r="P45" s="189">
        <v>0.35</v>
      </c>
      <c r="Q45" s="189">
        <v>4.93</v>
      </c>
    </row>
    <row r="46" spans="1:17" customFormat="1">
      <c r="A46" s="6" t="s">
        <v>2290</v>
      </c>
      <c r="B46" s="189">
        <v>14.63</v>
      </c>
      <c r="C46" s="189">
        <v>41.8</v>
      </c>
      <c r="D46" s="189">
        <v>32.53</v>
      </c>
      <c r="E46" s="189">
        <v>5.04</v>
      </c>
      <c r="F46" s="189">
        <v>11.07</v>
      </c>
      <c r="G46" s="189">
        <v>18.7</v>
      </c>
      <c r="H46" s="189">
        <v>6.77</v>
      </c>
      <c r="I46" s="189">
        <v>3.54</v>
      </c>
      <c r="J46" s="189">
        <v>0.42</v>
      </c>
      <c r="K46" s="189">
        <v>264.60000000000002</v>
      </c>
      <c r="L46" s="189">
        <v>29.6</v>
      </c>
      <c r="M46" s="189">
        <v>72.680000000000007</v>
      </c>
      <c r="N46" s="189">
        <v>166.5</v>
      </c>
      <c r="O46" s="189">
        <v>0</v>
      </c>
      <c r="P46" s="189">
        <v>0.37</v>
      </c>
      <c r="Q46" s="189">
        <v>4.99</v>
      </c>
    </row>
    <row r="47" spans="1:17" customFormat="1">
      <c r="A47" s="6" t="s">
        <v>2291</v>
      </c>
      <c r="B47" s="189">
        <v>13.14</v>
      </c>
      <c r="C47" s="189">
        <v>36.979999999999997</v>
      </c>
      <c r="D47" s="189">
        <v>28.81</v>
      </c>
      <c r="E47" s="189">
        <v>5.33</v>
      </c>
      <c r="F47" s="189">
        <v>13.19</v>
      </c>
      <c r="G47" s="189">
        <v>16.32</v>
      </c>
      <c r="H47" s="189">
        <v>10.01</v>
      </c>
      <c r="I47" s="189">
        <v>3.56</v>
      </c>
      <c r="J47" s="189">
        <v>0.43</v>
      </c>
      <c r="K47" s="189">
        <v>260.81</v>
      </c>
      <c r="L47" s="189">
        <v>29.89</v>
      </c>
      <c r="M47" s="189">
        <v>72.75</v>
      </c>
      <c r="N47" s="189">
        <v>188.6</v>
      </c>
      <c r="O47" s="189">
        <v>0</v>
      </c>
      <c r="P47" s="189">
        <v>0.36</v>
      </c>
      <c r="Q47" s="189">
        <v>4.92</v>
      </c>
    </row>
    <row r="48" spans="1:17" customFormat="1">
      <c r="A48" s="6" t="s">
        <v>2292</v>
      </c>
      <c r="B48" s="189">
        <v>13.87</v>
      </c>
      <c r="C48" s="189">
        <v>43.19</v>
      </c>
      <c r="D48" s="189">
        <v>32.64</v>
      </c>
      <c r="E48" s="189">
        <v>5.87</v>
      </c>
      <c r="F48" s="189">
        <v>8.48</v>
      </c>
      <c r="G48" s="189">
        <v>14.94</v>
      </c>
      <c r="H48" s="189">
        <v>10.59</v>
      </c>
      <c r="I48" s="189">
        <v>3.53</v>
      </c>
      <c r="J48" s="189">
        <v>0.38</v>
      </c>
      <c r="K48" s="189">
        <v>260.72000000000003</v>
      </c>
      <c r="L48" s="189">
        <v>30.26</v>
      </c>
      <c r="M48" s="189">
        <v>71.63</v>
      </c>
      <c r="N48" s="189">
        <v>223.5</v>
      </c>
      <c r="O48" s="189">
        <v>0</v>
      </c>
      <c r="P48" s="189">
        <v>0.38</v>
      </c>
      <c r="Q48" s="189">
        <v>4.95</v>
      </c>
    </row>
    <row r="49" spans="1:17" customFormat="1">
      <c r="A49" s="6" t="s">
        <v>2293</v>
      </c>
      <c r="B49" s="189">
        <v>12.64</v>
      </c>
      <c r="C49" s="189">
        <v>39.96</v>
      </c>
      <c r="D49" s="189">
        <v>29.97</v>
      </c>
      <c r="E49" s="189">
        <v>5.92</v>
      </c>
      <c r="F49" s="189">
        <v>13.46</v>
      </c>
      <c r="G49" s="189">
        <v>14.94</v>
      </c>
      <c r="H49" s="189">
        <v>10.59</v>
      </c>
      <c r="I49" s="189">
        <v>3.58</v>
      </c>
      <c r="J49" s="189">
        <v>0.28999999999999998</v>
      </c>
      <c r="K49" s="189">
        <v>215.4</v>
      </c>
      <c r="L49" s="189">
        <v>30.7</v>
      </c>
      <c r="M49" s="189">
        <v>70.709999999999994</v>
      </c>
      <c r="N49" s="189">
        <v>212.2</v>
      </c>
      <c r="O49" s="189">
        <v>0</v>
      </c>
      <c r="P49" s="189">
        <v>0.4</v>
      </c>
      <c r="Q49" s="189">
        <v>4.92</v>
      </c>
    </row>
    <row r="50" spans="1:17" customFormat="1">
      <c r="A50" s="6" t="s">
        <v>2294</v>
      </c>
      <c r="B50" s="189">
        <v>11.95</v>
      </c>
      <c r="C50" s="189">
        <v>38.659999999999997</v>
      </c>
      <c r="D50" s="189">
        <v>28.74</v>
      </c>
      <c r="E50" s="189">
        <v>6.84</v>
      </c>
      <c r="F50" s="189">
        <v>11.03</v>
      </c>
      <c r="G50" s="189">
        <v>14.94</v>
      </c>
      <c r="H50" s="189">
        <v>10.59</v>
      </c>
      <c r="I50" s="189">
        <v>3.75</v>
      </c>
      <c r="J50" s="189">
        <v>0.4</v>
      </c>
      <c r="K50" s="189">
        <v>219.85</v>
      </c>
      <c r="L50" s="189">
        <v>30.75</v>
      </c>
      <c r="M50" s="189">
        <v>68.53</v>
      </c>
      <c r="N50" s="189">
        <v>126.2</v>
      </c>
      <c r="O50" s="189">
        <v>0</v>
      </c>
      <c r="P50" s="189">
        <v>0.39</v>
      </c>
      <c r="Q50" s="189">
        <v>4.8099999999999996</v>
      </c>
    </row>
    <row r="51" spans="1:17" customFormat="1">
      <c r="A51" s="6" t="s">
        <v>2295</v>
      </c>
      <c r="B51" s="189">
        <v>11.74</v>
      </c>
      <c r="C51" s="189">
        <v>41.85</v>
      </c>
      <c r="D51" s="189">
        <v>30.24</v>
      </c>
      <c r="E51" s="189">
        <v>9.35</v>
      </c>
      <c r="F51" s="189">
        <v>16.010000000000002</v>
      </c>
      <c r="G51" s="189">
        <v>17.13</v>
      </c>
      <c r="H51" s="189">
        <v>11.53</v>
      </c>
      <c r="I51" s="189">
        <v>3.73</v>
      </c>
      <c r="J51" s="189">
        <v>0.23</v>
      </c>
      <c r="K51" s="189">
        <v>264.06</v>
      </c>
      <c r="L51" s="189">
        <v>30.58</v>
      </c>
      <c r="M51" s="189">
        <v>65.66</v>
      </c>
      <c r="N51" s="189">
        <v>90.6</v>
      </c>
      <c r="O51" s="189">
        <v>0</v>
      </c>
      <c r="P51" s="189">
        <v>0.48</v>
      </c>
      <c r="Q51" s="189">
        <v>4.87</v>
      </c>
    </row>
    <row r="52" spans="1:17" customFormat="1">
      <c r="A52" s="6" t="s">
        <v>2296</v>
      </c>
      <c r="B52" s="189">
        <v>10.59</v>
      </c>
      <c r="C52" s="189">
        <v>37.369999999999997</v>
      </c>
      <c r="D52" s="189">
        <v>26.98</v>
      </c>
      <c r="E52" s="189">
        <v>11.08</v>
      </c>
      <c r="F52" s="189">
        <v>19.23</v>
      </c>
      <c r="G52" s="189">
        <v>18.47</v>
      </c>
      <c r="H52" s="189">
        <v>11.7</v>
      </c>
      <c r="I52" s="189">
        <v>3.92</v>
      </c>
      <c r="J52" s="189">
        <v>0.19</v>
      </c>
      <c r="K52" s="189">
        <v>217.79</v>
      </c>
      <c r="L52" s="189">
        <v>30.5</v>
      </c>
      <c r="M52" s="189">
        <v>68.849999999999994</v>
      </c>
      <c r="N52" s="189">
        <v>107.6</v>
      </c>
      <c r="O52" s="189">
        <v>0</v>
      </c>
      <c r="P52" s="189">
        <v>0.47</v>
      </c>
      <c r="Q52" s="189">
        <v>4.84</v>
      </c>
    </row>
    <row r="53" spans="1:17" customFormat="1">
      <c r="A53" s="6" t="s">
        <v>2297</v>
      </c>
      <c r="B53" s="189">
        <v>10.89</v>
      </c>
      <c r="C53" s="189">
        <v>38.85</v>
      </c>
      <c r="D53" s="189">
        <v>27.99</v>
      </c>
      <c r="E53" s="189">
        <v>9.19</v>
      </c>
      <c r="F53" s="189">
        <v>10.98</v>
      </c>
      <c r="G53" s="189">
        <v>18.47</v>
      </c>
      <c r="H53" s="189">
        <v>11.7</v>
      </c>
      <c r="I53" s="189">
        <v>4.1900000000000004</v>
      </c>
      <c r="J53" s="189">
        <v>0.23</v>
      </c>
      <c r="K53" s="189">
        <v>220.01</v>
      </c>
      <c r="L53" s="189">
        <v>30.81</v>
      </c>
      <c r="M53" s="189">
        <v>66.959999999999994</v>
      </c>
      <c r="N53" s="189">
        <v>162.4</v>
      </c>
      <c r="O53" s="189">
        <v>0</v>
      </c>
      <c r="P53" s="189">
        <v>0.44</v>
      </c>
      <c r="Q53" s="189">
        <v>4.78</v>
      </c>
    </row>
    <row r="54" spans="1:17" customFormat="1">
      <c r="A54" s="6" t="s">
        <v>2298</v>
      </c>
      <c r="B54" s="189">
        <v>11.2</v>
      </c>
      <c r="C54" s="189">
        <v>40.909999999999997</v>
      </c>
      <c r="D54" s="189">
        <v>29.31</v>
      </c>
      <c r="E54" s="189">
        <v>9.36</v>
      </c>
      <c r="F54" s="189">
        <v>14.8</v>
      </c>
      <c r="G54" s="189">
        <v>18.47</v>
      </c>
      <c r="H54" s="189">
        <v>11.7</v>
      </c>
      <c r="I54" s="189">
        <v>4.17</v>
      </c>
      <c r="J54" s="189">
        <v>0.35</v>
      </c>
      <c r="K54" s="189">
        <v>240.64</v>
      </c>
      <c r="L54" s="189">
        <v>31.07</v>
      </c>
      <c r="M54" s="189">
        <v>64.62</v>
      </c>
      <c r="N54" s="189">
        <v>188.1</v>
      </c>
      <c r="O54" s="189">
        <v>0</v>
      </c>
      <c r="P54" s="189">
        <v>0.44</v>
      </c>
      <c r="Q54" s="189">
        <v>4.8099999999999996</v>
      </c>
    </row>
    <row r="55" spans="1:17" customFormat="1">
      <c r="A55" s="6" t="s">
        <v>2299</v>
      </c>
      <c r="B55" s="189">
        <v>9.6</v>
      </c>
      <c r="C55" s="189">
        <v>33.590000000000003</v>
      </c>
      <c r="D55" s="189">
        <v>24.2</v>
      </c>
      <c r="E55" s="189">
        <v>10.3</v>
      </c>
      <c r="F55" s="189">
        <v>22.69</v>
      </c>
      <c r="G55" s="189">
        <v>25.14</v>
      </c>
      <c r="H55" s="189">
        <v>12.33</v>
      </c>
      <c r="I55" s="189">
        <v>4.2699999999999996</v>
      </c>
      <c r="J55" s="189">
        <v>0.22</v>
      </c>
      <c r="K55" s="189">
        <v>229.93</v>
      </c>
      <c r="L55" s="189">
        <v>31.3</v>
      </c>
      <c r="M55" s="189">
        <v>65.64</v>
      </c>
      <c r="N55" s="189">
        <v>161.9</v>
      </c>
      <c r="O55" s="189">
        <v>0</v>
      </c>
      <c r="P55" s="189">
        <v>0.43</v>
      </c>
      <c r="Q55" s="189">
        <v>4.75</v>
      </c>
    </row>
    <row r="56" spans="1:17" customFormat="1">
      <c r="A56" s="6" t="s">
        <v>2300</v>
      </c>
      <c r="B56" s="189">
        <v>10.18</v>
      </c>
      <c r="C56" s="189">
        <v>39.340000000000003</v>
      </c>
      <c r="D56" s="189">
        <v>27.68</v>
      </c>
      <c r="E56" s="189">
        <v>8.0399999999999991</v>
      </c>
      <c r="F56" s="189">
        <v>13.15</v>
      </c>
      <c r="G56" s="189">
        <v>29.01</v>
      </c>
      <c r="H56" s="189">
        <v>12.44</v>
      </c>
      <c r="I56" s="189">
        <v>4.2300000000000004</v>
      </c>
      <c r="J56" s="189">
        <v>0.18</v>
      </c>
      <c r="K56" s="189">
        <v>230.94</v>
      </c>
      <c r="L56" s="189">
        <v>31.04</v>
      </c>
      <c r="M56" s="189">
        <v>66.540000000000006</v>
      </c>
      <c r="N56" s="189">
        <v>114.4</v>
      </c>
      <c r="O56" s="189">
        <v>0</v>
      </c>
      <c r="P56" s="189">
        <v>0.44</v>
      </c>
      <c r="Q56" s="189">
        <v>4.75</v>
      </c>
    </row>
    <row r="57" spans="1:17" customFormat="1">
      <c r="A57" s="6" t="s">
        <v>2301</v>
      </c>
      <c r="B57" s="189">
        <v>9.44</v>
      </c>
      <c r="C57" s="189">
        <v>37.21</v>
      </c>
      <c r="D57" s="189">
        <v>25.97</v>
      </c>
      <c r="E57" s="189">
        <v>9.43</v>
      </c>
      <c r="F57" s="189">
        <v>22.2</v>
      </c>
      <c r="G57" s="189">
        <v>29.01</v>
      </c>
      <c r="H57" s="189">
        <v>12.44</v>
      </c>
      <c r="I57" s="189">
        <v>4.16</v>
      </c>
      <c r="J57" s="189">
        <v>0.14000000000000001</v>
      </c>
      <c r="K57" s="189">
        <v>219.8</v>
      </c>
      <c r="L57" s="189">
        <v>30.88</v>
      </c>
      <c r="M57" s="189">
        <v>67.62</v>
      </c>
      <c r="N57" s="189">
        <v>99.3</v>
      </c>
      <c r="O57" s="189">
        <v>0</v>
      </c>
      <c r="P57" s="189">
        <v>0.46</v>
      </c>
      <c r="Q57" s="189">
        <v>4.78</v>
      </c>
    </row>
    <row r="58" spans="1:17" customFormat="1">
      <c r="A58" s="6" t="s">
        <v>2302</v>
      </c>
      <c r="B58" s="189">
        <v>8.66</v>
      </c>
      <c r="C58" s="189">
        <v>33.409999999999997</v>
      </c>
      <c r="D58" s="189">
        <v>23.35</v>
      </c>
      <c r="E58" s="189">
        <v>9.4700000000000006</v>
      </c>
      <c r="F58" s="189">
        <v>25.73</v>
      </c>
      <c r="G58" s="189">
        <v>29.01</v>
      </c>
      <c r="H58" s="189">
        <v>12.44</v>
      </c>
      <c r="I58" s="189">
        <v>4.34</v>
      </c>
      <c r="J58" s="189">
        <v>0.22</v>
      </c>
      <c r="K58" s="189">
        <v>213.64</v>
      </c>
      <c r="L58" s="189">
        <v>30.76</v>
      </c>
      <c r="M58" s="189">
        <v>68.569999999999993</v>
      </c>
      <c r="N58" s="189">
        <v>86.1</v>
      </c>
      <c r="O58" s="189">
        <v>0</v>
      </c>
      <c r="P58" s="189">
        <v>0.44</v>
      </c>
      <c r="Q58" s="189">
        <v>4.67</v>
      </c>
    </row>
    <row r="59" spans="1:17" customFormat="1">
      <c r="A59" s="6" t="s">
        <v>2303</v>
      </c>
      <c r="B59" s="189">
        <v>8.27</v>
      </c>
      <c r="C59" s="189">
        <v>34.46</v>
      </c>
      <c r="D59" s="189">
        <v>23.59</v>
      </c>
      <c r="E59" s="189">
        <v>8.94</v>
      </c>
      <c r="F59" s="189">
        <v>19.309999999999999</v>
      </c>
      <c r="G59" s="189">
        <v>29.89</v>
      </c>
      <c r="H59" s="189">
        <v>13.44</v>
      </c>
      <c r="I59" s="189">
        <v>4.5599999999999996</v>
      </c>
      <c r="J59" s="189">
        <v>0.2</v>
      </c>
      <c r="K59" s="189">
        <v>190.89</v>
      </c>
      <c r="L59" s="189">
        <v>30.82</v>
      </c>
      <c r="M59" s="189">
        <v>70.22</v>
      </c>
      <c r="N59" s="189">
        <v>97.1</v>
      </c>
      <c r="O59" s="189">
        <v>0</v>
      </c>
      <c r="P59" s="189">
        <v>0.43</v>
      </c>
      <c r="Q59" s="189">
        <v>4.5999999999999996</v>
      </c>
    </row>
    <row r="60" spans="1:17" customFormat="1">
      <c r="A60" s="6" t="s">
        <v>2304</v>
      </c>
      <c r="B60" s="189">
        <v>8.6</v>
      </c>
      <c r="C60" s="189">
        <v>39.159999999999997</v>
      </c>
      <c r="D60" s="189">
        <v>26.31</v>
      </c>
      <c r="E60" s="189">
        <v>9.15</v>
      </c>
      <c r="F60" s="189">
        <v>20.78</v>
      </c>
      <c r="G60" s="189">
        <v>30.4</v>
      </c>
      <c r="H60" s="189">
        <v>13.75</v>
      </c>
      <c r="I60" s="189">
        <v>4.72</v>
      </c>
      <c r="J60" s="189">
        <v>0.26</v>
      </c>
      <c r="K60" s="189">
        <v>228.73</v>
      </c>
      <c r="L60" s="189">
        <v>30.98</v>
      </c>
      <c r="M60" s="189">
        <v>67.87</v>
      </c>
      <c r="N60" s="189">
        <v>135.9</v>
      </c>
      <c r="O60" s="189">
        <v>0</v>
      </c>
      <c r="P60" s="189">
        <v>0.48</v>
      </c>
      <c r="Q60" s="189">
        <v>4.72</v>
      </c>
    </row>
    <row r="61" spans="1:17" customFormat="1">
      <c r="A61" s="6" t="s">
        <v>2305</v>
      </c>
      <c r="B61" s="189">
        <v>8.19</v>
      </c>
      <c r="C61" s="189">
        <v>36.47</v>
      </c>
      <c r="D61" s="189">
        <v>24.58</v>
      </c>
      <c r="E61" s="189">
        <v>10.39</v>
      </c>
      <c r="F61" s="189">
        <v>19.05</v>
      </c>
      <c r="G61" s="189">
        <v>30.4</v>
      </c>
      <c r="H61" s="189">
        <v>13.75</v>
      </c>
      <c r="I61" s="189">
        <v>4.83</v>
      </c>
      <c r="J61" s="189">
        <v>0.45</v>
      </c>
      <c r="K61" s="189">
        <v>298.77999999999997</v>
      </c>
      <c r="L61" s="189">
        <v>31.43</v>
      </c>
      <c r="M61" s="189">
        <v>63.62</v>
      </c>
      <c r="N61" s="189">
        <v>229.7</v>
      </c>
      <c r="O61" s="189">
        <v>0</v>
      </c>
      <c r="P61" s="189">
        <v>0.47</v>
      </c>
      <c r="Q61" s="189">
        <v>4.62</v>
      </c>
    </row>
    <row r="62" spans="1:17" customFormat="1">
      <c r="A62" s="6" t="s">
        <v>2306</v>
      </c>
      <c r="B62" s="189">
        <v>9.14</v>
      </c>
      <c r="C62" s="189">
        <v>41.33</v>
      </c>
      <c r="D62" s="189">
        <v>27.88</v>
      </c>
      <c r="E62" s="189">
        <v>8.57</v>
      </c>
      <c r="F62" s="189">
        <v>13.51</v>
      </c>
      <c r="G62" s="189">
        <v>30.4</v>
      </c>
      <c r="H62" s="189">
        <v>13.75</v>
      </c>
      <c r="I62" s="189">
        <v>5.32</v>
      </c>
      <c r="J62" s="189">
        <v>0.72</v>
      </c>
      <c r="K62" s="189">
        <v>295</v>
      </c>
      <c r="L62" s="189">
        <v>32.15</v>
      </c>
      <c r="M62" s="189">
        <v>58.34</v>
      </c>
      <c r="N62" s="189">
        <v>494</v>
      </c>
      <c r="O62" s="189">
        <v>0</v>
      </c>
      <c r="P62" s="189">
        <v>0.48</v>
      </c>
      <c r="Q62" s="189">
        <v>4.6500000000000004</v>
      </c>
    </row>
    <row r="63" spans="1:17" customFormat="1">
      <c r="A63" s="6" t="s">
        <v>2307</v>
      </c>
      <c r="B63" s="189">
        <v>8.9499999999999993</v>
      </c>
      <c r="C63" s="189">
        <v>38.39</v>
      </c>
      <c r="D63" s="189">
        <v>26.19</v>
      </c>
      <c r="E63" s="189">
        <v>8.33</v>
      </c>
      <c r="F63" s="189">
        <v>19.75</v>
      </c>
      <c r="G63" s="189">
        <v>33.33</v>
      </c>
      <c r="H63" s="189">
        <v>14.93</v>
      </c>
      <c r="I63" s="189">
        <v>5.38</v>
      </c>
      <c r="J63" s="189">
        <v>0.64</v>
      </c>
      <c r="K63" s="189">
        <v>304.43</v>
      </c>
      <c r="L63" s="189">
        <v>33.270000000000003</v>
      </c>
      <c r="M63" s="189">
        <v>55.1</v>
      </c>
      <c r="N63" s="189">
        <v>738.3</v>
      </c>
      <c r="O63" s="189">
        <v>0</v>
      </c>
      <c r="P63" s="189">
        <v>0.49</v>
      </c>
      <c r="Q63" s="189">
        <v>4.6900000000000004</v>
      </c>
    </row>
    <row r="64" spans="1:17" customFormat="1">
      <c r="A64" s="6" t="s">
        <v>2308</v>
      </c>
      <c r="B64" s="189">
        <v>8.75</v>
      </c>
      <c r="C64" s="189">
        <v>38.01</v>
      </c>
      <c r="D64" s="189">
        <v>25.83</v>
      </c>
      <c r="E64" s="189">
        <v>7.85</v>
      </c>
      <c r="F64" s="189">
        <v>17.14</v>
      </c>
      <c r="G64" s="189">
        <v>35.020000000000003</v>
      </c>
      <c r="H64" s="189">
        <v>15.29</v>
      </c>
      <c r="I64" s="189">
        <v>4.87</v>
      </c>
      <c r="J64" s="189">
        <v>0.34</v>
      </c>
      <c r="K64" s="189">
        <v>243.35</v>
      </c>
      <c r="L64" s="189">
        <v>34.04</v>
      </c>
      <c r="M64" s="189">
        <v>55.06</v>
      </c>
      <c r="N64" s="189">
        <v>701.6</v>
      </c>
      <c r="O64" s="189">
        <v>0</v>
      </c>
      <c r="P64" s="189">
        <v>0.47</v>
      </c>
      <c r="Q64" s="189">
        <v>4.6500000000000004</v>
      </c>
    </row>
    <row r="65" spans="1:17" customFormat="1">
      <c r="A65" s="6" t="s">
        <v>2309</v>
      </c>
      <c r="B65" s="189">
        <v>8.1300000000000008</v>
      </c>
      <c r="C65" s="189">
        <v>39.6</v>
      </c>
      <c r="D65" s="189">
        <v>26.17</v>
      </c>
      <c r="E65" s="189">
        <v>7.16</v>
      </c>
      <c r="F65" s="189">
        <v>14.68</v>
      </c>
      <c r="G65" s="189">
        <v>35.020000000000003</v>
      </c>
      <c r="H65" s="189">
        <v>15.29</v>
      </c>
      <c r="I65" s="189">
        <v>4.74</v>
      </c>
      <c r="J65" s="189">
        <v>0.5</v>
      </c>
      <c r="K65" s="189">
        <v>249.65</v>
      </c>
      <c r="L65" s="189">
        <v>34.36</v>
      </c>
      <c r="M65" s="189">
        <v>54.31</v>
      </c>
      <c r="N65" s="189">
        <v>685.3</v>
      </c>
      <c r="O65" s="189">
        <v>0</v>
      </c>
      <c r="P65" s="189">
        <v>0.44</v>
      </c>
      <c r="Q65" s="189">
        <v>4.5599999999999996</v>
      </c>
    </row>
    <row r="66" spans="1:17" customFormat="1">
      <c r="A66" s="6" t="s">
        <v>2310</v>
      </c>
      <c r="B66" s="189">
        <v>6.94</v>
      </c>
      <c r="C66" s="189">
        <v>36.840000000000003</v>
      </c>
      <c r="D66" s="189">
        <v>23.77</v>
      </c>
      <c r="E66" s="189">
        <v>7.83</v>
      </c>
      <c r="F66" s="189">
        <v>21.06</v>
      </c>
      <c r="G66" s="189">
        <v>35.020000000000003</v>
      </c>
      <c r="H66" s="189">
        <v>15.29</v>
      </c>
      <c r="I66" s="189">
        <v>4.95</v>
      </c>
      <c r="J66" s="189">
        <v>0.51</v>
      </c>
      <c r="K66" s="189">
        <v>261.51</v>
      </c>
      <c r="L66" s="189">
        <v>34.56</v>
      </c>
      <c r="M66" s="189">
        <v>52.85</v>
      </c>
      <c r="N66" s="189">
        <v>649.79999999999995</v>
      </c>
      <c r="O66" s="189">
        <v>0</v>
      </c>
      <c r="P66" s="189">
        <v>0.44</v>
      </c>
      <c r="Q66" s="189">
        <v>4.49</v>
      </c>
    </row>
    <row r="67" spans="1:17" customFormat="1">
      <c r="A67" s="6" t="s">
        <v>2311</v>
      </c>
      <c r="B67" s="189">
        <v>6.76</v>
      </c>
      <c r="C67" s="189">
        <v>39.090000000000003</v>
      </c>
      <c r="D67" s="189">
        <v>24.8</v>
      </c>
      <c r="E67" s="189">
        <v>7.49</v>
      </c>
      <c r="F67" s="189">
        <v>16.059999999999999</v>
      </c>
      <c r="G67" s="189">
        <v>36.32</v>
      </c>
      <c r="H67" s="189">
        <v>22.54</v>
      </c>
      <c r="I67" s="189">
        <v>5</v>
      </c>
      <c r="J67" s="189">
        <v>0.45</v>
      </c>
      <c r="K67" s="189">
        <v>286.54000000000002</v>
      </c>
      <c r="L67" s="189">
        <v>35.049999999999997</v>
      </c>
      <c r="M67" s="189">
        <v>51.43</v>
      </c>
      <c r="N67" s="189">
        <v>621.29999999999995</v>
      </c>
      <c r="O67" s="189">
        <v>0</v>
      </c>
      <c r="P67" s="189">
        <v>0.46</v>
      </c>
      <c r="Q67" s="189">
        <v>4.5</v>
      </c>
    </row>
    <row r="68" spans="1:17" customFormat="1">
      <c r="A68" s="6" t="s">
        <v>2312</v>
      </c>
      <c r="B68" s="189">
        <v>6.38</v>
      </c>
      <c r="C68" s="189">
        <v>39.159999999999997</v>
      </c>
      <c r="D68" s="189">
        <v>24.54</v>
      </c>
      <c r="E68" s="189">
        <v>7.96</v>
      </c>
      <c r="F68" s="189">
        <v>20.05</v>
      </c>
      <c r="G68" s="189">
        <v>37.07</v>
      </c>
      <c r="H68" s="189">
        <v>23.84</v>
      </c>
      <c r="I68" s="189">
        <v>4.93</v>
      </c>
      <c r="J68" s="189">
        <v>0.48</v>
      </c>
      <c r="K68" s="189">
        <v>245.33</v>
      </c>
      <c r="L68" s="189">
        <v>35.04</v>
      </c>
      <c r="M68" s="189">
        <v>52.55</v>
      </c>
      <c r="N68" s="189">
        <v>598.29999999999995</v>
      </c>
      <c r="O68" s="189">
        <v>0</v>
      </c>
      <c r="P68" s="189">
        <v>0.47</v>
      </c>
      <c r="Q68" s="189">
        <v>4.5199999999999996</v>
      </c>
    </row>
    <row r="69" spans="1:17" customFormat="1">
      <c r="A69" s="6" t="s">
        <v>2313</v>
      </c>
      <c r="B69" s="189">
        <v>5.75</v>
      </c>
      <c r="C69" s="189">
        <v>36.520000000000003</v>
      </c>
      <c r="D69" s="189">
        <v>22.65</v>
      </c>
      <c r="E69" s="189">
        <v>8.65</v>
      </c>
      <c r="F69" s="189">
        <v>25.08</v>
      </c>
      <c r="G69" s="189">
        <v>37.07</v>
      </c>
      <c r="H69" s="189">
        <v>23.84</v>
      </c>
      <c r="I69" s="189">
        <v>4.99</v>
      </c>
      <c r="J69" s="189">
        <v>0.33</v>
      </c>
      <c r="K69" s="189">
        <v>230.06</v>
      </c>
      <c r="L69" s="189">
        <v>35.39</v>
      </c>
      <c r="M69" s="189">
        <v>52.55</v>
      </c>
      <c r="N69" s="189">
        <v>555.70000000000005</v>
      </c>
      <c r="O69" s="189">
        <v>0</v>
      </c>
      <c r="P69" s="189">
        <v>0.46</v>
      </c>
      <c r="Q69" s="189">
        <v>4.46</v>
      </c>
    </row>
    <row r="70" spans="1:17" customFormat="1">
      <c r="A70" s="6" t="s">
        <v>2314</v>
      </c>
      <c r="B70" s="189">
        <v>5.28</v>
      </c>
      <c r="C70" s="189">
        <v>36.74</v>
      </c>
      <c r="D70" s="189">
        <v>22.39</v>
      </c>
      <c r="E70" s="189">
        <v>8.08</v>
      </c>
      <c r="F70" s="189">
        <v>21.45</v>
      </c>
      <c r="G70" s="189">
        <v>37.07</v>
      </c>
      <c r="H70" s="189">
        <v>23.84</v>
      </c>
      <c r="I70" s="189">
        <v>4.96</v>
      </c>
      <c r="J70" s="189">
        <v>0.73</v>
      </c>
      <c r="K70" s="189">
        <v>254.87</v>
      </c>
      <c r="L70" s="189">
        <v>35.270000000000003</v>
      </c>
      <c r="M70" s="189">
        <v>52.45</v>
      </c>
      <c r="N70" s="189">
        <v>513.20000000000005</v>
      </c>
      <c r="O70" s="189">
        <v>0</v>
      </c>
      <c r="P70" s="189">
        <v>0.47</v>
      </c>
      <c r="Q70" s="189">
        <v>4.42</v>
      </c>
    </row>
    <row r="71" spans="1:17" customFormat="1">
      <c r="A71" s="6" t="s">
        <v>2315</v>
      </c>
      <c r="B71" s="189">
        <v>4.8600000000000003</v>
      </c>
      <c r="C71" s="189">
        <v>35.47</v>
      </c>
      <c r="D71" s="189">
        <v>21.38</v>
      </c>
      <c r="E71" s="189">
        <v>8.84</v>
      </c>
      <c r="F71" s="189">
        <v>29.22</v>
      </c>
      <c r="G71" s="189">
        <v>37.83</v>
      </c>
      <c r="H71" s="189">
        <v>24.43</v>
      </c>
      <c r="I71" s="189">
        <v>4.9400000000000004</v>
      </c>
      <c r="J71" s="189">
        <v>0.66</v>
      </c>
      <c r="K71" s="189">
        <v>257.64</v>
      </c>
      <c r="L71" s="189">
        <v>35.15</v>
      </c>
      <c r="M71" s="189">
        <v>52.75</v>
      </c>
      <c r="N71" s="189">
        <v>463.6</v>
      </c>
      <c r="O71" s="189">
        <v>0</v>
      </c>
      <c r="P71" s="189">
        <v>0.47</v>
      </c>
      <c r="Q71" s="189">
        <v>4.38</v>
      </c>
    </row>
    <row r="72" spans="1:17" customFormat="1">
      <c r="A72" s="6" t="s">
        <v>2316</v>
      </c>
      <c r="B72" s="189">
        <v>4.6500000000000004</v>
      </c>
      <c r="C72" s="189">
        <v>35.64</v>
      </c>
      <c r="D72" s="189">
        <v>21.3</v>
      </c>
      <c r="E72" s="189">
        <v>8.73</v>
      </c>
      <c r="F72" s="189">
        <v>25.73</v>
      </c>
      <c r="G72" s="189">
        <v>38.26</v>
      </c>
      <c r="H72" s="189">
        <v>24.53</v>
      </c>
      <c r="I72" s="189">
        <v>4.97</v>
      </c>
      <c r="J72" s="189">
        <v>0.46</v>
      </c>
      <c r="K72" s="189">
        <v>235.13</v>
      </c>
      <c r="L72" s="189">
        <v>35.159999999999997</v>
      </c>
      <c r="M72" s="189">
        <v>52.48</v>
      </c>
      <c r="N72" s="189">
        <v>411.4</v>
      </c>
      <c r="O72" s="189">
        <v>0</v>
      </c>
      <c r="P72" s="189">
        <v>0.47</v>
      </c>
      <c r="Q72" s="189">
        <v>4.32</v>
      </c>
    </row>
    <row r="73" spans="1:17" customFormat="1">
      <c r="A73" s="6" t="s">
        <v>2317</v>
      </c>
      <c r="B73" s="189">
        <v>4.2</v>
      </c>
      <c r="C73" s="189">
        <v>34.21</v>
      </c>
      <c r="D73" s="189">
        <v>20.2</v>
      </c>
      <c r="E73" s="189">
        <v>11.74</v>
      </c>
      <c r="F73" s="189">
        <v>31.7</v>
      </c>
      <c r="G73" s="189">
        <v>38.26</v>
      </c>
      <c r="H73" s="189">
        <v>24.53</v>
      </c>
      <c r="I73" s="189">
        <v>5.0199999999999996</v>
      </c>
      <c r="J73" s="189">
        <v>0.45</v>
      </c>
      <c r="K73" s="189">
        <v>235.52</v>
      </c>
      <c r="L73" s="189">
        <v>35.380000000000003</v>
      </c>
      <c r="M73" s="189">
        <v>51.95</v>
      </c>
      <c r="N73" s="189">
        <v>360</v>
      </c>
      <c r="O73" s="189">
        <v>0</v>
      </c>
      <c r="P73" s="189">
        <v>0.52</v>
      </c>
      <c r="Q73" s="189">
        <v>4.2699999999999996</v>
      </c>
    </row>
    <row r="74" spans="1:17" customFormat="1">
      <c r="A74" s="6" t="s">
        <v>2318</v>
      </c>
      <c r="B74" s="189">
        <v>3.79</v>
      </c>
      <c r="C74" s="189">
        <v>32.14</v>
      </c>
      <c r="D74" s="189">
        <v>18.79</v>
      </c>
      <c r="E74" s="189">
        <v>14.09</v>
      </c>
      <c r="F74" s="189">
        <v>40.24</v>
      </c>
      <c r="G74" s="189">
        <v>38.26</v>
      </c>
      <c r="H74" s="189">
        <v>24.53</v>
      </c>
      <c r="I74" s="189">
        <v>5.26</v>
      </c>
      <c r="J74" s="189">
        <v>0.36</v>
      </c>
      <c r="K74" s="189">
        <v>232.46</v>
      </c>
      <c r="L74" s="189">
        <v>35.380000000000003</v>
      </c>
      <c r="M74" s="189">
        <v>53.12</v>
      </c>
      <c r="N74" s="189">
        <v>290.8</v>
      </c>
      <c r="O74" s="189">
        <v>0</v>
      </c>
      <c r="P74" s="189">
        <v>0.56000000000000005</v>
      </c>
      <c r="Q74" s="189">
        <v>4.25</v>
      </c>
    </row>
    <row r="75" spans="1:17" customFormat="1">
      <c r="A75" s="6" t="s">
        <v>2319</v>
      </c>
      <c r="B75" s="189">
        <v>3.71</v>
      </c>
      <c r="C75" s="189">
        <v>31.12</v>
      </c>
      <c r="D75" s="189">
        <v>18.190000000000001</v>
      </c>
      <c r="E75" s="189">
        <v>16.489999999999998</v>
      </c>
      <c r="F75" s="189">
        <v>39.369999999999997</v>
      </c>
      <c r="G75" s="189">
        <v>39.15</v>
      </c>
      <c r="H75" s="189">
        <v>26.84</v>
      </c>
      <c r="I75" s="189">
        <v>5.56</v>
      </c>
      <c r="J75" s="189">
        <v>0.47</v>
      </c>
      <c r="K75" s="189">
        <v>244.84</v>
      </c>
      <c r="L75" s="189">
        <v>35.07</v>
      </c>
      <c r="M75" s="189">
        <v>52.56</v>
      </c>
      <c r="N75" s="189">
        <v>218.8</v>
      </c>
      <c r="O75" s="189">
        <v>0</v>
      </c>
      <c r="P75" s="189">
        <v>0.56000000000000005</v>
      </c>
      <c r="Q75" s="189">
        <v>4.26</v>
      </c>
    </row>
    <row r="76" spans="1:17" customFormat="1">
      <c r="A76" s="6" t="s">
        <v>2320</v>
      </c>
      <c r="B76" s="189">
        <v>3.61</v>
      </c>
      <c r="C76" s="189">
        <v>30.88</v>
      </c>
      <c r="D76" s="189">
        <v>17.98</v>
      </c>
      <c r="E76" s="189">
        <v>19.559999999999999</v>
      </c>
      <c r="F76" s="189">
        <v>40.19</v>
      </c>
      <c r="G76" s="189">
        <v>39.659999999999997</v>
      </c>
      <c r="H76" s="189">
        <v>27.25</v>
      </c>
      <c r="I76" s="189">
        <v>5.72</v>
      </c>
      <c r="J76" s="189">
        <v>0.41</v>
      </c>
      <c r="K76" s="189">
        <v>224.85</v>
      </c>
      <c r="L76" s="189">
        <v>34.590000000000003</v>
      </c>
      <c r="M76" s="189">
        <v>54.31</v>
      </c>
      <c r="N76" s="189">
        <v>112.3</v>
      </c>
      <c r="O76" s="189">
        <v>0</v>
      </c>
      <c r="P76" s="189">
        <v>0.56999999999999995</v>
      </c>
      <c r="Q76" s="189">
        <v>4.2699999999999996</v>
      </c>
    </row>
    <row r="77" spans="1:17" customFormat="1">
      <c r="A77" s="6" t="s">
        <v>2321</v>
      </c>
      <c r="B77" s="189">
        <v>3.47</v>
      </c>
      <c r="C77" s="189">
        <v>30.21</v>
      </c>
      <c r="D77" s="189">
        <v>17.52</v>
      </c>
      <c r="E77" s="189">
        <v>14.96</v>
      </c>
      <c r="F77" s="189">
        <v>43.59</v>
      </c>
      <c r="G77" s="189">
        <v>39.659999999999997</v>
      </c>
      <c r="H77" s="189">
        <v>27.25</v>
      </c>
      <c r="I77" s="189">
        <v>5.78</v>
      </c>
      <c r="J77" s="189">
        <v>0.36</v>
      </c>
      <c r="K77" s="189">
        <v>234.19</v>
      </c>
      <c r="L77" s="189">
        <v>34.090000000000003</v>
      </c>
      <c r="M77" s="189">
        <v>55.2</v>
      </c>
      <c r="N77" s="189">
        <v>60.4</v>
      </c>
      <c r="O77" s="189">
        <v>0</v>
      </c>
      <c r="P77" s="189">
        <v>0.55000000000000004</v>
      </c>
      <c r="Q77" s="189">
        <v>4.24</v>
      </c>
    </row>
    <row r="78" spans="1:17" customFormat="1">
      <c r="A78" s="6" t="s">
        <v>2322</v>
      </c>
      <c r="B78" s="189">
        <v>3.34</v>
      </c>
      <c r="C78" s="189">
        <v>27.78</v>
      </c>
      <c r="D78" s="189">
        <v>16.149999999999999</v>
      </c>
      <c r="E78" s="189">
        <v>11.74</v>
      </c>
      <c r="F78" s="189">
        <v>44.11</v>
      </c>
      <c r="G78" s="189">
        <v>39.659999999999997</v>
      </c>
      <c r="H78" s="189">
        <v>27.25</v>
      </c>
      <c r="I78" s="189">
        <v>6.06</v>
      </c>
      <c r="J78" s="189">
        <v>0.42</v>
      </c>
      <c r="K78" s="189">
        <v>249.22</v>
      </c>
      <c r="L78" s="189">
        <v>33.83</v>
      </c>
      <c r="M78" s="189">
        <v>56.09</v>
      </c>
      <c r="N78" s="189">
        <v>36.1</v>
      </c>
      <c r="O78" s="189">
        <v>0</v>
      </c>
      <c r="P78" s="189">
        <v>0.5</v>
      </c>
      <c r="Q78" s="189">
        <v>4.2300000000000004</v>
      </c>
    </row>
    <row r="79" spans="1:17" customFormat="1">
      <c r="A79" s="6" t="s">
        <v>2323</v>
      </c>
      <c r="B79" s="189">
        <v>4.72</v>
      </c>
      <c r="C79" s="189">
        <v>35.19</v>
      </c>
      <c r="D79" s="189">
        <v>21.13</v>
      </c>
      <c r="E79" s="189">
        <v>8.16</v>
      </c>
      <c r="F79" s="189">
        <v>12.59</v>
      </c>
      <c r="G79" s="189">
        <v>39.97</v>
      </c>
      <c r="H79" s="189">
        <v>26.24</v>
      </c>
      <c r="I79" s="189">
        <v>6</v>
      </c>
      <c r="J79" s="189">
        <v>2.1800000000000002</v>
      </c>
      <c r="K79" s="189">
        <v>295.02</v>
      </c>
      <c r="L79" s="189">
        <v>32.479999999999997</v>
      </c>
      <c r="M79" s="189">
        <v>54.27</v>
      </c>
      <c r="N79" s="189">
        <v>33.700000000000003</v>
      </c>
      <c r="O79" s="189">
        <v>0</v>
      </c>
      <c r="P79" s="189">
        <v>0.51</v>
      </c>
      <c r="Q79" s="189">
        <v>4.22</v>
      </c>
    </row>
    <row r="80" spans="1:17" customFormat="1">
      <c r="A80" s="6" t="s">
        <v>2324</v>
      </c>
      <c r="B80" s="189">
        <v>4.67</v>
      </c>
      <c r="C80" s="189">
        <v>37.07</v>
      </c>
      <c r="D80" s="189">
        <v>22.06</v>
      </c>
      <c r="E80" s="189">
        <v>6.85</v>
      </c>
      <c r="F80" s="189">
        <v>8.31</v>
      </c>
      <c r="G80" s="189">
        <v>40.15</v>
      </c>
      <c r="H80" s="189">
        <v>26.06</v>
      </c>
      <c r="I80" s="189">
        <v>5.55</v>
      </c>
      <c r="J80" s="189">
        <v>1.93</v>
      </c>
      <c r="K80" s="189">
        <v>288.39999999999998</v>
      </c>
      <c r="L80" s="189">
        <v>30.78</v>
      </c>
      <c r="M80" s="189">
        <v>58.05</v>
      </c>
      <c r="N80" s="189">
        <v>22</v>
      </c>
      <c r="O80" s="189">
        <v>0</v>
      </c>
      <c r="P80" s="189">
        <v>0.5</v>
      </c>
      <c r="Q80" s="189">
        <v>4.2</v>
      </c>
    </row>
    <row r="81" spans="1:17" customFormat="1">
      <c r="A81" s="6" t="s">
        <v>2325</v>
      </c>
      <c r="B81" s="189">
        <v>4.71</v>
      </c>
      <c r="C81" s="189">
        <v>38.270000000000003</v>
      </c>
      <c r="D81" s="189">
        <v>22.73</v>
      </c>
      <c r="E81" s="189">
        <v>6.36</v>
      </c>
      <c r="F81" s="189">
        <v>7.8</v>
      </c>
      <c r="G81" s="189">
        <v>40.15</v>
      </c>
      <c r="H81" s="189">
        <v>26.06</v>
      </c>
      <c r="I81" s="189">
        <v>5.53</v>
      </c>
      <c r="J81" s="189">
        <v>1.34</v>
      </c>
      <c r="K81" s="189">
        <v>288.35000000000002</v>
      </c>
      <c r="L81" s="189">
        <v>30.29</v>
      </c>
      <c r="M81" s="189">
        <v>59.44</v>
      </c>
      <c r="N81" s="189">
        <v>4.2</v>
      </c>
      <c r="O81" s="189">
        <v>0</v>
      </c>
      <c r="P81" s="189">
        <v>0.51</v>
      </c>
      <c r="Q81" s="189">
        <v>4.1900000000000004</v>
      </c>
    </row>
    <row r="82" spans="1:17" customFormat="1">
      <c r="A82" s="6" t="s">
        <v>2326</v>
      </c>
      <c r="B82" s="189">
        <v>5.04</v>
      </c>
      <c r="C82" s="189">
        <v>38.71</v>
      </c>
      <c r="D82" s="189">
        <v>23.22</v>
      </c>
      <c r="E82" s="189">
        <v>7.2</v>
      </c>
      <c r="F82" s="189">
        <v>7.91</v>
      </c>
      <c r="G82" s="189">
        <v>40.15</v>
      </c>
      <c r="H82" s="189">
        <v>26.06</v>
      </c>
      <c r="I82" s="189">
        <v>5.6</v>
      </c>
      <c r="J82" s="189">
        <v>1.71</v>
      </c>
      <c r="K82" s="189">
        <v>290.60000000000002</v>
      </c>
      <c r="L82" s="189">
        <v>29.52</v>
      </c>
      <c r="M82" s="189">
        <v>62.53</v>
      </c>
      <c r="N82" s="189">
        <v>0.4</v>
      </c>
      <c r="O82" s="189">
        <v>0</v>
      </c>
      <c r="P82" s="189">
        <v>0.52</v>
      </c>
      <c r="Q82" s="189">
        <v>4.26</v>
      </c>
    </row>
    <row r="83" spans="1:17" customFormat="1">
      <c r="A83" s="6" t="s">
        <v>2327</v>
      </c>
      <c r="B83" s="189">
        <v>5.48</v>
      </c>
      <c r="C83" s="189">
        <v>37.909999999999997</v>
      </c>
      <c r="D83" s="189">
        <v>23.16</v>
      </c>
      <c r="E83" s="189">
        <v>7.27</v>
      </c>
      <c r="F83" s="189">
        <v>8.18</v>
      </c>
      <c r="G83" s="189">
        <v>39.78</v>
      </c>
      <c r="H83" s="189">
        <v>19.78</v>
      </c>
      <c r="I83" s="189">
        <v>5.51</v>
      </c>
      <c r="J83" s="189">
        <v>1.75</v>
      </c>
      <c r="K83" s="189">
        <v>307.75</v>
      </c>
      <c r="L83" s="189">
        <v>28.77</v>
      </c>
      <c r="M83" s="189">
        <v>66.83</v>
      </c>
      <c r="N83" s="189">
        <v>0</v>
      </c>
      <c r="O83" s="189">
        <v>0</v>
      </c>
      <c r="P83" s="189">
        <v>0.51</v>
      </c>
      <c r="Q83" s="189">
        <v>4.29</v>
      </c>
    </row>
    <row r="84" spans="1:17" customFormat="1">
      <c r="A84" s="6" t="s">
        <v>2328</v>
      </c>
      <c r="B84" s="189">
        <v>5.99</v>
      </c>
      <c r="C84" s="189">
        <v>41.15</v>
      </c>
      <c r="D84" s="189">
        <v>25.25</v>
      </c>
      <c r="E84" s="189">
        <v>7.41</v>
      </c>
      <c r="F84" s="189">
        <v>6.31</v>
      </c>
      <c r="G84" s="189">
        <v>39.57</v>
      </c>
      <c r="H84" s="189">
        <v>17.88</v>
      </c>
      <c r="I84" s="189">
        <v>5.38</v>
      </c>
      <c r="J84" s="189">
        <v>1.19</v>
      </c>
      <c r="K84" s="189">
        <v>311.42</v>
      </c>
      <c r="L84" s="189">
        <v>27.98</v>
      </c>
      <c r="M84" s="189">
        <v>73.81</v>
      </c>
      <c r="N84" s="189">
        <v>0</v>
      </c>
      <c r="O84" s="189">
        <v>0</v>
      </c>
      <c r="P84" s="189">
        <v>0.53</v>
      </c>
      <c r="Q84" s="189">
        <v>4.37</v>
      </c>
    </row>
    <row r="85" spans="1:17" customFormat="1">
      <c r="A85" s="6" t="s">
        <v>2329</v>
      </c>
      <c r="B85" s="189">
        <v>6.46</v>
      </c>
      <c r="C85" s="189">
        <v>39.049999999999997</v>
      </c>
      <c r="D85" s="189">
        <v>24.54</v>
      </c>
      <c r="E85" s="189">
        <v>8.23</v>
      </c>
      <c r="F85" s="189">
        <v>8.58</v>
      </c>
      <c r="G85" s="189">
        <v>39.57</v>
      </c>
      <c r="H85" s="189">
        <v>17.88</v>
      </c>
      <c r="I85" s="189">
        <v>5.33</v>
      </c>
      <c r="J85" s="189">
        <v>0.69</v>
      </c>
      <c r="K85" s="189">
        <v>318.25</v>
      </c>
      <c r="L85" s="189">
        <v>27.83</v>
      </c>
      <c r="M85" s="189">
        <v>74.64</v>
      </c>
      <c r="N85" s="189">
        <v>0</v>
      </c>
      <c r="O85" s="189">
        <v>0</v>
      </c>
      <c r="P85" s="189">
        <v>0.51</v>
      </c>
      <c r="Q85" s="189">
        <v>4.3600000000000003</v>
      </c>
    </row>
    <row r="86" spans="1:17" customFormat="1">
      <c r="A86" s="6" t="s">
        <v>2330</v>
      </c>
      <c r="B86" s="189">
        <v>6.78</v>
      </c>
      <c r="C86" s="189">
        <v>39.840000000000003</v>
      </c>
      <c r="D86" s="189">
        <v>25.21</v>
      </c>
      <c r="E86" s="189">
        <v>7.56</v>
      </c>
      <c r="F86" s="189">
        <v>6.98</v>
      </c>
      <c r="G86" s="189">
        <v>39.57</v>
      </c>
      <c r="H86" s="189">
        <v>17.88</v>
      </c>
      <c r="I86" s="189">
        <v>5.28</v>
      </c>
      <c r="J86" s="189">
        <v>0.55000000000000004</v>
      </c>
      <c r="K86" s="189">
        <v>280.35000000000002</v>
      </c>
      <c r="L86" s="189">
        <v>27.85</v>
      </c>
      <c r="M86" s="189">
        <v>74.849999999999994</v>
      </c>
      <c r="N86" s="189">
        <v>0</v>
      </c>
      <c r="O86" s="189">
        <v>0</v>
      </c>
      <c r="P86" s="189">
        <v>0.53</v>
      </c>
      <c r="Q86" s="189">
        <v>4.3499999999999996</v>
      </c>
    </row>
    <row r="87" spans="1:17" customFormat="1">
      <c r="A87" s="6" t="s">
        <v>2331</v>
      </c>
      <c r="B87" s="189">
        <v>6.77</v>
      </c>
      <c r="C87" s="189">
        <v>39.96</v>
      </c>
      <c r="D87" s="189">
        <v>25.26</v>
      </c>
      <c r="E87" s="189">
        <v>8.14</v>
      </c>
      <c r="F87" s="189">
        <v>9.35</v>
      </c>
      <c r="G87" s="189">
        <v>40.54</v>
      </c>
      <c r="H87" s="189">
        <v>16.2</v>
      </c>
      <c r="I87" s="189">
        <v>5.21</v>
      </c>
      <c r="J87" s="189">
        <v>0.17</v>
      </c>
      <c r="K87" s="189">
        <v>264.23</v>
      </c>
      <c r="L87" s="189">
        <v>27.79</v>
      </c>
      <c r="M87" s="189">
        <v>75.400000000000006</v>
      </c>
      <c r="N87" s="189">
        <v>0</v>
      </c>
      <c r="O87" s="189">
        <v>0</v>
      </c>
      <c r="P87" s="189">
        <v>0.59</v>
      </c>
      <c r="Q87" s="189">
        <v>4.45</v>
      </c>
    </row>
    <row r="88" spans="1:17" customFormat="1">
      <c r="A88" s="6" t="s">
        <v>2332</v>
      </c>
      <c r="B88" s="189">
        <v>7.3</v>
      </c>
      <c r="C88" s="189">
        <v>38.92</v>
      </c>
      <c r="D88" s="189">
        <v>25.14</v>
      </c>
      <c r="E88" s="189">
        <v>7.41</v>
      </c>
      <c r="F88" s="189">
        <v>7.84</v>
      </c>
      <c r="G88" s="189">
        <v>41.11</v>
      </c>
      <c r="H88" s="189">
        <v>15.9</v>
      </c>
      <c r="I88" s="189">
        <v>5.4</v>
      </c>
      <c r="J88" s="189">
        <v>0.4</v>
      </c>
      <c r="K88" s="189">
        <v>310.12</v>
      </c>
      <c r="L88" s="189">
        <v>27.91</v>
      </c>
      <c r="M88" s="189">
        <v>74.41</v>
      </c>
      <c r="N88" s="189">
        <v>0</v>
      </c>
      <c r="O88" s="189">
        <v>0</v>
      </c>
      <c r="P88" s="189">
        <v>0.56999999999999995</v>
      </c>
      <c r="Q88" s="189">
        <v>4.42</v>
      </c>
    </row>
    <row r="89" spans="1:17" customFormat="1">
      <c r="A89" s="6" t="s">
        <v>2333</v>
      </c>
      <c r="B89" s="189">
        <v>8.52</v>
      </c>
      <c r="C89" s="189">
        <v>42.86</v>
      </c>
      <c r="D89" s="189">
        <v>28.18</v>
      </c>
      <c r="E89" s="189">
        <v>8.0299999999999994</v>
      </c>
      <c r="F89" s="189">
        <v>6.05</v>
      </c>
      <c r="G89" s="189">
        <v>41.11</v>
      </c>
      <c r="H89" s="189">
        <v>15.9</v>
      </c>
      <c r="I89" s="189">
        <v>5.59</v>
      </c>
      <c r="J89" s="189">
        <v>0.39</v>
      </c>
      <c r="K89" s="189">
        <v>333.15</v>
      </c>
      <c r="L89" s="189">
        <v>28.03</v>
      </c>
      <c r="M89" s="189">
        <v>73.349999999999994</v>
      </c>
      <c r="N89" s="189">
        <v>0</v>
      </c>
      <c r="O89" s="189">
        <v>0</v>
      </c>
      <c r="P89" s="189">
        <v>0.6</v>
      </c>
      <c r="Q89" s="189">
        <v>4.57</v>
      </c>
    </row>
    <row r="90" spans="1:17" customFormat="1">
      <c r="A90" s="6" t="s">
        <v>2334</v>
      </c>
      <c r="B90" s="189">
        <v>9.24</v>
      </c>
      <c r="C90" s="189">
        <v>40.520000000000003</v>
      </c>
      <c r="D90" s="189">
        <v>27.53</v>
      </c>
      <c r="E90" s="189">
        <v>8.18</v>
      </c>
      <c r="F90" s="189">
        <v>7.75</v>
      </c>
      <c r="G90" s="189">
        <v>41.11</v>
      </c>
      <c r="H90" s="189">
        <v>15.9</v>
      </c>
      <c r="I90" s="189">
        <v>5.66</v>
      </c>
      <c r="J90" s="189">
        <v>0.6</v>
      </c>
      <c r="K90" s="189">
        <v>303.39</v>
      </c>
      <c r="L90" s="189">
        <v>27.84</v>
      </c>
      <c r="M90" s="189">
        <v>72.92</v>
      </c>
      <c r="N90" s="189">
        <v>0</v>
      </c>
      <c r="O90" s="189">
        <v>0</v>
      </c>
      <c r="P90" s="189">
        <v>0.56999999999999995</v>
      </c>
      <c r="Q90" s="189">
        <v>4.57</v>
      </c>
    </row>
    <row r="91" spans="1:17" customFormat="1">
      <c r="A91" s="6" t="s">
        <v>2335</v>
      </c>
      <c r="B91" s="189">
        <v>9.66</v>
      </c>
      <c r="C91" s="189">
        <v>42.73</v>
      </c>
      <c r="D91" s="189">
        <v>29.03</v>
      </c>
      <c r="E91" s="189">
        <v>7.63</v>
      </c>
      <c r="F91" s="189">
        <v>5.98</v>
      </c>
      <c r="G91" s="189">
        <v>39.880000000000003</v>
      </c>
      <c r="H91" s="189">
        <v>15.02</v>
      </c>
      <c r="I91" s="189">
        <v>5.52</v>
      </c>
      <c r="J91" s="189">
        <v>0.77</v>
      </c>
      <c r="K91" s="189">
        <v>314.77999999999997</v>
      </c>
      <c r="L91" s="189">
        <v>27.85</v>
      </c>
      <c r="M91" s="189">
        <v>72.84</v>
      </c>
      <c r="N91" s="189">
        <v>0</v>
      </c>
      <c r="O91" s="189">
        <v>0</v>
      </c>
      <c r="P91" s="189">
        <v>0.57999999999999996</v>
      </c>
      <c r="Q91" s="189">
        <v>4.5599999999999996</v>
      </c>
    </row>
    <row r="92" spans="1:17" customFormat="1">
      <c r="A92" s="6" t="s">
        <v>2336</v>
      </c>
      <c r="B92" s="189">
        <v>10.42</v>
      </c>
      <c r="C92" s="189">
        <v>43.13</v>
      </c>
      <c r="D92" s="189">
        <v>29.84</v>
      </c>
      <c r="E92" s="189">
        <v>10.59</v>
      </c>
      <c r="F92" s="189">
        <v>6.4</v>
      </c>
      <c r="G92" s="189">
        <v>39.17</v>
      </c>
      <c r="H92" s="189">
        <v>14.86</v>
      </c>
      <c r="I92" s="189">
        <v>5.39</v>
      </c>
      <c r="J92" s="189">
        <v>0.71</v>
      </c>
      <c r="K92" s="189">
        <v>17.59</v>
      </c>
      <c r="L92" s="189">
        <v>27.72</v>
      </c>
      <c r="M92" s="189">
        <v>75.64</v>
      </c>
      <c r="N92" s="189">
        <v>0</v>
      </c>
      <c r="O92" s="189">
        <v>0</v>
      </c>
      <c r="P92" s="189">
        <v>0.59</v>
      </c>
      <c r="Q92" s="189">
        <v>4.6900000000000004</v>
      </c>
    </row>
    <row r="93" spans="1:17" customFormat="1">
      <c r="A93" s="6" t="s">
        <v>2337</v>
      </c>
      <c r="B93" s="189">
        <v>11.21</v>
      </c>
      <c r="C93" s="189">
        <v>42.65</v>
      </c>
      <c r="D93" s="189">
        <v>30.23</v>
      </c>
      <c r="E93" s="189">
        <v>8.7799999999999994</v>
      </c>
      <c r="F93" s="189">
        <v>6.14</v>
      </c>
      <c r="G93" s="189">
        <v>39.17</v>
      </c>
      <c r="H93" s="189">
        <v>14.86</v>
      </c>
      <c r="I93" s="189">
        <v>5.47</v>
      </c>
      <c r="J93" s="189">
        <v>0.96</v>
      </c>
      <c r="K93" s="189">
        <v>47.75</v>
      </c>
      <c r="L93" s="189">
        <v>27.26</v>
      </c>
      <c r="M93" s="189">
        <v>80.63</v>
      </c>
      <c r="N93" s="189">
        <v>0</v>
      </c>
      <c r="O93" s="189">
        <v>0</v>
      </c>
      <c r="P93" s="189">
        <v>0.57999999999999996</v>
      </c>
      <c r="Q93" s="189">
        <v>4.67</v>
      </c>
    </row>
    <row r="94" spans="1:17" customFormat="1">
      <c r="A94" s="6" t="s">
        <v>2338</v>
      </c>
      <c r="B94" s="189">
        <v>11.76</v>
      </c>
      <c r="C94" s="189">
        <v>42.7</v>
      </c>
      <c r="D94" s="189">
        <v>30.7</v>
      </c>
      <c r="E94" s="189">
        <v>7.46</v>
      </c>
      <c r="F94" s="189">
        <v>6.75</v>
      </c>
      <c r="G94" s="189">
        <v>39.17</v>
      </c>
      <c r="H94" s="189">
        <v>14.86</v>
      </c>
      <c r="I94" s="189">
        <v>5.48</v>
      </c>
      <c r="J94" s="189">
        <v>1.36</v>
      </c>
      <c r="K94" s="189">
        <v>56.9</v>
      </c>
      <c r="L94" s="189">
        <v>26.74</v>
      </c>
      <c r="M94" s="189">
        <v>83.4</v>
      </c>
      <c r="N94" s="189">
        <v>0</v>
      </c>
      <c r="O94" s="189">
        <v>0</v>
      </c>
      <c r="P94" s="189">
        <v>0.56999999999999995</v>
      </c>
      <c r="Q94" s="189">
        <v>4.74</v>
      </c>
    </row>
    <row r="95" spans="1:17" customFormat="1">
      <c r="A95" s="6" t="s">
        <v>2339</v>
      </c>
      <c r="B95" s="189">
        <v>12.17</v>
      </c>
      <c r="C95" s="189">
        <v>41.57</v>
      </c>
      <c r="D95" s="189">
        <v>30.43</v>
      </c>
      <c r="E95" s="189">
        <v>7.12</v>
      </c>
      <c r="F95" s="189">
        <v>6.61</v>
      </c>
      <c r="G95" s="189">
        <v>40.39</v>
      </c>
      <c r="H95" s="189">
        <v>14.75</v>
      </c>
      <c r="I95" s="189">
        <v>5.49</v>
      </c>
      <c r="J95" s="189">
        <v>0.92</v>
      </c>
      <c r="K95" s="189">
        <v>46.99</v>
      </c>
      <c r="L95" s="189">
        <v>26.19</v>
      </c>
      <c r="M95" s="189">
        <v>86.04</v>
      </c>
      <c r="N95" s="189">
        <v>0</v>
      </c>
      <c r="O95" s="189">
        <v>0</v>
      </c>
      <c r="P95" s="189">
        <v>0.56000000000000005</v>
      </c>
      <c r="Q95" s="189">
        <v>4.7</v>
      </c>
    </row>
    <row r="96" spans="1:17" customFormat="1">
      <c r="A96" s="6" t="s">
        <v>2340</v>
      </c>
      <c r="B96" s="189">
        <v>12.63</v>
      </c>
      <c r="C96" s="189">
        <v>45.2</v>
      </c>
      <c r="D96" s="189">
        <v>32.700000000000003</v>
      </c>
      <c r="E96" s="189">
        <v>6.97</v>
      </c>
      <c r="F96" s="189">
        <v>5.44</v>
      </c>
      <c r="G96" s="189">
        <v>41.09</v>
      </c>
      <c r="H96" s="189">
        <v>14.73</v>
      </c>
      <c r="I96" s="189">
        <v>5.38</v>
      </c>
      <c r="J96" s="189">
        <v>0.74</v>
      </c>
      <c r="K96" s="189">
        <v>65.290000000000006</v>
      </c>
      <c r="L96" s="189">
        <v>26.08</v>
      </c>
      <c r="M96" s="189">
        <v>86.12</v>
      </c>
      <c r="N96" s="189">
        <v>0</v>
      </c>
      <c r="O96" s="189">
        <v>0</v>
      </c>
      <c r="P96" s="189">
        <v>0.56999999999999995</v>
      </c>
      <c r="Q96" s="189">
        <v>4.8099999999999996</v>
      </c>
    </row>
    <row r="97" spans="1:22" customFormat="1">
      <c r="A97" s="6" t="s">
        <v>2341</v>
      </c>
      <c r="B97" s="189">
        <v>12.67</v>
      </c>
      <c r="C97" s="189">
        <v>42.01</v>
      </c>
      <c r="D97" s="189">
        <v>31.07</v>
      </c>
      <c r="E97" s="189">
        <v>6.17</v>
      </c>
      <c r="F97" s="189">
        <v>6.98</v>
      </c>
      <c r="G97" s="189">
        <v>41.09</v>
      </c>
      <c r="H97" s="189">
        <v>14.73</v>
      </c>
      <c r="I97" s="189">
        <v>5.36</v>
      </c>
      <c r="J97" s="189">
        <v>0.28999999999999998</v>
      </c>
      <c r="K97" s="189">
        <v>85.19</v>
      </c>
      <c r="L97" s="189">
        <v>26.18</v>
      </c>
      <c r="M97" s="189">
        <v>85.92</v>
      </c>
      <c r="N97" s="189">
        <v>0</v>
      </c>
      <c r="O97" s="189">
        <v>0</v>
      </c>
      <c r="P97" s="189">
        <v>0.55000000000000004</v>
      </c>
      <c r="Q97" s="189">
        <v>4.8</v>
      </c>
    </row>
    <row r="98" spans="1:22" customFormat="1">
      <c r="A98" s="6" t="s">
        <v>2342</v>
      </c>
      <c r="B98" s="189">
        <v>13.15</v>
      </c>
      <c r="C98" s="189">
        <v>45.74</v>
      </c>
      <c r="D98" s="189">
        <v>33.4</v>
      </c>
      <c r="E98" s="189">
        <v>7.04</v>
      </c>
      <c r="F98" s="189">
        <v>4.95</v>
      </c>
      <c r="G98" s="189">
        <v>41.09</v>
      </c>
      <c r="H98" s="189">
        <v>14.73</v>
      </c>
      <c r="I98" s="189">
        <v>5.31</v>
      </c>
      <c r="J98" s="189">
        <v>0.62</v>
      </c>
      <c r="K98" s="189">
        <v>61.64</v>
      </c>
      <c r="L98" s="189">
        <v>26.23</v>
      </c>
      <c r="M98" s="189">
        <v>84.57</v>
      </c>
      <c r="N98" s="189">
        <v>0</v>
      </c>
      <c r="O98" s="189">
        <v>0</v>
      </c>
      <c r="P98" s="189">
        <v>0.56999999999999995</v>
      </c>
      <c r="Q98" s="189">
        <v>4.8600000000000003</v>
      </c>
    </row>
    <row r="99" spans="1:22" customFormat="1">
      <c r="A99" s="6" t="s">
        <v>2343</v>
      </c>
      <c r="B99" s="189">
        <v>13.45</v>
      </c>
      <c r="C99" s="189">
        <v>42.9</v>
      </c>
      <c r="D99" s="189">
        <v>32.15</v>
      </c>
      <c r="E99" s="189">
        <v>7.35</v>
      </c>
      <c r="F99" s="189">
        <v>7.47</v>
      </c>
      <c r="G99" s="189">
        <v>38.99</v>
      </c>
      <c r="H99" s="189">
        <v>12.53</v>
      </c>
      <c r="I99" s="189">
        <v>5.25</v>
      </c>
      <c r="J99" s="189">
        <v>0.53</v>
      </c>
      <c r="K99" s="189">
        <v>69.33</v>
      </c>
      <c r="L99" s="189">
        <v>26.2</v>
      </c>
      <c r="M99" s="189">
        <v>85.03</v>
      </c>
      <c r="N99" s="189">
        <v>0</v>
      </c>
      <c r="O99" s="189">
        <v>0</v>
      </c>
      <c r="P99" s="189">
        <v>0.54</v>
      </c>
      <c r="Q99" s="189">
        <v>4.8099999999999996</v>
      </c>
    </row>
    <row r="100" spans="1:22" customFormat="1">
      <c r="A100" s="6" t="s">
        <v>2344</v>
      </c>
      <c r="B100" s="189">
        <v>14.03</v>
      </c>
      <c r="C100" s="189">
        <v>47.71</v>
      </c>
      <c r="D100" s="189">
        <v>35.14</v>
      </c>
      <c r="E100" s="189">
        <v>6.66</v>
      </c>
      <c r="F100" s="189">
        <v>4.26</v>
      </c>
      <c r="G100" s="189">
        <v>37.770000000000003</v>
      </c>
      <c r="H100" s="189">
        <v>12.14</v>
      </c>
      <c r="I100" s="189">
        <v>5.2</v>
      </c>
      <c r="J100" s="189">
        <v>0.37</v>
      </c>
      <c r="K100" s="189">
        <v>76.98</v>
      </c>
      <c r="L100" s="189">
        <v>26.23</v>
      </c>
      <c r="M100" s="189">
        <v>84.49</v>
      </c>
      <c r="N100" s="189">
        <v>0</v>
      </c>
      <c r="O100" s="189">
        <v>0</v>
      </c>
      <c r="P100" s="189">
        <v>0.56999999999999995</v>
      </c>
      <c r="Q100" s="189">
        <v>4.8899999999999997</v>
      </c>
    </row>
    <row r="101" spans="1:22" customFormat="1">
      <c r="A101" s="6" t="s">
        <v>2345</v>
      </c>
      <c r="B101" s="189">
        <v>14.2</v>
      </c>
      <c r="C101" s="189">
        <v>46.42</v>
      </c>
      <c r="D101" s="189">
        <v>34.590000000000003</v>
      </c>
      <c r="E101" s="189">
        <v>6.93</v>
      </c>
      <c r="F101" s="189">
        <v>4.88</v>
      </c>
      <c r="G101" s="189">
        <v>37.770000000000003</v>
      </c>
      <c r="H101" s="189">
        <v>12.14</v>
      </c>
      <c r="I101" s="189">
        <v>5.14</v>
      </c>
      <c r="J101" s="189">
        <v>0.13</v>
      </c>
      <c r="K101" s="189">
        <v>181.6</v>
      </c>
      <c r="L101" s="189">
        <v>26.28</v>
      </c>
      <c r="M101" s="189">
        <v>84.81</v>
      </c>
      <c r="N101" s="189">
        <v>0</v>
      </c>
      <c r="O101" s="189">
        <v>0</v>
      </c>
      <c r="P101" s="189">
        <v>0.56000000000000005</v>
      </c>
      <c r="Q101" s="189">
        <v>4.9400000000000004</v>
      </c>
    </row>
    <row r="102" spans="1:22" customFormat="1">
      <c r="A102" s="6" t="s">
        <v>2346</v>
      </c>
      <c r="B102" s="189">
        <v>13.96</v>
      </c>
      <c r="C102" s="189">
        <v>41.11</v>
      </c>
      <c r="D102" s="189">
        <v>31.63</v>
      </c>
      <c r="E102" s="189">
        <v>6.7</v>
      </c>
      <c r="F102" s="189">
        <v>6.75</v>
      </c>
      <c r="G102" s="189">
        <v>37.770000000000003</v>
      </c>
      <c r="H102" s="189">
        <v>12.14</v>
      </c>
      <c r="I102" s="189">
        <v>5.31</v>
      </c>
      <c r="J102" s="189">
        <v>0.13</v>
      </c>
      <c r="K102" s="189">
        <v>206.49</v>
      </c>
      <c r="L102" s="189">
        <v>26.24</v>
      </c>
      <c r="M102" s="189">
        <v>85.65</v>
      </c>
      <c r="N102" s="189">
        <v>0</v>
      </c>
      <c r="O102" s="189">
        <v>0</v>
      </c>
      <c r="P102" s="189">
        <v>0.52</v>
      </c>
      <c r="Q102" s="189">
        <v>4.8499999999999996</v>
      </c>
    </row>
    <row r="103" spans="1:22" customFormat="1">
      <c r="A103" s="6" t="s">
        <v>2347</v>
      </c>
      <c r="B103" s="189">
        <v>14.47</v>
      </c>
      <c r="C103" s="189">
        <v>46.55</v>
      </c>
      <c r="D103" s="189">
        <v>34.880000000000003</v>
      </c>
      <c r="E103" s="189">
        <v>6.26</v>
      </c>
      <c r="F103" s="189">
        <v>4.1100000000000003</v>
      </c>
      <c r="G103" s="189">
        <v>32.090000000000003</v>
      </c>
      <c r="H103" s="189">
        <v>10.61</v>
      </c>
      <c r="I103" s="189">
        <v>5.14</v>
      </c>
      <c r="J103" s="189">
        <v>0.15</v>
      </c>
      <c r="K103" s="189">
        <v>188.32</v>
      </c>
      <c r="L103" s="189">
        <v>26.22</v>
      </c>
      <c r="M103" s="189">
        <v>85.93</v>
      </c>
      <c r="N103" s="189">
        <v>0</v>
      </c>
      <c r="O103" s="189">
        <v>0</v>
      </c>
      <c r="P103" s="189">
        <v>0.55000000000000004</v>
      </c>
      <c r="Q103" s="189">
        <v>4.92</v>
      </c>
    </row>
    <row r="104" spans="1:22" customFormat="1">
      <c r="A104" s="6" t="s">
        <v>2348</v>
      </c>
      <c r="B104" s="189">
        <v>14.96</v>
      </c>
      <c r="C104" s="189">
        <v>45.02</v>
      </c>
      <c r="D104" s="189">
        <v>34.47</v>
      </c>
      <c r="E104" s="189">
        <v>7.16</v>
      </c>
      <c r="F104" s="189">
        <v>4.8899999999999997</v>
      </c>
      <c r="G104" s="189">
        <v>28.8</v>
      </c>
      <c r="H104" s="189">
        <v>10.33</v>
      </c>
      <c r="I104" s="189">
        <v>5.07</v>
      </c>
      <c r="J104" s="189">
        <v>0.26</v>
      </c>
      <c r="K104" s="189">
        <v>186.01</v>
      </c>
      <c r="L104" s="189">
        <v>26.21</v>
      </c>
      <c r="M104" s="189">
        <v>84.75</v>
      </c>
      <c r="N104" s="189">
        <v>0</v>
      </c>
      <c r="O104" s="189">
        <v>0</v>
      </c>
      <c r="P104" s="189">
        <v>0.52</v>
      </c>
      <c r="Q104" s="189">
        <v>4.93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3.34</v>
      </c>
      <c r="C106" s="183">
        <f>MIN(C9:C104)</f>
        <v>27.78</v>
      </c>
      <c r="D106" s="183">
        <f t="shared" ref="D106:Q106" si="0">MIN(D9:D104)</f>
        <v>16.149999999999999</v>
      </c>
      <c r="E106" s="183">
        <f t="shared" si="0"/>
        <v>4.4000000000000004</v>
      </c>
      <c r="F106" s="183">
        <f t="shared" si="0"/>
        <v>3.51</v>
      </c>
      <c r="G106" s="183">
        <f t="shared" si="0"/>
        <v>11.74</v>
      </c>
      <c r="H106" s="183">
        <f t="shared" si="0"/>
        <v>5.99</v>
      </c>
      <c r="I106" s="183">
        <f t="shared" si="0"/>
        <v>3.46</v>
      </c>
      <c r="J106" s="183">
        <f t="shared" si="0"/>
        <v>0.13</v>
      </c>
      <c r="K106" s="183">
        <f t="shared" si="0"/>
        <v>17.59</v>
      </c>
      <c r="L106" s="183">
        <f t="shared" si="0"/>
        <v>24.64</v>
      </c>
      <c r="M106" s="183">
        <f t="shared" si="0"/>
        <v>51.43</v>
      </c>
      <c r="N106" s="183">
        <f t="shared" si="0"/>
        <v>0</v>
      </c>
      <c r="O106" s="183">
        <f t="shared" si="0"/>
        <v>0</v>
      </c>
      <c r="P106" s="183">
        <f t="shared" si="0"/>
        <v>0.33</v>
      </c>
      <c r="Q106" s="183">
        <f t="shared" si="0"/>
        <v>4.1900000000000004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18.309999999999999</v>
      </c>
      <c r="C107" s="184">
        <f t="shared" ref="C107:Q107" si="1">MAX(C9:C104)</f>
        <v>48.4</v>
      </c>
      <c r="D107" s="184">
        <f t="shared" si="1"/>
        <v>37.799999999999997</v>
      </c>
      <c r="E107" s="184">
        <f t="shared" si="1"/>
        <v>19.559999999999999</v>
      </c>
      <c r="F107" s="184">
        <f t="shared" si="1"/>
        <v>44.11</v>
      </c>
      <c r="G107" s="184">
        <f t="shared" si="1"/>
        <v>41.11</v>
      </c>
      <c r="H107" s="184">
        <f t="shared" si="1"/>
        <v>27.25</v>
      </c>
      <c r="I107" s="184">
        <f t="shared" si="1"/>
        <v>6.06</v>
      </c>
      <c r="J107" s="184">
        <f t="shared" si="1"/>
        <v>2.1800000000000002</v>
      </c>
      <c r="K107" s="184">
        <f t="shared" si="1"/>
        <v>333.15</v>
      </c>
      <c r="L107" s="184">
        <f t="shared" si="1"/>
        <v>35.39</v>
      </c>
      <c r="M107" s="184">
        <f t="shared" si="1"/>
        <v>97.72</v>
      </c>
      <c r="N107" s="184">
        <f t="shared" si="1"/>
        <v>738.3</v>
      </c>
      <c r="O107" s="184">
        <f t="shared" si="1"/>
        <v>0</v>
      </c>
      <c r="P107" s="184">
        <f t="shared" si="1"/>
        <v>0.6</v>
      </c>
      <c r="Q107" s="184">
        <f t="shared" si="1"/>
        <v>5.17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10.962083333333334</v>
      </c>
      <c r="C108" s="183">
        <f t="shared" ref="C108:Q108" si="2">AVERAGE(C9:C104)</f>
        <v>41.006562500000001</v>
      </c>
      <c r="D108" s="183">
        <f t="shared" si="2"/>
        <v>29.170937500000004</v>
      </c>
      <c r="E108" s="183">
        <f t="shared" si="2"/>
        <v>7.4015624999999972</v>
      </c>
      <c r="F108" s="183">
        <f t="shared" si="2"/>
        <v>11.462812500000004</v>
      </c>
      <c r="G108" s="183">
        <f t="shared" si="2"/>
        <v>26.826562500000009</v>
      </c>
      <c r="H108" s="183">
        <f t="shared" si="2"/>
        <v>13.179895833333331</v>
      </c>
      <c r="I108" s="183">
        <f t="shared" si="2"/>
        <v>4.4548958333333317</v>
      </c>
      <c r="J108" s="183">
        <f t="shared" si="2"/>
        <v>0.52749999999999997</v>
      </c>
      <c r="K108" s="183">
        <f t="shared" si="2"/>
        <v>212.28093749999996</v>
      </c>
      <c r="L108" s="183">
        <f t="shared" si="2"/>
        <v>28.937187499999993</v>
      </c>
      <c r="M108" s="183">
        <f t="shared" si="2"/>
        <v>75.647812500000029</v>
      </c>
      <c r="N108" s="183">
        <f t="shared" si="2"/>
        <v>121.75520833333333</v>
      </c>
      <c r="O108" s="183">
        <f t="shared" si="2"/>
        <v>0</v>
      </c>
      <c r="P108" s="183">
        <f t="shared" si="2"/>
        <v>0.4451041666666668</v>
      </c>
      <c r="Q108" s="183">
        <f t="shared" si="2"/>
        <v>4.714479166666667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4.3216811827822248</v>
      </c>
      <c r="C109" s="183">
        <f t="shared" ref="C109:Q109" si="3">STDEV(C9:C104)</f>
        <v>4.3066860695105493</v>
      </c>
      <c r="D109" s="183">
        <f t="shared" si="3"/>
        <v>5.345041002870663</v>
      </c>
      <c r="E109" s="183">
        <f t="shared" si="3"/>
        <v>2.5362933285967215</v>
      </c>
      <c r="F109" s="183">
        <f t="shared" si="3"/>
        <v>9.6724650646891206</v>
      </c>
      <c r="G109" s="183">
        <f t="shared" si="3"/>
        <v>11.142611885826286</v>
      </c>
      <c r="H109" s="183">
        <f t="shared" si="3"/>
        <v>6.4595936803603182</v>
      </c>
      <c r="I109" s="183">
        <f t="shared" si="3"/>
        <v>0.84648249870511105</v>
      </c>
      <c r="J109" s="183">
        <f t="shared" si="3"/>
        <v>0.38204160699285644</v>
      </c>
      <c r="K109" s="183">
        <f t="shared" si="3"/>
        <v>79.721271705045808</v>
      </c>
      <c r="L109" s="183">
        <f t="shared" si="3"/>
        <v>3.2828282745620392</v>
      </c>
      <c r="M109" s="183">
        <f t="shared" si="3"/>
        <v>14.583268581936276</v>
      </c>
      <c r="N109" s="183">
        <f t="shared" si="3"/>
        <v>188.46574664059847</v>
      </c>
      <c r="O109" s="183">
        <f t="shared" si="3"/>
        <v>0</v>
      </c>
      <c r="P109" s="183">
        <f t="shared" si="3"/>
        <v>8.5507707152373075E-2</v>
      </c>
      <c r="Q109" s="183">
        <f t="shared" si="3"/>
        <v>0.26872748783720785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G94" sqref="G94:H102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23/06/2023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2349</v>
      </c>
      <c r="B9" s="134">
        <v>14.65</v>
      </c>
      <c r="C9" s="134">
        <v>48.84</v>
      </c>
      <c r="D9" s="134">
        <v>36.22</v>
      </c>
      <c r="E9" s="134">
        <v>6.74</v>
      </c>
      <c r="F9" s="134">
        <v>3.94</v>
      </c>
      <c r="G9" s="134">
        <v>28.8</v>
      </c>
      <c r="H9" s="134">
        <v>10.33</v>
      </c>
      <c r="I9" s="134">
        <v>5.15</v>
      </c>
      <c r="J9" s="134">
        <v>0.13</v>
      </c>
      <c r="K9" s="134">
        <v>121.73</v>
      </c>
      <c r="L9" s="134">
        <v>26.38</v>
      </c>
      <c r="M9" s="134">
        <v>84.22</v>
      </c>
      <c r="N9" s="134">
        <v>0</v>
      </c>
      <c r="O9" s="134">
        <v>0</v>
      </c>
      <c r="P9" s="134">
        <v>0.54</v>
      </c>
      <c r="Q9" s="134">
        <v>4.97</v>
      </c>
    </row>
    <row r="10" spans="1:21" customFormat="1">
      <c r="A10" s="112" t="s">
        <v>2350</v>
      </c>
      <c r="B10" s="134">
        <v>14.8</v>
      </c>
      <c r="C10" s="134">
        <v>44.47</v>
      </c>
      <c r="D10" s="134">
        <v>34.06</v>
      </c>
      <c r="E10" s="134">
        <v>6.09</v>
      </c>
      <c r="F10" s="134">
        <v>5.08</v>
      </c>
      <c r="G10" s="134">
        <v>28.8</v>
      </c>
      <c r="H10" s="134">
        <v>10.33</v>
      </c>
      <c r="I10" s="134">
        <v>5.12</v>
      </c>
      <c r="J10" s="134">
        <v>0.18</v>
      </c>
      <c r="K10" s="134">
        <v>139.76</v>
      </c>
      <c r="L10" s="134">
        <v>26.34</v>
      </c>
      <c r="M10" s="134">
        <v>84.92</v>
      </c>
      <c r="N10" s="134">
        <v>0</v>
      </c>
      <c r="O10" s="134">
        <v>0</v>
      </c>
      <c r="P10" s="134">
        <v>0.51</v>
      </c>
      <c r="Q10" s="134">
        <v>4.9400000000000004</v>
      </c>
    </row>
    <row r="11" spans="1:21" customFormat="1">
      <c r="A11" s="112" t="s">
        <v>2351</v>
      </c>
      <c r="B11" s="134">
        <v>14.94</v>
      </c>
      <c r="C11" s="134">
        <v>46.16</v>
      </c>
      <c r="D11" s="134">
        <v>35.06</v>
      </c>
      <c r="E11" s="134">
        <v>6.42</v>
      </c>
      <c r="F11" s="134">
        <v>4.2</v>
      </c>
      <c r="G11" s="134">
        <v>26</v>
      </c>
      <c r="H11" s="134">
        <v>8.99</v>
      </c>
      <c r="I11" s="134">
        <v>5.0599999999999996</v>
      </c>
      <c r="J11" s="134">
        <v>0.14000000000000001</v>
      </c>
      <c r="K11" s="134">
        <v>110.4</v>
      </c>
      <c r="L11" s="134">
        <v>26.18</v>
      </c>
      <c r="M11" s="134">
        <v>85.41</v>
      </c>
      <c r="N11" s="134">
        <v>0</v>
      </c>
      <c r="O11" s="134">
        <v>0</v>
      </c>
      <c r="P11" s="134">
        <v>0.53</v>
      </c>
      <c r="Q11" s="134">
        <v>4.96</v>
      </c>
    </row>
    <row r="12" spans="1:21" customFormat="1">
      <c r="A12" s="112" t="s">
        <v>2352</v>
      </c>
      <c r="B12" s="134">
        <v>15.13</v>
      </c>
      <c r="C12" s="134">
        <v>45.71</v>
      </c>
      <c r="D12" s="134">
        <v>34.97</v>
      </c>
      <c r="E12" s="134">
        <v>6.22</v>
      </c>
      <c r="F12" s="134">
        <v>4.43</v>
      </c>
      <c r="G12" s="134">
        <v>24.38</v>
      </c>
      <c r="H12" s="134">
        <v>8.57</v>
      </c>
      <c r="I12" s="134">
        <v>4.9800000000000004</v>
      </c>
      <c r="J12" s="134">
        <v>0.16</v>
      </c>
      <c r="K12" s="134">
        <v>101.32</v>
      </c>
      <c r="L12" s="134">
        <v>26.06</v>
      </c>
      <c r="M12" s="134">
        <v>84.79</v>
      </c>
      <c r="N12" s="134">
        <v>0</v>
      </c>
      <c r="O12" s="134">
        <v>0</v>
      </c>
      <c r="P12" s="134">
        <v>0.51</v>
      </c>
      <c r="Q12" s="134">
        <v>4.97</v>
      </c>
    </row>
    <row r="13" spans="1:21" customFormat="1">
      <c r="A13" s="112" t="s">
        <v>2353</v>
      </c>
      <c r="B13" s="134">
        <v>15.3</v>
      </c>
      <c r="C13" s="134">
        <v>46.1</v>
      </c>
      <c r="D13" s="134">
        <v>35.31</v>
      </c>
      <c r="E13" s="134">
        <v>6.5</v>
      </c>
      <c r="F13" s="134">
        <v>4.6900000000000004</v>
      </c>
      <c r="G13" s="134">
        <v>24.38</v>
      </c>
      <c r="H13" s="134">
        <v>8.57</v>
      </c>
      <c r="I13" s="134">
        <v>4.97</v>
      </c>
      <c r="J13" s="134">
        <v>0.13</v>
      </c>
      <c r="K13" s="134">
        <v>163.71</v>
      </c>
      <c r="L13" s="134">
        <v>26.03</v>
      </c>
      <c r="M13" s="134">
        <v>83.95</v>
      </c>
      <c r="N13" s="134">
        <v>0</v>
      </c>
      <c r="O13" s="134">
        <v>0</v>
      </c>
      <c r="P13" s="134">
        <v>0.5</v>
      </c>
      <c r="Q13" s="134">
        <v>5.0199999999999996</v>
      </c>
    </row>
    <row r="14" spans="1:21" customFormat="1">
      <c r="A14" s="112" t="s">
        <v>2354</v>
      </c>
      <c r="B14" s="134">
        <v>15.54</v>
      </c>
      <c r="C14" s="134">
        <v>46.68</v>
      </c>
      <c r="D14" s="134">
        <v>35.799999999999997</v>
      </c>
      <c r="E14" s="134">
        <v>6.33</v>
      </c>
      <c r="F14" s="134">
        <v>4.2</v>
      </c>
      <c r="G14" s="134">
        <v>24.38</v>
      </c>
      <c r="H14" s="134">
        <v>8.57</v>
      </c>
      <c r="I14" s="134">
        <v>4.9000000000000004</v>
      </c>
      <c r="J14" s="134">
        <v>0.16</v>
      </c>
      <c r="K14" s="134">
        <v>196.33</v>
      </c>
      <c r="L14" s="134">
        <v>25.87</v>
      </c>
      <c r="M14" s="134">
        <v>84.26</v>
      </c>
      <c r="N14" s="134">
        <v>0</v>
      </c>
      <c r="O14" s="134">
        <v>0</v>
      </c>
      <c r="P14" s="134">
        <v>0.5</v>
      </c>
      <c r="Q14" s="134">
        <v>5</v>
      </c>
    </row>
    <row r="15" spans="1:21" customFormat="1">
      <c r="A15" s="112" t="s">
        <v>2355</v>
      </c>
      <c r="B15" s="134">
        <v>15.23</v>
      </c>
      <c r="C15" s="134">
        <v>43.85</v>
      </c>
      <c r="D15" s="134">
        <v>34.08</v>
      </c>
      <c r="E15" s="134">
        <v>6.45</v>
      </c>
      <c r="F15" s="134">
        <v>7.63</v>
      </c>
      <c r="G15" s="134">
        <v>19.3</v>
      </c>
      <c r="H15" s="134">
        <v>6.47</v>
      </c>
      <c r="I15" s="134">
        <v>4.9000000000000004</v>
      </c>
      <c r="J15" s="134">
        <v>0.19</v>
      </c>
      <c r="K15" s="134">
        <v>183.39</v>
      </c>
      <c r="L15" s="134">
        <v>25.9</v>
      </c>
      <c r="M15" s="134">
        <v>84.21</v>
      </c>
      <c r="N15" s="134">
        <v>0</v>
      </c>
      <c r="O15" s="134">
        <v>0</v>
      </c>
      <c r="P15" s="134">
        <v>0.48</v>
      </c>
      <c r="Q15" s="134">
        <v>5.03</v>
      </c>
    </row>
    <row r="16" spans="1:21" customFormat="1">
      <c r="A16" s="112" t="s">
        <v>2356</v>
      </c>
      <c r="B16" s="134">
        <v>16.010000000000002</v>
      </c>
      <c r="C16" s="134">
        <v>46.91</v>
      </c>
      <c r="D16" s="134">
        <v>36.299999999999997</v>
      </c>
      <c r="E16" s="134">
        <v>6.85</v>
      </c>
      <c r="F16" s="134">
        <v>4.55</v>
      </c>
      <c r="G16" s="134">
        <v>16.22</v>
      </c>
      <c r="H16" s="134">
        <v>6.05</v>
      </c>
      <c r="I16" s="134">
        <v>4.74</v>
      </c>
      <c r="J16" s="134">
        <v>0.2</v>
      </c>
      <c r="K16" s="134">
        <v>201.4</v>
      </c>
      <c r="L16" s="134">
        <v>25.83</v>
      </c>
      <c r="M16" s="134">
        <v>84.65</v>
      </c>
      <c r="N16" s="134">
        <v>0</v>
      </c>
      <c r="O16" s="134">
        <v>0</v>
      </c>
      <c r="P16" s="134">
        <v>0.5</v>
      </c>
      <c r="Q16" s="134">
        <v>5.0599999999999996</v>
      </c>
    </row>
    <row r="17" spans="1:17" customFormat="1">
      <c r="A17" s="112" t="s">
        <v>2357</v>
      </c>
      <c r="B17" s="134">
        <v>16.37</v>
      </c>
      <c r="C17" s="134">
        <v>46.18</v>
      </c>
      <c r="D17" s="134">
        <v>36.200000000000003</v>
      </c>
      <c r="E17" s="134">
        <v>5.35</v>
      </c>
      <c r="F17" s="134">
        <v>4.4000000000000004</v>
      </c>
      <c r="G17" s="134">
        <v>16.22</v>
      </c>
      <c r="H17" s="134">
        <v>6.05</v>
      </c>
      <c r="I17" s="134">
        <v>4.7</v>
      </c>
      <c r="J17" s="134">
        <v>0.25</v>
      </c>
      <c r="K17" s="134">
        <v>218</v>
      </c>
      <c r="L17" s="134">
        <v>25.93</v>
      </c>
      <c r="M17" s="134">
        <v>84.91</v>
      </c>
      <c r="N17" s="134">
        <v>0</v>
      </c>
      <c r="O17" s="134">
        <v>0</v>
      </c>
      <c r="P17" s="134">
        <v>0.49</v>
      </c>
      <c r="Q17" s="134">
        <v>5.04</v>
      </c>
    </row>
    <row r="18" spans="1:17" customFormat="1">
      <c r="A18" s="112" t="s">
        <v>2358</v>
      </c>
      <c r="B18" s="134">
        <v>16.64</v>
      </c>
      <c r="C18" s="134">
        <v>46.38</v>
      </c>
      <c r="D18" s="134">
        <v>36.53</v>
      </c>
      <c r="E18" s="134">
        <v>6.17</v>
      </c>
      <c r="F18" s="134">
        <v>4.47</v>
      </c>
      <c r="G18" s="134">
        <v>16.22</v>
      </c>
      <c r="H18" s="134">
        <v>6.05</v>
      </c>
      <c r="I18" s="134">
        <v>4.7699999999999996</v>
      </c>
      <c r="J18" s="134">
        <v>0.32</v>
      </c>
      <c r="K18" s="134">
        <v>241.63</v>
      </c>
      <c r="L18" s="134">
        <v>26.01</v>
      </c>
      <c r="M18" s="134">
        <v>84.55</v>
      </c>
      <c r="N18" s="134">
        <v>0</v>
      </c>
      <c r="O18" s="134">
        <v>0</v>
      </c>
      <c r="P18" s="134">
        <v>0.49</v>
      </c>
      <c r="Q18" s="134">
        <v>5.07</v>
      </c>
    </row>
    <row r="19" spans="1:17" customFormat="1">
      <c r="A19" s="112" t="s">
        <v>2359</v>
      </c>
      <c r="B19" s="134">
        <v>16.57</v>
      </c>
      <c r="C19" s="134">
        <v>47.07</v>
      </c>
      <c r="D19" s="134">
        <v>36.840000000000003</v>
      </c>
      <c r="E19" s="134">
        <v>6.32</v>
      </c>
      <c r="F19" s="134">
        <v>4.37</v>
      </c>
      <c r="G19" s="134">
        <v>13.42</v>
      </c>
      <c r="H19" s="134">
        <v>4.74</v>
      </c>
      <c r="I19" s="134">
        <v>4.7</v>
      </c>
      <c r="J19" s="134">
        <v>0.41</v>
      </c>
      <c r="K19" s="134">
        <v>240.35</v>
      </c>
      <c r="L19" s="134">
        <v>26.04</v>
      </c>
      <c r="M19" s="134">
        <v>84.88</v>
      </c>
      <c r="N19" s="134">
        <v>0</v>
      </c>
      <c r="O19" s="134">
        <v>0</v>
      </c>
      <c r="P19" s="134">
        <v>0.49</v>
      </c>
      <c r="Q19" s="134">
        <v>5.08</v>
      </c>
    </row>
    <row r="20" spans="1:17" customFormat="1">
      <c r="A20" s="112" t="s">
        <v>2360</v>
      </c>
      <c r="B20" s="134">
        <v>16.71</v>
      </c>
      <c r="C20" s="134">
        <v>45.85</v>
      </c>
      <c r="D20" s="134">
        <v>36.31</v>
      </c>
      <c r="E20" s="134">
        <v>6.42</v>
      </c>
      <c r="F20" s="134">
        <v>4.3899999999999997</v>
      </c>
      <c r="G20" s="134">
        <v>11.72</v>
      </c>
      <c r="H20" s="134">
        <v>4.4800000000000004</v>
      </c>
      <c r="I20" s="134">
        <v>4.71</v>
      </c>
      <c r="J20" s="134">
        <v>0.49</v>
      </c>
      <c r="K20" s="134">
        <v>250.02</v>
      </c>
      <c r="L20" s="134">
        <v>25.89</v>
      </c>
      <c r="M20" s="134">
        <v>87</v>
      </c>
      <c r="N20" s="134">
        <v>0</v>
      </c>
      <c r="O20" s="134">
        <v>0</v>
      </c>
      <c r="P20" s="134">
        <v>0.47</v>
      </c>
      <c r="Q20" s="134">
        <v>5.05</v>
      </c>
    </row>
    <row r="21" spans="1:17" customFormat="1">
      <c r="A21" s="112" t="s">
        <v>2361</v>
      </c>
      <c r="B21" s="134">
        <v>16.89</v>
      </c>
      <c r="C21" s="134">
        <v>46.4</v>
      </c>
      <c r="D21" s="134">
        <v>36.74</v>
      </c>
      <c r="E21" s="134">
        <v>6.33</v>
      </c>
      <c r="F21" s="134">
        <v>4.1900000000000004</v>
      </c>
      <c r="G21" s="134">
        <v>11.72</v>
      </c>
      <c r="H21" s="134">
        <v>4.4800000000000004</v>
      </c>
      <c r="I21" s="134">
        <v>4.63</v>
      </c>
      <c r="J21" s="134">
        <v>0.39</v>
      </c>
      <c r="K21" s="134">
        <v>246.98</v>
      </c>
      <c r="L21" s="134">
        <v>25.82</v>
      </c>
      <c r="M21" s="134">
        <v>88.9</v>
      </c>
      <c r="N21" s="134">
        <v>0</v>
      </c>
      <c r="O21" s="134">
        <v>0</v>
      </c>
      <c r="P21" s="134">
        <v>0.46</v>
      </c>
      <c r="Q21" s="134">
        <v>5.1100000000000003</v>
      </c>
    </row>
    <row r="22" spans="1:17" customFormat="1">
      <c r="A22" s="112" t="s">
        <v>2362</v>
      </c>
      <c r="B22" s="134">
        <v>17.16</v>
      </c>
      <c r="C22" s="134">
        <v>46.83</v>
      </c>
      <c r="D22" s="134">
        <v>37.18</v>
      </c>
      <c r="E22" s="134">
        <v>6.13</v>
      </c>
      <c r="F22" s="134">
        <v>3.83</v>
      </c>
      <c r="G22" s="134">
        <v>11.72</v>
      </c>
      <c r="H22" s="134">
        <v>4.4800000000000004</v>
      </c>
      <c r="I22" s="134">
        <v>4.57</v>
      </c>
      <c r="J22" s="134">
        <v>0.22</v>
      </c>
      <c r="K22" s="134">
        <v>222.58</v>
      </c>
      <c r="L22" s="134">
        <v>25.69</v>
      </c>
      <c r="M22" s="134">
        <v>90.03</v>
      </c>
      <c r="N22" s="134">
        <v>0</v>
      </c>
      <c r="O22" s="134">
        <v>0</v>
      </c>
      <c r="P22" s="134">
        <v>0.47</v>
      </c>
      <c r="Q22" s="134">
        <v>5.0999999999999996</v>
      </c>
    </row>
    <row r="23" spans="1:17" customFormat="1">
      <c r="A23" s="112" t="s">
        <v>2363</v>
      </c>
      <c r="B23" s="134">
        <v>17.21</v>
      </c>
      <c r="C23" s="134">
        <v>45.85</v>
      </c>
      <c r="D23" s="134">
        <v>36.71</v>
      </c>
      <c r="E23" s="134">
        <v>6.57</v>
      </c>
      <c r="F23" s="134">
        <v>4.28</v>
      </c>
      <c r="G23" s="134">
        <v>11.56</v>
      </c>
      <c r="H23" s="134">
        <v>4.62</v>
      </c>
      <c r="I23" s="134">
        <v>4.5599999999999996</v>
      </c>
      <c r="J23" s="134">
        <v>0.38</v>
      </c>
      <c r="K23" s="134">
        <v>248.25</v>
      </c>
      <c r="L23" s="134">
        <v>25.59</v>
      </c>
      <c r="M23" s="134">
        <v>90.34</v>
      </c>
      <c r="N23" s="134">
        <v>0</v>
      </c>
      <c r="O23" s="134">
        <v>0</v>
      </c>
      <c r="P23" s="134">
        <v>0.47</v>
      </c>
      <c r="Q23" s="134">
        <v>5.1100000000000003</v>
      </c>
    </row>
    <row r="24" spans="1:17" customFormat="1">
      <c r="A24" s="112" t="s">
        <v>2364</v>
      </c>
      <c r="B24" s="134">
        <v>17.87</v>
      </c>
      <c r="C24" s="134">
        <v>47.6</v>
      </c>
      <c r="D24" s="134">
        <v>38.15</v>
      </c>
      <c r="E24" s="134">
        <v>6.16</v>
      </c>
      <c r="F24" s="134">
        <v>3.82</v>
      </c>
      <c r="G24" s="134">
        <v>11.47</v>
      </c>
      <c r="H24" s="134">
        <v>4.6500000000000004</v>
      </c>
      <c r="I24" s="134">
        <v>4.47</v>
      </c>
      <c r="J24" s="134">
        <v>0.38</v>
      </c>
      <c r="K24" s="134">
        <v>241.86</v>
      </c>
      <c r="L24" s="134">
        <v>25.56</v>
      </c>
      <c r="M24" s="134">
        <v>89.02</v>
      </c>
      <c r="N24" s="134">
        <v>0</v>
      </c>
      <c r="O24" s="134">
        <v>0</v>
      </c>
      <c r="P24" s="134">
        <v>0.48</v>
      </c>
      <c r="Q24" s="134">
        <v>5.15</v>
      </c>
    </row>
    <row r="25" spans="1:17" customFormat="1">
      <c r="A25" s="112" t="s">
        <v>2365</v>
      </c>
      <c r="B25" s="134">
        <v>18.28</v>
      </c>
      <c r="C25" s="134">
        <v>45.6</v>
      </c>
      <c r="D25" s="134">
        <v>37.44</v>
      </c>
      <c r="E25" s="134">
        <v>6.06</v>
      </c>
      <c r="F25" s="134">
        <v>4.18</v>
      </c>
      <c r="G25" s="134">
        <v>11.47</v>
      </c>
      <c r="H25" s="134">
        <v>4.6500000000000004</v>
      </c>
      <c r="I25" s="134">
        <v>4.47</v>
      </c>
      <c r="J25" s="134">
        <v>0.47</v>
      </c>
      <c r="K25" s="134">
        <v>241.28</v>
      </c>
      <c r="L25" s="134">
        <v>25.45</v>
      </c>
      <c r="M25" s="134">
        <v>89.27</v>
      </c>
      <c r="N25" s="134">
        <v>0</v>
      </c>
      <c r="O25" s="134">
        <v>0</v>
      </c>
      <c r="P25" s="134">
        <v>0.46</v>
      </c>
      <c r="Q25" s="134">
        <v>5.1100000000000003</v>
      </c>
    </row>
    <row r="26" spans="1:17" customFormat="1">
      <c r="A26" s="112" t="s">
        <v>2366</v>
      </c>
      <c r="B26" s="134">
        <v>18.559999999999999</v>
      </c>
      <c r="C26" s="134">
        <v>46.17</v>
      </c>
      <c r="D26" s="134">
        <v>37.96</v>
      </c>
      <c r="E26" s="134">
        <v>6.57</v>
      </c>
      <c r="F26" s="134">
        <v>4.0999999999999996</v>
      </c>
      <c r="G26" s="134">
        <v>11.47</v>
      </c>
      <c r="H26" s="134">
        <v>4.6500000000000004</v>
      </c>
      <c r="I26" s="134">
        <v>4.47</v>
      </c>
      <c r="J26" s="134">
        <v>0.52</v>
      </c>
      <c r="K26" s="134">
        <v>246.46</v>
      </c>
      <c r="L26" s="134">
        <v>25.49</v>
      </c>
      <c r="M26" s="134">
        <v>88.93</v>
      </c>
      <c r="N26" s="134">
        <v>0</v>
      </c>
      <c r="O26" s="134">
        <v>0</v>
      </c>
      <c r="P26" s="134">
        <v>0.45</v>
      </c>
      <c r="Q26" s="134">
        <v>5.15</v>
      </c>
    </row>
    <row r="27" spans="1:17" customFormat="1">
      <c r="A27" s="112" t="s">
        <v>2367</v>
      </c>
      <c r="B27" s="134">
        <v>18.77</v>
      </c>
      <c r="C27" s="134">
        <v>46.65</v>
      </c>
      <c r="D27" s="134">
        <v>38.380000000000003</v>
      </c>
      <c r="E27" s="134">
        <v>6.02</v>
      </c>
      <c r="F27" s="134">
        <v>3.82</v>
      </c>
      <c r="G27" s="134">
        <v>11.54</v>
      </c>
      <c r="H27" s="134">
        <v>4.8</v>
      </c>
      <c r="I27" s="134">
        <v>4.43</v>
      </c>
      <c r="J27" s="134">
        <v>0.24</v>
      </c>
      <c r="K27" s="134">
        <v>231.66</v>
      </c>
      <c r="L27" s="134">
        <v>25.45</v>
      </c>
      <c r="M27" s="134">
        <v>89.5</v>
      </c>
      <c r="N27" s="134">
        <v>0</v>
      </c>
      <c r="O27" s="134">
        <v>0</v>
      </c>
      <c r="P27" s="134">
        <v>0.46</v>
      </c>
      <c r="Q27" s="134">
        <v>5.14</v>
      </c>
    </row>
    <row r="28" spans="1:17" customFormat="1">
      <c r="A28" s="112" t="s">
        <v>2368</v>
      </c>
      <c r="B28" s="134">
        <v>19</v>
      </c>
      <c r="C28" s="134">
        <v>46.53</v>
      </c>
      <c r="D28" s="134">
        <v>38.51</v>
      </c>
      <c r="E28" s="134">
        <v>6.1</v>
      </c>
      <c r="F28" s="134">
        <v>4.18</v>
      </c>
      <c r="G28" s="134">
        <v>11.58</v>
      </c>
      <c r="H28" s="134">
        <v>4.83</v>
      </c>
      <c r="I28" s="134">
        <v>4.43</v>
      </c>
      <c r="J28" s="134">
        <v>0.31</v>
      </c>
      <c r="K28" s="134">
        <v>229.36</v>
      </c>
      <c r="L28" s="134">
        <v>25.36</v>
      </c>
      <c r="M28" s="134">
        <v>90.06</v>
      </c>
      <c r="N28" s="134">
        <v>0</v>
      </c>
      <c r="O28" s="134">
        <v>0</v>
      </c>
      <c r="P28" s="134">
        <v>0.45</v>
      </c>
      <c r="Q28" s="134">
        <v>5.18</v>
      </c>
    </row>
    <row r="29" spans="1:17" customFormat="1">
      <c r="A29" s="112" t="s">
        <v>2369</v>
      </c>
      <c r="B29" s="134">
        <v>19.190000000000001</v>
      </c>
      <c r="C29" s="134">
        <v>47.86</v>
      </c>
      <c r="D29" s="134">
        <v>39.35</v>
      </c>
      <c r="E29" s="134">
        <v>5.9</v>
      </c>
      <c r="F29" s="134">
        <v>3.68</v>
      </c>
      <c r="G29" s="134">
        <v>11.58</v>
      </c>
      <c r="H29" s="134">
        <v>4.83</v>
      </c>
      <c r="I29" s="134">
        <v>4.37</v>
      </c>
      <c r="J29" s="134">
        <v>0.37</v>
      </c>
      <c r="K29" s="134">
        <v>229.07</v>
      </c>
      <c r="L29" s="134">
        <v>25.28</v>
      </c>
      <c r="M29" s="134">
        <v>89.82</v>
      </c>
      <c r="N29" s="134">
        <v>0</v>
      </c>
      <c r="O29" s="134">
        <v>0</v>
      </c>
      <c r="P29" s="134">
        <v>0.45</v>
      </c>
      <c r="Q29" s="134">
        <v>5.21</v>
      </c>
    </row>
    <row r="30" spans="1:17" customFormat="1">
      <c r="A30" s="112" t="s">
        <v>2370</v>
      </c>
      <c r="B30" s="134">
        <v>19.55</v>
      </c>
      <c r="C30" s="134">
        <v>46.89</v>
      </c>
      <c r="D30" s="134">
        <v>39.130000000000003</v>
      </c>
      <c r="E30" s="134">
        <v>5.55</v>
      </c>
      <c r="F30" s="134">
        <v>3.84</v>
      </c>
      <c r="G30" s="134">
        <v>11.58</v>
      </c>
      <c r="H30" s="134">
        <v>4.83</v>
      </c>
      <c r="I30" s="134">
        <v>4.38</v>
      </c>
      <c r="J30" s="134">
        <v>0.44</v>
      </c>
      <c r="K30" s="134">
        <v>242.46</v>
      </c>
      <c r="L30" s="134">
        <v>25.33</v>
      </c>
      <c r="M30" s="134">
        <v>89.23</v>
      </c>
      <c r="N30" s="134">
        <v>0</v>
      </c>
      <c r="O30" s="134">
        <v>0</v>
      </c>
      <c r="P30" s="134">
        <v>0.45</v>
      </c>
      <c r="Q30" s="134">
        <v>5.19</v>
      </c>
    </row>
    <row r="31" spans="1:17" customFormat="1">
      <c r="A31" s="112" t="s">
        <v>2371</v>
      </c>
      <c r="B31" s="134">
        <v>19.77</v>
      </c>
      <c r="C31" s="134">
        <v>46.52</v>
      </c>
      <c r="D31" s="134">
        <v>39.119999999999997</v>
      </c>
      <c r="E31" s="134">
        <v>5.89</v>
      </c>
      <c r="F31" s="134">
        <v>4</v>
      </c>
      <c r="G31" s="134">
        <v>13.67</v>
      </c>
      <c r="H31" s="134">
        <v>4.92</v>
      </c>
      <c r="I31" s="134">
        <v>4.34</v>
      </c>
      <c r="J31" s="134">
        <v>0.57999999999999996</v>
      </c>
      <c r="K31" s="134">
        <v>250.73</v>
      </c>
      <c r="L31" s="134">
        <v>25.33</v>
      </c>
      <c r="M31" s="134">
        <v>88.82</v>
      </c>
      <c r="N31" s="134">
        <v>2.2000000000000002</v>
      </c>
      <c r="O31" s="134">
        <v>0</v>
      </c>
      <c r="P31" s="134">
        <v>0.44</v>
      </c>
      <c r="Q31" s="134">
        <v>5.23</v>
      </c>
    </row>
    <row r="32" spans="1:17" customFormat="1">
      <c r="A32" s="112" t="s">
        <v>2372</v>
      </c>
      <c r="B32" s="134">
        <v>19.86</v>
      </c>
      <c r="C32" s="134">
        <v>47.54</v>
      </c>
      <c r="D32" s="134">
        <v>39.72</v>
      </c>
      <c r="E32" s="134">
        <v>5.92</v>
      </c>
      <c r="F32" s="134">
        <v>3.93</v>
      </c>
      <c r="G32" s="134">
        <v>14.94</v>
      </c>
      <c r="H32" s="134">
        <v>4.93</v>
      </c>
      <c r="I32" s="134">
        <v>4.26</v>
      </c>
      <c r="J32" s="134">
        <v>0.65</v>
      </c>
      <c r="K32" s="134">
        <v>248.29</v>
      </c>
      <c r="L32" s="134">
        <v>25.34</v>
      </c>
      <c r="M32" s="134">
        <v>88.38</v>
      </c>
      <c r="N32" s="134">
        <v>5.5</v>
      </c>
      <c r="O32" s="134">
        <v>0</v>
      </c>
      <c r="P32" s="134">
        <v>0.44</v>
      </c>
      <c r="Q32" s="134">
        <v>5.25</v>
      </c>
    </row>
    <row r="33" spans="1:17" customFormat="1">
      <c r="A33" s="112" t="s">
        <v>2373</v>
      </c>
      <c r="B33" s="134">
        <v>19.93</v>
      </c>
      <c r="C33" s="134">
        <v>47.59</v>
      </c>
      <c r="D33" s="134">
        <v>39.799999999999997</v>
      </c>
      <c r="E33" s="134">
        <v>5.96</v>
      </c>
      <c r="F33" s="134">
        <v>3.68</v>
      </c>
      <c r="G33" s="134">
        <v>14.94</v>
      </c>
      <c r="H33" s="134">
        <v>4.93</v>
      </c>
      <c r="I33" s="134">
        <v>4.2699999999999996</v>
      </c>
      <c r="J33" s="134">
        <v>0.76</v>
      </c>
      <c r="K33" s="134">
        <v>260.41000000000003</v>
      </c>
      <c r="L33" s="134">
        <v>25.4</v>
      </c>
      <c r="M33" s="134">
        <v>88.11</v>
      </c>
      <c r="N33" s="134">
        <v>14.1</v>
      </c>
      <c r="O33" s="134">
        <v>0</v>
      </c>
      <c r="P33" s="134">
        <v>0.44</v>
      </c>
      <c r="Q33" s="134">
        <v>5.23</v>
      </c>
    </row>
    <row r="34" spans="1:17" customFormat="1">
      <c r="A34" s="112" t="s">
        <v>2374</v>
      </c>
      <c r="B34" s="134">
        <v>19.87</v>
      </c>
      <c r="C34" s="134">
        <v>46.78</v>
      </c>
      <c r="D34" s="134">
        <v>39.33</v>
      </c>
      <c r="E34" s="134">
        <v>6.31</v>
      </c>
      <c r="F34" s="134">
        <v>3.92</v>
      </c>
      <c r="G34" s="134">
        <v>14.94</v>
      </c>
      <c r="H34" s="134">
        <v>4.93</v>
      </c>
      <c r="I34" s="134">
        <v>4.25</v>
      </c>
      <c r="J34" s="134">
        <v>0.63</v>
      </c>
      <c r="K34" s="134">
        <v>255.22</v>
      </c>
      <c r="L34" s="134">
        <v>25.46</v>
      </c>
      <c r="M34" s="134">
        <v>87.33</v>
      </c>
      <c r="N34" s="134">
        <v>24.3</v>
      </c>
      <c r="O34" s="134">
        <v>0</v>
      </c>
      <c r="P34" s="134">
        <v>0.43</v>
      </c>
      <c r="Q34" s="134">
        <v>5.2</v>
      </c>
    </row>
    <row r="35" spans="1:17" customFormat="1">
      <c r="A35" s="112" t="s">
        <v>2375</v>
      </c>
      <c r="B35" s="134">
        <v>19.62</v>
      </c>
      <c r="C35" s="134">
        <v>46.43</v>
      </c>
      <c r="D35" s="134">
        <v>38.950000000000003</v>
      </c>
      <c r="E35" s="134">
        <v>6.48</v>
      </c>
      <c r="F35" s="134">
        <v>4.0599999999999996</v>
      </c>
      <c r="G35" s="134">
        <v>13.13</v>
      </c>
      <c r="H35" s="134">
        <v>5.81</v>
      </c>
      <c r="I35" s="134">
        <v>4.18</v>
      </c>
      <c r="J35" s="134">
        <v>0.75</v>
      </c>
      <c r="K35" s="134">
        <v>252.95</v>
      </c>
      <c r="L35" s="134">
        <v>25.59</v>
      </c>
      <c r="M35" s="134">
        <v>86.6</v>
      </c>
      <c r="N35" s="134">
        <v>40.9</v>
      </c>
      <c r="O35" s="134">
        <v>0</v>
      </c>
      <c r="P35" s="134">
        <v>0.43</v>
      </c>
      <c r="Q35" s="134">
        <v>5.23</v>
      </c>
    </row>
    <row r="36" spans="1:17" customFormat="1">
      <c r="A36" s="112" t="s">
        <v>2376</v>
      </c>
      <c r="B36" s="134">
        <v>19.64</v>
      </c>
      <c r="C36" s="134">
        <v>47.35</v>
      </c>
      <c r="D36" s="134">
        <v>39.44</v>
      </c>
      <c r="E36" s="134">
        <v>6.39</v>
      </c>
      <c r="F36" s="134">
        <v>3.86</v>
      </c>
      <c r="G36" s="134">
        <v>12.08</v>
      </c>
      <c r="H36" s="134">
        <v>6.08</v>
      </c>
      <c r="I36" s="134">
        <v>4.1500000000000004</v>
      </c>
      <c r="J36" s="134">
        <v>0.48</v>
      </c>
      <c r="K36" s="134">
        <v>242.07</v>
      </c>
      <c r="L36" s="134">
        <v>25.71</v>
      </c>
      <c r="M36" s="134">
        <v>87.17</v>
      </c>
      <c r="N36" s="134">
        <v>59.2</v>
      </c>
      <c r="O36" s="134">
        <v>0</v>
      </c>
      <c r="P36" s="134">
        <v>0.43</v>
      </c>
      <c r="Q36" s="134">
        <v>5.23</v>
      </c>
    </row>
    <row r="37" spans="1:17" customFormat="1">
      <c r="A37" s="112" t="s">
        <v>2377</v>
      </c>
      <c r="B37" s="134">
        <v>19.98</v>
      </c>
      <c r="C37" s="134">
        <v>46.93</v>
      </c>
      <c r="D37" s="134">
        <v>39.5</v>
      </c>
      <c r="E37" s="134">
        <v>6.26</v>
      </c>
      <c r="F37" s="134">
        <v>4.08</v>
      </c>
      <c r="G37" s="134">
        <v>12.08</v>
      </c>
      <c r="H37" s="134">
        <v>6.08</v>
      </c>
      <c r="I37" s="134">
        <v>4.13</v>
      </c>
      <c r="J37" s="134">
        <v>0.6</v>
      </c>
      <c r="K37" s="134">
        <v>262.27999999999997</v>
      </c>
      <c r="L37" s="134">
        <v>25.76</v>
      </c>
      <c r="M37" s="134">
        <v>87.09</v>
      </c>
      <c r="N37" s="134">
        <v>58.9</v>
      </c>
      <c r="O37" s="134">
        <v>0</v>
      </c>
      <c r="P37" s="134">
        <v>0.43</v>
      </c>
      <c r="Q37" s="134">
        <v>5.21</v>
      </c>
    </row>
    <row r="38" spans="1:17" customFormat="1">
      <c r="A38" s="112" t="s">
        <v>2378</v>
      </c>
      <c r="B38" s="134">
        <v>20.05</v>
      </c>
      <c r="C38" s="134">
        <v>47.08</v>
      </c>
      <c r="D38" s="134">
        <v>39.630000000000003</v>
      </c>
      <c r="E38" s="134">
        <v>5.83</v>
      </c>
      <c r="F38" s="134">
        <v>4.18</v>
      </c>
      <c r="G38" s="134">
        <v>12.08</v>
      </c>
      <c r="H38" s="134">
        <v>6.08</v>
      </c>
      <c r="I38" s="134">
        <v>4.08</v>
      </c>
      <c r="J38" s="134">
        <v>0.59</v>
      </c>
      <c r="K38" s="134">
        <v>270.89999999999998</v>
      </c>
      <c r="L38" s="134">
        <v>25.9</v>
      </c>
      <c r="M38" s="134">
        <v>86.43</v>
      </c>
      <c r="N38" s="134">
        <v>63</v>
      </c>
      <c r="O38" s="134">
        <v>0</v>
      </c>
      <c r="P38" s="134">
        <v>0.42</v>
      </c>
      <c r="Q38" s="134">
        <v>5.24</v>
      </c>
    </row>
    <row r="39" spans="1:17" customFormat="1">
      <c r="A39" s="112" t="s">
        <v>2379</v>
      </c>
      <c r="B39" s="134">
        <v>20.12</v>
      </c>
      <c r="C39" s="134">
        <v>46.63</v>
      </c>
      <c r="D39" s="134">
        <v>39.450000000000003</v>
      </c>
      <c r="E39" s="134">
        <v>5.62</v>
      </c>
      <c r="F39" s="134">
        <v>3.95</v>
      </c>
      <c r="G39" s="134">
        <v>10.039999999999999</v>
      </c>
      <c r="H39" s="134">
        <v>4.59</v>
      </c>
      <c r="I39" s="134">
        <v>4.07</v>
      </c>
      <c r="J39" s="134">
        <v>0.83</v>
      </c>
      <c r="K39" s="134">
        <v>259.66000000000003</v>
      </c>
      <c r="L39" s="134">
        <v>26.21</v>
      </c>
      <c r="M39" s="134">
        <v>83.41</v>
      </c>
      <c r="N39" s="134">
        <v>89.2</v>
      </c>
      <c r="O39" s="134">
        <v>0</v>
      </c>
      <c r="P39" s="134">
        <v>0.43</v>
      </c>
      <c r="Q39" s="134">
        <v>5.2</v>
      </c>
    </row>
    <row r="40" spans="1:17" customFormat="1">
      <c r="A40" s="112" t="s">
        <v>2380</v>
      </c>
      <c r="B40" s="134">
        <v>20.03</v>
      </c>
      <c r="C40" s="134">
        <v>46.1</v>
      </c>
      <c r="D40" s="134">
        <v>39.1</v>
      </c>
      <c r="E40" s="134">
        <v>5.7</v>
      </c>
      <c r="F40" s="134">
        <v>4.16</v>
      </c>
      <c r="G40" s="134">
        <v>8.86</v>
      </c>
      <c r="H40" s="134">
        <v>4.32</v>
      </c>
      <c r="I40" s="134">
        <v>4.03</v>
      </c>
      <c r="J40" s="134">
        <v>1.1299999999999999</v>
      </c>
      <c r="K40" s="134">
        <v>279.44</v>
      </c>
      <c r="L40" s="134">
        <v>26.21</v>
      </c>
      <c r="M40" s="134">
        <v>82.6</v>
      </c>
      <c r="N40" s="134">
        <v>112.8</v>
      </c>
      <c r="O40" s="134">
        <v>0</v>
      </c>
      <c r="P40" s="134">
        <v>0.42</v>
      </c>
      <c r="Q40" s="134">
        <v>5.22</v>
      </c>
    </row>
    <row r="41" spans="1:17" customFormat="1">
      <c r="A41" s="112" t="s">
        <v>2381</v>
      </c>
      <c r="B41" s="134">
        <v>19.7</v>
      </c>
      <c r="C41" s="134">
        <v>47.45</v>
      </c>
      <c r="D41" s="134">
        <v>39.549999999999997</v>
      </c>
      <c r="E41" s="134">
        <v>5.52</v>
      </c>
      <c r="F41" s="134">
        <v>4</v>
      </c>
      <c r="G41" s="134">
        <v>8.86</v>
      </c>
      <c r="H41" s="134">
        <v>4.32</v>
      </c>
      <c r="I41" s="134">
        <v>3.98</v>
      </c>
      <c r="J41" s="134">
        <v>1.18</v>
      </c>
      <c r="K41" s="134">
        <v>267.20999999999998</v>
      </c>
      <c r="L41" s="134">
        <v>26.17</v>
      </c>
      <c r="M41" s="134">
        <v>82.65</v>
      </c>
      <c r="N41" s="134">
        <v>100.2</v>
      </c>
      <c r="O41" s="134">
        <v>0</v>
      </c>
      <c r="P41" s="134">
        <v>0.43</v>
      </c>
      <c r="Q41" s="134">
        <v>5.2</v>
      </c>
    </row>
    <row r="42" spans="1:17" customFormat="1">
      <c r="A42" s="112" t="s">
        <v>2382</v>
      </c>
      <c r="B42" s="134">
        <v>19.260000000000002</v>
      </c>
      <c r="C42" s="134">
        <v>44.85</v>
      </c>
      <c r="D42" s="134">
        <v>37.83</v>
      </c>
      <c r="E42" s="134">
        <v>5.29</v>
      </c>
      <c r="F42" s="134">
        <v>4.59</v>
      </c>
      <c r="G42" s="134">
        <v>8.86</v>
      </c>
      <c r="H42" s="134">
        <v>4.32</v>
      </c>
      <c r="I42" s="134">
        <v>4</v>
      </c>
      <c r="J42" s="134">
        <v>1.25</v>
      </c>
      <c r="K42" s="134">
        <v>261.95999999999998</v>
      </c>
      <c r="L42" s="134">
        <v>26.24</v>
      </c>
      <c r="M42" s="134">
        <v>82.54</v>
      </c>
      <c r="N42" s="134">
        <v>135.5</v>
      </c>
      <c r="O42" s="134">
        <v>0</v>
      </c>
      <c r="P42" s="134">
        <v>0.41</v>
      </c>
      <c r="Q42" s="134">
        <v>5.0999999999999996</v>
      </c>
    </row>
    <row r="43" spans="1:17" customFormat="1">
      <c r="A43" s="112" t="s">
        <v>2383</v>
      </c>
      <c r="B43" s="134">
        <v>18.57</v>
      </c>
      <c r="C43" s="134">
        <v>48.85</v>
      </c>
      <c r="D43" s="134">
        <v>39.369999999999997</v>
      </c>
      <c r="E43" s="134">
        <v>6.06</v>
      </c>
      <c r="F43" s="134">
        <v>3.42</v>
      </c>
      <c r="G43" s="134">
        <v>10.18</v>
      </c>
      <c r="H43" s="134">
        <v>3.33</v>
      </c>
      <c r="I43" s="134">
        <v>3.94</v>
      </c>
      <c r="J43" s="134">
        <v>1.3</v>
      </c>
      <c r="K43" s="134">
        <v>267.13</v>
      </c>
      <c r="L43" s="134">
        <v>26.43</v>
      </c>
      <c r="M43" s="134">
        <v>81.47</v>
      </c>
      <c r="N43" s="134">
        <v>193.6</v>
      </c>
      <c r="O43" s="134">
        <v>0</v>
      </c>
      <c r="P43" s="134">
        <v>0.44</v>
      </c>
      <c r="Q43" s="134">
        <v>5.14</v>
      </c>
    </row>
    <row r="44" spans="1:17" customFormat="1">
      <c r="A44" s="112" t="s">
        <v>2384</v>
      </c>
      <c r="B44" s="134">
        <v>18.010000000000002</v>
      </c>
      <c r="C44" s="134">
        <v>45.78</v>
      </c>
      <c r="D44" s="134">
        <v>37.31</v>
      </c>
      <c r="E44" s="134">
        <v>5.96</v>
      </c>
      <c r="F44" s="134">
        <v>4.74</v>
      </c>
      <c r="G44" s="134">
        <v>10.94</v>
      </c>
      <c r="H44" s="134">
        <v>3.13</v>
      </c>
      <c r="I44" s="134">
        <v>3.9</v>
      </c>
      <c r="J44" s="134">
        <v>1.0900000000000001</v>
      </c>
      <c r="K44" s="134">
        <v>263.37</v>
      </c>
      <c r="L44" s="134">
        <v>26.85</v>
      </c>
      <c r="M44" s="134">
        <v>80.260000000000005</v>
      </c>
      <c r="N44" s="134">
        <v>239.6</v>
      </c>
      <c r="O44" s="134">
        <v>0</v>
      </c>
      <c r="P44" s="134">
        <v>0.41</v>
      </c>
      <c r="Q44" s="134">
        <v>5.13</v>
      </c>
    </row>
    <row r="45" spans="1:17" customFormat="1">
      <c r="A45" s="112" t="s">
        <v>2385</v>
      </c>
      <c r="B45" s="134">
        <v>17.29</v>
      </c>
      <c r="C45" s="134">
        <v>43.24</v>
      </c>
      <c r="D45" s="134">
        <v>35.409999999999997</v>
      </c>
      <c r="E45" s="134">
        <v>5.47</v>
      </c>
      <c r="F45" s="134">
        <v>5.07</v>
      </c>
      <c r="G45" s="134">
        <v>10.94</v>
      </c>
      <c r="H45" s="134">
        <v>3.13</v>
      </c>
      <c r="I45" s="134">
        <v>3.87</v>
      </c>
      <c r="J45" s="134">
        <v>0.97</v>
      </c>
      <c r="K45" s="134">
        <v>258.77</v>
      </c>
      <c r="L45" s="134">
        <v>27.34</v>
      </c>
      <c r="M45" s="134">
        <v>78.7</v>
      </c>
      <c r="N45" s="134">
        <v>231.5</v>
      </c>
      <c r="O45" s="134">
        <v>0</v>
      </c>
      <c r="P45" s="134">
        <v>0.4</v>
      </c>
      <c r="Q45" s="134">
        <v>5.0199999999999996</v>
      </c>
    </row>
    <row r="46" spans="1:17" customFormat="1">
      <c r="A46" s="112" t="s">
        <v>2386</v>
      </c>
      <c r="B46" s="134">
        <v>16.89</v>
      </c>
      <c r="C46" s="134">
        <v>46.41</v>
      </c>
      <c r="D46" s="134">
        <v>36.74</v>
      </c>
      <c r="E46" s="134">
        <v>5.89</v>
      </c>
      <c r="F46" s="134">
        <v>3.93</v>
      </c>
      <c r="G46" s="134">
        <v>10.94</v>
      </c>
      <c r="H46" s="134">
        <v>3.13</v>
      </c>
      <c r="I46" s="134">
        <v>3.77</v>
      </c>
      <c r="J46" s="134">
        <v>0.87</v>
      </c>
      <c r="K46" s="134">
        <v>272.26</v>
      </c>
      <c r="L46" s="134">
        <v>27.43</v>
      </c>
      <c r="M46" s="134">
        <v>78.569999999999993</v>
      </c>
      <c r="N46" s="134">
        <v>238.4</v>
      </c>
      <c r="O46" s="134">
        <v>0</v>
      </c>
      <c r="P46" s="134">
        <v>0.43</v>
      </c>
      <c r="Q46" s="134">
        <v>5.05</v>
      </c>
    </row>
    <row r="47" spans="1:17" customFormat="1">
      <c r="A47" s="112" t="s">
        <v>2387</v>
      </c>
      <c r="B47" s="134">
        <v>16.68</v>
      </c>
      <c r="C47" s="134">
        <v>42.91</v>
      </c>
      <c r="D47" s="134">
        <v>34.75</v>
      </c>
      <c r="E47" s="134">
        <v>6.9</v>
      </c>
      <c r="F47" s="134">
        <v>5.29</v>
      </c>
      <c r="G47" s="134">
        <v>10.53</v>
      </c>
      <c r="H47" s="134">
        <v>5.39</v>
      </c>
      <c r="I47" s="134">
        <v>3.87</v>
      </c>
      <c r="J47" s="134">
        <v>1.1100000000000001</v>
      </c>
      <c r="K47" s="134">
        <v>290.39</v>
      </c>
      <c r="L47" s="134">
        <v>28.06</v>
      </c>
      <c r="M47" s="134">
        <v>75.27</v>
      </c>
      <c r="N47" s="134">
        <v>335.6</v>
      </c>
      <c r="O47" s="134">
        <v>0</v>
      </c>
      <c r="P47" s="134">
        <v>0.48</v>
      </c>
      <c r="Q47" s="134">
        <v>5.0199999999999996</v>
      </c>
    </row>
    <row r="48" spans="1:17" customFormat="1">
      <c r="A48" s="112" t="s">
        <v>2388</v>
      </c>
      <c r="B48" s="134">
        <v>16.27</v>
      </c>
      <c r="C48" s="134">
        <v>44.68</v>
      </c>
      <c r="D48" s="134">
        <v>35.340000000000003</v>
      </c>
      <c r="E48" s="134">
        <v>5.58</v>
      </c>
      <c r="F48" s="134">
        <v>4.59</v>
      </c>
      <c r="G48" s="134">
        <v>10.29</v>
      </c>
      <c r="H48" s="134">
        <v>5.79</v>
      </c>
      <c r="I48" s="134">
        <v>4.17</v>
      </c>
      <c r="J48" s="134">
        <v>1.05</v>
      </c>
      <c r="K48" s="134">
        <v>271.77999999999997</v>
      </c>
      <c r="L48" s="134">
        <v>28.45</v>
      </c>
      <c r="M48" s="134">
        <v>73.94</v>
      </c>
      <c r="N48" s="134">
        <v>321.8</v>
      </c>
      <c r="O48" s="134">
        <v>0</v>
      </c>
      <c r="P48" s="134">
        <v>0.47</v>
      </c>
      <c r="Q48" s="134">
        <v>5</v>
      </c>
    </row>
    <row r="49" spans="1:17" customFormat="1">
      <c r="A49" s="112" t="s">
        <v>2389</v>
      </c>
      <c r="B49" s="134">
        <v>15.6</v>
      </c>
      <c r="C49" s="134">
        <v>44.53</v>
      </c>
      <c r="D49" s="134">
        <v>34.729999999999997</v>
      </c>
      <c r="E49" s="134">
        <v>5.39</v>
      </c>
      <c r="F49" s="134">
        <v>5.26</v>
      </c>
      <c r="G49" s="134">
        <v>10.29</v>
      </c>
      <c r="H49" s="134">
        <v>5.79</v>
      </c>
      <c r="I49" s="134">
        <v>4.34</v>
      </c>
      <c r="J49" s="134">
        <v>0.73</v>
      </c>
      <c r="K49" s="134">
        <v>253.07</v>
      </c>
      <c r="L49" s="134">
        <v>28.76</v>
      </c>
      <c r="M49" s="134">
        <v>73.180000000000007</v>
      </c>
      <c r="N49" s="134">
        <v>296.2</v>
      </c>
      <c r="O49" s="134">
        <v>0</v>
      </c>
      <c r="P49" s="134">
        <v>0.47</v>
      </c>
      <c r="Q49" s="134">
        <v>5.0199999999999996</v>
      </c>
    </row>
    <row r="50" spans="1:17" customFormat="1">
      <c r="A50" s="112" t="s">
        <v>2390</v>
      </c>
      <c r="B50" s="134">
        <v>15.04</v>
      </c>
      <c r="C50" s="134">
        <v>41.53</v>
      </c>
      <c r="D50" s="134">
        <v>32.71</v>
      </c>
      <c r="E50" s="134">
        <v>6.15</v>
      </c>
      <c r="F50" s="134">
        <v>6.17</v>
      </c>
      <c r="G50" s="134">
        <v>10.29</v>
      </c>
      <c r="H50" s="134">
        <v>5.79</v>
      </c>
      <c r="I50" s="134">
        <v>4.29</v>
      </c>
      <c r="J50" s="134">
        <v>0.71</v>
      </c>
      <c r="K50" s="134">
        <v>261.37</v>
      </c>
      <c r="L50" s="134">
        <v>28.96</v>
      </c>
      <c r="M50" s="134">
        <v>72.61</v>
      </c>
      <c r="N50" s="134">
        <v>250.2</v>
      </c>
      <c r="O50" s="134">
        <v>0</v>
      </c>
      <c r="P50" s="134">
        <v>0.44</v>
      </c>
      <c r="Q50" s="134">
        <v>4.91</v>
      </c>
    </row>
    <row r="51" spans="1:17" customFormat="1">
      <c r="A51" s="112" t="s">
        <v>2391</v>
      </c>
      <c r="B51" s="134">
        <v>14.34</v>
      </c>
      <c r="C51" s="134">
        <v>41.11</v>
      </c>
      <c r="D51" s="134">
        <v>31.93</v>
      </c>
      <c r="E51" s="134">
        <v>6.44</v>
      </c>
      <c r="F51" s="134">
        <v>6.21</v>
      </c>
      <c r="G51" s="134">
        <v>11.96</v>
      </c>
      <c r="H51" s="134">
        <v>5.07</v>
      </c>
      <c r="I51" s="134">
        <v>4.22</v>
      </c>
      <c r="J51" s="134">
        <v>0.84</v>
      </c>
      <c r="K51" s="134">
        <v>271.3</v>
      </c>
      <c r="L51" s="134">
        <v>28.9</v>
      </c>
      <c r="M51" s="134">
        <v>71.2</v>
      </c>
      <c r="N51" s="134">
        <v>263.5</v>
      </c>
      <c r="O51" s="134">
        <v>0</v>
      </c>
      <c r="P51" s="134">
        <v>0.45</v>
      </c>
      <c r="Q51" s="134">
        <v>4.83</v>
      </c>
    </row>
    <row r="52" spans="1:17" customFormat="1">
      <c r="A52" s="112" t="s">
        <v>2392</v>
      </c>
      <c r="B52" s="134">
        <v>13.91</v>
      </c>
      <c r="C52" s="134">
        <v>44.6</v>
      </c>
      <c r="D52" s="134">
        <v>33.409999999999997</v>
      </c>
      <c r="E52" s="134">
        <v>7.05</v>
      </c>
      <c r="F52" s="134">
        <v>6.09</v>
      </c>
      <c r="G52" s="134">
        <v>12.93</v>
      </c>
      <c r="H52" s="134">
        <v>4.95</v>
      </c>
      <c r="I52" s="134">
        <v>4.13</v>
      </c>
      <c r="J52" s="134">
        <v>0.87</v>
      </c>
      <c r="K52" s="134">
        <v>274.68</v>
      </c>
      <c r="L52" s="134">
        <v>29.45</v>
      </c>
      <c r="M52" s="134">
        <v>69.47</v>
      </c>
      <c r="N52" s="134">
        <v>417.4</v>
      </c>
      <c r="O52" s="134">
        <v>0</v>
      </c>
      <c r="P52" s="134">
        <v>0.46</v>
      </c>
      <c r="Q52" s="134">
        <v>4.92</v>
      </c>
    </row>
    <row r="53" spans="1:17" customFormat="1">
      <c r="A53" s="112" t="s">
        <v>2393</v>
      </c>
      <c r="B53" s="134">
        <v>12.73</v>
      </c>
      <c r="C53" s="134">
        <v>38.950000000000003</v>
      </c>
      <c r="D53" s="134">
        <v>29.51</v>
      </c>
      <c r="E53" s="134">
        <v>7.44</v>
      </c>
      <c r="F53" s="134">
        <v>8.69</v>
      </c>
      <c r="G53" s="134">
        <v>12.93</v>
      </c>
      <c r="H53" s="134">
        <v>4.95</v>
      </c>
      <c r="I53" s="134">
        <v>4.1399999999999997</v>
      </c>
      <c r="J53" s="134">
        <v>1.1399999999999999</v>
      </c>
      <c r="K53" s="134">
        <v>291.08</v>
      </c>
      <c r="L53" s="134">
        <v>30.47</v>
      </c>
      <c r="M53" s="134">
        <v>66.19</v>
      </c>
      <c r="N53" s="134">
        <v>443.6</v>
      </c>
      <c r="O53" s="134">
        <v>0</v>
      </c>
      <c r="P53" s="134">
        <v>0.46</v>
      </c>
      <c r="Q53" s="134">
        <v>4.84</v>
      </c>
    </row>
    <row r="54" spans="1:17" customFormat="1">
      <c r="A54" s="112" t="s">
        <v>2394</v>
      </c>
      <c r="B54" s="134">
        <v>11.7</v>
      </c>
      <c r="C54" s="134">
        <v>39.01</v>
      </c>
      <c r="D54" s="134">
        <v>28.72</v>
      </c>
      <c r="E54" s="134">
        <v>7.44</v>
      </c>
      <c r="F54" s="134">
        <v>7.74</v>
      </c>
      <c r="G54" s="134">
        <v>12.93</v>
      </c>
      <c r="H54" s="134">
        <v>4.95</v>
      </c>
      <c r="I54" s="134">
        <v>4.22</v>
      </c>
      <c r="J54" s="134">
        <v>1.4</v>
      </c>
      <c r="K54" s="134">
        <v>297.74</v>
      </c>
      <c r="L54" s="134">
        <v>30.22</v>
      </c>
      <c r="M54" s="134">
        <v>66.34</v>
      </c>
      <c r="N54" s="134">
        <v>424.5</v>
      </c>
      <c r="O54" s="134">
        <v>0</v>
      </c>
      <c r="P54" s="134">
        <v>0.47</v>
      </c>
      <c r="Q54" s="134">
        <v>4.75</v>
      </c>
    </row>
    <row r="55" spans="1:17" customFormat="1">
      <c r="A55" s="112" t="s">
        <v>2395</v>
      </c>
      <c r="B55" s="134">
        <v>10.81</v>
      </c>
      <c r="C55" s="134">
        <v>38.729999999999997</v>
      </c>
      <c r="D55" s="134">
        <v>27.86</v>
      </c>
      <c r="E55" s="134">
        <v>7.54</v>
      </c>
      <c r="F55" s="134">
        <v>8.33</v>
      </c>
      <c r="G55" s="134">
        <v>15.04</v>
      </c>
      <c r="H55" s="134">
        <v>6.43</v>
      </c>
      <c r="I55" s="134">
        <v>4.25</v>
      </c>
      <c r="J55" s="134">
        <v>1.1200000000000001</v>
      </c>
      <c r="K55" s="134">
        <v>273.93</v>
      </c>
      <c r="L55" s="134">
        <v>30.56</v>
      </c>
      <c r="M55" s="134">
        <v>65.94</v>
      </c>
      <c r="N55" s="134">
        <v>479.1</v>
      </c>
      <c r="O55" s="134">
        <v>0</v>
      </c>
      <c r="P55" s="134">
        <v>0.47</v>
      </c>
      <c r="Q55" s="134">
        <v>4.68</v>
      </c>
    </row>
    <row r="56" spans="1:17" customFormat="1">
      <c r="A56" s="112" t="s">
        <v>2396</v>
      </c>
      <c r="B56" s="134">
        <v>9.58</v>
      </c>
      <c r="C56" s="134">
        <v>36.869999999999997</v>
      </c>
      <c r="D56" s="134">
        <v>25.9</v>
      </c>
      <c r="E56" s="134">
        <v>6.72</v>
      </c>
      <c r="F56" s="134">
        <v>8.23</v>
      </c>
      <c r="G56" s="134">
        <v>16.260000000000002</v>
      </c>
      <c r="H56" s="134">
        <v>6.69</v>
      </c>
      <c r="I56" s="134">
        <v>4.32</v>
      </c>
      <c r="J56" s="134">
        <v>1.23</v>
      </c>
      <c r="K56" s="134">
        <v>264.31</v>
      </c>
      <c r="L56" s="134">
        <v>30.82</v>
      </c>
      <c r="M56" s="134">
        <v>65.290000000000006</v>
      </c>
      <c r="N56" s="134">
        <v>421.9</v>
      </c>
      <c r="O56" s="134">
        <v>0</v>
      </c>
      <c r="P56" s="134">
        <v>0.46</v>
      </c>
      <c r="Q56" s="134">
        <v>4.63</v>
      </c>
    </row>
    <row r="57" spans="1:17" customFormat="1">
      <c r="A57" s="112" t="s">
        <v>2397</v>
      </c>
      <c r="B57" s="134">
        <v>8.98</v>
      </c>
      <c r="C57" s="134">
        <v>39.72</v>
      </c>
      <c r="D57" s="134">
        <v>26.9</v>
      </c>
      <c r="E57" s="134">
        <v>8.94</v>
      </c>
      <c r="F57" s="134">
        <v>8.07</v>
      </c>
      <c r="G57" s="134">
        <v>16.260000000000002</v>
      </c>
      <c r="H57" s="134">
        <v>6.69</v>
      </c>
      <c r="I57" s="134">
        <v>4.29</v>
      </c>
      <c r="J57" s="134">
        <v>1.32</v>
      </c>
      <c r="K57" s="134">
        <v>275.97000000000003</v>
      </c>
      <c r="L57" s="134">
        <v>30.6</v>
      </c>
      <c r="M57" s="134">
        <v>65.180000000000007</v>
      </c>
      <c r="N57" s="134">
        <v>399.8</v>
      </c>
      <c r="O57" s="134">
        <v>0</v>
      </c>
      <c r="P57" s="134">
        <v>0.57999999999999996</v>
      </c>
      <c r="Q57" s="134">
        <v>4.6399999999999997</v>
      </c>
    </row>
    <row r="58" spans="1:17" customFormat="1">
      <c r="A58" s="112" t="s">
        <v>2398</v>
      </c>
      <c r="B58" s="134">
        <v>5.49</v>
      </c>
      <c r="C58" s="134">
        <v>35.53</v>
      </c>
      <c r="D58" s="134">
        <v>21.92</v>
      </c>
      <c r="E58" s="134">
        <v>22.2</v>
      </c>
      <c r="F58" s="134">
        <v>18.010000000000002</v>
      </c>
      <c r="G58" s="134">
        <v>16.260000000000002</v>
      </c>
      <c r="H58" s="134">
        <v>6.69</v>
      </c>
      <c r="I58" s="134">
        <v>4.3600000000000003</v>
      </c>
      <c r="J58" s="134">
        <v>1.21</v>
      </c>
      <c r="K58" s="134">
        <v>282.45999999999998</v>
      </c>
      <c r="L58" s="134">
        <v>30.23</v>
      </c>
      <c r="M58" s="134">
        <v>67.319999999999993</v>
      </c>
      <c r="N58" s="134">
        <v>199.1</v>
      </c>
      <c r="O58" s="134">
        <v>0</v>
      </c>
      <c r="P58" s="134">
        <v>0.77</v>
      </c>
      <c r="Q58" s="134">
        <v>4.54</v>
      </c>
    </row>
    <row r="59" spans="1:17" customFormat="1">
      <c r="A59" s="112" t="s">
        <v>2399</v>
      </c>
      <c r="B59" s="134">
        <v>3.29</v>
      </c>
      <c r="C59" s="134">
        <v>32.75</v>
      </c>
      <c r="D59" s="134">
        <v>18.71</v>
      </c>
      <c r="E59" s="134">
        <v>17.399999999999999</v>
      </c>
      <c r="F59" s="134">
        <v>19.39</v>
      </c>
      <c r="G59" s="134">
        <v>16.260000000000002</v>
      </c>
      <c r="H59" s="134">
        <v>15.35</v>
      </c>
      <c r="I59" s="134">
        <v>5.3</v>
      </c>
      <c r="J59" s="134">
        <v>0.99</v>
      </c>
      <c r="K59" s="134">
        <v>263.79000000000002</v>
      </c>
      <c r="L59" s="134">
        <v>29.76</v>
      </c>
      <c r="M59" s="134">
        <v>68.510000000000005</v>
      </c>
      <c r="N59" s="134">
        <v>107.8</v>
      </c>
      <c r="O59" s="134">
        <v>0</v>
      </c>
      <c r="P59" s="134">
        <v>0.81</v>
      </c>
      <c r="Q59" s="134">
        <v>4.38</v>
      </c>
    </row>
    <row r="60" spans="1:17" customFormat="1">
      <c r="A60" s="112" t="s">
        <v>2400</v>
      </c>
      <c r="B60" s="134">
        <v>1.82</v>
      </c>
      <c r="C60" s="134">
        <v>31.57</v>
      </c>
      <c r="D60" s="134">
        <v>16.91</v>
      </c>
      <c r="E60" s="134">
        <v>15.13</v>
      </c>
      <c r="F60" s="134">
        <v>23.93</v>
      </c>
      <c r="G60" s="134">
        <v>620.73</v>
      </c>
      <c r="H60" s="134">
        <v>18.05</v>
      </c>
      <c r="I60" s="134">
        <v>6.45</v>
      </c>
      <c r="J60" s="134">
        <v>0.79</v>
      </c>
      <c r="K60" s="134">
        <v>269.7</v>
      </c>
      <c r="L60" s="134">
        <v>29.99</v>
      </c>
      <c r="M60" s="134">
        <v>67.48</v>
      </c>
      <c r="N60" s="134">
        <v>160.6</v>
      </c>
      <c r="O60" s="134">
        <v>0</v>
      </c>
      <c r="P60" s="134">
        <v>0.92</v>
      </c>
      <c r="Q60" s="134">
        <v>4.25</v>
      </c>
    </row>
    <row r="61" spans="1:17" customFormat="1">
      <c r="A61" s="112" t="s">
        <v>2401</v>
      </c>
      <c r="B61" s="134">
        <v>0.49</v>
      </c>
      <c r="C61" s="134">
        <v>29.28</v>
      </c>
      <c r="D61" s="134">
        <v>14.65</v>
      </c>
      <c r="E61" s="134">
        <v>15.11</v>
      </c>
      <c r="F61" s="134">
        <v>23.45</v>
      </c>
      <c r="G61" s="134">
        <v>620.73</v>
      </c>
      <c r="H61" s="134">
        <v>18.05</v>
      </c>
      <c r="I61" s="134">
        <v>6.87</v>
      </c>
      <c r="J61" s="134">
        <v>1.18</v>
      </c>
      <c r="K61" s="134">
        <v>259.11</v>
      </c>
      <c r="L61" s="134">
        <v>30.1</v>
      </c>
      <c r="M61" s="134">
        <v>66.430000000000007</v>
      </c>
      <c r="N61" s="134">
        <v>190.6</v>
      </c>
      <c r="O61" s="134">
        <v>0</v>
      </c>
      <c r="P61" s="134">
        <v>0.84</v>
      </c>
      <c r="Q61" s="134">
        <v>4.2</v>
      </c>
    </row>
    <row r="62" spans="1:17" customFormat="1">
      <c r="A62" s="112" t="s">
        <v>2402</v>
      </c>
      <c r="B62" s="134">
        <v>0.01</v>
      </c>
      <c r="C62" s="134">
        <v>27.62</v>
      </c>
      <c r="D62" s="134">
        <v>13.39</v>
      </c>
      <c r="E62" s="134">
        <v>13.24</v>
      </c>
      <c r="F62" s="134">
        <v>24.08</v>
      </c>
      <c r="G62" s="134">
        <v>620.73</v>
      </c>
      <c r="H62" s="134">
        <v>18.05</v>
      </c>
      <c r="I62" s="134">
        <v>6.98</v>
      </c>
      <c r="J62" s="134">
        <v>0.95</v>
      </c>
      <c r="K62" s="134">
        <v>267.74</v>
      </c>
      <c r="L62" s="134">
        <v>30.22</v>
      </c>
      <c r="M62" s="134">
        <v>66.19</v>
      </c>
      <c r="N62" s="134">
        <v>203.8</v>
      </c>
      <c r="O62" s="134">
        <v>0</v>
      </c>
      <c r="P62" s="134">
        <v>0.81</v>
      </c>
      <c r="Q62" s="134">
        <v>4.1100000000000003</v>
      </c>
    </row>
    <row r="63" spans="1:17" customFormat="1">
      <c r="A63" s="112" t="s">
        <v>2403</v>
      </c>
      <c r="B63" s="134">
        <v>2.96</v>
      </c>
      <c r="C63" s="134">
        <v>27.61</v>
      </c>
      <c r="D63" s="134">
        <v>15.75</v>
      </c>
      <c r="E63" s="134">
        <v>12.3</v>
      </c>
      <c r="F63" s="134">
        <v>27.38</v>
      </c>
      <c r="G63" s="134">
        <v>232.77</v>
      </c>
      <c r="H63" s="134">
        <v>6.57</v>
      </c>
      <c r="I63" s="134">
        <v>6.58</v>
      </c>
      <c r="J63" s="134">
        <v>0.94</v>
      </c>
      <c r="K63" s="134">
        <v>288.74</v>
      </c>
      <c r="L63" s="134">
        <v>30.6</v>
      </c>
      <c r="M63" s="134">
        <v>65.489999999999995</v>
      </c>
      <c r="N63" s="134">
        <v>232.2</v>
      </c>
      <c r="O63" s="134">
        <v>0</v>
      </c>
      <c r="P63" s="134">
        <v>0.76</v>
      </c>
      <c r="Q63" s="134">
        <v>4.0999999999999996</v>
      </c>
    </row>
    <row r="64" spans="1:17" customFormat="1">
      <c r="A64" s="112" t="s">
        <v>2404</v>
      </c>
      <c r="B64" s="134">
        <v>3.31</v>
      </c>
      <c r="C64" s="134">
        <v>29.47</v>
      </c>
      <c r="D64" s="134">
        <v>17.010000000000002</v>
      </c>
      <c r="E64" s="134">
        <v>9.67</v>
      </c>
      <c r="F64" s="134">
        <v>18.53</v>
      </c>
      <c r="G64" s="190" t="s">
        <v>12</v>
      </c>
      <c r="H64" s="190" t="s">
        <v>12</v>
      </c>
      <c r="I64" s="134">
        <v>6.19</v>
      </c>
      <c r="J64" s="134">
        <v>1.22</v>
      </c>
      <c r="K64" s="134">
        <v>281.86</v>
      </c>
      <c r="L64" s="134">
        <v>30.88</v>
      </c>
      <c r="M64" s="134">
        <v>64.459999999999994</v>
      </c>
      <c r="N64" s="134">
        <v>365.5</v>
      </c>
      <c r="O64" s="134">
        <v>0</v>
      </c>
      <c r="P64" s="134">
        <v>0.72</v>
      </c>
      <c r="Q64" s="134">
        <v>4.09</v>
      </c>
    </row>
    <row r="65" spans="1:17" customFormat="1">
      <c r="A65" s="112" t="s">
        <v>2405</v>
      </c>
      <c r="B65" s="134">
        <v>3.05</v>
      </c>
      <c r="C65" s="134">
        <v>31.56</v>
      </c>
      <c r="D65" s="134">
        <v>17.89</v>
      </c>
      <c r="E65" s="134">
        <v>6.82</v>
      </c>
      <c r="F65" s="134">
        <v>10.72</v>
      </c>
      <c r="G65" s="190" t="s">
        <v>12</v>
      </c>
      <c r="H65" s="190" t="s">
        <v>12</v>
      </c>
      <c r="I65" s="134">
        <v>5.82</v>
      </c>
      <c r="J65" s="134">
        <v>1.1000000000000001</v>
      </c>
      <c r="K65" s="134">
        <v>292.5</v>
      </c>
      <c r="L65" s="134">
        <v>31.05</v>
      </c>
      <c r="M65" s="134">
        <v>64.42</v>
      </c>
      <c r="N65" s="134">
        <v>254.5</v>
      </c>
      <c r="O65" s="134">
        <v>0</v>
      </c>
      <c r="P65" s="134">
        <v>0.68</v>
      </c>
      <c r="Q65" s="134">
        <v>4.03</v>
      </c>
    </row>
    <row r="66" spans="1:17" customFormat="1">
      <c r="A66" s="112" t="s">
        <v>2406</v>
      </c>
      <c r="B66" s="134">
        <v>3.5</v>
      </c>
      <c r="C66" s="134">
        <v>32.33</v>
      </c>
      <c r="D66" s="134">
        <v>18.649999999999999</v>
      </c>
      <c r="E66" s="134">
        <v>6.55</v>
      </c>
      <c r="F66" s="134">
        <v>11.55</v>
      </c>
      <c r="G66" s="190" t="s">
        <v>12</v>
      </c>
      <c r="H66" s="190" t="s">
        <v>12</v>
      </c>
      <c r="I66" s="134">
        <v>5.72</v>
      </c>
      <c r="J66" s="134">
        <v>0.84</v>
      </c>
      <c r="K66" s="134">
        <v>267.88</v>
      </c>
      <c r="L66" s="134">
        <v>30.78</v>
      </c>
      <c r="M66" s="134">
        <v>64.94</v>
      </c>
      <c r="N66" s="134">
        <v>152.80000000000001</v>
      </c>
      <c r="O66" s="134">
        <v>0</v>
      </c>
      <c r="P66" s="134">
        <v>0.68</v>
      </c>
      <c r="Q66" s="134">
        <v>4.01</v>
      </c>
    </row>
    <row r="67" spans="1:17" customFormat="1">
      <c r="A67" s="112" t="s">
        <v>2407</v>
      </c>
      <c r="B67" s="134">
        <v>3.78</v>
      </c>
      <c r="C67" s="134">
        <v>31.48</v>
      </c>
      <c r="D67" s="134">
        <v>18.43</v>
      </c>
      <c r="E67" s="134">
        <v>6.8</v>
      </c>
      <c r="F67" s="134">
        <v>15.69</v>
      </c>
      <c r="G67" s="190" t="s">
        <v>12</v>
      </c>
      <c r="H67" s="190" t="s">
        <v>12</v>
      </c>
      <c r="I67" s="134">
        <v>5.94</v>
      </c>
      <c r="J67" s="134">
        <v>0.82</v>
      </c>
      <c r="K67" s="134">
        <v>270.13</v>
      </c>
      <c r="L67" s="134">
        <v>30.83</v>
      </c>
      <c r="M67" s="134">
        <v>64.55</v>
      </c>
      <c r="N67" s="134">
        <v>183</v>
      </c>
      <c r="O67" s="134">
        <v>0</v>
      </c>
      <c r="P67" s="134">
        <v>0.67</v>
      </c>
      <c r="Q67" s="134">
        <v>4</v>
      </c>
    </row>
    <row r="68" spans="1:17" customFormat="1">
      <c r="A68" s="112" t="s">
        <v>2408</v>
      </c>
      <c r="B68" s="134">
        <v>3.86</v>
      </c>
      <c r="C68" s="134">
        <v>30.76</v>
      </c>
      <c r="D68" s="134">
        <v>18.12</v>
      </c>
      <c r="E68" s="134">
        <v>7.4</v>
      </c>
      <c r="F68" s="134">
        <v>16.47</v>
      </c>
      <c r="G68" s="190" t="s">
        <v>12</v>
      </c>
      <c r="H68" s="190" t="s">
        <v>12</v>
      </c>
      <c r="I68" s="134">
        <v>5.7</v>
      </c>
      <c r="J68" s="134">
        <v>0.92</v>
      </c>
      <c r="K68" s="134">
        <v>294.99</v>
      </c>
      <c r="L68" s="134">
        <v>30.93</v>
      </c>
      <c r="M68" s="134">
        <v>63.75</v>
      </c>
      <c r="N68" s="134">
        <v>148.1</v>
      </c>
      <c r="O68" s="134">
        <v>0</v>
      </c>
      <c r="P68" s="134">
        <v>0.65</v>
      </c>
      <c r="Q68" s="134">
        <v>4.0199999999999996</v>
      </c>
    </row>
    <row r="69" spans="1:17" customFormat="1">
      <c r="A69" s="112" t="s">
        <v>2409</v>
      </c>
      <c r="B69" s="134">
        <v>4.26</v>
      </c>
      <c r="C69" s="134">
        <v>32.130000000000003</v>
      </c>
      <c r="D69" s="134">
        <v>19.16</v>
      </c>
      <c r="E69" s="134">
        <v>6.35</v>
      </c>
      <c r="F69" s="134">
        <v>11.19</v>
      </c>
      <c r="G69" s="190" t="s">
        <v>12</v>
      </c>
      <c r="H69" s="190" t="s">
        <v>12</v>
      </c>
      <c r="I69" s="134">
        <v>5.51</v>
      </c>
      <c r="J69" s="134">
        <v>1.1200000000000001</v>
      </c>
      <c r="K69" s="134">
        <v>295.04000000000002</v>
      </c>
      <c r="L69" s="134">
        <v>30.66</v>
      </c>
      <c r="M69" s="134">
        <v>63.83</v>
      </c>
      <c r="N69" s="134">
        <v>109.4</v>
      </c>
      <c r="O69" s="134">
        <v>0</v>
      </c>
      <c r="P69" s="134">
        <v>0.63</v>
      </c>
      <c r="Q69" s="134">
        <v>4.01</v>
      </c>
    </row>
    <row r="70" spans="1:17" customFormat="1">
      <c r="A70" s="112" t="s">
        <v>2410</v>
      </c>
      <c r="B70" s="134">
        <v>4.58</v>
      </c>
      <c r="C70" s="134">
        <v>31.94</v>
      </c>
      <c r="D70" s="134">
        <v>19.309999999999999</v>
      </c>
      <c r="E70" s="134">
        <v>6.6</v>
      </c>
      <c r="F70" s="134">
        <v>13.56</v>
      </c>
      <c r="G70" s="190" t="s">
        <v>12</v>
      </c>
      <c r="H70" s="190" t="s">
        <v>12</v>
      </c>
      <c r="I70" s="134">
        <v>5.42</v>
      </c>
      <c r="J70" s="134">
        <v>0.89</v>
      </c>
      <c r="K70" s="134">
        <v>264.85000000000002</v>
      </c>
      <c r="L70" s="134">
        <v>30.85</v>
      </c>
      <c r="M70" s="134">
        <v>63.87</v>
      </c>
      <c r="N70" s="134">
        <v>143.80000000000001</v>
      </c>
      <c r="O70" s="134">
        <v>0</v>
      </c>
      <c r="P70" s="134">
        <v>0.59</v>
      </c>
      <c r="Q70" s="134">
        <v>4.0199999999999996</v>
      </c>
    </row>
    <row r="71" spans="1:17" customFormat="1">
      <c r="A71" s="112" t="s">
        <v>2411</v>
      </c>
      <c r="B71" s="134">
        <v>4.57</v>
      </c>
      <c r="C71" s="134">
        <v>31.31</v>
      </c>
      <c r="D71" s="134">
        <v>18.98</v>
      </c>
      <c r="E71" s="134">
        <v>6.63</v>
      </c>
      <c r="F71" s="134">
        <v>10.88</v>
      </c>
      <c r="G71" s="190" t="s">
        <v>12</v>
      </c>
      <c r="H71" s="190" t="s">
        <v>12</v>
      </c>
      <c r="I71" s="134">
        <v>5.24</v>
      </c>
      <c r="J71" s="134">
        <v>1.19</v>
      </c>
      <c r="K71" s="134">
        <v>258.23</v>
      </c>
      <c r="L71" s="134">
        <v>30.81</v>
      </c>
      <c r="M71" s="134">
        <v>63.26</v>
      </c>
      <c r="N71" s="134">
        <v>157.9</v>
      </c>
      <c r="O71" s="134">
        <v>0</v>
      </c>
      <c r="P71" s="134">
        <v>0.59</v>
      </c>
      <c r="Q71" s="134">
        <v>4.03</v>
      </c>
    </row>
    <row r="72" spans="1:17" customFormat="1">
      <c r="A72" s="112" t="s">
        <v>2412</v>
      </c>
      <c r="B72" s="134">
        <v>5.13</v>
      </c>
      <c r="C72" s="134">
        <v>38.020000000000003</v>
      </c>
      <c r="D72" s="134">
        <v>22.93</v>
      </c>
      <c r="E72" s="134">
        <v>6.74</v>
      </c>
      <c r="F72" s="134">
        <v>6.94</v>
      </c>
      <c r="G72" s="134">
        <v>24.34</v>
      </c>
      <c r="H72" s="134">
        <v>5.4</v>
      </c>
      <c r="I72" s="134">
        <v>5.17</v>
      </c>
      <c r="J72" s="134">
        <v>1.0900000000000001</v>
      </c>
      <c r="K72" s="134">
        <v>301.88</v>
      </c>
      <c r="L72" s="134">
        <v>31.16</v>
      </c>
      <c r="M72" s="134">
        <v>62.65</v>
      </c>
      <c r="N72" s="134">
        <v>192.1</v>
      </c>
      <c r="O72" s="134">
        <v>0</v>
      </c>
      <c r="P72" s="134">
        <v>0.64</v>
      </c>
      <c r="Q72" s="134">
        <v>4.13</v>
      </c>
    </row>
    <row r="73" spans="1:17" customFormat="1">
      <c r="A73" s="112" t="s">
        <v>2413</v>
      </c>
      <c r="B73" s="134">
        <v>5.94</v>
      </c>
      <c r="C73" s="134">
        <v>38.130000000000003</v>
      </c>
      <c r="D73" s="134">
        <v>23.64</v>
      </c>
      <c r="E73" s="134">
        <v>7.09</v>
      </c>
      <c r="F73" s="134">
        <v>10.88</v>
      </c>
      <c r="G73" s="134">
        <v>24.34</v>
      </c>
      <c r="H73" s="134">
        <v>5.4</v>
      </c>
      <c r="I73" s="134">
        <v>5.34</v>
      </c>
      <c r="J73" s="134">
        <v>1.28</v>
      </c>
      <c r="K73" s="134">
        <v>299.88</v>
      </c>
      <c r="L73" s="134">
        <v>31.09</v>
      </c>
      <c r="M73" s="134">
        <v>62.91</v>
      </c>
      <c r="N73" s="134">
        <v>149</v>
      </c>
      <c r="O73" s="134">
        <v>0</v>
      </c>
      <c r="P73" s="134">
        <v>0.63</v>
      </c>
      <c r="Q73" s="134">
        <v>4.24</v>
      </c>
    </row>
    <row r="74" spans="1:17" customFormat="1">
      <c r="A74" s="112" t="s">
        <v>2414</v>
      </c>
      <c r="B74" s="134">
        <v>6.15</v>
      </c>
      <c r="C74" s="134">
        <v>34.99</v>
      </c>
      <c r="D74" s="134">
        <v>22.17</v>
      </c>
      <c r="E74" s="134">
        <v>6.97</v>
      </c>
      <c r="F74" s="134">
        <v>13.47</v>
      </c>
      <c r="G74" s="134">
        <v>24.34</v>
      </c>
      <c r="H74" s="134">
        <v>5.4</v>
      </c>
      <c r="I74" s="134">
        <v>5.37</v>
      </c>
      <c r="J74" s="134">
        <v>1.18</v>
      </c>
      <c r="K74" s="134">
        <v>299.57</v>
      </c>
      <c r="L74" s="134">
        <v>30.99</v>
      </c>
      <c r="M74" s="134">
        <v>63.61</v>
      </c>
      <c r="N74" s="134">
        <v>126</v>
      </c>
      <c r="O74" s="134">
        <v>0</v>
      </c>
      <c r="P74" s="134">
        <v>0.6</v>
      </c>
      <c r="Q74" s="134">
        <v>4.1900000000000004</v>
      </c>
    </row>
    <row r="75" spans="1:17" customFormat="1">
      <c r="A75" s="112" t="s">
        <v>2415</v>
      </c>
      <c r="B75" s="134">
        <v>6.64</v>
      </c>
      <c r="C75" s="134">
        <v>35.01</v>
      </c>
      <c r="D75" s="134">
        <v>22.57</v>
      </c>
      <c r="E75" s="134">
        <v>7.07</v>
      </c>
      <c r="F75" s="134">
        <v>13.53</v>
      </c>
      <c r="G75" s="134">
        <v>26.34</v>
      </c>
      <c r="H75" s="134">
        <v>6.49</v>
      </c>
      <c r="I75" s="134">
        <v>5.12</v>
      </c>
      <c r="J75" s="134">
        <v>1.1200000000000001</v>
      </c>
      <c r="K75" s="134">
        <v>304.42</v>
      </c>
      <c r="L75" s="134">
        <v>30.88</v>
      </c>
      <c r="M75" s="134">
        <v>64.489999999999995</v>
      </c>
      <c r="N75" s="134">
        <v>69.2</v>
      </c>
      <c r="O75" s="134">
        <v>0</v>
      </c>
      <c r="P75" s="134">
        <v>0.56999999999999995</v>
      </c>
      <c r="Q75" s="134">
        <v>4.17</v>
      </c>
    </row>
    <row r="76" spans="1:17" customFormat="1">
      <c r="A76" s="112" t="s">
        <v>2416</v>
      </c>
      <c r="B76" s="134">
        <v>7.41</v>
      </c>
      <c r="C76" s="134">
        <v>34.96</v>
      </c>
      <c r="D76" s="134">
        <v>23.16</v>
      </c>
      <c r="E76" s="134">
        <v>6.8</v>
      </c>
      <c r="F76" s="134">
        <v>11.89</v>
      </c>
      <c r="G76" s="134">
        <v>29.33</v>
      </c>
      <c r="H76" s="134">
        <v>8.11</v>
      </c>
      <c r="I76" s="134">
        <v>4.9000000000000004</v>
      </c>
      <c r="J76" s="134">
        <v>1.46</v>
      </c>
      <c r="K76" s="134">
        <v>300.58999999999997</v>
      </c>
      <c r="L76" s="134">
        <v>30.28</v>
      </c>
      <c r="M76" s="134">
        <v>67.010000000000005</v>
      </c>
      <c r="N76" s="134">
        <v>20.100000000000001</v>
      </c>
      <c r="O76" s="134">
        <v>0</v>
      </c>
      <c r="P76" s="134">
        <v>0.56000000000000005</v>
      </c>
      <c r="Q76" s="134">
        <v>4.1900000000000004</v>
      </c>
    </row>
    <row r="77" spans="1:17" customFormat="1">
      <c r="A77" s="112" t="s">
        <v>2417</v>
      </c>
      <c r="B77" s="134">
        <v>6.69</v>
      </c>
      <c r="C77" s="134">
        <v>33.049999999999997</v>
      </c>
      <c r="D77" s="134">
        <v>21.59</v>
      </c>
      <c r="E77" s="134">
        <v>7.14</v>
      </c>
      <c r="F77" s="134">
        <v>13.69</v>
      </c>
      <c r="G77" s="134">
        <v>29.33</v>
      </c>
      <c r="H77" s="134">
        <v>8.11</v>
      </c>
      <c r="I77" s="134">
        <v>4.8</v>
      </c>
      <c r="J77" s="134">
        <v>0.81</v>
      </c>
      <c r="K77" s="134">
        <v>300.13</v>
      </c>
      <c r="L77" s="134">
        <v>29.2</v>
      </c>
      <c r="M77" s="134">
        <v>75.59</v>
      </c>
      <c r="N77" s="134">
        <v>45.4</v>
      </c>
      <c r="O77" s="134">
        <v>0</v>
      </c>
      <c r="P77" s="134">
        <v>0.54</v>
      </c>
      <c r="Q77" s="134">
        <v>4.17</v>
      </c>
    </row>
    <row r="78" spans="1:17" customFormat="1">
      <c r="A78" s="112" t="s">
        <v>2418</v>
      </c>
      <c r="B78" s="134">
        <v>6.95</v>
      </c>
      <c r="C78" s="134">
        <v>33.619999999999997</v>
      </c>
      <c r="D78" s="134">
        <v>22.09</v>
      </c>
      <c r="E78" s="134">
        <v>7.7</v>
      </c>
      <c r="F78" s="134">
        <v>14.56</v>
      </c>
      <c r="G78" s="134">
        <v>29.33</v>
      </c>
      <c r="H78" s="134">
        <v>8.11</v>
      </c>
      <c r="I78" s="134">
        <v>4.72</v>
      </c>
      <c r="J78" s="134">
        <v>0.71</v>
      </c>
      <c r="K78" s="134">
        <v>307.98</v>
      </c>
      <c r="L78" s="134">
        <v>28.2</v>
      </c>
      <c r="M78" s="134">
        <v>83.66</v>
      </c>
      <c r="N78" s="134">
        <v>101.7</v>
      </c>
      <c r="O78" s="134">
        <v>0</v>
      </c>
      <c r="P78" s="134">
        <v>0.55000000000000004</v>
      </c>
      <c r="Q78" s="134">
        <v>4.1500000000000004</v>
      </c>
    </row>
    <row r="79" spans="1:17" customFormat="1">
      <c r="A79" s="112" t="s">
        <v>2419</v>
      </c>
      <c r="B79" s="134">
        <v>7.04</v>
      </c>
      <c r="C79" s="134">
        <v>34.61</v>
      </c>
      <c r="D79" s="134">
        <v>22.68</v>
      </c>
      <c r="E79" s="134">
        <v>7.37</v>
      </c>
      <c r="F79" s="134">
        <v>11.06</v>
      </c>
      <c r="G79" s="134">
        <v>33.67</v>
      </c>
      <c r="H79" s="134">
        <v>9.8699999999999992</v>
      </c>
      <c r="I79" s="134">
        <v>4.46</v>
      </c>
      <c r="J79" s="134">
        <v>0.8</v>
      </c>
      <c r="K79" s="134">
        <v>301.17</v>
      </c>
      <c r="L79" s="134">
        <v>28.43</v>
      </c>
      <c r="M79" s="134">
        <v>79.739999999999995</v>
      </c>
      <c r="N79" s="134">
        <v>75.2</v>
      </c>
      <c r="O79" s="134">
        <v>0</v>
      </c>
      <c r="P79" s="134">
        <v>0.54</v>
      </c>
      <c r="Q79" s="134">
        <v>4.16</v>
      </c>
    </row>
    <row r="80" spans="1:17" customFormat="1">
      <c r="A80" s="112" t="s">
        <v>2420</v>
      </c>
      <c r="B80" s="134">
        <v>7.53</v>
      </c>
      <c r="C80" s="134">
        <v>40.01</v>
      </c>
      <c r="D80" s="134">
        <v>25.89</v>
      </c>
      <c r="E80" s="134">
        <v>7.47</v>
      </c>
      <c r="F80" s="134">
        <v>5.94</v>
      </c>
      <c r="G80" s="134">
        <v>40.17</v>
      </c>
      <c r="H80" s="134">
        <v>12.52</v>
      </c>
      <c r="I80" s="134">
        <v>4.42</v>
      </c>
      <c r="J80" s="134">
        <v>0.65</v>
      </c>
      <c r="K80" s="134">
        <v>300.13</v>
      </c>
      <c r="L80" s="134">
        <v>28.65</v>
      </c>
      <c r="M80" s="134">
        <v>77.209999999999994</v>
      </c>
      <c r="N80" s="134">
        <v>38.6</v>
      </c>
      <c r="O80" s="134">
        <v>0</v>
      </c>
      <c r="P80" s="134">
        <v>0.61</v>
      </c>
      <c r="Q80" s="134">
        <v>4.3</v>
      </c>
    </row>
    <row r="81" spans="1:17" customFormat="1">
      <c r="A81" s="112" t="s">
        <v>2421</v>
      </c>
      <c r="B81" s="134">
        <v>8.35</v>
      </c>
      <c r="C81" s="134">
        <v>40.17</v>
      </c>
      <c r="D81" s="134">
        <v>26.63</v>
      </c>
      <c r="E81" s="134">
        <v>5.23</v>
      </c>
      <c r="F81" s="134">
        <v>8.08</v>
      </c>
      <c r="G81" s="134">
        <v>40.17</v>
      </c>
      <c r="H81" s="134">
        <v>12.52</v>
      </c>
      <c r="I81" s="134">
        <v>4.71</v>
      </c>
      <c r="J81" s="134">
        <v>1.08</v>
      </c>
      <c r="K81" s="134">
        <v>296.05</v>
      </c>
      <c r="L81" s="134">
        <v>28.79</v>
      </c>
      <c r="M81" s="134">
        <v>72.11</v>
      </c>
      <c r="N81" s="134">
        <v>10.8</v>
      </c>
      <c r="O81" s="134">
        <v>0</v>
      </c>
      <c r="P81" s="134">
        <v>0.61</v>
      </c>
      <c r="Q81" s="134">
        <v>4.4000000000000004</v>
      </c>
    </row>
    <row r="82" spans="1:17" customFormat="1">
      <c r="A82" s="112" t="s">
        <v>2422</v>
      </c>
      <c r="B82" s="134">
        <v>8.73</v>
      </c>
      <c r="C82" s="134">
        <v>39.68</v>
      </c>
      <c r="D82" s="134">
        <v>26.68</v>
      </c>
      <c r="E82" s="134">
        <v>5.57</v>
      </c>
      <c r="F82" s="134">
        <v>9.49</v>
      </c>
      <c r="G82" s="134">
        <v>40.17</v>
      </c>
      <c r="H82" s="134">
        <v>12.52</v>
      </c>
      <c r="I82" s="134">
        <v>4.84</v>
      </c>
      <c r="J82" s="134">
        <v>0.59</v>
      </c>
      <c r="K82" s="134">
        <v>279.05</v>
      </c>
      <c r="L82" s="134">
        <v>28.84</v>
      </c>
      <c r="M82" s="134">
        <v>72.709999999999994</v>
      </c>
      <c r="N82" s="134">
        <v>0.9</v>
      </c>
      <c r="O82" s="134">
        <v>0</v>
      </c>
      <c r="P82" s="134">
        <v>0.61</v>
      </c>
      <c r="Q82" s="134">
        <v>4.41</v>
      </c>
    </row>
    <row r="83" spans="1:17" customFormat="1">
      <c r="A83" s="112" t="s">
        <v>2423</v>
      </c>
      <c r="B83" s="134">
        <v>8.14</v>
      </c>
      <c r="C83" s="134">
        <v>35.81</v>
      </c>
      <c r="D83" s="134">
        <v>24.19</v>
      </c>
      <c r="E83" s="134">
        <v>7.12</v>
      </c>
      <c r="F83" s="134">
        <v>17.12</v>
      </c>
      <c r="G83" s="134">
        <v>44.85</v>
      </c>
      <c r="H83" s="134">
        <v>12.88</v>
      </c>
      <c r="I83" s="134">
        <v>4.75</v>
      </c>
      <c r="J83" s="134">
        <v>0.48</v>
      </c>
      <c r="K83" s="134">
        <v>273.52999999999997</v>
      </c>
      <c r="L83" s="134">
        <v>28.7</v>
      </c>
      <c r="M83" s="134">
        <v>74.55</v>
      </c>
      <c r="N83" s="134">
        <v>0</v>
      </c>
      <c r="O83" s="134">
        <v>0</v>
      </c>
      <c r="P83" s="134">
        <v>0.56999999999999995</v>
      </c>
      <c r="Q83" s="134">
        <v>4.42</v>
      </c>
    </row>
    <row r="84" spans="1:17" customFormat="1">
      <c r="A84" s="112" t="s">
        <v>2424</v>
      </c>
      <c r="B84" s="134">
        <v>7.88</v>
      </c>
      <c r="C84" s="134">
        <v>34.51</v>
      </c>
      <c r="D84" s="134">
        <v>23.3</v>
      </c>
      <c r="E84" s="134">
        <v>7.01</v>
      </c>
      <c r="F84" s="134">
        <v>16.350000000000001</v>
      </c>
      <c r="G84" s="134">
        <v>51.86</v>
      </c>
      <c r="H84" s="134">
        <v>13.42</v>
      </c>
      <c r="I84" s="134">
        <v>4.58</v>
      </c>
      <c r="J84" s="134">
        <v>0.61</v>
      </c>
      <c r="K84" s="134">
        <v>255.05</v>
      </c>
      <c r="L84" s="134">
        <v>28.71</v>
      </c>
      <c r="M84" s="134">
        <v>74.5</v>
      </c>
      <c r="N84" s="134">
        <v>0</v>
      </c>
      <c r="O84" s="134">
        <v>0</v>
      </c>
      <c r="P84" s="134">
        <v>0.56000000000000005</v>
      </c>
      <c r="Q84" s="134">
        <v>4.37</v>
      </c>
    </row>
    <row r="85" spans="1:17" customFormat="1">
      <c r="A85" s="112" t="s">
        <v>2425</v>
      </c>
      <c r="B85" s="134">
        <v>7.52</v>
      </c>
      <c r="C85" s="134">
        <v>32.57</v>
      </c>
      <c r="D85" s="134">
        <v>22</v>
      </c>
      <c r="E85" s="134">
        <v>6.43</v>
      </c>
      <c r="F85" s="134">
        <v>17.41</v>
      </c>
      <c r="G85" s="134">
        <v>51.86</v>
      </c>
      <c r="H85" s="134">
        <v>13.42</v>
      </c>
      <c r="I85" s="134">
        <v>4.4000000000000004</v>
      </c>
      <c r="J85" s="134">
        <v>0.53</v>
      </c>
      <c r="K85" s="134">
        <v>251.87</v>
      </c>
      <c r="L85" s="134">
        <v>28.58</v>
      </c>
      <c r="M85" s="134">
        <v>75.48</v>
      </c>
      <c r="N85" s="134">
        <v>0</v>
      </c>
      <c r="O85" s="134">
        <v>0</v>
      </c>
      <c r="P85" s="134">
        <v>0.51</v>
      </c>
      <c r="Q85" s="134">
        <v>4.32</v>
      </c>
    </row>
    <row r="86" spans="1:17" customFormat="1">
      <c r="A86" s="112" t="s">
        <v>2426</v>
      </c>
      <c r="B86" s="134">
        <v>8.09</v>
      </c>
      <c r="C86" s="134">
        <v>37.450000000000003</v>
      </c>
      <c r="D86" s="134">
        <v>25.01</v>
      </c>
      <c r="E86" s="134">
        <v>5.77</v>
      </c>
      <c r="F86" s="134">
        <v>6.39</v>
      </c>
      <c r="G86" s="134">
        <v>51.86</v>
      </c>
      <c r="H86" s="134">
        <v>13.42</v>
      </c>
      <c r="I86" s="134">
        <v>4.37</v>
      </c>
      <c r="J86" s="134">
        <v>0.74</v>
      </c>
      <c r="K86" s="134">
        <v>274.98</v>
      </c>
      <c r="L86" s="134">
        <v>28.73</v>
      </c>
      <c r="M86" s="134">
        <v>71.709999999999994</v>
      </c>
      <c r="N86" s="134">
        <v>0</v>
      </c>
      <c r="O86" s="134">
        <v>0</v>
      </c>
      <c r="P86" s="134">
        <v>0.56000000000000005</v>
      </c>
      <c r="Q86" s="134">
        <v>4.3499999999999996</v>
      </c>
    </row>
    <row r="87" spans="1:17" customFormat="1">
      <c r="A87" s="112" t="s">
        <v>2427</v>
      </c>
      <c r="B87" s="134">
        <v>8.5500000000000007</v>
      </c>
      <c r="C87" s="134">
        <v>38.840000000000003</v>
      </c>
      <c r="D87" s="134">
        <v>26.11</v>
      </c>
      <c r="E87" s="134">
        <v>6.57</v>
      </c>
      <c r="F87" s="134">
        <v>11.42</v>
      </c>
      <c r="G87" s="134">
        <v>50.04</v>
      </c>
      <c r="H87" s="134">
        <v>13.46</v>
      </c>
      <c r="I87" s="134">
        <v>4.4000000000000004</v>
      </c>
      <c r="J87" s="134">
        <v>0.61</v>
      </c>
      <c r="K87" s="134">
        <v>266.5</v>
      </c>
      <c r="L87" s="134">
        <v>28.76</v>
      </c>
      <c r="M87" s="134">
        <v>69.41</v>
      </c>
      <c r="N87" s="134">
        <v>0</v>
      </c>
      <c r="O87" s="134">
        <v>0</v>
      </c>
      <c r="P87" s="134">
        <v>0.57999999999999996</v>
      </c>
      <c r="Q87" s="134">
        <v>4.49</v>
      </c>
    </row>
    <row r="88" spans="1:17" customFormat="1">
      <c r="A88" s="112" t="s">
        <v>2428</v>
      </c>
      <c r="B88" s="134">
        <v>8.3699999999999992</v>
      </c>
      <c r="C88" s="134">
        <v>36.28</v>
      </c>
      <c r="D88" s="134">
        <v>24.62</v>
      </c>
      <c r="E88" s="134">
        <v>6.04</v>
      </c>
      <c r="F88" s="134">
        <v>12.71</v>
      </c>
      <c r="G88" s="134">
        <v>47.3</v>
      </c>
      <c r="H88" s="134">
        <v>13.53</v>
      </c>
      <c r="I88" s="134">
        <v>4.5599999999999996</v>
      </c>
      <c r="J88" s="134">
        <v>0.36</v>
      </c>
      <c r="K88" s="134">
        <v>251.67</v>
      </c>
      <c r="L88" s="134">
        <v>28.63</v>
      </c>
      <c r="M88" s="134">
        <v>70.599999999999994</v>
      </c>
      <c r="N88" s="134">
        <v>0</v>
      </c>
      <c r="O88" s="134">
        <v>0</v>
      </c>
      <c r="P88" s="134">
        <v>0.56999999999999995</v>
      </c>
      <c r="Q88" s="134">
        <v>4.47</v>
      </c>
    </row>
    <row r="89" spans="1:17" customFormat="1">
      <c r="A89" s="112" t="s">
        <v>2429</v>
      </c>
      <c r="B89" s="134">
        <v>8.4600000000000009</v>
      </c>
      <c r="C89" s="134">
        <v>35.4</v>
      </c>
      <c r="D89" s="134">
        <v>24.23</v>
      </c>
      <c r="E89" s="134">
        <v>5.55</v>
      </c>
      <c r="F89" s="134">
        <v>10.63</v>
      </c>
      <c r="G89" s="134">
        <v>47.3</v>
      </c>
      <c r="H89" s="134">
        <v>13.53</v>
      </c>
      <c r="I89" s="134">
        <v>4.49</v>
      </c>
      <c r="J89" s="134">
        <v>0.42</v>
      </c>
      <c r="K89" s="134">
        <v>251.15</v>
      </c>
      <c r="L89" s="134">
        <v>28.37</v>
      </c>
      <c r="M89" s="134">
        <v>72.66</v>
      </c>
      <c r="N89" s="134">
        <v>0</v>
      </c>
      <c r="O89" s="134">
        <v>0</v>
      </c>
      <c r="P89" s="134">
        <v>0.53</v>
      </c>
      <c r="Q89" s="134">
        <v>4.4000000000000004</v>
      </c>
    </row>
    <row r="90" spans="1:17" customFormat="1">
      <c r="A90" s="112" t="s">
        <v>2430</v>
      </c>
      <c r="B90" s="134">
        <v>9.31</v>
      </c>
      <c r="C90" s="134">
        <v>40.909999999999997</v>
      </c>
      <c r="D90" s="134">
        <v>27.79</v>
      </c>
      <c r="E90" s="134">
        <v>6.11</v>
      </c>
      <c r="F90" s="134">
        <v>6.79</v>
      </c>
      <c r="G90" s="134">
        <v>47.3</v>
      </c>
      <c r="H90" s="134">
        <v>13.53</v>
      </c>
      <c r="I90" s="134">
        <v>4.3099999999999996</v>
      </c>
      <c r="J90" s="134">
        <v>0.37</v>
      </c>
      <c r="K90" s="134">
        <v>247.44</v>
      </c>
      <c r="L90" s="134">
        <v>28.15</v>
      </c>
      <c r="M90" s="134">
        <v>75.06</v>
      </c>
      <c r="N90" s="134">
        <v>0</v>
      </c>
      <c r="O90" s="134">
        <v>0</v>
      </c>
      <c r="P90" s="134">
        <v>0.56999999999999995</v>
      </c>
      <c r="Q90" s="134">
        <v>4.4800000000000004</v>
      </c>
    </row>
    <row r="91" spans="1:17" customFormat="1">
      <c r="A91" s="112" t="s">
        <v>2431</v>
      </c>
      <c r="B91" s="134">
        <v>9.36</v>
      </c>
      <c r="C91" s="134">
        <v>37</v>
      </c>
      <c r="D91" s="134">
        <v>25.79</v>
      </c>
      <c r="E91" s="134">
        <v>5.89</v>
      </c>
      <c r="F91" s="134">
        <v>11.11</v>
      </c>
      <c r="G91" s="134">
        <v>43.4</v>
      </c>
      <c r="H91" s="134">
        <v>12.5</v>
      </c>
      <c r="I91" s="134">
        <v>4.54</v>
      </c>
      <c r="J91" s="134">
        <v>0.66</v>
      </c>
      <c r="K91" s="134">
        <v>251.31</v>
      </c>
      <c r="L91" s="134">
        <v>27.99</v>
      </c>
      <c r="M91" s="134">
        <v>75.98</v>
      </c>
      <c r="N91" s="134">
        <v>0</v>
      </c>
      <c r="O91" s="134">
        <v>0</v>
      </c>
      <c r="P91" s="134">
        <v>0.54</v>
      </c>
      <c r="Q91" s="134">
        <v>4.5</v>
      </c>
    </row>
    <row r="92" spans="1:17" customFormat="1">
      <c r="A92" s="112" t="s">
        <v>2432</v>
      </c>
      <c r="B92" s="134">
        <v>9.73</v>
      </c>
      <c r="C92" s="134">
        <v>35.25</v>
      </c>
      <c r="D92" s="134">
        <v>25.17</v>
      </c>
      <c r="E92" s="134">
        <v>5.85</v>
      </c>
      <c r="F92" s="134">
        <v>9.73</v>
      </c>
      <c r="G92" s="134">
        <v>37.81</v>
      </c>
      <c r="H92" s="134">
        <v>10.96</v>
      </c>
      <c r="I92" s="134">
        <v>4.6500000000000004</v>
      </c>
      <c r="J92" s="134">
        <v>0.77</v>
      </c>
      <c r="K92" s="134">
        <v>252.85</v>
      </c>
      <c r="L92" s="134">
        <v>27.73</v>
      </c>
      <c r="M92" s="134">
        <v>77.77</v>
      </c>
      <c r="N92" s="134">
        <v>0</v>
      </c>
      <c r="O92" s="134">
        <v>0</v>
      </c>
      <c r="P92" s="134">
        <v>0.51</v>
      </c>
      <c r="Q92" s="134">
        <v>4.4400000000000004</v>
      </c>
    </row>
    <row r="93" spans="1:17" customFormat="1">
      <c r="A93" s="112" t="s">
        <v>2433</v>
      </c>
      <c r="B93" s="134">
        <v>10.24</v>
      </c>
      <c r="C93" s="134">
        <v>39.31</v>
      </c>
      <c r="D93" s="134">
        <v>27.7</v>
      </c>
      <c r="E93" s="134">
        <v>5.39</v>
      </c>
      <c r="F93" s="134">
        <v>5.68</v>
      </c>
      <c r="G93" s="134">
        <v>37.81</v>
      </c>
      <c r="H93" s="134">
        <v>10.96</v>
      </c>
      <c r="I93" s="134">
        <v>4.46</v>
      </c>
      <c r="J93" s="134">
        <v>0.81</v>
      </c>
      <c r="K93" s="134">
        <v>257.14999999999998</v>
      </c>
      <c r="L93" s="134">
        <v>27.51</v>
      </c>
      <c r="M93" s="134">
        <v>78.73</v>
      </c>
      <c r="N93" s="134">
        <v>0</v>
      </c>
      <c r="O93" s="134">
        <v>0</v>
      </c>
      <c r="P93" s="134">
        <v>0.53</v>
      </c>
      <c r="Q93" s="134">
        <v>4.43</v>
      </c>
    </row>
    <row r="94" spans="1:17" customFormat="1">
      <c r="A94" s="112" t="s">
        <v>2434</v>
      </c>
      <c r="B94" s="134">
        <v>10.59</v>
      </c>
      <c r="C94" s="134">
        <v>40.29</v>
      </c>
      <c r="D94" s="134">
        <v>28.5</v>
      </c>
      <c r="E94" s="134">
        <v>5.66</v>
      </c>
      <c r="F94" s="134">
        <v>6.1</v>
      </c>
      <c r="G94" s="134">
        <v>37.81</v>
      </c>
      <c r="H94" s="134">
        <v>10.96</v>
      </c>
      <c r="I94" s="134">
        <v>4.53</v>
      </c>
      <c r="J94" s="134">
        <v>0.73</v>
      </c>
      <c r="K94" s="134">
        <v>256.64</v>
      </c>
      <c r="L94" s="134">
        <v>27.35</v>
      </c>
      <c r="M94" s="134">
        <v>79.16</v>
      </c>
      <c r="N94" s="134">
        <v>0</v>
      </c>
      <c r="O94" s="134">
        <v>0</v>
      </c>
      <c r="P94" s="134">
        <v>0.54</v>
      </c>
      <c r="Q94" s="134">
        <v>4.5</v>
      </c>
    </row>
    <row r="95" spans="1:17" customFormat="1">
      <c r="A95" s="112" t="s">
        <v>2435</v>
      </c>
      <c r="B95" s="134">
        <v>10.14</v>
      </c>
      <c r="C95" s="134">
        <v>35.71</v>
      </c>
      <c r="D95" s="134">
        <v>25.74</v>
      </c>
      <c r="E95" s="134">
        <v>5.49</v>
      </c>
      <c r="F95" s="134">
        <v>8.68</v>
      </c>
      <c r="G95" s="134">
        <v>34.020000000000003</v>
      </c>
      <c r="H95" s="134">
        <v>9.83</v>
      </c>
      <c r="I95" s="134">
        <v>4.6399999999999997</v>
      </c>
      <c r="J95" s="134">
        <v>0.63</v>
      </c>
      <c r="K95" s="134">
        <v>251.47</v>
      </c>
      <c r="L95" s="134">
        <v>27.23</v>
      </c>
      <c r="M95" s="134">
        <v>79.53</v>
      </c>
      <c r="N95" s="134">
        <v>0</v>
      </c>
      <c r="O95" s="134">
        <v>0</v>
      </c>
      <c r="P95" s="134">
        <v>0.49</v>
      </c>
      <c r="Q95" s="134">
        <v>4.43</v>
      </c>
    </row>
    <row r="96" spans="1:17" customFormat="1">
      <c r="A96" s="112" t="s">
        <v>2436</v>
      </c>
      <c r="B96" s="134">
        <v>10.3</v>
      </c>
      <c r="C96" s="134">
        <v>37.72</v>
      </c>
      <c r="D96" s="134">
        <v>26.92</v>
      </c>
      <c r="E96" s="134">
        <v>5.14</v>
      </c>
      <c r="F96" s="134">
        <v>4.87</v>
      </c>
      <c r="G96" s="134">
        <v>28.34</v>
      </c>
      <c r="H96" s="134">
        <v>8.14</v>
      </c>
      <c r="I96" s="134">
        <v>4.51</v>
      </c>
      <c r="J96" s="134">
        <v>0.71</v>
      </c>
      <c r="K96" s="134">
        <v>257.19</v>
      </c>
      <c r="L96" s="134">
        <v>27.13</v>
      </c>
      <c r="M96" s="134">
        <v>78.94</v>
      </c>
      <c r="N96" s="134">
        <v>0</v>
      </c>
      <c r="O96" s="134">
        <v>0</v>
      </c>
      <c r="P96" s="134">
        <v>0.51</v>
      </c>
      <c r="Q96" s="134">
        <v>4.43</v>
      </c>
    </row>
    <row r="97" spans="1:22" customFormat="1">
      <c r="A97" s="112" t="s">
        <v>2437</v>
      </c>
      <c r="B97" s="134">
        <v>10.86</v>
      </c>
      <c r="C97" s="134">
        <v>40.340000000000003</v>
      </c>
      <c r="D97" s="134">
        <v>28.74</v>
      </c>
      <c r="E97" s="134">
        <v>5.86</v>
      </c>
      <c r="F97" s="134">
        <v>5.26</v>
      </c>
      <c r="G97" s="134">
        <v>28.34</v>
      </c>
      <c r="H97" s="134">
        <v>8.14</v>
      </c>
      <c r="I97" s="134">
        <v>4.34</v>
      </c>
      <c r="J97" s="134">
        <v>0.62</v>
      </c>
      <c r="K97" s="134">
        <v>252.42</v>
      </c>
      <c r="L97" s="134">
        <v>27.05</v>
      </c>
      <c r="M97" s="134">
        <v>79.150000000000006</v>
      </c>
      <c r="N97" s="134">
        <v>0</v>
      </c>
      <c r="O97" s="134">
        <v>0</v>
      </c>
      <c r="P97" s="134">
        <v>0.52</v>
      </c>
      <c r="Q97" s="134">
        <v>4.54</v>
      </c>
    </row>
    <row r="98" spans="1:22" customFormat="1">
      <c r="A98" s="112" t="s">
        <v>2438</v>
      </c>
      <c r="B98" s="134">
        <v>10.87</v>
      </c>
      <c r="C98" s="134">
        <v>36.53</v>
      </c>
      <c r="D98" s="134">
        <v>26.76</v>
      </c>
      <c r="E98" s="134">
        <v>5.41</v>
      </c>
      <c r="F98" s="134">
        <v>7.43</v>
      </c>
      <c r="G98" s="134">
        <v>28.34</v>
      </c>
      <c r="H98" s="134">
        <v>8.14</v>
      </c>
      <c r="I98" s="134">
        <v>4.41</v>
      </c>
      <c r="J98" s="134">
        <v>0.96</v>
      </c>
      <c r="K98" s="134">
        <v>258.14999999999998</v>
      </c>
      <c r="L98" s="134">
        <v>26.97</v>
      </c>
      <c r="M98" s="134">
        <v>79.14</v>
      </c>
      <c r="N98" s="134">
        <v>0</v>
      </c>
      <c r="O98" s="134">
        <v>0</v>
      </c>
      <c r="P98" s="134">
        <v>0.48</v>
      </c>
      <c r="Q98" s="134">
        <v>4.45</v>
      </c>
    </row>
    <row r="99" spans="1:22" customFormat="1">
      <c r="A99" s="112" t="s">
        <v>2439</v>
      </c>
      <c r="B99" s="134">
        <v>10.82</v>
      </c>
      <c r="C99" s="134">
        <v>36.25</v>
      </c>
      <c r="D99" s="134">
        <v>26.57</v>
      </c>
      <c r="E99" s="134">
        <v>5.35</v>
      </c>
      <c r="F99" s="134">
        <v>6.73</v>
      </c>
      <c r="G99" s="134">
        <v>25.33</v>
      </c>
      <c r="H99" s="134">
        <v>7.95</v>
      </c>
      <c r="I99" s="134">
        <v>4.4000000000000004</v>
      </c>
      <c r="J99" s="134">
        <v>0.92</v>
      </c>
      <c r="K99" s="134">
        <v>270.08999999999997</v>
      </c>
      <c r="L99" s="134">
        <v>26.91</v>
      </c>
      <c r="M99" s="134">
        <v>79.42</v>
      </c>
      <c r="N99" s="134">
        <v>0</v>
      </c>
      <c r="O99" s="134">
        <v>0</v>
      </c>
      <c r="P99" s="134">
        <v>0.47</v>
      </c>
      <c r="Q99" s="134">
        <v>4.3899999999999997</v>
      </c>
    </row>
    <row r="100" spans="1:22" customFormat="1">
      <c r="A100" s="112" t="s">
        <v>2440</v>
      </c>
      <c r="B100" s="134">
        <v>11.17</v>
      </c>
      <c r="C100" s="134">
        <v>41.36</v>
      </c>
      <c r="D100" s="134">
        <v>29.52</v>
      </c>
      <c r="E100" s="134">
        <v>5.44</v>
      </c>
      <c r="F100" s="134">
        <v>4.08</v>
      </c>
      <c r="G100" s="134">
        <v>20.8</v>
      </c>
      <c r="H100" s="134">
        <v>7.66</v>
      </c>
      <c r="I100" s="134">
        <v>4.24</v>
      </c>
      <c r="J100" s="134">
        <v>1.19</v>
      </c>
      <c r="K100" s="134">
        <v>263.38</v>
      </c>
      <c r="L100" s="134">
        <v>26.94</v>
      </c>
      <c r="M100" s="134">
        <v>79.790000000000006</v>
      </c>
      <c r="N100" s="134">
        <v>0</v>
      </c>
      <c r="O100" s="134">
        <v>0</v>
      </c>
      <c r="P100" s="134">
        <v>0.52</v>
      </c>
      <c r="Q100" s="134">
        <v>4.4800000000000004</v>
      </c>
    </row>
    <row r="101" spans="1:22" customFormat="1">
      <c r="A101" s="112" t="s">
        <v>2441</v>
      </c>
      <c r="B101" s="134">
        <v>11.36</v>
      </c>
      <c r="C101" s="134">
        <v>40.43</v>
      </c>
      <c r="D101" s="134">
        <v>29.19</v>
      </c>
      <c r="E101" s="134">
        <v>5.65</v>
      </c>
      <c r="F101" s="134">
        <v>4.7</v>
      </c>
      <c r="G101" s="134">
        <v>20.8</v>
      </c>
      <c r="H101" s="134">
        <v>7.66</v>
      </c>
      <c r="I101" s="134">
        <v>4.32</v>
      </c>
      <c r="J101" s="134">
        <v>1.03</v>
      </c>
      <c r="K101" s="134">
        <v>263.66000000000003</v>
      </c>
      <c r="L101" s="134">
        <v>26.88</v>
      </c>
      <c r="M101" s="134">
        <v>80.569999999999993</v>
      </c>
      <c r="N101" s="134">
        <v>0</v>
      </c>
      <c r="O101" s="134">
        <v>0</v>
      </c>
      <c r="P101" s="134">
        <v>0.52</v>
      </c>
      <c r="Q101" s="134">
        <v>4.5</v>
      </c>
    </row>
    <row r="102" spans="1:22" customFormat="1">
      <c r="A102" s="112" t="s">
        <v>2442</v>
      </c>
      <c r="B102" s="134">
        <v>11.53</v>
      </c>
      <c r="C102" s="134">
        <v>38.65</v>
      </c>
      <c r="D102" s="134">
        <v>28.39</v>
      </c>
      <c r="E102" s="134">
        <v>5.04</v>
      </c>
      <c r="F102" s="134">
        <v>5</v>
      </c>
      <c r="G102" s="134">
        <v>20.8</v>
      </c>
      <c r="H102" s="134">
        <v>7.66</v>
      </c>
      <c r="I102" s="134">
        <v>4.4000000000000004</v>
      </c>
      <c r="J102" s="134">
        <v>1.1000000000000001</v>
      </c>
      <c r="K102" s="134">
        <v>258.52</v>
      </c>
      <c r="L102" s="134">
        <v>26.79</v>
      </c>
      <c r="M102" s="134">
        <v>81.040000000000006</v>
      </c>
      <c r="N102" s="134">
        <v>0</v>
      </c>
      <c r="O102" s="134">
        <v>0</v>
      </c>
      <c r="P102" s="134">
        <v>0.5</v>
      </c>
      <c r="Q102" s="134">
        <v>4.51</v>
      </c>
    </row>
    <row r="103" spans="1:22" customFormat="1">
      <c r="A103" s="112" t="s">
        <v>2443</v>
      </c>
      <c r="B103" s="134">
        <v>11.26</v>
      </c>
      <c r="C103" s="134">
        <v>35.770000000000003</v>
      </c>
      <c r="D103" s="134">
        <v>26.67</v>
      </c>
      <c r="E103" s="134">
        <v>4.96</v>
      </c>
      <c r="F103" s="134">
        <v>5.68</v>
      </c>
      <c r="G103" s="134">
        <v>21.08</v>
      </c>
      <c r="H103" s="134">
        <v>6.99</v>
      </c>
      <c r="I103" s="134">
        <v>4.3099999999999996</v>
      </c>
      <c r="J103" s="134">
        <v>0.85</v>
      </c>
      <c r="K103" s="134">
        <v>259.64999999999998</v>
      </c>
      <c r="L103" s="134">
        <v>26.76</v>
      </c>
      <c r="M103" s="134">
        <v>81.819999999999993</v>
      </c>
      <c r="N103" s="134">
        <v>0</v>
      </c>
      <c r="O103" s="134">
        <v>0</v>
      </c>
      <c r="P103" s="134">
        <v>0.48</v>
      </c>
      <c r="Q103" s="134">
        <v>4.43</v>
      </c>
    </row>
    <row r="104" spans="1:22" customFormat="1">
      <c r="A104" s="112" t="s">
        <v>2444</v>
      </c>
      <c r="B104" s="134">
        <v>11.4</v>
      </c>
      <c r="C104" s="134">
        <v>40.22</v>
      </c>
      <c r="D104" s="134">
        <v>29.11</v>
      </c>
      <c r="E104" s="134">
        <v>4.6500000000000004</v>
      </c>
      <c r="F104" s="134">
        <v>4.0199999999999996</v>
      </c>
      <c r="G104" s="134">
        <v>21.49</v>
      </c>
      <c r="H104" s="134">
        <v>5.99</v>
      </c>
      <c r="I104" s="134">
        <v>4.24</v>
      </c>
      <c r="J104" s="134">
        <v>0.93</v>
      </c>
      <c r="K104" s="134">
        <v>261.83</v>
      </c>
      <c r="L104" s="134">
        <v>26.67</v>
      </c>
      <c r="M104" s="134">
        <v>83.07</v>
      </c>
      <c r="N104" s="134">
        <v>0</v>
      </c>
      <c r="O104" s="134">
        <v>0</v>
      </c>
      <c r="P104" s="134">
        <v>0.5</v>
      </c>
      <c r="Q104" s="134">
        <v>4.4400000000000004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0.01</v>
      </c>
      <c r="C106" s="183">
        <f>MIN(C9:C104)</f>
        <v>27.61</v>
      </c>
      <c r="D106" s="183">
        <f t="shared" ref="D106:Q106" si="0">MIN(D9:D104)</f>
        <v>13.39</v>
      </c>
      <c r="E106" s="183">
        <f t="shared" si="0"/>
        <v>4.6500000000000004</v>
      </c>
      <c r="F106" s="183">
        <f t="shared" si="0"/>
        <v>3.42</v>
      </c>
      <c r="G106" s="183">
        <f t="shared" si="0"/>
        <v>8.86</v>
      </c>
      <c r="H106" s="183">
        <f t="shared" si="0"/>
        <v>3.13</v>
      </c>
      <c r="I106" s="183">
        <f t="shared" si="0"/>
        <v>3.77</v>
      </c>
      <c r="J106" s="183">
        <f t="shared" si="0"/>
        <v>0.13</v>
      </c>
      <c r="K106" s="183">
        <f t="shared" si="0"/>
        <v>101.32</v>
      </c>
      <c r="L106" s="183">
        <f t="shared" si="0"/>
        <v>25.28</v>
      </c>
      <c r="M106" s="183">
        <f t="shared" si="0"/>
        <v>62.65</v>
      </c>
      <c r="N106" s="183">
        <f t="shared" si="0"/>
        <v>0</v>
      </c>
      <c r="O106" s="183">
        <f t="shared" si="0"/>
        <v>0</v>
      </c>
      <c r="P106" s="183">
        <f t="shared" si="0"/>
        <v>0.4</v>
      </c>
      <c r="Q106" s="183">
        <f t="shared" si="0"/>
        <v>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20.12</v>
      </c>
      <c r="C107" s="184">
        <f t="shared" ref="C107:Q107" si="1">MAX(C9:C104)</f>
        <v>48.85</v>
      </c>
      <c r="D107" s="184">
        <f t="shared" si="1"/>
        <v>39.799999999999997</v>
      </c>
      <c r="E107" s="184">
        <f t="shared" si="1"/>
        <v>22.2</v>
      </c>
      <c r="F107" s="184">
        <f t="shared" si="1"/>
        <v>27.38</v>
      </c>
      <c r="G107" s="184">
        <f t="shared" si="1"/>
        <v>620.73</v>
      </c>
      <c r="H107" s="184">
        <f t="shared" si="1"/>
        <v>18.05</v>
      </c>
      <c r="I107" s="184">
        <f t="shared" si="1"/>
        <v>6.98</v>
      </c>
      <c r="J107" s="184">
        <f t="shared" si="1"/>
        <v>1.46</v>
      </c>
      <c r="K107" s="184">
        <f t="shared" si="1"/>
        <v>307.98</v>
      </c>
      <c r="L107" s="184">
        <f t="shared" si="1"/>
        <v>31.16</v>
      </c>
      <c r="M107" s="184">
        <f t="shared" si="1"/>
        <v>90.34</v>
      </c>
      <c r="N107" s="184">
        <f t="shared" si="1"/>
        <v>479.1</v>
      </c>
      <c r="O107" s="184">
        <f t="shared" si="1"/>
        <v>0</v>
      </c>
      <c r="P107" s="184">
        <f t="shared" si="1"/>
        <v>0.92</v>
      </c>
      <c r="Q107" s="184">
        <f t="shared" si="1"/>
        <v>5.25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12.104999999999997</v>
      </c>
      <c r="C108" s="183">
        <f t="shared" ref="C108:Q108" si="2">AVERAGE(C9:C104)</f>
        <v>40.447291666666679</v>
      </c>
      <c r="D108" s="183">
        <f t="shared" si="2"/>
        <v>29.793437500000014</v>
      </c>
      <c r="E108" s="183">
        <f t="shared" si="2"/>
        <v>6.8866666666666667</v>
      </c>
      <c r="F108" s="183">
        <f t="shared" si="2"/>
        <v>8.2162499999999987</v>
      </c>
      <c r="G108" s="183">
        <f t="shared" si="2"/>
        <v>45.0030681818182</v>
      </c>
      <c r="H108" s="183">
        <f t="shared" si="2"/>
        <v>7.7327272727272733</v>
      </c>
      <c r="I108" s="183">
        <f t="shared" si="2"/>
        <v>4.6741666666666655</v>
      </c>
      <c r="J108" s="183">
        <f t="shared" si="2"/>
        <v>0.75645833333333323</v>
      </c>
      <c r="K108" s="183">
        <f t="shared" si="2"/>
        <v>256.04833333333323</v>
      </c>
      <c r="L108" s="183">
        <f t="shared" si="2"/>
        <v>27.842083333333338</v>
      </c>
      <c r="M108" s="183">
        <f t="shared" si="2"/>
        <v>77.311041666666611</v>
      </c>
      <c r="N108" s="183">
        <f t="shared" si="2"/>
        <v>94.797916666666708</v>
      </c>
      <c r="O108" s="183">
        <f t="shared" si="2"/>
        <v>0</v>
      </c>
      <c r="P108" s="183">
        <f t="shared" si="2"/>
        <v>0.52906249999999999</v>
      </c>
      <c r="Q108" s="183">
        <f t="shared" si="2"/>
        <v>4.6857291666666674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5.6770572436226594</v>
      </c>
      <c r="C109" s="183">
        <f t="shared" ref="C109:Q109" si="3">STDEV(C9:C104)</f>
        <v>5.9198434330587331</v>
      </c>
      <c r="D109" s="183">
        <f t="shared" si="3"/>
        <v>7.5439461721756311</v>
      </c>
      <c r="E109" s="183">
        <f t="shared" si="3"/>
        <v>2.5964415595059767</v>
      </c>
      <c r="F109" s="183">
        <f t="shared" si="3"/>
        <v>5.4380409107847276</v>
      </c>
      <c r="G109" s="183">
        <f t="shared" si="3"/>
        <v>111.74375948897958</v>
      </c>
      <c r="H109" s="183">
        <f t="shared" si="3"/>
        <v>3.6408644064170184</v>
      </c>
      <c r="I109" s="183">
        <f t="shared" si="3"/>
        <v>0.64473032578161826</v>
      </c>
      <c r="J109" s="183">
        <f t="shared" si="3"/>
        <v>0.34666829031333735</v>
      </c>
      <c r="K109" s="183">
        <f t="shared" si="3"/>
        <v>38.455166340111255</v>
      </c>
      <c r="L109" s="183">
        <f t="shared" si="3"/>
        <v>1.9545089121616004</v>
      </c>
      <c r="M109" s="183">
        <f t="shared" si="3"/>
        <v>8.7632961209535658</v>
      </c>
      <c r="N109" s="183">
        <f t="shared" si="3"/>
        <v>129.90000038828788</v>
      </c>
      <c r="O109" s="183">
        <f t="shared" si="3"/>
        <v>0</v>
      </c>
      <c r="P109" s="183">
        <f t="shared" si="3"/>
        <v>0.1028650431646391</v>
      </c>
      <c r="Q109" s="183">
        <f t="shared" si="3"/>
        <v>0.41510111587839665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G9" sqref="G9:H18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24/06/2023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2445</v>
      </c>
      <c r="B9" s="134">
        <v>9.92</v>
      </c>
      <c r="C9" s="134">
        <v>39.26</v>
      </c>
      <c r="D9" s="134">
        <v>27.42</v>
      </c>
      <c r="E9" s="134">
        <v>5.29</v>
      </c>
      <c r="F9" s="134">
        <v>4.41</v>
      </c>
      <c r="G9" s="134">
        <v>21.49</v>
      </c>
      <c r="H9" s="134">
        <v>5.99</v>
      </c>
      <c r="I9" s="134">
        <v>4.26</v>
      </c>
      <c r="J9" s="134">
        <v>1</v>
      </c>
      <c r="K9" s="134">
        <v>259.44</v>
      </c>
      <c r="L9" s="134">
        <v>26.6</v>
      </c>
      <c r="M9" s="134">
        <v>83.6</v>
      </c>
      <c r="N9" s="134">
        <v>0</v>
      </c>
      <c r="O9" s="134">
        <v>0</v>
      </c>
      <c r="P9" s="134">
        <v>0.51</v>
      </c>
      <c r="Q9" s="134">
        <v>4.5</v>
      </c>
    </row>
    <row r="10" spans="1:21" customFormat="1">
      <c r="A10" s="112" t="s">
        <v>2446</v>
      </c>
      <c r="B10" s="134">
        <v>9.8699999999999992</v>
      </c>
      <c r="C10" s="134">
        <v>35.729999999999997</v>
      </c>
      <c r="D10" s="134">
        <v>25.54</v>
      </c>
      <c r="E10" s="134">
        <v>5.78</v>
      </c>
      <c r="F10" s="134">
        <v>5.69</v>
      </c>
      <c r="G10" s="134">
        <v>21.49</v>
      </c>
      <c r="H10" s="134">
        <v>5.99</v>
      </c>
      <c r="I10" s="134">
        <v>4.3499999999999996</v>
      </c>
      <c r="J10" s="134">
        <v>0.68</v>
      </c>
      <c r="K10" s="134">
        <v>255.53</v>
      </c>
      <c r="L10" s="134">
        <v>26.56</v>
      </c>
      <c r="M10" s="134">
        <v>84.26</v>
      </c>
      <c r="N10" s="134">
        <v>0</v>
      </c>
      <c r="O10" s="134">
        <v>0</v>
      </c>
      <c r="P10" s="134">
        <v>0.49</v>
      </c>
      <c r="Q10" s="134">
        <v>4.4400000000000004</v>
      </c>
    </row>
    <row r="11" spans="1:21" customFormat="1">
      <c r="A11" s="112" t="s">
        <v>2447</v>
      </c>
      <c r="B11" s="134">
        <v>10.15</v>
      </c>
      <c r="C11" s="134">
        <v>39.36</v>
      </c>
      <c r="D11" s="134">
        <v>27.66</v>
      </c>
      <c r="E11" s="134">
        <v>5.08</v>
      </c>
      <c r="F11" s="134">
        <v>4.25</v>
      </c>
      <c r="G11" s="134">
        <v>21.43</v>
      </c>
      <c r="H11" s="134">
        <v>6.3</v>
      </c>
      <c r="I11" s="134">
        <v>4.34</v>
      </c>
      <c r="J11" s="134">
        <v>0.63</v>
      </c>
      <c r="K11" s="134">
        <v>259.20999999999998</v>
      </c>
      <c r="L11" s="134">
        <v>26.52</v>
      </c>
      <c r="M11" s="134">
        <v>84.48</v>
      </c>
      <c r="N11" s="134">
        <v>0</v>
      </c>
      <c r="O11" s="134">
        <v>0</v>
      </c>
      <c r="P11" s="134">
        <v>0.51</v>
      </c>
      <c r="Q11" s="134">
        <v>4.4400000000000004</v>
      </c>
    </row>
    <row r="12" spans="1:21" customFormat="1">
      <c r="A12" s="112" t="s">
        <v>2448</v>
      </c>
      <c r="B12" s="134">
        <v>10.42</v>
      </c>
      <c r="C12" s="134">
        <v>40.32</v>
      </c>
      <c r="D12" s="134">
        <v>28.38</v>
      </c>
      <c r="E12" s="134">
        <v>5.92</v>
      </c>
      <c r="F12" s="134">
        <v>4.3499999999999996</v>
      </c>
      <c r="G12" s="134">
        <v>21.32</v>
      </c>
      <c r="H12" s="134">
        <v>6.75</v>
      </c>
      <c r="I12" s="134">
        <v>4.3099999999999996</v>
      </c>
      <c r="J12" s="134">
        <v>0.38</v>
      </c>
      <c r="K12" s="134">
        <v>252.47</v>
      </c>
      <c r="L12" s="134">
        <v>26.45</v>
      </c>
      <c r="M12" s="134">
        <v>85.74</v>
      </c>
      <c r="N12" s="134">
        <v>0</v>
      </c>
      <c r="O12" s="134">
        <v>0</v>
      </c>
      <c r="P12" s="134">
        <v>0.56000000000000005</v>
      </c>
      <c r="Q12" s="134">
        <v>4.5999999999999996</v>
      </c>
    </row>
    <row r="13" spans="1:21" customFormat="1">
      <c r="A13" s="112" t="s">
        <v>2449</v>
      </c>
      <c r="B13" s="134">
        <v>10.77</v>
      </c>
      <c r="C13" s="134">
        <v>36.81</v>
      </c>
      <c r="D13" s="134">
        <v>26.83</v>
      </c>
      <c r="E13" s="134">
        <v>5.72</v>
      </c>
      <c r="F13" s="134">
        <v>5.4</v>
      </c>
      <c r="G13" s="134">
        <v>21.32</v>
      </c>
      <c r="H13" s="134">
        <v>6.75</v>
      </c>
      <c r="I13" s="134">
        <v>4.43</v>
      </c>
      <c r="J13" s="134">
        <v>0.76</v>
      </c>
      <c r="K13" s="134">
        <v>261.95999999999998</v>
      </c>
      <c r="L13" s="134">
        <v>26.43</v>
      </c>
      <c r="M13" s="134">
        <v>85.97</v>
      </c>
      <c r="N13" s="134">
        <v>0</v>
      </c>
      <c r="O13" s="134">
        <v>0</v>
      </c>
      <c r="P13" s="134">
        <v>0.53</v>
      </c>
      <c r="Q13" s="134">
        <v>4.55</v>
      </c>
    </row>
    <row r="14" spans="1:21" customFormat="1">
      <c r="A14" s="112" t="s">
        <v>2450</v>
      </c>
      <c r="B14" s="134">
        <v>10.94</v>
      </c>
      <c r="C14" s="134">
        <v>36.19</v>
      </c>
      <c r="D14" s="134">
        <v>26.64</v>
      </c>
      <c r="E14" s="134">
        <v>5.57</v>
      </c>
      <c r="F14" s="134">
        <v>5.28</v>
      </c>
      <c r="G14" s="134">
        <v>21.32</v>
      </c>
      <c r="H14" s="134">
        <v>6.75</v>
      </c>
      <c r="I14" s="134">
        <v>4.5599999999999996</v>
      </c>
      <c r="J14" s="134">
        <v>0.71</v>
      </c>
      <c r="K14" s="134">
        <v>261.16000000000003</v>
      </c>
      <c r="L14" s="134">
        <v>26.46</v>
      </c>
      <c r="M14" s="134">
        <v>85.97</v>
      </c>
      <c r="N14" s="134">
        <v>0</v>
      </c>
      <c r="O14" s="134">
        <v>0</v>
      </c>
      <c r="P14" s="134">
        <v>0.53</v>
      </c>
      <c r="Q14" s="134">
        <v>4.5</v>
      </c>
    </row>
    <row r="15" spans="1:21" customFormat="1">
      <c r="A15" s="112" t="s">
        <v>2451</v>
      </c>
      <c r="B15" s="134">
        <v>11.18</v>
      </c>
      <c r="C15" s="134">
        <v>40.31</v>
      </c>
      <c r="D15" s="134">
        <v>28.98</v>
      </c>
      <c r="E15" s="134">
        <v>5.78</v>
      </c>
      <c r="F15" s="134">
        <v>4.5599999999999996</v>
      </c>
      <c r="G15" s="134">
        <v>21.91</v>
      </c>
      <c r="H15" s="134">
        <v>8.0299999999999994</v>
      </c>
      <c r="I15" s="134">
        <v>4.5999999999999996</v>
      </c>
      <c r="J15" s="134">
        <v>0.56000000000000005</v>
      </c>
      <c r="K15" s="134">
        <v>259.39999999999998</v>
      </c>
      <c r="L15" s="134">
        <v>26.47</v>
      </c>
      <c r="M15" s="134">
        <v>85.58</v>
      </c>
      <c r="N15" s="134">
        <v>0</v>
      </c>
      <c r="O15" s="134">
        <v>0</v>
      </c>
      <c r="P15" s="134">
        <v>0.61</v>
      </c>
      <c r="Q15" s="134">
        <v>4.5999999999999996</v>
      </c>
    </row>
    <row r="16" spans="1:21" customFormat="1">
      <c r="A16" s="112" t="s">
        <v>2452</v>
      </c>
      <c r="B16" s="134">
        <v>10.9</v>
      </c>
      <c r="C16" s="134">
        <v>35.58</v>
      </c>
      <c r="D16" s="134">
        <v>26.29</v>
      </c>
      <c r="E16" s="134">
        <v>7.68</v>
      </c>
      <c r="F16" s="134">
        <v>6.77</v>
      </c>
      <c r="G16" s="134">
        <v>22.79</v>
      </c>
      <c r="H16" s="134">
        <v>9.9499999999999993</v>
      </c>
      <c r="I16" s="134">
        <v>4.67</v>
      </c>
      <c r="J16" s="134">
        <v>0.68</v>
      </c>
      <c r="K16" s="134">
        <v>255.71</v>
      </c>
      <c r="L16" s="134">
        <v>26.47</v>
      </c>
      <c r="M16" s="134">
        <v>84.6</v>
      </c>
      <c r="N16" s="134">
        <v>0</v>
      </c>
      <c r="O16" s="134">
        <v>0</v>
      </c>
      <c r="P16" s="134">
        <v>0.61</v>
      </c>
      <c r="Q16" s="134">
        <v>4.58</v>
      </c>
    </row>
    <row r="17" spans="1:17" customFormat="1">
      <c r="A17" s="112" t="s">
        <v>2453</v>
      </c>
      <c r="B17" s="134">
        <v>11.86</v>
      </c>
      <c r="C17" s="134">
        <v>37.479999999999997</v>
      </c>
      <c r="D17" s="134">
        <v>28.04</v>
      </c>
      <c r="E17" s="134">
        <v>5.23</v>
      </c>
      <c r="F17" s="134">
        <v>5.25</v>
      </c>
      <c r="G17" s="134">
        <v>22.79</v>
      </c>
      <c r="H17" s="134">
        <v>9.9499999999999993</v>
      </c>
      <c r="I17" s="134">
        <v>4.83</v>
      </c>
      <c r="J17" s="134">
        <v>0.7</v>
      </c>
      <c r="K17" s="134">
        <v>258.52</v>
      </c>
      <c r="L17" s="134">
        <v>26.52</v>
      </c>
      <c r="M17" s="134">
        <v>83.84</v>
      </c>
      <c r="N17" s="134">
        <v>0</v>
      </c>
      <c r="O17" s="134">
        <v>0</v>
      </c>
      <c r="P17" s="134">
        <v>0.57999999999999996</v>
      </c>
      <c r="Q17" s="134">
        <v>4.55</v>
      </c>
    </row>
    <row r="18" spans="1:17" customFormat="1">
      <c r="A18" s="112" t="s">
        <v>2454</v>
      </c>
      <c r="B18" s="134">
        <v>12.37</v>
      </c>
      <c r="C18" s="134">
        <v>41.88</v>
      </c>
      <c r="D18" s="134">
        <v>30.75</v>
      </c>
      <c r="E18" s="134">
        <v>6.2</v>
      </c>
      <c r="F18" s="134">
        <v>3.67</v>
      </c>
      <c r="G18" s="134">
        <v>22.79</v>
      </c>
      <c r="H18" s="134">
        <v>9.9499999999999993</v>
      </c>
      <c r="I18" s="134">
        <v>4.8899999999999997</v>
      </c>
      <c r="J18" s="134">
        <v>0.6</v>
      </c>
      <c r="K18" s="134">
        <v>254.53</v>
      </c>
      <c r="L18" s="134">
        <v>26.41</v>
      </c>
      <c r="M18" s="134">
        <v>85.2</v>
      </c>
      <c r="N18" s="134">
        <v>0</v>
      </c>
      <c r="O18" s="134">
        <v>0</v>
      </c>
      <c r="P18" s="134">
        <v>0.63</v>
      </c>
      <c r="Q18" s="134">
        <v>4.66</v>
      </c>
    </row>
    <row r="19" spans="1:17" customFormat="1">
      <c r="A19" s="112" t="s">
        <v>2455</v>
      </c>
      <c r="B19" s="134">
        <v>12.41</v>
      </c>
      <c r="C19" s="134">
        <v>36.67</v>
      </c>
      <c r="D19" s="134">
        <v>28.07</v>
      </c>
      <c r="E19" s="134">
        <v>6.65</v>
      </c>
      <c r="F19" s="134">
        <v>5.87</v>
      </c>
      <c r="G19" s="134">
        <v>22.29</v>
      </c>
      <c r="H19" s="134">
        <v>11.17</v>
      </c>
      <c r="I19" s="134">
        <v>4.9400000000000004</v>
      </c>
      <c r="J19" s="134">
        <v>0.5</v>
      </c>
      <c r="K19" s="134">
        <v>251.49</v>
      </c>
      <c r="L19" s="134">
        <v>26.26</v>
      </c>
      <c r="M19" s="134">
        <v>86.5</v>
      </c>
      <c r="N19" s="134">
        <v>0</v>
      </c>
      <c r="O19" s="134">
        <v>0</v>
      </c>
      <c r="P19" s="134">
        <v>0.59</v>
      </c>
      <c r="Q19" s="134">
        <v>4.62</v>
      </c>
    </row>
    <row r="20" spans="1:17" customFormat="1">
      <c r="A20" s="112" t="s">
        <v>2456</v>
      </c>
      <c r="B20" s="134">
        <v>12</v>
      </c>
      <c r="C20" s="134">
        <v>33.159999999999997</v>
      </c>
      <c r="D20" s="134">
        <v>25.9</v>
      </c>
      <c r="E20" s="134">
        <v>6.13</v>
      </c>
      <c r="F20" s="134">
        <v>6.63</v>
      </c>
      <c r="G20" s="134">
        <v>21.54</v>
      </c>
      <c r="H20" s="134">
        <v>13</v>
      </c>
      <c r="I20" s="134">
        <v>4.97</v>
      </c>
      <c r="J20" s="134">
        <v>0.7</v>
      </c>
      <c r="K20" s="134">
        <v>253.77</v>
      </c>
      <c r="L20" s="134">
        <v>26.18</v>
      </c>
      <c r="M20" s="134">
        <v>86.71</v>
      </c>
      <c r="N20" s="134">
        <v>0</v>
      </c>
      <c r="O20" s="134">
        <v>0</v>
      </c>
      <c r="P20" s="134">
        <v>0.56000000000000005</v>
      </c>
      <c r="Q20" s="134">
        <v>4.57</v>
      </c>
    </row>
    <row r="21" spans="1:17" customFormat="1">
      <c r="A21" s="112" t="s">
        <v>2457</v>
      </c>
      <c r="B21" s="134">
        <v>12.95</v>
      </c>
      <c r="C21" s="134">
        <v>40.75</v>
      </c>
      <c r="D21" s="134">
        <v>30.63</v>
      </c>
      <c r="E21" s="134">
        <v>6.28</v>
      </c>
      <c r="F21" s="134">
        <v>3.87</v>
      </c>
      <c r="G21" s="134">
        <v>21.54</v>
      </c>
      <c r="H21" s="134">
        <v>13</v>
      </c>
      <c r="I21" s="134">
        <v>4.78</v>
      </c>
      <c r="J21" s="134">
        <v>0.83</v>
      </c>
      <c r="K21" s="134">
        <v>259.62</v>
      </c>
      <c r="L21" s="134">
        <v>26.15</v>
      </c>
      <c r="M21" s="134">
        <v>86.55</v>
      </c>
      <c r="N21" s="134">
        <v>0</v>
      </c>
      <c r="O21" s="134">
        <v>0</v>
      </c>
      <c r="P21" s="134">
        <v>0.62</v>
      </c>
      <c r="Q21" s="134">
        <v>4.67</v>
      </c>
    </row>
    <row r="22" spans="1:17" customFormat="1">
      <c r="A22" s="112" t="s">
        <v>2458</v>
      </c>
      <c r="B22" s="134">
        <v>12.88</v>
      </c>
      <c r="C22" s="134">
        <v>37.770000000000003</v>
      </c>
      <c r="D22" s="134">
        <v>29.02</v>
      </c>
      <c r="E22" s="134">
        <v>6.26</v>
      </c>
      <c r="F22" s="134">
        <v>5.62</v>
      </c>
      <c r="G22" s="134">
        <v>21.54</v>
      </c>
      <c r="H22" s="134">
        <v>13</v>
      </c>
      <c r="I22" s="134">
        <v>4.8</v>
      </c>
      <c r="J22" s="134">
        <v>0.33</v>
      </c>
      <c r="K22" s="134">
        <v>243.75</v>
      </c>
      <c r="L22" s="134">
        <v>26.14</v>
      </c>
      <c r="M22" s="134">
        <v>86.56</v>
      </c>
      <c r="N22" s="134">
        <v>0</v>
      </c>
      <c r="O22" s="134">
        <v>0</v>
      </c>
      <c r="P22" s="134">
        <v>0.56999999999999995</v>
      </c>
      <c r="Q22" s="134">
        <v>4.67</v>
      </c>
    </row>
    <row r="23" spans="1:17" customFormat="1">
      <c r="A23" s="112" t="s">
        <v>2459</v>
      </c>
      <c r="B23" s="134">
        <v>12.03</v>
      </c>
      <c r="C23" s="134">
        <v>32.130000000000003</v>
      </c>
      <c r="D23" s="134">
        <v>25.39</v>
      </c>
      <c r="E23" s="134">
        <v>5.47</v>
      </c>
      <c r="F23" s="134">
        <v>6.42</v>
      </c>
      <c r="G23" s="134">
        <v>22.78</v>
      </c>
      <c r="H23" s="134">
        <v>11.85</v>
      </c>
      <c r="I23" s="134">
        <v>4.88</v>
      </c>
      <c r="J23" s="134">
        <v>0.33</v>
      </c>
      <c r="K23" s="134">
        <v>246.08</v>
      </c>
      <c r="L23" s="134">
        <v>26.08</v>
      </c>
      <c r="M23" s="134">
        <v>86.98</v>
      </c>
      <c r="N23" s="134">
        <v>0</v>
      </c>
      <c r="O23" s="134">
        <v>0</v>
      </c>
      <c r="P23" s="134">
        <v>0.54</v>
      </c>
      <c r="Q23" s="134">
        <v>4.58</v>
      </c>
    </row>
    <row r="24" spans="1:17" customFormat="1">
      <c r="A24" s="112" t="s">
        <v>2460</v>
      </c>
      <c r="B24" s="134">
        <v>13.13</v>
      </c>
      <c r="C24" s="134">
        <v>39.46</v>
      </c>
      <c r="D24" s="134">
        <v>30.1</v>
      </c>
      <c r="E24" s="134">
        <v>5.68</v>
      </c>
      <c r="F24" s="134">
        <v>4.05</v>
      </c>
      <c r="G24" s="134">
        <v>24.65</v>
      </c>
      <c r="H24" s="134">
        <v>10.119999999999999</v>
      </c>
      <c r="I24" s="134">
        <v>4.57</v>
      </c>
      <c r="J24" s="134">
        <v>0.57999999999999996</v>
      </c>
      <c r="K24" s="134">
        <v>252.77</v>
      </c>
      <c r="L24" s="134">
        <v>26</v>
      </c>
      <c r="M24" s="134">
        <v>86.74</v>
      </c>
      <c r="N24" s="134">
        <v>0</v>
      </c>
      <c r="O24" s="134">
        <v>0</v>
      </c>
      <c r="P24" s="134">
        <v>0.57999999999999996</v>
      </c>
      <c r="Q24" s="134">
        <v>4.6500000000000004</v>
      </c>
    </row>
    <row r="25" spans="1:17" customFormat="1">
      <c r="A25" s="112" t="s">
        <v>2461</v>
      </c>
      <c r="B25" s="134">
        <v>13.61</v>
      </c>
      <c r="C25" s="134">
        <v>40.4</v>
      </c>
      <c r="D25" s="134">
        <v>30.98</v>
      </c>
      <c r="E25" s="134">
        <v>6.15</v>
      </c>
      <c r="F25" s="134">
        <v>4.5199999999999996</v>
      </c>
      <c r="G25" s="134">
        <v>24.65</v>
      </c>
      <c r="H25" s="134">
        <v>10.119999999999999</v>
      </c>
      <c r="I25" s="134">
        <v>4.5199999999999996</v>
      </c>
      <c r="J25" s="134">
        <v>0.31</v>
      </c>
      <c r="K25" s="134">
        <v>239.97</v>
      </c>
      <c r="L25" s="134">
        <v>26</v>
      </c>
      <c r="M25" s="134">
        <v>87.1</v>
      </c>
      <c r="N25" s="134">
        <v>0</v>
      </c>
      <c r="O25" s="134">
        <v>0</v>
      </c>
      <c r="P25" s="134">
        <v>0.56000000000000005</v>
      </c>
      <c r="Q25" s="134">
        <v>4.74</v>
      </c>
    </row>
    <row r="26" spans="1:17" customFormat="1">
      <c r="A26" s="112" t="s">
        <v>2462</v>
      </c>
      <c r="B26" s="134">
        <v>13.51</v>
      </c>
      <c r="C26" s="134">
        <v>35.29</v>
      </c>
      <c r="D26" s="134">
        <v>28.23</v>
      </c>
      <c r="E26" s="134">
        <v>5.07</v>
      </c>
      <c r="F26" s="134">
        <v>6.29</v>
      </c>
      <c r="G26" s="134">
        <v>24.65</v>
      </c>
      <c r="H26" s="134">
        <v>10.119999999999999</v>
      </c>
      <c r="I26" s="134">
        <v>4.68</v>
      </c>
      <c r="J26" s="134">
        <v>0.54</v>
      </c>
      <c r="K26" s="134">
        <v>254.82</v>
      </c>
      <c r="L26" s="134">
        <v>25.93</v>
      </c>
      <c r="M26" s="134">
        <v>87.4</v>
      </c>
      <c r="N26" s="134">
        <v>0</v>
      </c>
      <c r="O26" s="134">
        <v>0</v>
      </c>
      <c r="P26" s="134">
        <v>0.52</v>
      </c>
      <c r="Q26" s="134">
        <v>4.66</v>
      </c>
    </row>
    <row r="27" spans="1:17" customFormat="1">
      <c r="A27" s="112" t="s">
        <v>2463</v>
      </c>
      <c r="B27" s="134">
        <v>13.67</v>
      </c>
      <c r="C27" s="134">
        <v>35.64</v>
      </c>
      <c r="D27" s="134">
        <v>28.54</v>
      </c>
      <c r="E27" s="134">
        <v>5.26</v>
      </c>
      <c r="F27" s="134">
        <v>5.66</v>
      </c>
      <c r="G27" s="134">
        <v>23.74</v>
      </c>
      <c r="H27" s="134">
        <v>10.96</v>
      </c>
      <c r="I27" s="134">
        <v>4.53</v>
      </c>
      <c r="J27" s="134">
        <v>0.59</v>
      </c>
      <c r="K27" s="134">
        <v>259.5</v>
      </c>
      <c r="L27" s="134">
        <v>25.85</v>
      </c>
      <c r="M27" s="134">
        <v>87.94</v>
      </c>
      <c r="N27" s="134">
        <v>0</v>
      </c>
      <c r="O27" s="134">
        <v>0</v>
      </c>
      <c r="P27" s="134">
        <v>0.52</v>
      </c>
      <c r="Q27" s="134">
        <v>4.62</v>
      </c>
    </row>
    <row r="28" spans="1:17" customFormat="1">
      <c r="A28" s="112" t="s">
        <v>2464</v>
      </c>
      <c r="B28" s="134">
        <v>14.26</v>
      </c>
      <c r="C28" s="134">
        <v>41.89</v>
      </c>
      <c r="D28" s="134">
        <v>32.28</v>
      </c>
      <c r="E28" s="134">
        <v>5.76</v>
      </c>
      <c r="F28" s="134">
        <v>3.53</v>
      </c>
      <c r="G28" s="134">
        <v>22.39</v>
      </c>
      <c r="H28" s="134">
        <v>12.22</v>
      </c>
      <c r="I28" s="134">
        <v>4.37</v>
      </c>
      <c r="J28" s="134">
        <v>0.61</v>
      </c>
      <c r="K28" s="134">
        <v>254.51</v>
      </c>
      <c r="L28" s="134">
        <v>25.8</v>
      </c>
      <c r="M28" s="134">
        <v>87.79</v>
      </c>
      <c r="N28" s="134">
        <v>0</v>
      </c>
      <c r="O28" s="134">
        <v>0</v>
      </c>
      <c r="P28" s="134">
        <v>0.55000000000000004</v>
      </c>
      <c r="Q28" s="134">
        <v>4.74</v>
      </c>
    </row>
    <row r="29" spans="1:17" customFormat="1">
      <c r="A29" s="112" t="s">
        <v>2465</v>
      </c>
      <c r="B29" s="134">
        <v>14.43</v>
      </c>
      <c r="C29" s="134">
        <v>38.299999999999997</v>
      </c>
      <c r="D29" s="134">
        <v>30.53</v>
      </c>
      <c r="E29" s="134">
        <v>5.82</v>
      </c>
      <c r="F29" s="134">
        <v>5.1100000000000003</v>
      </c>
      <c r="G29" s="134">
        <v>22.39</v>
      </c>
      <c r="H29" s="134">
        <v>12.22</v>
      </c>
      <c r="I29" s="134">
        <v>4.45</v>
      </c>
      <c r="J29" s="134">
        <v>0.66</v>
      </c>
      <c r="K29" s="134">
        <v>253.66</v>
      </c>
      <c r="L29" s="134">
        <v>25.8</v>
      </c>
      <c r="M29" s="134">
        <v>87.78</v>
      </c>
      <c r="N29" s="134">
        <v>0</v>
      </c>
      <c r="O29" s="134">
        <v>0</v>
      </c>
      <c r="P29" s="134">
        <v>0.51</v>
      </c>
      <c r="Q29" s="134">
        <v>4.71</v>
      </c>
    </row>
    <row r="30" spans="1:17" customFormat="1">
      <c r="A30" s="112" t="s">
        <v>2466</v>
      </c>
      <c r="B30" s="134">
        <v>13.74</v>
      </c>
      <c r="C30" s="134">
        <v>34.729999999999997</v>
      </c>
      <c r="D30" s="134">
        <v>28.12</v>
      </c>
      <c r="E30" s="134">
        <v>5.0999999999999996</v>
      </c>
      <c r="F30" s="134">
        <v>5.61</v>
      </c>
      <c r="G30" s="134">
        <v>22.39</v>
      </c>
      <c r="H30" s="134">
        <v>12.22</v>
      </c>
      <c r="I30" s="134">
        <v>4.49</v>
      </c>
      <c r="J30" s="134">
        <v>0.46</v>
      </c>
      <c r="K30" s="134">
        <v>255.6</v>
      </c>
      <c r="L30" s="134">
        <v>25.8</v>
      </c>
      <c r="M30" s="134">
        <v>88.13</v>
      </c>
      <c r="N30" s="134">
        <v>0</v>
      </c>
      <c r="O30" s="134">
        <v>0</v>
      </c>
      <c r="P30" s="134">
        <v>0.49</v>
      </c>
      <c r="Q30" s="134">
        <v>4.6399999999999997</v>
      </c>
    </row>
    <row r="31" spans="1:17" customFormat="1">
      <c r="A31" s="112" t="s">
        <v>2467</v>
      </c>
      <c r="B31" s="134">
        <v>14.22</v>
      </c>
      <c r="C31" s="134">
        <v>40.24</v>
      </c>
      <c r="D31" s="134">
        <v>31.38</v>
      </c>
      <c r="E31" s="134">
        <v>5.58</v>
      </c>
      <c r="F31" s="134">
        <v>3.86</v>
      </c>
      <c r="G31" s="134">
        <v>22.87</v>
      </c>
      <c r="H31" s="134">
        <v>11.67</v>
      </c>
      <c r="I31" s="134">
        <v>4.2699999999999996</v>
      </c>
      <c r="J31" s="134">
        <v>0.59</v>
      </c>
      <c r="K31" s="134">
        <v>257.01</v>
      </c>
      <c r="L31" s="134">
        <v>25.88</v>
      </c>
      <c r="M31" s="134">
        <v>87.54</v>
      </c>
      <c r="N31" s="134">
        <v>1</v>
      </c>
      <c r="O31" s="134">
        <v>0</v>
      </c>
      <c r="P31" s="134">
        <v>0.52</v>
      </c>
      <c r="Q31" s="134">
        <v>4.7300000000000004</v>
      </c>
    </row>
    <row r="32" spans="1:17" customFormat="1">
      <c r="A32" s="112" t="s">
        <v>2468</v>
      </c>
      <c r="B32" s="134">
        <v>14.55</v>
      </c>
      <c r="C32" s="134">
        <v>37.69</v>
      </c>
      <c r="D32" s="134">
        <v>30.32</v>
      </c>
      <c r="E32" s="134">
        <v>5.81</v>
      </c>
      <c r="F32" s="134">
        <v>5.08</v>
      </c>
      <c r="G32" s="134">
        <v>23.59</v>
      </c>
      <c r="H32" s="134">
        <v>10.85</v>
      </c>
      <c r="I32" s="134">
        <v>4.24</v>
      </c>
      <c r="J32" s="134">
        <v>0.6</v>
      </c>
      <c r="K32" s="134">
        <v>266.44</v>
      </c>
      <c r="L32" s="134">
        <v>25.9</v>
      </c>
      <c r="M32" s="134">
        <v>87.25</v>
      </c>
      <c r="N32" s="134">
        <v>2.1</v>
      </c>
      <c r="O32" s="134">
        <v>0</v>
      </c>
      <c r="P32" s="134">
        <v>0.49</v>
      </c>
      <c r="Q32" s="134">
        <v>4.75</v>
      </c>
    </row>
    <row r="33" spans="1:17" customFormat="1">
      <c r="A33" s="112" t="s">
        <v>2469</v>
      </c>
      <c r="B33" s="134">
        <v>14.18</v>
      </c>
      <c r="C33" s="134">
        <v>34.71</v>
      </c>
      <c r="D33" s="134">
        <v>28.46</v>
      </c>
      <c r="E33" s="134">
        <v>5.85</v>
      </c>
      <c r="F33" s="134">
        <v>6.01</v>
      </c>
      <c r="G33" s="134">
        <v>23.59</v>
      </c>
      <c r="H33" s="134">
        <v>10.85</v>
      </c>
      <c r="I33" s="134">
        <v>4.29</v>
      </c>
      <c r="J33" s="134">
        <v>0.7</v>
      </c>
      <c r="K33" s="134">
        <v>265.07</v>
      </c>
      <c r="L33" s="134">
        <v>25.94</v>
      </c>
      <c r="M33" s="134">
        <v>86.86</v>
      </c>
      <c r="N33" s="134">
        <v>4.8</v>
      </c>
      <c r="O33" s="134">
        <v>0</v>
      </c>
      <c r="P33" s="134">
        <v>0.46</v>
      </c>
      <c r="Q33" s="134">
        <v>4.66</v>
      </c>
    </row>
    <row r="34" spans="1:17" customFormat="1">
      <c r="A34" s="112" t="s">
        <v>2470</v>
      </c>
      <c r="B34" s="134">
        <v>14.65</v>
      </c>
      <c r="C34" s="134">
        <v>40.409999999999997</v>
      </c>
      <c r="D34" s="134">
        <v>31.82</v>
      </c>
      <c r="E34" s="134">
        <v>5.42</v>
      </c>
      <c r="F34" s="134">
        <v>3.73</v>
      </c>
      <c r="G34" s="134">
        <v>23.59</v>
      </c>
      <c r="H34" s="134">
        <v>10.85</v>
      </c>
      <c r="I34" s="134">
        <v>4.12</v>
      </c>
      <c r="J34" s="134">
        <v>0.81</v>
      </c>
      <c r="K34" s="134">
        <v>259.07</v>
      </c>
      <c r="L34" s="134">
        <v>25.98</v>
      </c>
      <c r="M34" s="134">
        <v>86.59</v>
      </c>
      <c r="N34" s="134">
        <v>18.2</v>
      </c>
      <c r="O34" s="134">
        <v>0</v>
      </c>
      <c r="P34" s="134">
        <v>0.5</v>
      </c>
      <c r="Q34" s="134">
        <v>4.72</v>
      </c>
    </row>
    <row r="35" spans="1:17" customFormat="1">
      <c r="A35" s="112" t="s">
        <v>2471</v>
      </c>
      <c r="B35" s="134">
        <v>14.82</v>
      </c>
      <c r="C35" s="134">
        <v>38.549999999999997</v>
      </c>
      <c r="D35" s="134">
        <v>30.98</v>
      </c>
      <c r="E35" s="134">
        <v>6.38</v>
      </c>
      <c r="F35" s="134">
        <v>4.46</v>
      </c>
      <c r="G35" s="134">
        <v>24.04</v>
      </c>
      <c r="H35" s="134">
        <v>10.51</v>
      </c>
      <c r="I35" s="134">
        <v>4.12</v>
      </c>
      <c r="J35" s="134">
        <v>0.53</v>
      </c>
      <c r="K35" s="134">
        <v>271.52999999999997</v>
      </c>
      <c r="L35" s="134">
        <v>26.19</v>
      </c>
      <c r="M35" s="134">
        <v>85.59</v>
      </c>
      <c r="N35" s="134">
        <v>48.3</v>
      </c>
      <c r="O35" s="134">
        <v>0</v>
      </c>
      <c r="P35" s="134">
        <v>0.52</v>
      </c>
      <c r="Q35" s="134">
        <v>4.75</v>
      </c>
    </row>
    <row r="36" spans="1:17" customFormat="1">
      <c r="A36" s="112" t="s">
        <v>2472</v>
      </c>
      <c r="B36" s="134">
        <v>14.84</v>
      </c>
      <c r="C36" s="134">
        <v>34.69</v>
      </c>
      <c r="D36" s="134">
        <v>28.98</v>
      </c>
      <c r="E36" s="134">
        <v>6.1</v>
      </c>
      <c r="F36" s="134">
        <v>5.56</v>
      </c>
      <c r="G36" s="134">
        <v>24.72</v>
      </c>
      <c r="H36" s="134">
        <v>9.99</v>
      </c>
      <c r="I36" s="134">
        <v>4.28</v>
      </c>
      <c r="J36" s="134">
        <v>0.69</v>
      </c>
      <c r="K36" s="134">
        <v>257.61</v>
      </c>
      <c r="L36" s="134">
        <v>26.41</v>
      </c>
      <c r="M36" s="134">
        <v>84.56</v>
      </c>
      <c r="N36" s="134">
        <v>62.1</v>
      </c>
      <c r="O36" s="134">
        <v>0</v>
      </c>
      <c r="P36" s="134">
        <v>0.5</v>
      </c>
      <c r="Q36" s="134">
        <v>4.6900000000000004</v>
      </c>
    </row>
    <row r="37" spans="1:17" customFormat="1">
      <c r="A37" s="112" t="s">
        <v>2473</v>
      </c>
      <c r="B37" s="134">
        <v>15.19</v>
      </c>
      <c r="C37" s="134">
        <v>39.369999999999997</v>
      </c>
      <c r="D37" s="134">
        <v>31.71</v>
      </c>
      <c r="E37" s="134">
        <v>5.51</v>
      </c>
      <c r="F37" s="134">
        <v>4.0599999999999996</v>
      </c>
      <c r="G37" s="134">
        <v>24.72</v>
      </c>
      <c r="H37" s="134">
        <v>9.99</v>
      </c>
      <c r="I37" s="134">
        <v>4.34</v>
      </c>
      <c r="J37" s="134">
        <v>0.76</v>
      </c>
      <c r="K37" s="134">
        <v>258.20999999999998</v>
      </c>
      <c r="L37" s="134">
        <v>26.5</v>
      </c>
      <c r="M37" s="134">
        <v>84</v>
      </c>
      <c r="N37" s="134">
        <v>78.2</v>
      </c>
      <c r="O37" s="134">
        <v>0</v>
      </c>
      <c r="P37" s="134">
        <v>0.53</v>
      </c>
      <c r="Q37" s="134">
        <v>4.72</v>
      </c>
    </row>
    <row r="38" spans="1:17" customFormat="1">
      <c r="A38" s="112" t="s">
        <v>2474</v>
      </c>
      <c r="B38" s="134">
        <v>15.56</v>
      </c>
      <c r="C38" s="134">
        <v>40.56</v>
      </c>
      <c r="D38" s="134">
        <v>32.630000000000003</v>
      </c>
      <c r="E38" s="134">
        <v>6.31</v>
      </c>
      <c r="F38" s="134">
        <v>3.89</v>
      </c>
      <c r="G38" s="134">
        <v>24.72</v>
      </c>
      <c r="H38" s="134">
        <v>9.99</v>
      </c>
      <c r="I38" s="134">
        <v>4.4400000000000004</v>
      </c>
      <c r="J38" s="134">
        <v>0.8</v>
      </c>
      <c r="K38" s="134">
        <v>271.58999999999997</v>
      </c>
      <c r="L38" s="134">
        <v>26.71</v>
      </c>
      <c r="M38" s="134">
        <v>82.45</v>
      </c>
      <c r="N38" s="134">
        <v>102.1</v>
      </c>
      <c r="O38" s="134">
        <v>0</v>
      </c>
      <c r="P38" s="134">
        <v>0.55000000000000004</v>
      </c>
      <c r="Q38" s="134">
        <v>4.83</v>
      </c>
    </row>
    <row r="39" spans="1:17" customFormat="1">
      <c r="A39" s="112" t="s">
        <v>2475</v>
      </c>
      <c r="B39" s="134">
        <v>15.51</v>
      </c>
      <c r="C39" s="134">
        <v>35.89</v>
      </c>
      <c r="D39" s="134">
        <v>30.15</v>
      </c>
      <c r="E39" s="134">
        <v>6.32</v>
      </c>
      <c r="F39" s="134">
        <v>5.79</v>
      </c>
      <c r="G39" s="134">
        <v>23.79</v>
      </c>
      <c r="H39" s="134">
        <v>10.119999999999999</v>
      </c>
      <c r="I39" s="134">
        <v>4.5599999999999996</v>
      </c>
      <c r="J39" s="134">
        <v>1.28</v>
      </c>
      <c r="K39" s="134">
        <v>266.93</v>
      </c>
      <c r="L39" s="134">
        <v>27</v>
      </c>
      <c r="M39" s="134">
        <v>78.52</v>
      </c>
      <c r="N39" s="134">
        <v>153.30000000000001</v>
      </c>
      <c r="O39" s="134">
        <v>0</v>
      </c>
      <c r="P39" s="134">
        <v>0.53</v>
      </c>
      <c r="Q39" s="134">
        <v>4.76</v>
      </c>
    </row>
    <row r="40" spans="1:17" customFormat="1">
      <c r="A40" s="112" t="s">
        <v>2476</v>
      </c>
      <c r="B40" s="134">
        <v>15.17</v>
      </c>
      <c r="C40" s="134">
        <v>37.729999999999997</v>
      </c>
      <c r="D40" s="134">
        <v>30.83</v>
      </c>
      <c r="E40" s="134">
        <v>6.22</v>
      </c>
      <c r="F40" s="134">
        <v>5.19</v>
      </c>
      <c r="G40" s="134">
        <v>22.4</v>
      </c>
      <c r="H40" s="134">
        <v>10.31</v>
      </c>
      <c r="I40" s="134">
        <v>4.6100000000000003</v>
      </c>
      <c r="J40" s="134">
        <v>1.1200000000000001</v>
      </c>
      <c r="K40" s="134">
        <v>271.74</v>
      </c>
      <c r="L40" s="134">
        <v>27.38</v>
      </c>
      <c r="M40" s="134">
        <v>77.11</v>
      </c>
      <c r="N40" s="134">
        <v>163.69999999999999</v>
      </c>
      <c r="O40" s="134">
        <v>0</v>
      </c>
      <c r="P40" s="134">
        <v>0.54</v>
      </c>
      <c r="Q40" s="134">
        <v>4.71</v>
      </c>
    </row>
    <row r="41" spans="1:17" customFormat="1">
      <c r="A41" s="112" t="s">
        <v>2477</v>
      </c>
      <c r="B41" s="134">
        <v>15.3</v>
      </c>
      <c r="C41" s="134">
        <v>42.24</v>
      </c>
      <c r="D41" s="134">
        <v>33.29</v>
      </c>
      <c r="E41" s="134">
        <v>6.6</v>
      </c>
      <c r="F41" s="134">
        <v>3.76</v>
      </c>
      <c r="G41" s="134">
        <v>22.4</v>
      </c>
      <c r="H41" s="134">
        <v>10.31</v>
      </c>
      <c r="I41" s="134">
        <v>4.5599999999999996</v>
      </c>
      <c r="J41" s="134">
        <v>0.7</v>
      </c>
      <c r="K41" s="134">
        <v>257.24</v>
      </c>
      <c r="L41" s="134">
        <v>27.38</v>
      </c>
      <c r="M41" s="134">
        <v>78.150000000000006</v>
      </c>
      <c r="N41" s="134">
        <v>125</v>
      </c>
      <c r="O41" s="134">
        <v>0</v>
      </c>
      <c r="P41" s="134">
        <v>0.59</v>
      </c>
      <c r="Q41" s="134">
        <v>4.82</v>
      </c>
    </row>
    <row r="42" spans="1:17" customFormat="1">
      <c r="A42" s="112" t="s">
        <v>2478</v>
      </c>
      <c r="B42" s="134">
        <v>15.35</v>
      </c>
      <c r="C42" s="134">
        <v>38.340000000000003</v>
      </c>
      <c r="D42" s="134">
        <v>31.29</v>
      </c>
      <c r="E42" s="134">
        <v>7.86</v>
      </c>
      <c r="F42" s="134">
        <v>5.0599999999999996</v>
      </c>
      <c r="G42" s="134">
        <v>22.4</v>
      </c>
      <c r="H42" s="134">
        <v>10.31</v>
      </c>
      <c r="I42" s="134">
        <v>4.6900000000000004</v>
      </c>
      <c r="J42" s="134">
        <v>0.93</v>
      </c>
      <c r="K42" s="134">
        <v>262.61</v>
      </c>
      <c r="L42" s="134">
        <v>27.22</v>
      </c>
      <c r="M42" s="134">
        <v>77.489999999999995</v>
      </c>
      <c r="N42" s="134">
        <v>109.4</v>
      </c>
      <c r="O42" s="134">
        <v>0</v>
      </c>
      <c r="P42" s="134">
        <v>0.57999999999999996</v>
      </c>
      <c r="Q42" s="134">
        <v>4.78</v>
      </c>
    </row>
    <row r="43" spans="1:17" customFormat="1">
      <c r="A43" s="112" t="s">
        <v>2479</v>
      </c>
      <c r="B43" s="134">
        <v>15.02</v>
      </c>
      <c r="C43" s="134">
        <v>35.93</v>
      </c>
      <c r="D43" s="134">
        <v>29.77</v>
      </c>
      <c r="E43" s="134">
        <v>6.66</v>
      </c>
      <c r="F43" s="134">
        <v>5.78</v>
      </c>
      <c r="G43" s="134">
        <v>23.57</v>
      </c>
      <c r="H43" s="134">
        <v>10.39</v>
      </c>
      <c r="I43" s="134">
        <v>5.21</v>
      </c>
      <c r="J43" s="134">
        <v>0.75</v>
      </c>
      <c r="K43" s="134">
        <v>274.23</v>
      </c>
      <c r="L43" s="134">
        <v>27.41</v>
      </c>
      <c r="M43" s="134">
        <v>76.42</v>
      </c>
      <c r="N43" s="134">
        <v>141.4</v>
      </c>
      <c r="O43" s="134">
        <v>0</v>
      </c>
      <c r="P43" s="134">
        <v>0.57999999999999996</v>
      </c>
      <c r="Q43" s="134">
        <v>4.71</v>
      </c>
    </row>
    <row r="44" spans="1:17" customFormat="1">
      <c r="A44" s="112" t="s">
        <v>2480</v>
      </c>
      <c r="B44" s="134">
        <v>15.09</v>
      </c>
      <c r="C44" s="134">
        <v>40.47</v>
      </c>
      <c r="D44" s="134">
        <v>32.200000000000003</v>
      </c>
      <c r="E44" s="134">
        <v>6.3</v>
      </c>
      <c r="F44" s="134">
        <v>4.3</v>
      </c>
      <c r="G44" s="134">
        <v>25.32</v>
      </c>
      <c r="H44" s="134">
        <v>10.51</v>
      </c>
      <c r="I44" s="134">
        <v>5.9</v>
      </c>
      <c r="J44" s="134">
        <v>0.92</v>
      </c>
      <c r="K44" s="134">
        <v>286.58999999999997</v>
      </c>
      <c r="L44" s="134">
        <v>28.1</v>
      </c>
      <c r="M44" s="134">
        <v>73.47</v>
      </c>
      <c r="N44" s="134">
        <v>275.3</v>
      </c>
      <c r="O44" s="134">
        <v>0</v>
      </c>
      <c r="P44" s="134">
        <v>0.62</v>
      </c>
      <c r="Q44" s="134">
        <v>4.74</v>
      </c>
    </row>
    <row r="45" spans="1:17" customFormat="1">
      <c r="A45" s="112" t="s">
        <v>2481</v>
      </c>
      <c r="B45" s="134">
        <v>15.42</v>
      </c>
      <c r="C45" s="134">
        <v>38.39</v>
      </c>
      <c r="D45" s="134">
        <v>31.38</v>
      </c>
      <c r="E45" s="134">
        <v>6.74</v>
      </c>
      <c r="F45" s="134">
        <v>5.4</v>
      </c>
      <c r="G45" s="134">
        <v>25.32</v>
      </c>
      <c r="H45" s="134">
        <v>10.51</v>
      </c>
      <c r="I45" s="134">
        <v>6.29</v>
      </c>
      <c r="J45" s="134">
        <v>1.05</v>
      </c>
      <c r="K45" s="134">
        <v>276.49</v>
      </c>
      <c r="L45" s="134">
        <v>28.91</v>
      </c>
      <c r="M45" s="134">
        <v>69.88</v>
      </c>
      <c r="N45" s="134">
        <v>357.6</v>
      </c>
      <c r="O45" s="134">
        <v>0</v>
      </c>
      <c r="P45" s="134">
        <v>0.63</v>
      </c>
      <c r="Q45" s="134">
        <v>4.83</v>
      </c>
    </row>
    <row r="46" spans="1:17" customFormat="1">
      <c r="A46" s="112" t="s">
        <v>2482</v>
      </c>
      <c r="B46" s="134">
        <v>14.96</v>
      </c>
      <c r="C46" s="134">
        <v>36.369999999999997</v>
      </c>
      <c r="D46" s="134">
        <v>29.96</v>
      </c>
      <c r="E46" s="134">
        <v>6.23</v>
      </c>
      <c r="F46" s="134">
        <v>6.61</v>
      </c>
      <c r="G46" s="134">
        <v>25.32</v>
      </c>
      <c r="H46" s="134">
        <v>10.51</v>
      </c>
      <c r="I46" s="134">
        <v>6.5</v>
      </c>
      <c r="J46" s="134">
        <v>1.18</v>
      </c>
      <c r="K46" s="134">
        <v>274.66000000000003</v>
      </c>
      <c r="L46" s="134">
        <v>28.78</v>
      </c>
      <c r="M46" s="134">
        <v>70.150000000000006</v>
      </c>
      <c r="N46" s="134">
        <v>238.7</v>
      </c>
      <c r="O46" s="134">
        <v>0</v>
      </c>
      <c r="P46" s="134">
        <v>0.61</v>
      </c>
      <c r="Q46" s="134">
        <v>4.75</v>
      </c>
    </row>
    <row r="47" spans="1:17" customFormat="1">
      <c r="A47" s="112" t="s">
        <v>2483</v>
      </c>
      <c r="B47" s="134">
        <v>14.25</v>
      </c>
      <c r="C47" s="134">
        <v>34.119999999999997</v>
      </c>
      <c r="D47" s="134">
        <v>28.21</v>
      </c>
      <c r="E47" s="134">
        <v>6.13</v>
      </c>
      <c r="F47" s="134">
        <v>7.82</v>
      </c>
      <c r="G47" s="134">
        <v>25.89</v>
      </c>
      <c r="H47" s="134">
        <v>10.99</v>
      </c>
      <c r="I47" s="134">
        <v>6.58</v>
      </c>
      <c r="J47" s="134">
        <v>1.06</v>
      </c>
      <c r="K47" s="134">
        <v>279.06</v>
      </c>
      <c r="L47" s="134">
        <v>28.47</v>
      </c>
      <c r="M47" s="134">
        <v>70.69</v>
      </c>
      <c r="N47" s="134">
        <v>218.6</v>
      </c>
      <c r="O47" s="134">
        <v>0</v>
      </c>
      <c r="P47" s="134">
        <v>0.57999999999999996</v>
      </c>
      <c r="Q47" s="134">
        <v>4.68</v>
      </c>
    </row>
    <row r="48" spans="1:17" customFormat="1">
      <c r="A48" s="112" t="s">
        <v>2484</v>
      </c>
      <c r="B48" s="134">
        <v>14.35</v>
      </c>
      <c r="C48" s="134">
        <v>36.229999999999997</v>
      </c>
      <c r="D48" s="134">
        <v>29.39</v>
      </c>
      <c r="E48" s="134">
        <v>6.93</v>
      </c>
      <c r="F48" s="134">
        <v>6.43</v>
      </c>
      <c r="G48" s="134">
        <v>26.74</v>
      </c>
      <c r="H48" s="134">
        <v>10.99</v>
      </c>
      <c r="I48" s="134">
        <v>6.36</v>
      </c>
      <c r="J48" s="134">
        <v>1.28</v>
      </c>
      <c r="K48" s="134">
        <v>292.36</v>
      </c>
      <c r="L48" s="134">
        <v>28.63</v>
      </c>
      <c r="M48" s="134">
        <v>69.52</v>
      </c>
      <c r="N48" s="134">
        <v>234.6</v>
      </c>
      <c r="O48" s="134">
        <v>0</v>
      </c>
      <c r="P48" s="134">
        <v>0.56000000000000005</v>
      </c>
      <c r="Q48" s="134">
        <v>4.63</v>
      </c>
    </row>
    <row r="49" spans="1:17" customFormat="1">
      <c r="A49" s="112" t="s">
        <v>2485</v>
      </c>
      <c r="B49" s="134">
        <v>14.37</v>
      </c>
      <c r="C49" s="134">
        <v>40</v>
      </c>
      <c r="D49" s="134">
        <v>31.38</v>
      </c>
      <c r="E49" s="134">
        <v>7.01</v>
      </c>
      <c r="F49" s="134">
        <v>4.53</v>
      </c>
      <c r="G49" s="134">
        <v>26.74</v>
      </c>
      <c r="H49" s="134">
        <v>10.99</v>
      </c>
      <c r="I49" s="134">
        <v>6.22</v>
      </c>
      <c r="J49" s="134">
        <v>1.28</v>
      </c>
      <c r="K49" s="134">
        <v>288.93</v>
      </c>
      <c r="L49" s="134">
        <v>28.93</v>
      </c>
      <c r="M49" s="134">
        <v>68.569999999999993</v>
      </c>
      <c r="N49" s="134">
        <v>240.3</v>
      </c>
      <c r="O49" s="134">
        <v>0</v>
      </c>
      <c r="P49" s="134">
        <v>0.6</v>
      </c>
      <c r="Q49" s="134">
        <v>4.67</v>
      </c>
    </row>
    <row r="50" spans="1:17" customFormat="1">
      <c r="A50" s="112" t="s">
        <v>2486</v>
      </c>
      <c r="B50" s="134">
        <v>14.06</v>
      </c>
      <c r="C50" s="134">
        <v>40.42</v>
      </c>
      <c r="D50" s="134">
        <v>31.34</v>
      </c>
      <c r="E50" s="134">
        <v>9.66</v>
      </c>
      <c r="F50" s="134">
        <v>5.35</v>
      </c>
      <c r="G50" s="134">
        <v>26.74</v>
      </c>
      <c r="H50" s="134">
        <v>10.99</v>
      </c>
      <c r="I50" s="134">
        <v>6.18</v>
      </c>
      <c r="J50" s="134">
        <v>1.22</v>
      </c>
      <c r="K50" s="134">
        <v>266.58999999999997</v>
      </c>
      <c r="L50" s="134">
        <v>28.66</v>
      </c>
      <c r="M50" s="134">
        <v>68.66</v>
      </c>
      <c r="N50" s="134">
        <v>116.4</v>
      </c>
      <c r="O50" s="134">
        <v>0</v>
      </c>
      <c r="P50" s="134">
        <v>0.6</v>
      </c>
      <c r="Q50" s="134">
        <v>4.76</v>
      </c>
    </row>
    <row r="51" spans="1:17" customFormat="1">
      <c r="A51" s="112" t="s">
        <v>2487</v>
      </c>
      <c r="B51" s="134">
        <v>12.98</v>
      </c>
      <c r="C51" s="134">
        <v>35.1</v>
      </c>
      <c r="D51" s="134">
        <v>27.7</v>
      </c>
      <c r="E51" s="134">
        <v>11.42</v>
      </c>
      <c r="F51" s="134">
        <v>8.7899999999999991</v>
      </c>
      <c r="G51" s="134">
        <v>27.6</v>
      </c>
      <c r="H51" s="134">
        <v>11.48</v>
      </c>
      <c r="I51" s="134">
        <v>6.18</v>
      </c>
      <c r="J51" s="134">
        <v>1</v>
      </c>
      <c r="K51" s="134">
        <v>277</v>
      </c>
      <c r="L51" s="134">
        <v>28.46</v>
      </c>
      <c r="M51" s="134">
        <v>69.38</v>
      </c>
      <c r="N51" s="134">
        <v>121.1</v>
      </c>
      <c r="O51" s="134">
        <v>0</v>
      </c>
      <c r="P51" s="134">
        <v>0.55000000000000004</v>
      </c>
      <c r="Q51" s="134">
        <v>4.68</v>
      </c>
    </row>
    <row r="52" spans="1:17" customFormat="1">
      <c r="A52" s="112" t="s">
        <v>2488</v>
      </c>
      <c r="B52" s="134">
        <v>12.49</v>
      </c>
      <c r="C52" s="134">
        <v>34.520000000000003</v>
      </c>
      <c r="D52" s="134">
        <v>27.01</v>
      </c>
      <c r="E52" s="134">
        <v>12.34</v>
      </c>
      <c r="F52" s="134">
        <v>8.2200000000000006</v>
      </c>
      <c r="G52" s="134">
        <v>28.9</v>
      </c>
      <c r="H52" s="134">
        <v>11.91</v>
      </c>
      <c r="I52" s="134">
        <v>6</v>
      </c>
      <c r="J52" s="134">
        <v>0.82</v>
      </c>
      <c r="K52" s="134">
        <v>262.10000000000002</v>
      </c>
      <c r="L52" s="134">
        <v>28.95</v>
      </c>
      <c r="M52" s="134">
        <v>68.260000000000005</v>
      </c>
      <c r="N52" s="134">
        <v>230.2</v>
      </c>
      <c r="O52" s="134">
        <v>0</v>
      </c>
      <c r="P52" s="134">
        <v>0.53</v>
      </c>
      <c r="Q52" s="134">
        <v>4.58</v>
      </c>
    </row>
    <row r="53" spans="1:17" customFormat="1">
      <c r="A53" s="112" t="s">
        <v>2489</v>
      </c>
      <c r="B53" s="134">
        <v>12.54</v>
      </c>
      <c r="C53" s="134">
        <v>40.11</v>
      </c>
      <c r="D53" s="134">
        <v>29.97</v>
      </c>
      <c r="E53" s="134">
        <v>9.7799999999999994</v>
      </c>
      <c r="F53" s="134">
        <v>5.31</v>
      </c>
      <c r="G53" s="134">
        <v>28.9</v>
      </c>
      <c r="H53" s="134">
        <v>11.91</v>
      </c>
      <c r="I53" s="134">
        <v>5.75</v>
      </c>
      <c r="J53" s="134">
        <v>0.77</v>
      </c>
      <c r="K53" s="134">
        <v>275.48</v>
      </c>
      <c r="L53" s="134">
        <v>29.49</v>
      </c>
      <c r="M53" s="134">
        <v>66.88</v>
      </c>
      <c r="N53" s="134">
        <v>239.2</v>
      </c>
      <c r="O53" s="134">
        <v>0</v>
      </c>
      <c r="P53" s="134">
        <v>0.56999999999999995</v>
      </c>
      <c r="Q53" s="134">
        <v>4.63</v>
      </c>
    </row>
    <row r="54" spans="1:17" customFormat="1">
      <c r="A54" s="112" t="s">
        <v>2490</v>
      </c>
      <c r="B54" s="134">
        <v>12.69</v>
      </c>
      <c r="C54" s="134">
        <v>41.18</v>
      </c>
      <c r="D54" s="134">
        <v>30.65</v>
      </c>
      <c r="E54" s="134">
        <v>11.58</v>
      </c>
      <c r="F54" s="134">
        <v>5.84</v>
      </c>
      <c r="G54" s="134">
        <v>28.9</v>
      </c>
      <c r="H54" s="134">
        <v>11.91</v>
      </c>
      <c r="I54" s="134">
        <v>5.72</v>
      </c>
      <c r="J54" s="134">
        <v>0.82</v>
      </c>
      <c r="K54" s="134">
        <v>289.66000000000003</v>
      </c>
      <c r="L54" s="134">
        <v>29.51</v>
      </c>
      <c r="M54" s="134">
        <v>66.19</v>
      </c>
      <c r="N54" s="134">
        <v>189.8</v>
      </c>
      <c r="O54" s="134">
        <v>0</v>
      </c>
      <c r="P54" s="134">
        <v>0.56999999999999995</v>
      </c>
      <c r="Q54" s="134">
        <v>4.71</v>
      </c>
    </row>
    <row r="55" spans="1:17" customFormat="1">
      <c r="A55" s="112" t="s">
        <v>2491</v>
      </c>
      <c r="B55" s="134">
        <v>11.85</v>
      </c>
      <c r="C55" s="134">
        <v>35.97</v>
      </c>
      <c r="D55" s="134">
        <v>27.25</v>
      </c>
      <c r="E55" s="134">
        <v>12.51</v>
      </c>
      <c r="F55" s="134">
        <v>11.41</v>
      </c>
      <c r="G55" s="134">
        <v>29.84</v>
      </c>
      <c r="H55" s="134">
        <v>12.34</v>
      </c>
      <c r="I55" s="134">
        <v>5.8</v>
      </c>
      <c r="J55" s="134">
        <v>0.67</v>
      </c>
      <c r="K55" s="134">
        <v>258.5</v>
      </c>
      <c r="L55" s="134">
        <v>29.46</v>
      </c>
      <c r="M55" s="134">
        <v>66.95</v>
      </c>
      <c r="N55" s="134">
        <v>163.5</v>
      </c>
      <c r="O55" s="134">
        <v>0</v>
      </c>
      <c r="P55" s="134">
        <v>0.52</v>
      </c>
      <c r="Q55" s="134">
        <v>4.6399999999999997</v>
      </c>
    </row>
    <row r="56" spans="1:17" customFormat="1">
      <c r="A56" s="112" t="s">
        <v>2492</v>
      </c>
      <c r="B56" s="134">
        <v>11.12</v>
      </c>
      <c r="C56" s="134">
        <v>34.86</v>
      </c>
      <c r="D56" s="134">
        <v>26.09</v>
      </c>
      <c r="E56" s="134">
        <v>11.85</v>
      </c>
      <c r="F56" s="134">
        <v>9.4</v>
      </c>
      <c r="G56" s="134">
        <v>31.25</v>
      </c>
      <c r="H56" s="134">
        <v>12.71</v>
      </c>
      <c r="I56" s="134">
        <v>5.67</v>
      </c>
      <c r="J56" s="134">
        <v>0.88</v>
      </c>
      <c r="K56" s="134">
        <v>259.88</v>
      </c>
      <c r="L56" s="134">
        <v>29.42</v>
      </c>
      <c r="M56" s="134">
        <v>66.489999999999995</v>
      </c>
      <c r="N56" s="134">
        <v>148.80000000000001</v>
      </c>
      <c r="O56" s="134">
        <v>0</v>
      </c>
      <c r="P56" s="134">
        <v>0.5</v>
      </c>
      <c r="Q56" s="134">
        <v>4.57</v>
      </c>
    </row>
    <row r="57" spans="1:17" customFormat="1">
      <c r="A57" s="112" t="s">
        <v>2493</v>
      </c>
      <c r="B57" s="134">
        <v>10.28</v>
      </c>
      <c r="C57" s="134">
        <v>33.520000000000003</v>
      </c>
      <c r="D57" s="134">
        <v>24.71</v>
      </c>
      <c r="E57" s="134">
        <v>11.76</v>
      </c>
      <c r="F57" s="134">
        <v>11.83</v>
      </c>
      <c r="G57" s="134">
        <v>31.25</v>
      </c>
      <c r="H57" s="134">
        <v>12.71</v>
      </c>
      <c r="I57" s="134">
        <v>5.42</v>
      </c>
      <c r="J57" s="134">
        <v>0.71</v>
      </c>
      <c r="K57" s="134">
        <v>266.82</v>
      </c>
      <c r="L57" s="134">
        <v>29.5</v>
      </c>
      <c r="M57" s="134">
        <v>67.010000000000005</v>
      </c>
      <c r="N57" s="134">
        <v>175.2</v>
      </c>
      <c r="O57" s="134">
        <v>0</v>
      </c>
      <c r="P57" s="134">
        <v>0.47</v>
      </c>
      <c r="Q57" s="134">
        <v>4.5199999999999996</v>
      </c>
    </row>
    <row r="58" spans="1:17" customFormat="1">
      <c r="A58" s="112" t="s">
        <v>2494</v>
      </c>
      <c r="B58" s="134">
        <v>10.42</v>
      </c>
      <c r="C58" s="134">
        <v>38.76</v>
      </c>
      <c r="D58" s="134">
        <v>27.56</v>
      </c>
      <c r="E58" s="134">
        <v>9.4700000000000006</v>
      </c>
      <c r="F58" s="134">
        <v>5.46</v>
      </c>
      <c r="G58" s="134">
        <v>31.25</v>
      </c>
      <c r="H58" s="134">
        <v>12.71</v>
      </c>
      <c r="I58" s="134">
        <v>5.2</v>
      </c>
      <c r="J58" s="134">
        <v>0.83</v>
      </c>
      <c r="K58" s="134">
        <v>263.22000000000003</v>
      </c>
      <c r="L58" s="134">
        <v>29.67</v>
      </c>
      <c r="M58" s="134">
        <v>67</v>
      </c>
      <c r="N58" s="134">
        <v>170.8</v>
      </c>
      <c r="O58" s="134">
        <v>0</v>
      </c>
      <c r="P58" s="134">
        <v>0.51</v>
      </c>
      <c r="Q58" s="134">
        <v>4.5</v>
      </c>
    </row>
    <row r="59" spans="1:17" customFormat="1">
      <c r="A59" s="112" t="s">
        <v>2495</v>
      </c>
      <c r="B59" s="134">
        <v>10.39</v>
      </c>
      <c r="C59" s="134">
        <v>40.69</v>
      </c>
      <c r="D59" s="134">
        <v>28.55</v>
      </c>
      <c r="E59" s="134">
        <v>11.44</v>
      </c>
      <c r="F59" s="134">
        <v>7.11</v>
      </c>
      <c r="G59" s="134">
        <v>31.55</v>
      </c>
      <c r="H59" s="134">
        <v>12.64</v>
      </c>
      <c r="I59" s="134">
        <v>5.23</v>
      </c>
      <c r="J59" s="134">
        <v>0.76</v>
      </c>
      <c r="K59" s="134">
        <v>260.97000000000003</v>
      </c>
      <c r="L59" s="134">
        <v>29.49</v>
      </c>
      <c r="M59" s="134">
        <v>67.7</v>
      </c>
      <c r="N59" s="134">
        <v>129.1</v>
      </c>
      <c r="O59" s="134">
        <v>0</v>
      </c>
      <c r="P59" s="134">
        <v>0.54</v>
      </c>
      <c r="Q59" s="134">
        <v>4.6100000000000003</v>
      </c>
    </row>
    <row r="60" spans="1:17" customFormat="1">
      <c r="A60" s="112" t="s">
        <v>2496</v>
      </c>
      <c r="B60" s="134">
        <v>9.92</v>
      </c>
      <c r="C60" s="134">
        <v>36.11</v>
      </c>
      <c r="D60" s="134">
        <v>25.78</v>
      </c>
      <c r="E60" s="134">
        <v>12.81</v>
      </c>
      <c r="F60" s="134">
        <v>10.59</v>
      </c>
      <c r="G60" s="134">
        <v>32</v>
      </c>
      <c r="H60" s="134">
        <v>12.57</v>
      </c>
      <c r="I60" s="134">
        <v>5.48</v>
      </c>
      <c r="J60" s="134">
        <v>0.64</v>
      </c>
      <c r="K60" s="134">
        <v>263.27999999999997</v>
      </c>
      <c r="L60" s="134">
        <v>29.44</v>
      </c>
      <c r="M60" s="134">
        <v>67.849999999999994</v>
      </c>
      <c r="N60" s="134">
        <v>120.9</v>
      </c>
      <c r="O60" s="134">
        <v>0</v>
      </c>
      <c r="P60" s="134">
        <v>0.51</v>
      </c>
      <c r="Q60" s="134">
        <v>4.54</v>
      </c>
    </row>
    <row r="61" spans="1:17" customFormat="1">
      <c r="A61" s="112" t="s">
        <v>2497</v>
      </c>
      <c r="B61" s="134">
        <v>9.2899999999999991</v>
      </c>
      <c r="C61" s="134">
        <v>34.14</v>
      </c>
      <c r="D61" s="134">
        <v>24.24</v>
      </c>
      <c r="E61" s="134">
        <v>13.9</v>
      </c>
      <c r="F61" s="134">
        <v>12.06</v>
      </c>
      <c r="G61" s="134">
        <v>32</v>
      </c>
      <c r="H61" s="134">
        <v>12.57</v>
      </c>
      <c r="I61" s="134">
        <v>5.64</v>
      </c>
      <c r="J61" s="134">
        <v>0.61</v>
      </c>
      <c r="K61" s="134">
        <v>248.37</v>
      </c>
      <c r="L61" s="134">
        <v>29.52</v>
      </c>
      <c r="M61" s="134">
        <v>68.3</v>
      </c>
      <c r="N61" s="134">
        <v>144.6</v>
      </c>
      <c r="O61" s="134">
        <v>0</v>
      </c>
      <c r="P61" s="134">
        <v>0.51</v>
      </c>
      <c r="Q61" s="134">
        <v>4.47</v>
      </c>
    </row>
    <row r="62" spans="1:17" customFormat="1">
      <c r="A62" s="112" t="s">
        <v>2498</v>
      </c>
      <c r="B62" s="134">
        <v>8.77</v>
      </c>
      <c r="C62" s="134">
        <v>33.78</v>
      </c>
      <c r="D62" s="134">
        <v>23.64</v>
      </c>
      <c r="E62" s="134">
        <v>14.02</v>
      </c>
      <c r="F62" s="134">
        <v>12.39</v>
      </c>
      <c r="G62" s="134">
        <v>32</v>
      </c>
      <c r="H62" s="134">
        <v>12.57</v>
      </c>
      <c r="I62" s="134">
        <v>5.63</v>
      </c>
      <c r="J62" s="134">
        <v>0.68</v>
      </c>
      <c r="K62" s="134">
        <v>263.72000000000003</v>
      </c>
      <c r="L62" s="134">
        <v>29.8</v>
      </c>
      <c r="M62" s="134">
        <v>67.430000000000007</v>
      </c>
      <c r="N62" s="134">
        <v>188.4</v>
      </c>
      <c r="O62" s="134">
        <v>0</v>
      </c>
      <c r="P62" s="134">
        <v>0.5</v>
      </c>
      <c r="Q62" s="134">
        <v>4.43</v>
      </c>
    </row>
    <row r="63" spans="1:17" customFormat="1">
      <c r="A63" s="112" t="s">
        <v>2499</v>
      </c>
      <c r="B63" s="134">
        <v>8.8000000000000007</v>
      </c>
      <c r="C63" s="134">
        <v>37.11</v>
      </c>
      <c r="D63" s="134">
        <v>25.4</v>
      </c>
      <c r="E63" s="134">
        <v>11.52</v>
      </c>
      <c r="F63" s="134">
        <v>6.12</v>
      </c>
      <c r="G63" s="134">
        <v>32.08</v>
      </c>
      <c r="H63" s="134">
        <v>13</v>
      </c>
      <c r="I63" s="134">
        <v>5.65</v>
      </c>
      <c r="J63" s="134">
        <v>0.82</v>
      </c>
      <c r="K63" s="134">
        <v>257.97000000000003</v>
      </c>
      <c r="L63" s="134">
        <v>29.87</v>
      </c>
      <c r="M63" s="134">
        <v>66.709999999999994</v>
      </c>
      <c r="N63" s="134">
        <v>222.6</v>
      </c>
      <c r="O63" s="134">
        <v>0</v>
      </c>
      <c r="P63" s="134">
        <v>0.53</v>
      </c>
      <c r="Q63" s="134">
        <v>4.4000000000000004</v>
      </c>
    </row>
    <row r="64" spans="1:17" customFormat="1">
      <c r="A64" s="112" t="s">
        <v>2500</v>
      </c>
      <c r="B64" s="134">
        <v>8.86</v>
      </c>
      <c r="C64" s="134">
        <v>40.99</v>
      </c>
      <c r="D64" s="134">
        <v>27.48</v>
      </c>
      <c r="E64" s="134">
        <v>11.21</v>
      </c>
      <c r="F64" s="134">
        <v>6.19</v>
      </c>
      <c r="G64" s="134">
        <v>32.200000000000003</v>
      </c>
      <c r="H64" s="134">
        <v>14.1</v>
      </c>
      <c r="I64" s="134">
        <v>5.7</v>
      </c>
      <c r="J64" s="134">
        <v>0.65</v>
      </c>
      <c r="K64" s="134">
        <v>259.06</v>
      </c>
      <c r="L64" s="134">
        <v>30.07</v>
      </c>
      <c r="M64" s="134">
        <v>66.39</v>
      </c>
      <c r="N64" s="134">
        <v>210.7</v>
      </c>
      <c r="O64" s="134">
        <v>0</v>
      </c>
      <c r="P64" s="134">
        <v>0.55000000000000004</v>
      </c>
      <c r="Q64" s="134">
        <v>4.51</v>
      </c>
    </row>
    <row r="65" spans="1:17" customFormat="1">
      <c r="A65" s="112" t="s">
        <v>2501</v>
      </c>
      <c r="B65" s="134">
        <v>8.7200000000000006</v>
      </c>
      <c r="C65" s="134">
        <v>37.799999999999997</v>
      </c>
      <c r="D65" s="134">
        <v>25.7</v>
      </c>
      <c r="E65" s="134">
        <v>10.69</v>
      </c>
      <c r="F65" s="134">
        <v>8.1999999999999993</v>
      </c>
      <c r="G65" s="134">
        <v>32.200000000000003</v>
      </c>
      <c r="H65" s="134">
        <v>14.1</v>
      </c>
      <c r="I65" s="134">
        <v>5.8</v>
      </c>
      <c r="J65" s="134">
        <v>0.96</v>
      </c>
      <c r="K65" s="134">
        <v>254.68</v>
      </c>
      <c r="L65" s="134">
        <v>30.09</v>
      </c>
      <c r="M65" s="134">
        <v>65.53</v>
      </c>
      <c r="N65" s="134">
        <v>203.9</v>
      </c>
      <c r="O65" s="134">
        <v>0</v>
      </c>
      <c r="P65" s="134">
        <v>0.52</v>
      </c>
      <c r="Q65" s="134">
        <v>4.46</v>
      </c>
    </row>
    <row r="66" spans="1:17" customFormat="1">
      <c r="A66" s="112" t="s">
        <v>2502</v>
      </c>
      <c r="B66" s="134">
        <v>8.16</v>
      </c>
      <c r="C66" s="134">
        <v>34.56</v>
      </c>
      <c r="D66" s="134">
        <v>23.56</v>
      </c>
      <c r="E66" s="134">
        <v>10.59</v>
      </c>
      <c r="F66" s="134">
        <v>10.45</v>
      </c>
      <c r="G66" s="134">
        <v>32.200000000000003</v>
      </c>
      <c r="H66" s="134">
        <v>14.1</v>
      </c>
      <c r="I66" s="134">
        <v>5.86</v>
      </c>
      <c r="J66" s="134">
        <v>0.81</v>
      </c>
      <c r="K66" s="134">
        <v>263</v>
      </c>
      <c r="L66" s="134">
        <v>30.08</v>
      </c>
      <c r="M66" s="134">
        <v>65.319999999999993</v>
      </c>
      <c r="N66" s="134">
        <v>183.5</v>
      </c>
      <c r="O66" s="134">
        <v>0</v>
      </c>
      <c r="P66" s="134">
        <v>0.54</v>
      </c>
      <c r="Q66" s="134">
        <v>4.3499999999999996</v>
      </c>
    </row>
    <row r="67" spans="1:17" customFormat="1">
      <c r="A67" s="112" t="s">
        <v>2503</v>
      </c>
      <c r="B67" s="134">
        <v>7.23</v>
      </c>
      <c r="C67" s="134">
        <v>33.33</v>
      </c>
      <c r="D67" s="134">
        <v>22.17</v>
      </c>
      <c r="E67" s="134">
        <v>12.06</v>
      </c>
      <c r="F67" s="134">
        <v>14.96</v>
      </c>
      <c r="G67" s="134">
        <v>31.81</v>
      </c>
      <c r="H67" s="134">
        <v>14.1</v>
      </c>
      <c r="I67" s="134">
        <v>5.79</v>
      </c>
      <c r="J67" s="134">
        <v>0.78</v>
      </c>
      <c r="K67" s="134">
        <v>257.25</v>
      </c>
      <c r="L67" s="134">
        <v>30.16</v>
      </c>
      <c r="M67" s="134">
        <v>65.41</v>
      </c>
      <c r="N67" s="134">
        <v>173.3</v>
      </c>
      <c r="O67" s="134">
        <v>0</v>
      </c>
      <c r="P67" s="134">
        <v>0.55000000000000004</v>
      </c>
      <c r="Q67" s="134">
        <v>4.32</v>
      </c>
    </row>
    <row r="68" spans="1:17" customFormat="1">
      <c r="A68" s="112" t="s">
        <v>2504</v>
      </c>
      <c r="B68" s="134">
        <v>7.22</v>
      </c>
      <c r="C68" s="134">
        <v>37.28</v>
      </c>
      <c r="D68" s="134">
        <v>24.22</v>
      </c>
      <c r="E68" s="134">
        <v>9.89</v>
      </c>
      <c r="F68" s="134">
        <v>6.61</v>
      </c>
      <c r="G68" s="134">
        <v>31.24</v>
      </c>
      <c r="H68" s="134">
        <v>14.09</v>
      </c>
      <c r="I68" s="134">
        <v>5.74</v>
      </c>
      <c r="J68" s="134">
        <v>0.81</v>
      </c>
      <c r="K68" s="134">
        <v>272.11</v>
      </c>
      <c r="L68" s="134">
        <v>30.15</v>
      </c>
      <c r="M68" s="134">
        <v>64.64</v>
      </c>
      <c r="N68" s="134">
        <v>195.3</v>
      </c>
      <c r="O68" s="134">
        <v>0</v>
      </c>
      <c r="P68" s="134">
        <v>0.55000000000000004</v>
      </c>
      <c r="Q68" s="134">
        <v>4.33</v>
      </c>
    </row>
    <row r="69" spans="1:17" customFormat="1">
      <c r="A69" s="112" t="s">
        <v>2505</v>
      </c>
      <c r="B69" s="134">
        <v>7.46</v>
      </c>
      <c r="C69" s="134">
        <v>39.020000000000003</v>
      </c>
      <c r="D69" s="134">
        <v>25.32</v>
      </c>
      <c r="E69" s="134">
        <v>10.37</v>
      </c>
      <c r="F69" s="134">
        <v>7.39</v>
      </c>
      <c r="G69" s="134">
        <v>31.24</v>
      </c>
      <c r="H69" s="134">
        <v>14.09</v>
      </c>
      <c r="I69" s="134">
        <v>5.74</v>
      </c>
      <c r="J69" s="134">
        <v>0.91</v>
      </c>
      <c r="K69" s="134">
        <v>274.95999999999998</v>
      </c>
      <c r="L69" s="134">
        <v>30.35</v>
      </c>
      <c r="M69" s="134">
        <v>63.62</v>
      </c>
      <c r="N69" s="134">
        <v>223.4</v>
      </c>
      <c r="O69" s="134">
        <v>0</v>
      </c>
      <c r="P69" s="134">
        <v>0.57999999999999996</v>
      </c>
      <c r="Q69" s="134">
        <v>4.43</v>
      </c>
    </row>
    <row r="70" spans="1:17" customFormat="1">
      <c r="A70" s="112" t="s">
        <v>2506</v>
      </c>
      <c r="B70" s="134">
        <v>7.38</v>
      </c>
      <c r="C70" s="134">
        <v>36.42</v>
      </c>
      <c r="D70" s="134">
        <v>23.9</v>
      </c>
      <c r="E70" s="134">
        <v>9.65</v>
      </c>
      <c r="F70" s="134">
        <v>8.9</v>
      </c>
      <c r="G70" s="134">
        <v>31.24</v>
      </c>
      <c r="H70" s="134">
        <v>14.09</v>
      </c>
      <c r="I70" s="134">
        <v>5.9</v>
      </c>
      <c r="J70" s="134">
        <v>0.92</v>
      </c>
      <c r="K70" s="134">
        <v>262.08</v>
      </c>
      <c r="L70" s="134">
        <v>30.47</v>
      </c>
      <c r="M70" s="134">
        <v>63.21</v>
      </c>
      <c r="N70" s="134">
        <v>233.1</v>
      </c>
      <c r="O70" s="134">
        <v>0</v>
      </c>
      <c r="P70" s="134">
        <v>0.56000000000000005</v>
      </c>
      <c r="Q70" s="134">
        <v>4.37</v>
      </c>
    </row>
    <row r="71" spans="1:17" customFormat="1">
      <c r="A71" s="112" t="s">
        <v>2507</v>
      </c>
      <c r="B71" s="134">
        <v>7.57</v>
      </c>
      <c r="C71" s="134">
        <v>33.700000000000003</v>
      </c>
      <c r="D71" s="134">
        <v>22.63</v>
      </c>
      <c r="E71" s="134">
        <v>10.85</v>
      </c>
      <c r="F71" s="134">
        <v>14.59</v>
      </c>
      <c r="G71" s="134">
        <v>32.39</v>
      </c>
      <c r="H71" s="134">
        <v>13.7</v>
      </c>
      <c r="I71" s="134">
        <v>6.07</v>
      </c>
      <c r="J71" s="134">
        <v>0.74</v>
      </c>
      <c r="K71" s="134">
        <v>263.77</v>
      </c>
      <c r="L71" s="134">
        <v>30.69</v>
      </c>
      <c r="M71" s="134">
        <v>63.51</v>
      </c>
      <c r="N71" s="134">
        <v>222.4</v>
      </c>
      <c r="O71" s="134">
        <v>0</v>
      </c>
      <c r="P71" s="134">
        <v>0.54</v>
      </c>
      <c r="Q71" s="134">
        <v>4.3099999999999996</v>
      </c>
    </row>
    <row r="72" spans="1:17" customFormat="1">
      <c r="A72" s="112" t="s">
        <v>2508</v>
      </c>
      <c r="B72" s="134">
        <v>6.45</v>
      </c>
      <c r="C72" s="134">
        <v>32.35</v>
      </c>
      <c r="D72" s="134">
        <v>21.03</v>
      </c>
      <c r="E72" s="134">
        <v>10.48</v>
      </c>
      <c r="F72" s="134">
        <v>15.38</v>
      </c>
      <c r="G72" s="134">
        <v>34.119999999999997</v>
      </c>
      <c r="H72" s="134">
        <v>13.36</v>
      </c>
      <c r="I72" s="134">
        <v>6.08</v>
      </c>
      <c r="J72" s="134">
        <v>0.69</v>
      </c>
      <c r="K72" s="134">
        <v>258.64</v>
      </c>
      <c r="L72" s="134">
        <v>30.48</v>
      </c>
      <c r="M72" s="134">
        <v>65.03</v>
      </c>
      <c r="N72" s="134">
        <v>173.3</v>
      </c>
      <c r="O72" s="134">
        <v>0</v>
      </c>
      <c r="P72" s="134">
        <v>0.51</v>
      </c>
      <c r="Q72" s="134">
        <v>4.26</v>
      </c>
    </row>
    <row r="73" spans="1:17" customFormat="1">
      <c r="A73" s="112" t="s">
        <v>2509</v>
      </c>
      <c r="B73" s="134">
        <v>5.75</v>
      </c>
      <c r="C73" s="134">
        <v>30.01</v>
      </c>
      <c r="D73" s="134">
        <v>19.25</v>
      </c>
      <c r="E73" s="134">
        <v>11.01</v>
      </c>
      <c r="F73" s="134">
        <v>15.25</v>
      </c>
      <c r="G73" s="134">
        <v>34.119999999999997</v>
      </c>
      <c r="H73" s="134">
        <v>13.36</v>
      </c>
      <c r="I73" s="134">
        <v>5.88</v>
      </c>
      <c r="J73" s="134">
        <v>0.69</v>
      </c>
      <c r="K73" s="134">
        <v>256.39</v>
      </c>
      <c r="L73" s="134">
        <v>30.43</v>
      </c>
      <c r="M73" s="134">
        <v>65.23</v>
      </c>
      <c r="N73" s="134">
        <v>124.9</v>
      </c>
      <c r="O73" s="134">
        <v>0</v>
      </c>
      <c r="P73" s="134">
        <v>0.48</v>
      </c>
      <c r="Q73" s="134">
        <v>4.2300000000000004</v>
      </c>
    </row>
    <row r="74" spans="1:17" customFormat="1">
      <c r="A74" s="112" t="s">
        <v>2510</v>
      </c>
      <c r="B74" s="134">
        <v>5.93</v>
      </c>
      <c r="C74" s="134">
        <v>34.81</v>
      </c>
      <c r="D74" s="134">
        <v>21.9</v>
      </c>
      <c r="E74" s="134">
        <v>9.5500000000000007</v>
      </c>
      <c r="F74" s="134">
        <v>7.83</v>
      </c>
      <c r="G74" s="134">
        <v>34.119999999999997</v>
      </c>
      <c r="H74" s="134">
        <v>13.36</v>
      </c>
      <c r="I74" s="134">
        <v>5.5</v>
      </c>
      <c r="J74" s="134">
        <v>0.73</v>
      </c>
      <c r="K74" s="134">
        <v>269.76</v>
      </c>
      <c r="L74" s="134">
        <v>30.21</v>
      </c>
      <c r="M74" s="134">
        <v>65.2</v>
      </c>
      <c r="N74" s="134">
        <v>101.6</v>
      </c>
      <c r="O74" s="134">
        <v>0</v>
      </c>
      <c r="P74" s="134">
        <v>0.53</v>
      </c>
      <c r="Q74" s="134">
        <v>4.21</v>
      </c>
    </row>
    <row r="75" spans="1:17" customFormat="1">
      <c r="A75" s="112" t="s">
        <v>2511</v>
      </c>
      <c r="B75" s="134">
        <v>5.77</v>
      </c>
      <c r="C75" s="134">
        <v>35.47</v>
      </c>
      <c r="D75" s="134">
        <v>22.11</v>
      </c>
      <c r="E75" s="134">
        <v>11.15</v>
      </c>
      <c r="F75" s="134">
        <v>16.39</v>
      </c>
      <c r="G75" s="134">
        <v>35.18</v>
      </c>
      <c r="H75" s="134">
        <v>13.51</v>
      </c>
      <c r="I75" s="134">
        <v>5.45</v>
      </c>
      <c r="J75" s="134">
        <v>0.69</v>
      </c>
      <c r="K75" s="134">
        <v>271.68</v>
      </c>
      <c r="L75" s="134">
        <v>30.17</v>
      </c>
      <c r="M75" s="134">
        <v>65.709999999999994</v>
      </c>
      <c r="N75" s="134">
        <v>97.3</v>
      </c>
      <c r="O75" s="134">
        <v>0</v>
      </c>
      <c r="P75" s="134">
        <v>0.54</v>
      </c>
      <c r="Q75" s="134">
        <v>4.3099999999999996</v>
      </c>
    </row>
    <row r="76" spans="1:17" customFormat="1">
      <c r="A76" s="112" t="s">
        <v>2512</v>
      </c>
      <c r="B76" s="134">
        <v>5.72</v>
      </c>
      <c r="C76" s="134">
        <v>31.54</v>
      </c>
      <c r="D76" s="134">
        <v>20.02</v>
      </c>
      <c r="E76" s="134">
        <v>11.96</v>
      </c>
      <c r="F76" s="134">
        <v>16.579999999999998</v>
      </c>
      <c r="G76" s="134">
        <v>36.770000000000003</v>
      </c>
      <c r="H76" s="134">
        <v>13.63</v>
      </c>
      <c r="I76" s="134">
        <v>5.73</v>
      </c>
      <c r="J76" s="134">
        <v>0.62</v>
      </c>
      <c r="K76" s="134">
        <v>260.22000000000003</v>
      </c>
      <c r="L76" s="134">
        <v>30.08</v>
      </c>
      <c r="M76" s="134">
        <v>66.02</v>
      </c>
      <c r="N76" s="134">
        <v>78.900000000000006</v>
      </c>
      <c r="O76" s="134">
        <v>0</v>
      </c>
      <c r="P76" s="134">
        <v>0.51</v>
      </c>
      <c r="Q76" s="134">
        <v>4.28</v>
      </c>
    </row>
    <row r="77" spans="1:17" customFormat="1">
      <c r="A77" s="112" t="s">
        <v>2513</v>
      </c>
      <c r="B77" s="134">
        <v>5.54</v>
      </c>
      <c r="C77" s="134">
        <v>30.74</v>
      </c>
      <c r="D77" s="134">
        <v>19.46</v>
      </c>
      <c r="E77" s="134">
        <v>12.08</v>
      </c>
      <c r="F77" s="134">
        <v>17.079999999999998</v>
      </c>
      <c r="G77" s="134">
        <v>36.770000000000003</v>
      </c>
      <c r="H77" s="134">
        <v>13.63</v>
      </c>
      <c r="I77" s="134">
        <v>5.58</v>
      </c>
      <c r="J77" s="134">
        <v>0.68</v>
      </c>
      <c r="K77" s="134">
        <v>257.01</v>
      </c>
      <c r="L77" s="134">
        <v>30</v>
      </c>
      <c r="M77" s="134">
        <v>65.48</v>
      </c>
      <c r="N77" s="134">
        <v>64.7</v>
      </c>
      <c r="O77" s="134">
        <v>0</v>
      </c>
      <c r="P77" s="134">
        <v>0.5</v>
      </c>
      <c r="Q77" s="134">
        <v>4.1900000000000004</v>
      </c>
    </row>
    <row r="78" spans="1:17" customFormat="1">
      <c r="A78" s="112" t="s">
        <v>2514</v>
      </c>
      <c r="B78" s="134">
        <v>5.15</v>
      </c>
      <c r="C78" s="134">
        <v>30.01</v>
      </c>
      <c r="D78" s="134">
        <v>18.760000000000002</v>
      </c>
      <c r="E78" s="134">
        <v>12.24</v>
      </c>
      <c r="F78" s="134">
        <v>19.72</v>
      </c>
      <c r="G78" s="134">
        <v>36.770000000000003</v>
      </c>
      <c r="H78" s="134">
        <v>13.63</v>
      </c>
      <c r="I78" s="134">
        <v>5.39</v>
      </c>
      <c r="J78" s="134">
        <v>0.48</v>
      </c>
      <c r="K78" s="134">
        <v>232.79</v>
      </c>
      <c r="L78" s="134">
        <v>29.95</v>
      </c>
      <c r="M78" s="134">
        <v>66.48</v>
      </c>
      <c r="N78" s="134">
        <v>49.9</v>
      </c>
      <c r="O78" s="134">
        <v>0</v>
      </c>
      <c r="P78" s="134">
        <v>0.48</v>
      </c>
      <c r="Q78" s="134">
        <v>4.16</v>
      </c>
    </row>
    <row r="79" spans="1:17" customFormat="1">
      <c r="A79" s="112" t="s">
        <v>2515</v>
      </c>
      <c r="B79" s="134">
        <v>4.6100000000000003</v>
      </c>
      <c r="C79" s="134">
        <v>28.07</v>
      </c>
      <c r="D79" s="134">
        <v>17.32</v>
      </c>
      <c r="E79" s="134">
        <v>12.65</v>
      </c>
      <c r="F79" s="134">
        <v>20.36</v>
      </c>
      <c r="G79" s="134">
        <v>35.33</v>
      </c>
      <c r="H79" s="134">
        <v>12.93</v>
      </c>
      <c r="I79" s="134">
        <v>5.35</v>
      </c>
      <c r="J79" s="134">
        <v>0.51</v>
      </c>
      <c r="K79" s="134">
        <v>240.67</v>
      </c>
      <c r="L79" s="134">
        <v>29.83</v>
      </c>
      <c r="M79" s="134">
        <v>66.790000000000006</v>
      </c>
      <c r="N79" s="134">
        <v>38.1</v>
      </c>
      <c r="O79" s="134">
        <v>0</v>
      </c>
      <c r="P79" s="134">
        <v>0.47</v>
      </c>
      <c r="Q79" s="134">
        <v>4.12</v>
      </c>
    </row>
    <row r="80" spans="1:17" customFormat="1">
      <c r="A80" s="112" t="s">
        <v>2516</v>
      </c>
      <c r="B80" s="134">
        <v>5.0999999999999996</v>
      </c>
      <c r="C80" s="134">
        <v>35.29</v>
      </c>
      <c r="D80" s="134">
        <v>21.49</v>
      </c>
      <c r="E80" s="134">
        <v>10.199999999999999</v>
      </c>
      <c r="F80" s="134">
        <v>11.65</v>
      </c>
      <c r="G80" s="134">
        <v>33.17</v>
      </c>
      <c r="H80" s="134">
        <v>12.31</v>
      </c>
      <c r="I80" s="134">
        <v>5.0999999999999996</v>
      </c>
      <c r="J80" s="134">
        <v>0.28000000000000003</v>
      </c>
      <c r="K80" s="134">
        <v>237.67</v>
      </c>
      <c r="L80" s="134">
        <v>29.7</v>
      </c>
      <c r="M80" s="134">
        <v>67.45</v>
      </c>
      <c r="N80" s="134">
        <v>22.9</v>
      </c>
      <c r="O80" s="134">
        <v>0</v>
      </c>
      <c r="P80" s="134">
        <v>0.5</v>
      </c>
      <c r="Q80" s="134">
        <v>4.18</v>
      </c>
    </row>
    <row r="81" spans="1:17" customFormat="1">
      <c r="A81" s="112" t="s">
        <v>2517</v>
      </c>
      <c r="B81" s="134">
        <v>5.14</v>
      </c>
      <c r="C81" s="134">
        <v>32.72</v>
      </c>
      <c r="D81" s="134">
        <v>20.170000000000002</v>
      </c>
      <c r="E81" s="134">
        <v>8.17</v>
      </c>
      <c r="F81" s="134">
        <v>19.46</v>
      </c>
      <c r="G81" s="134">
        <v>33.17</v>
      </c>
      <c r="H81" s="134">
        <v>12.31</v>
      </c>
      <c r="I81" s="134">
        <v>5.17</v>
      </c>
      <c r="J81" s="134">
        <v>0.49</v>
      </c>
      <c r="K81" s="134">
        <v>253.13</v>
      </c>
      <c r="L81" s="134">
        <v>29.63</v>
      </c>
      <c r="M81" s="134">
        <v>67.48</v>
      </c>
      <c r="N81" s="134">
        <v>10.3</v>
      </c>
      <c r="O81" s="134">
        <v>0</v>
      </c>
      <c r="P81" s="134">
        <v>0.49</v>
      </c>
      <c r="Q81" s="134">
        <v>4.2699999999999996</v>
      </c>
    </row>
    <row r="82" spans="1:17" customFormat="1">
      <c r="A82" s="112" t="s">
        <v>2518</v>
      </c>
      <c r="B82" s="134">
        <v>5.32</v>
      </c>
      <c r="C82" s="134">
        <v>31.71</v>
      </c>
      <c r="D82" s="134">
        <v>19.79</v>
      </c>
      <c r="E82" s="134">
        <v>8.66</v>
      </c>
      <c r="F82" s="134">
        <v>13.74</v>
      </c>
      <c r="G82" s="134">
        <v>33.17</v>
      </c>
      <c r="H82" s="134">
        <v>12.31</v>
      </c>
      <c r="I82" s="134">
        <v>5.17</v>
      </c>
      <c r="J82" s="134">
        <v>0.3</v>
      </c>
      <c r="K82" s="134">
        <v>243.19</v>
      </c>
      <c r="L82" s="134">
        <v>29.54</v>
      </c>
      <c r="M82" s="134">
        <v>68.010000000000005</v>
      </c>
      <c r="N82" s="134">
        <v>0.8</v>
      </c>
      <c r="O82" s="134">
        <v>0</v>
      </c>
      <c r="P82" s="134">
        <v>0.49</v>
      </c>
      <c r="Q82" s="134">
        <v>4.1900000000000004</v>
      </c>
    </row>
    <row r="83" spans="1:17" customFormat="1">
      <c r="A83" s="112" t="s">
        <v>2519</v>
      </c>
      <c r="B83" s="134">
        <v>4.93</v>
      </c>
      <c r="C83" s="134">
        <v>29.93</v>
      </c>
      <c r="D83" s="134">
        <v>18.55</v>
      </c>
      <c r="E83" s="134">
        <v>9.19</v>
      </c>
      <c r="F83" s="134">
        <v>24.33</v>
      </c>
      <c r="G83" s="134">
        <v>32.92</v>
      </c>
      <c r="H83" s="134">
        <v>12.78</v>
      </c>
      <c r="I83" s="134">
        <v>4.79</v>
      </c>
      <c r="J83" s="134">
        <v>0.32</v>
      </c>
      <c r="K83" s="134">
        <v>239.7</v>
      </c>
      <c r="L83" s="134">
        <v>29.27</v>
      </c>
      <c r="M83" s="134">
        <v>69.86</v>
      </c>
      <c r="N83" s="134">
        <v>0</v>
      </c>
      <c r="O83" s="134">
        <v>0</v>
      </c>
      <c r="P83" s="134">
        <v>0.47</v>
      </c>
      <c r="Q83" s="134">
        <v>4.24</v>
      </c>
    </row>
    <row r="84" spans="1:17" customFormat="1">
      <c r="A84" s="112" t="s">
        <v>2520</v>
      </c>
      <c r="B84" s="134">
        <v>4.8499999999999996</v>
      </c>
      <c r="C84" s="134">
        <v>27.82</v>
      </c>
      <c r="D84" s="134">
        <v>17.38</v>
      </c>
      <c r="E84" s="134">
        <v>8.73</v>
      </c>
      <c r="F84" s="134">
        <v>22.97</v>
      </c>
      <c r="G84" s="134">
        <v>32.54</v>
      </c>
      <c r="H84" s="134">
        <v>13.19</v>
      </c>
      <c r="I84" s="134">
        <v>4.67</v>
      </c>
      <c r="J84" s="134">
        <v>0.38</v>
      </c>
      <c r="K84" s="134">
        <v>254.5</v>
      </c>
      <c r="L84" s="134">
        <v>29.32</v>
      </c>
      <c r="M84" s="134">
        <v>68.97</v>
      </c>
      <c r="N84" s="134">
        <v>0</v>
      </c>
      <c r="O84" s="134">
        <v>0</v>
      </c>
      <c r="P84" s="134">
        <v>0.45</v>
      </c>
      <c r="Q84" s="134">
        <v>4.22</v>
      </c>
    </row>
    <row r="85" spans="1:17" customFormat="1">
      <c r="A85" s="112" t="s">
        <v>2521</v>
      </c>
      <c r="B85" s="134">
        <v>4.58</v>
      </c>
      <c r="C85" s="134">
        <v>26.26</v>
      </c>
      <c r="D85" s="134">
        <v>16.350000000000001</v>
      </c>
      <c r="E85" s="134">
        <v>9.44</v>
      </c>
      <c r="F85" s="134">
        <v>24.66</v>
      </c>
      <c r="G85" s="134">
        <v>32.54</v>
      </c>
      <c r="H85" s="134">
        <v>13.19</v>
      </c>
      <c r="I85" s="134">
        <v>4.42</v>
      </c>
      <c r="J85" s="134">
        <v>0.21</v>
      </c>
      <c r="K85" s="134">
        <v>234.19</v>
      </c>
      <c r="L85" s="134">
        <v>29.29</v>
      </c>
      <c r="M85" s="134">
        <v>69.599999999999994</v>
      </c>
      <c r="N85" s="134">
        <v>0</v>
      </c>
      <c r="O85" s="134">
        <v>0</v>
      </c>
      <c r="P85" s="134">
        <v>0.43</v>
      </c>
      <c r="Q85" s="134">
        <v>4.18</v>
      </c>
    </row>
    <row r="86" spans="1:17" customFormat="1">
      <c r="A86" s="112" t="s">
        <v>2522</v>
      </c>
      <c r="B86" s="134">
        <v>4.09</v>
      </c>
      <c r="C86" s="134">
        <v>25.31</v>
      </c>
      <c r="D86" s="134">
        <v>15.46</v>
      </c>
      <c r="E86" s="134">
        <v>8.89</v>
      </c>
      <c r="F86" s="134">
        <v>25.41</v>
      </c>
      <c r="G86" s="134">
        <v>32.54</v>
      </c>
      <c r="H86" s="134">
        <v>13.19</v>
      </c>
      <c r="I86" s="134">
        <v>4.18</v>
      </c>
      <c r="J86" s="134">
        <v>0.17</v>
      </c>
      <c r="K86" s="134">
        <v>223.93</v>
      </c>
      <c r="L86" s="134">
        <v>29.12</v>
      </c>
      <c r="M86" s="134">
        <v>70.98</v>
      </c>
      <c r="N86" s="134">
        <v>0</v>
      </c>
      <c r="O86" s="134">
        <v>0</v>
      </c>
      <c r="P86" s="134">
        <v>0.41</v>
      </c>
      <c r="Q86" s="134">
        <v>4.1500000000000004</v>
      </c>
    </row>
    <row r="87" spans="1:17" customFormat="1">
      <c r="A87" s="112" t="s">
        <v>2523</v>
      </c>
      <c r="B87" s="134">
        <v>4.57</v>
      </c>
      <c r="C87" s="134">
        <v>29.82</v>
      </c>
      <c r="D87" s="134">
        <v>18.2</v>
      </c>
      <c r="E87" s="134">
        <v>8.1999999999999993</v>
      </c>
      <c r="F87" s="134">
        <v>12.14</v>
      </c>
      <c r="G87" s="134">
        <v>31.6</v>
      </c>
      <c r="H87" s="134">
        <v>12.61</v>
      </c>
      <c r="I87" s="134">
        <v>3.98</v>
      </c>
      <c r="J87" s="134">
        <v>0.15</v>
      </c>
      <c r="K87" s="134">
        <v>225.43</v>
      </c>
      <c r="L87" s="134">
        <v>28.99</v>
      </c>
      <c r="M87" s="134">
        <v>71.94</v>
      </c>
      <c r="N87" s="134">
        <v>0</v>
      </c>
      <c r="O87" s="134">
        <v>0</v>
      </c>
      <c r="P87" s="134">
        <v>0.44</v>
      </c>
      <c r="Q87" s="134">
        <v>4.1500000000000004</v>
      </c>
    </row>
    <row r="88" spans="1:17" customFormat="1">
      <c r="A88" s="112" t="s">
        <v>2524</v>
      </c>
      <c r="B88" s="134">
        <v>5.26</v>
      </c>
      <c r="C88" s="134">
        <v>34.57</v>
      </c>
      <c r="D88" s="134">
        <v>21.23</v>
      </c>
      <c r="E88" s="134">
        <v>8.6</v>
      </c>
      <c r="F88" s="134">
        <v>13.05</v>
      </c>
      <c r="G88" s="134">
        <v>30.19</v>
      </c>
      <c r="H88" s="134">
        <v>11.25</v>
      </c>
      <c r="I88" s="134">
        <v>4.0599999999999996</v>
      </c>
      <c r="J88" s="134">
        <v>0.22</v>
      </c>
      <c r="K88" s="134">
        <v>212.59</v>
      </c>
      <c r="L88" s="134">
        <v>28.75</v>
      </c>
      <c r="M88" s="134">
        <v>73.56</v>
      </c>
      <c r="N88" s="134">
        <v>0</v>
      </c>
      <c r="O88" s="134">
        <v>0</v>
      </c>
      <c r="P88" s="134">
        <v>0.49</v>
      </c>
      <c r="Q88" s="134">
        <v>4.3099999999999996</v>
      </c>
    </row>
    <row r="89" spans="1:17" customFormat="1">
      <c r="A89" s="112" t="s">
        <v>2525</v>
      </c>
      <c r="B89" s="134">
        <v>5.46</v>
      </c>
      <c r="C89" s="134">
        <v>30.62</v>
      </c>
      <c r="D89" s="134">
        <v>19.329999999999998</v>
      </c>
      <c r="E89" s="134">
        <v>8.98</v>
      </c>
      <c r="F89" s="134">
        <v>15.3</v>
      </c>
      <c r="G89" s="134">
        <v>30.19</v>
      </c>
      <c r="H89" s="134">
        <v>11.25</v>
      </c>
      <c r="I89" s="134">
        <v>4.3899999999999997</v>
      </c>
      <c r="J89" s="134">
        <v>0.31</v>
      </c>
      <c r="K89" s="134">
        <v>238.35</v>
      </c>
      <c r="L89" s="134">
        <v>28.67</v>
      </c>
      <c r="M89" s="134">
        <v>73.709999999999994</v>
      </c>
      <c r="N89" s="134">
        <v>0</v>
      </c>
      <c r="O89" s="134">
        <v>0</v>
      </c>
      <c r="P89" s="134">
        <v>0.45</v>
      </c>
      <c r="Q89" s="134">
        <v>4.29</v>
      </c>
    </row>
    <row r="90" spans="1:17" customFormat="1">
      <c r="A90" s="112" t="s">
        <v>2526</v>
      </c>
      <c r="B90" s="134">
        <v>5.23</v>
      </c>
      <c r="C90" s="134">
        <v>27.82</v>
      </c>
      <c r="D90" s="134">
        <v>17.690000000000001</v>
      </c>
      <c r="E90" s="134">
        <v>7.89</v>
      </c>
      <c r="F90" s="134">
        <v>18.25</v>
      </c>
      <c r="G90" s="134">
        <v>30.19</v>
      </c>
      <c r="H90" s="134">
        <v>11.25</v>
      </c>
      <c r="I90" s="134">
        <v>4.41</v>
      </c>
      <c r="J90" s="134">
        <v>0.27</v>
      </c>
      <c r="K90" s="134">
        <v>229.36</v>
      </c>
      <c r="L90" s="134">
        <v>28.56</v>
      </c>
      <c r="M90" s="134">
        <v>74.599999999999994</v>
      </c>
      <c r="N90" s="134">
        <v>0</v>
      </c>
      <c r="O90" s="134">
        <v>0</v>
      </c>
      <c r="P90" s="134">
        <v>0.43</v>
      </c>
      <c r="Q90" s="134">
        <v>4.21</v>
      </c>
    </row>
    <row r="91" spans="1:17" customFormat="1">
      <c r="A91" s="112" t="s">
        <v>2527</v>
      </c>
      <c r="B91" s="134">
        <v>5.51</v>
      </c>
      <c r="C91" s="134">
        <v>28.63</v>
      </c>
      <c r="D91" s="134">
        <v>18.329999999999998</v>
      </c>
      <c r="E91" s="134">
        <v>7.64</v>
      </c>
      <c r="F91" s="134">
        <v>13.23</v>
      </c>
      <c r="G91" s="134">
        <v>28.4</v>
      </c>
      <c r="H91" s="134">
        <v>10.88</v>
      </c>
      <c r="I91" s="134">
        <v>4.13</v>
      </c>
      <c r="J91" s="134">
        <v>0.3</v>
      </c>
      <c r="K91" s="134">
        <v>247.29</v>
      </c>
      <c r="L91" s="134">
        <v>28.5</v>
      </c>
      <c r="M91" s="134">
        <v>74.489999999999995</v>
      </c>
      <c r="N91" s="134">
        <v>0</v>
      </c>
      <c r="O91" s="134">
        <v>0</v>
      </c>
      <c r="P91" s="134">
        <v>0.43</v>
      </c>
      <c r="Q91" s="134">
        <v>4.18</v>
      </c>
    </row>
    <row r="92" spans="1:17" customFormat="1">
      <c r="A92" s="112" t="s">
        <v>2528</v>
      </c>
      <c r="B92" s="134">
        <v>6.56</v>
      </c>
      <c r="C92" s="134">
        <v>36.909999999999997</v>
      </c>
      <c r="D92" s="134">
        <v>23.5</v>
      </c>
      <c r="E92" s="134">
        <v>8.1</v>
      </c>
      <c r="F92" s="134">
        <v>7.88</v>
      </c>
      <c r="G92" s="134">
        <v>25.72</v>
      </c>
      <c r="H92" s="134">
        <v>10.56</v>
      </c>
      <c r="I92" s="134">
        <v>3.98</v>
      </c>
      <c r="J92" s="134">
        <v>0.35</v>
      </c>
      <c r="K92" s="134">
        <v>249.44</v>
      </c>
      <c r="L92" s="134">
        <v>28.43</v>
      </c>
      <c r="M92" s="134">
        <v>74.91</v>
      </c>
      <c r="N92" s="134">
        <v>0</v>
      </c>
      <c r="O92" s="134">
        <v>0</v>
      </c>
      <c r="P92" s="134">
        <v>0.47</v>
      </c>
      <c r="Q92" s="134">
        <v>4.3</v>
      </c>
    </row>
    <row r="93" spans="1:17" customFormat="1">
      <c r="A93" s="112" t="s">
        <v>2529</v>
      </c>
      <c r="B93" s="134">
        <v>6.77</v>
      </c>
      <c r="C93" s="134">
        <v>33.700000000000003</v>
      </c>
      <c r="D93" s="134">
        <v>21.99</v>
      </c>
      <c r="E93" s="134">
        <v>8.16</v>
      </c>
      <c r="F93" s="134">
        <v>11.86</v>
      </c>
      <c r="G93" s="134">
        <v>25.72</v>
      </c>
      <c r="H93" s="134">
        <v>10.56</v>
      </c>
      <c r="I93" s="134">
        <v>4.3</v>
      </c>
      <c r="J93" s="134">
        <v>0.35</v>
      </c>
      <c r="K93" s="134">
        <v>244.01</v>
      </c>
      <c r="L93" s="134">
        <v>28.39</v>
      </c>
      <c r="M93" s="134">
        <v>74.930000000000007</v>
      </c>
      <c r="N93" s="134">
        <v>0</v>
      </c>
      <c r="O93" s="134">
        <v>0</v>
      </c>
      <c r="P93" s="134">
        <v>0.46</v>
      </c>
      <c r="Q93" s="134">
        <v>4.3600000000000003</v>
      </c>
    </row>
    <row r="94" spans="1:17" customFormat="1">
      <c r="A94" s="112" t="s">
        <v>2530</v>
      </c>
      <c r="B94" s="134">
        <v>6.65</v>
      </c>
      <c r="C94" s="134">
        <v>29.71</v>
      </c>
      <c r="D94" s="134">
        <v>19.809999999999999</v>
      </c>
      <c r="E94" s="134">
        <v>7.45</v>
      </c>
      <c r="F94" s="134">
        <v>13.47</v>
      </c>
      <c r="G94" s="134">
        <v>25.72</v>
      </c>
      <c r="H94" s="134">
        <v>10.56</v>
      </c>
      <c r="I94" s="134">
        <v>4.54</v>
      </c>
      <c r="J94" s="134">
        <v>0.35</v>
      </c>
      <c r="K94" s="134">
        <v>247.66</v>
      </c>
      <c r="L94" s="134">
        <v>28.29</v>
      </c>
      <c r="M94" s="134">
        <v>75.33</v>
      </c>
      <c r="N94" s="134">
        <v>0</v>
      </c>
      <c r="O94" s="134">
        <v>0</v>
      </c>
      <c r="P94" s="134">
        <v>0.42</v>
      </c>
      <c r="Q94" s="134">
        <v>4.29</v>
      </c>
    </row>
    <row r="95" spans="1:17" customFormat="1">
      <c r="A95" s="112" t="s">
        <v>2531</v>
      </c>
      <c r="B95" s="134">
        <v>6.51</v>
      </c>
      <c r="C95" s="134">
        <v>29.08</v>
      </c>
      <c r="D95" s="134">
        <v>19.37</v>
      </c>
      <c r="E95" s="134">
        <v>7.66</v>
      </c>
      <c r="F95" s="134">
        <v>11.6</v>
      </c>
      <c r="G95" s="134">
        <v>25.51</v>
      </c>
      <c r="H95" s="134">
        <v>10.76</v>
      </c>
      <c r="I95" s="134">
        <v>4.1900000000000004</v>
      </c>
      <c r="J95" s="134">
        <v>0.56999999999999995</v>
      </c>
      <c r="K95" s="134">
        <v>254.97</v>
      </c>
      <c r="L95" s="134">
        <v>28.23</v>
      </c>
      <c r="M95" s="134">
        <v>75.2</v>
      </c>
      <c r="N95" s="134">
        <v>0</v>
      </c>
      <c r="O95" s="134">
        <v>0</v>
      </c>
      <c r="P95" s="134">
        <v>0.41</v>
      </c>
      <c r="Q95" s="134">
        <v>4.2300000000000004</v>
      </c>
    </row>
    <row r="96" spans="1:17" customFormat="1">
      <c r="A96" s="112" t="s">
        <v>2532</v>
      </c>
      <c r="B96" s="134">
        <v>7.52</v>
      </c>
      <c r="C96" s="134">
        <v>37.42</v>
      </c>
      <c r="D96" s="134">
        <v>24.54</v>
      </c>
      <c r="E96" s="134">
        <v>8.07</v>
      </c>
      <c r="F96" s="134">
        <v>6.09</v>
      </c>
      <c r="G96" s="134">
        <v>25.19</v>
      </c>
      <c r="H96" s="134">
        <v>10.94</v>
      </c>
      <c r="I96" s="134">
        <v>4</v>
      </c>
      <c r="J96" s="134">
        <v>0.48</v>
      </c>
      <c r="K96" s="134">
        <v>244.66</v>
      </c>
      <c r="L96" s="134">
        <v>28.19</v>
      </c>
      <c r="M96" s="134">
        <v>75.53</v>
      </c>
      <c r="N96" s="134">
        <v>0</v>
      </c>
      <c r="O96" s="134">
        <v>0</v>
      </c>
      <c r="P96" s="134">
        <v>0.47</v>
      </c>
      <c r="Q96" s="134">
        <v>4.32</v>
      </c>
    </row>
    <row r="97" spans="1:22" customFormat="1">
      <c r="A97" s="112" t="s">
        <v>2533</v>
      </c>
      <c r="B97" s="134">
        <v>7.7</v>
      </c>
      <c r="C97" s="134">
        <v>35.56</v>
      </c>
      <c r="D97" s="134">
        <v>23.71</v>
      </c>
      <c r="E97" s="134">
        <v>8.4700000000000006</v>
      </c>
      <c r="F97" s="134">
        <v>9.2200000000000006</v>
      </c>
      <c r="G97" s="134">
        <v>25.19</v>
      </c>
      <c r="H97" s="134">
        <v>10.94</v>
      </c>
      <c r="I97" s="134">
        <v>4.2</v>
      </c>
      <c r="J97" s="134">
        <v>0.45</v>
      </c>
      <c r="K97" s="134">
        <v>243.98</v>
      </c>
      <c r="L97" s="134">
        <v>28.02</v>
      </c>
      <c r="M97" s="134">
        <v>76.53</v>
      </c>
      <c r="N97" s="134">
        <v>0</v>
      </c>
      <c r="O97" s="134">
        <v>0</v>
      </c>
      <c r="P97" s="134">
        <v>0.45</v>
      </c>
      <c r="Q97" s="134">
        <v>4.41</v>
      </c>
    </row>
    <row r="98" spans="1:22" customFormat="1">
      <c r="A98" s="112" t="s">
        <v>2534</v>
      </c>
      <c r="B98" s="134">
        <v>7.5</v>
      </c>
      <c r="C98" s="134">
        <v>31.71</v>
      </c>
      <c r="D98" s="134">
        <v>21.53</v>
      </c>
      <c r="E98" s="134">
        <v>7.72</v>
      </c>
      <c r="F98" s="134">
        <v>10.85</v>
      </c>
      <c r="G98" s="134">
        <v>25.19</v>
      </c>
      <c r="H98" s="134">
        <v>10.94</v>
      </c>
      <c r="I98" s="134">
        <v>4.45</v>
      </c>
      <c r="J98" s="134">
        <v>0.61</v>
      </c>
      <c r="K98" s="134">
        <v>259.07</v>
      </c>
      <c r="L98" s="134">
        <v>27.91</v>
      </c>
      <c r="M98" s="134">
        <v>76.900000000000006</v>
      </c>
      <c r="N98" s="134">
        <v>0</v>
      </c>
      <c r="O98" s="134">
        <v>0</v>
      </c>
      <c r="P98" s="134">
        <v>0.43</v>
      </c>
      <c r="Q98" s="134">
        <v>4.33</v>
      </c>
    </row>
    <row r="99" spans="1:22" customFormat="1">
      <c r="A99" s="112" t="s">
        <v>2535</v>
      </c>
      <c r="B99" s="134">
        <v>7.38</v>
      </c>
      <c r="C99" s="134">
        <v>30.35</v>
      </c>
      <c r="D99" s="134">
        <v>20.73</v>
      </c>
      <c r="E99" s="134">
        <v>7.81</v>
      </c>
      <c r="F99" s="134">
        <v>9.9</v>
      </c>
      <c r="G99" s="134">
        <v>25.95</v>
      </c>
      <c r="H99" s="134">
        <v>11.21</v>
      </c>
      <c r="I99" s="134">
        <v>4.28</v>
      </c>
      <c r="J99" s="134">
        <v>0.44</v>
      </c>
      <c r="K99" s="134">
        <v>242.29</v>
      </c>
      <c r="L99" s="134">
        <v>27.85</v>
      </c>
      <c r="M99" s="134">
        <v>76.87</v>
      </c>
      <c r="N99" s="134">
        <v>0</v>
      </c>
      <c r="O99" s="134">
        <v>0</v>
      </c>
      <c r="P99" s="134">
        <v>0.41</v>
      </c>
      <c r="Q99" s="134">
        <v>4.28</v>
      </c>
    </row>
    <row r="100" spans="1:22" customFormat="1">
      <c r="A100" s="112" t="s">
        <v>2536</v>
      </c>
      <c r="B100" s="134">
        <v>8.33</v>
      </c>
      <c r="C100" s="134">
        <v>37.99</v>
      </c>
      <c r="D100" s="134">
        <v>25.49</v>
      </c>
      <c r="E100" s="134">
        <v>8.0500000000000007</v>
      </c>
      <c r="F100" s="134">
        <v>5.32</v>
      </c>
      <c r="G100" s="134">
        <v>27.09</v>
      </c>
      <c r="H100" s="134">
        <v>11.44</v>
      </c>
      <c r="I100" s="134">
        <v>4.1500000000000004</v>
      </c>
      <c r="J100" s="134">
        <v>0.62</v>
      </c>
      <c r="K100" s="134">
        <v>256.24</v>
      </c>
      <c r="L100" s="134">
        <v>27.75</v>
      </c>
      <c r="M100" s="134">
        <v>77.150000000000006</v>
      </c>
      <c r="N100" s="134">
        <v>0</v>
      </c>
      <c r="O100" s="134">
        <v>0</v>
      </c>
      <c r="P100" s="134">
        <v>0.45</v>
      </c>
      <c r="Q100" s="134">
        <v>4.34</v>
      </c>
    </row>
    <row r="101" spans="1:22" customFormat="1">
      <c r="A101" s="112" t="s">
        <v>2537</v>
      </c>
      <c r="B101" s="134">
        <v>8.68</v>
      </c>
      <c r="C101" s="134">
        <v>36.32</v>
      </c>
      <c r="D101" s="134">
        <v>24.89</v>
      </c>
      <c r="E101" s="134">
        <v>8.02</v>
      </c>
      <c r="F101" s="134">
        <v>7.95</v>
      </c>
      <c r="G101" s="134">
        <v>27.09</v>
      </c>
      <c r="H101" s="134">
        <v>11.44</v>
      </c>
      <c r="I101" s="134">
        <v>4.21</v>
      </c>
      <c r="J101" s="134">
        <v>0.63</v>
      </c>
      <c r="K101" s="134">
        <v>256.33</v>
      </c>
      <c r="L101" s="134">
        <v>27.74</v>
      </c>
      <c r="M101" s="134">
        <v>76.95</v>
      </c>
      <c r="N101" s="134">
        <v>0</v>
      </c>
      <c r="O101" s="134">
        <v>0</v>
      </c>
      <c r="P101" s="134">
        <v>0.45</v>
      </c>
      <c r="Q101" s="134">
        <v>4.43</v>
      </c>
    </row>
    <row r="102" spans="1:22" customFormat="1">
      <c r="A102" s="112" t="s">
        <v>2538</v>
      </c>
      <c r="B102" s="134">
        <v>8.98</v>
      </c>
      <c r="C102" s="134">
        <v>36.869999999999997</v>
      </c>
      <c r="D102" s="134">
        <v>25.42</v>
      </c>
      <c r="E102" s="134">
        <v>7.69</v>
      </c>
      <c r="F102" s="134">
        <v>7.73</v>
      </c>
      <c r="G102" s="134">
        <v>27.09</v>
      </c>
      <c r="H102" s="134">
        <v>11.44</v>
      </c>
      <c r="I102" s="134">
        <v>4.3600000000000003</v>
      </c>
      <c r="J102" s="134">
        <v>0.62</v>
      </c>
      <c r="K102" s="134">
        <v>249.95</v>
      </c>
      <c r="L102" s="134">
        <v>27.67</v>
      </c>
      <c r="M102" s="134">
        <v>77.09</v>
      </c>
      <c r="N102" s="134">
        <v>0</v>
      </c>
      <c r="O102" s="134">
        <v>0</v>
      </c>
      <c r="P102" s="134">
        <v>0.46</v>
      </c>
      <c r="Q102" s="134">
        <v>4.41</v>
      </c>
    </row>
    <row r="103" spans="1:22" customFormat="1">
      <c r="A103" s="112" t="s">
        <v>2539</v>
      </c>
      <c r="B103" s="134">
        <v>8.7799999999999994</v>
      </c>
      <c r="C103" s="134">
        <v>33.69</v>
      </c>
      <c r="D103" s="134">
        <v>23.6</v>
      </c>
      <c r="E103" s="134">
        <v>7.97</v>
      </c>
      <c r="F103" s="134">
        <v>10.8</v>
      </c>
      <c r="G103" s="134">
        <v>26.5</v>
      </c>
      <c r="H103" s="134">
        <v>10.86</v>
      </c>
      <c r="I103" s="134">
        <v>4.25</v>
      </c>
      <c r="J103" s="134">
        <v>0.49</v>
      </c>
      <c r="K103" s="134">
        <v>248.89</v>
      </c>
      <c r="L103" s="134">
        <v>27.63</v>
      </c>
      <c r="M103" s="134">
        <v>77.62</v>
      </c>
      <c r="N103" s="134">
        <v>0</v>
      </c>
      <c r="O103" s="134">
        <v>0</v>
      </c>
      <c r="P103" s="134">
        <v>0.42</v>
      </c>
      <c r="Q103" s="134">
        <v>4.3899999999999997</v>
      </c>
    </row>
    <row r="104" spans="1:22" customFormat="1">
      <c r="A104" s="112" t="s">
        <v>2540</v>
      </c>
      <c r="B104" s="134">
        <v>8.4499999999999993</v>
      </c>
      <c r="C104" s="134">
        <v>31.15</v>
      </c>
      <c r="D104" s="134">
        <v>22</v>
      </c>
      <c r="E104" s="134">
        <v>7.66</v>
      </c>
      <c r="F104" s="134">
        <v>9.82</v>
      </c>
      <c r="G104" s="134">
        <v>25.62</v>
      </c>
      <c r="H104" s="134">
        <v>10.36</v>
      </c>
      <c r="I104" s="134">
        <v>4.1900000000000004</v>
      </c>
      <c r="J104" s="134">
        <v>0.64</v>
      </c>
      <c r="K104" s="134">
        <v>256.87</v>
      </c>
      <c r="L104" s="134">
        <v>27.56</v>
      </c>
      <c r="M104" s="134">
        <v>78.069999999999993</v>
      </c>
      <c r="N104" s="134">
        <v>0</v>
      </c>
      <c r="O104" s="134">
        <v>0</v>
      </c>
      <c r="P104" s="134">
        <v>0.39</v>
      </c>
      <c r="Q104" s="134">
        <v>4.33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4.09</v>
      </c>
      <c r="C106" s="183">
        <f>MIN(C9:C104)</f>
        <v>25.31</v>
      </c>
      <c r="D106" s="183">
        <f t="shared" ref="D106:Q106" si="0">MIN(D9:D104)</f>
        <v>15.46</v>
      </c>
      <c r="E106" s="183">
        <f t="shared" si="0"/>
        <v>5.07</v>
      </c>
      <c r="F106" s="183">
        <f t="shared" si="0"/>
        <v>3.53</v>
      </c>
      <c r="G106" s="183">
        <f t="shared" si="0"/>
        <v>21.32</v>
      </c>
      <c r="H106" s="183">
        <f t="shared" si="0"/>
        <v>5.99</v>
      </c>
      <c r="I106" s="183">
        <f t="shared" si="0"/>
        <v>3.98</v>
      </c>
      <c r="J106" s="183">
        <f t="shared" si="0"/>
        <v>0.15</v>
      </c>
      <c r="K106" s="183">
        <f t="shared" si="0"/>
        <v>212.59</v>
      </c>
      <c r="L106" s="183">
        <f t="shared" si="0"/>
        <v>25.8</v>
      </c>
      <c r="M106" s="183">
        <f t="shared" si="0"/>
        <v>63.21</v>
      </c>
      <c r="N106" s="183">
        <f t="shared" si="0"/>
        <v>0</v>
      </c>
      <c r="O106" s="183">
        <f t="shared" si="0"/>
        <v>0</v>
      </c>
      <c r="P106" s="183">
        <f t="shared" si="0"/>
        <v>0.39</v>
      </c>
      <c r="Q106" s="183">
        <f t="shared" si="0"/>
        <v>4.12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15.56</v>
      </c>
      <c r="C107" s="184">
        <f t="shared" ref="C107:Q107" si="1">MAX(C9:C104)</f>
        <v>42.24</v>
      </c>
      <c r="D107" s="184">
        <f t="shared" si="1"/>
        <v>33.29</v>
      </c>
      <c r="E107" s="184">
        <f t="shared" si="1"/>
        <v>14.02</v>
      </c>
      <c r="F107" s="184">
        <f t="shared" si="1"/>
        <v>25.41</v>
      </c>
      <c r="G107" s="184">
        <f t="shared" si="1"/>
        <v>36.770000000000003</v>
      </c>
      <c r="H107" s="184">
        <f t="shared" si="1"/>
        <v>14.1</v>
      </c>
      <c r="I107" s="184">
        <f t="shared" si="1"/>
        <v>6.58</v>
      </c>
      <c r="J107" s="184">
        <f t="shared" si="1"/>
        <v>1.28</v>
      </c>
      <c r="K107" s="184">
        <f t="shared" si="1"/>
        <v>292.36</v>
      </c>
      <c r="L107" s="184">
        <f t="shared" si="1"/>
        <v>30.69</v>
      </c>
      <c r="M107" s="184">
        <f t="shared" si="1"/>
        <v>88.13</v>
      </c>
      <c r="N107" s="184">
        <f t="shared" si="1"/>
        <v>357.6</v>
      </c>
      <c r="O107" s="184">
        <f t="shared" si="1"/>
        <v>0</v>
      </c>
      <c r="P107" s="184">
        <f t="shared" si="1"/>
        <v>0.63</v>
      </c>
      <c r="Q107" s="184">
        <f t="shared" si="1"/>
        <v>4.83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10.133020833333333</v>
      </c>
      <c r="C108" s="183">
        <f t="shared" ref="C108:Q108" si="2">AVERAGE(C9:C104)</f>
        <v>35.566354166666663</v>
      </c>
      <c r="D108" s="183">
        <f t="shared" si="2"/>
        <v>25.663750000000004</v>
      </c>
      <c r="E108" s="183">
        <f t="shared" si="2"/>
        <v>8.2890625000000018</v>
      </c>
      <c r="F108" s="183">
        <f t="shared" si="2"/>
        <v>9.0892708333333321</v>
      </c>
      <c r="G108" s="183">
        <f t="shared" si="2"/>
        <v>27.448854166666667</v>
      </c>
      <c r="H108" s="183">
        <f t="shared" si="2"/>
        <v>11.431041666666671</v>
      </c>
      <c r="I108" s="183">
        <f t="shared" si="2"/>
        <v>4.9737500000000008</v>
      </c>
      <c r="J108" s="183">
        <f t="shared" si="2"/>
        <v>0.65697916666666678</v>
      </c>
      <c r="K108" s="183">
        <f t="shared" si="2"/>
        <v>257.31416666666661</v>
      </c>
      <c r="L108" s="183">
        <f t="shared" si="2"/>
        <v>28.146354166666665</v>
      </c>
      <c r="M108" s="183">
        <f t="shared" si="2"/>
        <v>75.232708333333306</v>
      </c>
      <c r="N108" s="183">
        <f t="shared" si="2"/>
        <v>76.495833333333323</v>
      </c>
      <c r="O108" s="183">
        <f t="shared" si="2"/>
        <v>0</v>
      </c>
      <c r="P108" s="183">
        <f t="shared" si="2"/>
        <v>0.51718750000000002</v>
      </c>
      <c r="Q108" s="183">
        <f t="shared" si="2"/>
        <v>4.490520833333334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3.6005058474409042</v>
      </c>
      <c r="C109" s="183">
        <f t="shared" ref="C109:Q109" si="3">STDEV(C9:C104)</f>
        <v>3.9111490086651668</v>
      </c>
      <c r="D109" s="183">
        <f t="shared" si="3"/>
        <v>4.5415059524115291</v>
      </c>
      <c r="E109" s="183">
        <f t="shared" si="3"/>
        <v>2.4217419038130719</v>
      </c>
      <c r="F109" s="183">
        <f t="shared" si="3"/>
        <v>5.2982750410003936</v>
      </c>
      <c r="G109" s="183">
        <f t="shared" si="3"/>
        <v>4.4868891743299235</v>
      </c>
      <c r="H109" s="183">
        <f t="shared" si="3"/>
        <v>1.8463371871821952</v>
      </c>
      <c r="I109" s="183">
        <f t="shared" si="3"/>
        <v>0.72072514653097375</v>
      </c>
      <c r="J109" s="183">
        <f t="shared" si="3"/>
        <v>0.25300351481505606</v>
      </c>
      <c r="K109" s="183">
        <f t="shared" si="3"/>
        <v>13.812765085176949</v>
      </c>
      <c r="L109" s="183">
        <f t="shared" si="3"/>
        <v>1.5438605880554452</v>
      </c>
      <c r="M109" s="183">
        <f t="shared" si="3"/>
        <v>8.2975545514982336</v>
      </c>
      <c r="N109" s="183">
        <f t="shared" si="3"/>
        <v>93.064070648204734</v>
      </c>
      <c r="O109" s="183">
        <f t="shared" si="3"/>
        <v>0</v>
      </c>
      <c r="P109" s="183">
        <f t="shared" si="3"/>
        <v>5.6897009911259913E-2</v>
      </c>
      <c r="Q109" s="183">
        <f t="shared" si="3"/>
        <v>0.20197639148992805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25/06/2023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2541</v>
      </c>
      <c r="B9" s="134">
        <v>9.39</v>
      </c>
      <c r="C9" s="134">
        <v>39.64</v>
      </c>
      <c r="D9" s="134">
        <v>27.19</v>
      </c>
      <c r="E9" s="134">
        <v>7.38</v>
      </c>
      <c r="F9" s="134">
        <v>6.15</v>
      </c>
      <c r="G9" s="134">
        <v>25.62</v>
      </c>
      <c r="H9" s="134">
        <v>10.36</v>
      </c>
      <c r="I9" s="134">
        <v>3.98</v>
      </c>
      <c r="J9" s="134">
        <v>0.53</v>
      </c>
      <c r="K9" s="134">
        <v>258.20999999999998</v>
      </c>
      <c r="L9" s="134">
        <v>27.51</v>
      </c>
      <c r="M9" s="134">
        <v>78.819999999999993</v>
      </c>
      <c r="N9" s="134">
        <v>0</v>
      </c>
      <c r="O9" s="134">
        <v>0</v>
      </c>
      <c r="P9" s="134">
        <v>0.42</v>
      </c>
      <c r="Q9" s="134">
        <v>4.32</v>
      </c>
    </row>
    <row r="10" spans="1:21" customFormat="1">
      <c r="A10" s="112" t="s">
        <v>2542</v>
      </c>
      <c r="B10" s="134">
        <v>9.4499999999999993</v>
      </c>
      <c r="C10" s="134">
        <v>38.54</v>
      </c>
      <c r="D10" s="134">
        <v>26.66</v>
      </c>
      <c r="E10" s="134">
        <v>8.02</v>
      </c>
      <c r="F10" s="134">
        <v>7.11</v>
      </c>
      <c r="G10" s="134">
        <v>25.62</v>
      </c>
      <c r="H10" s="134">
        <v>10.36</v>
      </c>
      <c r="I10" s="134">
        <v>3.93</v>
      </c>
      <c r="J10" s="134">
        <v>0.64</v>
      </c>
      <c r="K10" s="134">
        <v>259.42</v>
      </c>
      <c r="L10" s="134">
        <v>27.47</v>
      </c>
      <c r="M10" s="134">
        <v>79.17</v>
      </c>
      <c r="N10" s="134">
        <v>0</v>
      </c>
      <c r="O10" s="134">
        <v>0</v>
      </c>
      <c r="P10" s="134">
        <v>0.43</v>
      </c>
      <c r="Q10" s="134">
        <v>4.4400000000000004</v>
      </c>
    </row>
    <row r="11" spans="1:21" customFormat="1">
      <c r="A11" s="112" t="s">
        <v>2543</v>
      </c>
      <c r="B11" s="134">
        <v>9.16</v>
      </c>
      <c r="C11" s="134">
        <v>32.729999999999997</v>
      </c>
      <c r="D11" s="134">
        <v>23.4</v>
      </c>
      <c r="E11" s="134">
        <v>7.74</v>
      </c>
      <c r="F11" s="134">
        <v>10.130000000000001</v>
      </c>
      <c r="G11" s="134">
        <v>25.44</v>
      </c>
      <c r="H11" s="134">
        <v>10.029999999999999</v>
      </c>
      <c r="I11" s="134">
        <v>4.08</v>
      </c>
      <c r="J11" s="134">
        <v>0.8</v>
      </c>
      <c r="K11" s="134">
        <v>260.05</v>
      </c>
      <c r="L11" s="134">
        <v>27.47</v>
      </c>
      <c r="M11" s="134">
        <v>79.47</v>
      </c>
      <c r="N11" s="134">
        <v>0</v>
      </c>
      <c r="O11" s="134">
        <v>0</v>
      </c>
      <c r="P11" s="134">
        <v>0.4</v>
      </c>
      <c r="Q11" s="134">
        <v>4.37</v>
      </c>
    </row>
    <row r="12" spans="1:21" customFormat="1">
      <c r="A12" s="112" t="s">
        <v>2544</v>
      </c>
      <c r="B12" s="134">
        <v>9.5500000000000007</v>
      </c>
      <c r="C12" s="134">
        <v>34.520000000000003</v>
      </c>
      <c r="D12" s="134">
        <v>24.65</v>
      </c>
      <c r="E12" s="134">
        <v>7.5</v>
      </c>
      <c r="F12" s="134">
        <v>6.44</v>
      </c>
      <c r="G12" s="134">
        <v>25.17</v>
      </c>
      <c r="H12" s="134">
        <v>9.74</v>
      </c>
      <c r="I12" s="134">
        <v>4.01</v>
      </c>
      <c r="J12" s="134">
        <v>0.6</v>
      </c>
      <c r="K12" s="134">
        <v>255.31</v>
      </c>
      <c r="L12" s="134">
        <v>27.47</v>
      </c>
      <c r="M12" s="134">
        <v>80.260000000000005</v>
      </c>
      <c r="N12" s="134">
        <v>0</v>
      </c>
      <c r="O12" s="134">
        <v>0</v>
      </c>
      <c r="P12" s="134">
        <v>0.4</v>
      </c>
      <c r="Q12" s="134">
        <v>4.34</v>
      </c>
    </row>
    <row r="13" spans="1:21" customFormat="1">
      <c r="A13" s="112" t="s">
        <v>2545</v>
      </c>
      <c r="B13" s="134">
        <v>9.89</v>
      </c>
      <c r="C13" s="134">
        <v>38.409999999999997</v>
      </c>
      <c r="D13" s="134">
        <v>26.96</v>
      </c>
      <c r="E13" s="134">
        <v>8.44</v>
      </c>
      <c r="F13" s="134">
        <v>5.48</v>
      </c>
      <c r="G13" s="134">
        <v>25.17</v>
      </c>
      <c r="H13" s="134">
        <v>9.74</v>
      </c>
      <c r="I13" s="134">
        <v>3.87</v>
      </c>
      <c r="J13" s="134">
        <v>0.56000000000000005</v>
      </c>
      <c r="K13" s="134">
        <v>257.94</v>
      </c>
      <c r="L13" s="134">
        <v>27.39</v>
      </c>
      <c r="M13" s="134">
        <v>81.42</v>
      </c>
      <c r="N13" s="134">
        <v>0</v>
      </c>
      <c r="O13" s="134">
        <v>0</v>
      </c>
      <c r="P13" s="134">
        <v>0.43</v>
      </c>
      <c r="Q13" s="134">
        <v>4.45</v>
      </c>
    </row>
    <row r="14" spans="1:21" customFormat="1">
      <c r="A14" s="112" t="s">
        <v>2546</v>
      </c>
      <c r="B14" s="134">
        <v>9.59</v>
      </c>
      <c r="C14" s="134">
        <v>33.1</v>
      </c>
      <c r="D14" s="134">
        <v>23.94</v>
      </c>
      <c r="E14" s="134">
        <v>7.65</v>
      </c>
      <c r="F14" s="134">
        <v>9.3800000000000008</v>
      </c>
      <c r="G14" s="134">
        <v>25.17</v>
      </c>
      <c r="H14" s="134">
        <v>9.74</v>
      </c>
      <c r="I14" s="134">
        <v>4</v>
      </c>
      <c r="J14" s="134">
        <v>0.56000000000000005</v>
      </c>
      <c r="K14" s="134">
        <v>254.45</v>
      </c>
      <c r="L14" s="134">
        <v>27.3</v>
      </c>
      <c r="M14" s="134">
        <v>82.42</v>
      </c>
      <c r="N14" s="134">
        <v>0</v>
      </c>
      <c r="O14" s="134">
        <v>0</v>
      </c>
      <c r="P14" s="134">
        <v>0.41</v>
      </c>
      <c r="Q14" s="134">
        <v>4.41</v>
      </c>
    </row>
    <row r="15" spans="1:21" customFormat="1">
      <c r="A15" s="112" t="s">
        <v>2547</v>
      </c>
      <c r="B15" s="134">
        <v>9.5299999999999994</v>
      </c>
      <c r="C15" s="134">
        <v>32.11</v>
      </c>
      <c r="D15" s="134">
        <v>23.37</v>
      </c>
      <c r="E15" s="134">
        <v>7.26</v>
      </c>
      <c r="F15" s="134">
        <v>8.41</v>
      </c>
      <c r="G15" s="134">
        <v>24.45</v>
      </c>
      <c r="H15" s="134">
        <v>10.36</v>
      </c>
      <c r="I15" s="134">
        <v>3.95</v>
      </c>
      <c r="J15" s="134">
        <v>0.82</v>
      </c>
      <c r="K15" s="134">
        <v>255.73</v>
      </c>
      <c r="L15" s="134">
        <v>27.2</v>
      </c>
      <c r="M15" s="134">
        <v>82.93</v>
      </c>
      <c r="N15" s="134">
        <v>0</v>
      </c>
      <c r="O15" s="134">
        <v>0</v>
      </c>
      <c r="P15" s="134">
        <v>0.38</v>
      </c>
      <c r="Q15" s="134">
        <v>4.33</v>
      </c>
    </row>
    <row r="16" spans="1:21" customFormat="1">
      <c r="A16" s="112" t="s">
        <v>2548</v>
      </c>
      <c r="B16" s="134">
        <v>9.9499999999999993</v>
      </c>
      <c r="C16" s="134">
        <v>37.65</v>
      </c>
      <c r="D16" s="134">
        <v>26.6</v>
      </c>
      <c r="E16" s="134">
        <v>7.27</v>
      </c>
      <c r="F16" s="134">
        <v>5.04</v>
      </c>
      <c r="G16" s="134">
        <v>23.39</v>
      </c>
      <c r="H16" s="134">
        <v>12.1</v>
      </c>
      <c r="I16" s="134">
        <v>3.72</v>
      </c>
      <c r="J16" s="134">
        <v>0.76</v>
      </c>
      <c r="K16" s="134">
        <v>252.86</v>
      </c>
      <c r="L16" s="134">
        <v>27.21</v>
      </c>
      <c r="M16" s="134">
        <v>82.72</v>
      </c>
      <c r="N16" s="134">
        <v>0</v>
      </c>
      <c r="O16" s="134">
        <v>0</v>
      </c>
      <c r="P16" s="134">
        <v>0.42</v>
      </c>
      <c r="Q16" s="134">
        <v>4.42</v>
      </c>
    </row>
    <row r="17" spans="1:17" customFormat="1">
      <c r="A17" s="112" t="s">
        <v>2549</v>
      </c>
      <c r="B17" s="134">
        <v>10.220000000000001</v>
      </c>
      <c r="C17" s="134">
        <v>36.6</v>
      </c>
      <c r="D17" s="134">
        <v>26.27</v>
      </c>
      <c r="E17" s="134">
        <v>4.24</v>
      </c>
      <c r="F17" s="134">
        <v>5.86</v>
      </c>
      <c r="G17" s="134">
        <v>23.39</v>
      </c>
      <c r="H17" s="134">
        <v>12.1</v>
      </c>
      <c r="I17" s="134">
        <v>3.81</v>
      </c>
      <c r="J17" s="134">
        <v>0.66</v>
      </c>
      <c r="K17" s="134">
        <v>248.51</v>
      </c>
      <c r="L17" s="134">
        <v>27.12</v>
      </c>
      <c r="M17" s="134">
        <v>83.16</v>
      </c>
      <c r="N17" s="134">
        <v>0</v>
      </c>
      <c r="O17" s="134">
        <v>0</v>
      </c>
      <c r="P17" s="134">
        <v>0.41</v>
      </c>
      <c r="Q17" s="134">
        <v>4.46</v>
      </c>
    </row>
    <row r="18" spans="1:17" customFormat="1">
      <c r="A18" s="112" t="s">
        <v>2550</v>
      </c>
      <c r="B18" s="134">
        <v>10.07</v>
      </c>
      <c r="C18" s="134">
        <v>33.72</v>
      </c>
      <c r="D18" s="134">
        <v>24.65</v>
      </c>
      <c r="E18" s="134">
        <v>5.22</v>
      </c>
      <c r="F18" s="134">
        <v>7.39</v>
      </c>
      <c r="G18" s="134">
        <v>23.39</v>
      </c>
      <c r="H18" s="134">
        <v>12.1</v>
      </c>
      <c r="I18" s="134">
        <v>3.92</v>
      </c>
      <c r="J18" s="134">
        <v>0.81</v>
      </c>
      <c r="K18" s="134">
        <v>260.5</v>
      </c>
      <c r="L18" s="134">
        <v>26.96</v>
      </c>
      <c r="M18" s="134">
        <v>83.23</v>
      </c>
      <c r="N18" s="134">
        <v>0</v>
      </c>
      <c r="O18" s="134">
        <v>0</v>
      </c>
      <c r="P18" s="134">
        <v>0.39</v>
      </c>
      <c r="Q18" s="134">
        <v>4.37</v>
      </c>
    </row>
    <row r="19" spans="1:17" customFormat="1">
      <c r="A19" s="112" t="s">
        <v>2551</v>
      </c>
      <c r="B19" s="134">
        <v>10.23</v>
      </c>
      <c r="C19" s="134">
        <v>36.909999999999997</v>
      </c>
      <c r="D19" s="134">
        <v>26.45</v>
      </c>
      <c r="E19" s="134">
        <v>4.62</v>
      </c>
      <c r="F19" s="134">
        <v>4.97</v>
      </c>
      <c r="G19" s="134">
        <v>22.67</v>
      </c>
      <c r="H19" s="134">
        <v>11.85</v>
      </c>
      <c r="I19" s="134">
        <v>3.81</v>
      </c>
      <c r="J19" s="134">
        <v>0.94</v>
      </c>
      <c r="K19" s="134">
        <v>261.98</v>
      </c>
      <c r="L19" s="134">
        <v>26.87</v>
      </c>
      <c r="M19" s="134">
        <v>81.97</v>
      </c>
      <c r="N19" s="134">
        <v>0</v>
      </c>
      <c r="O19" s="134">
        <v>0</v>
      </c>
      <c r="P19" s="134">
        <v>0.42</v>
      </c>
      <c r="Q19" s="134">
        <v>4.4000000000000004</v>
      </c>
    </row>
    <row r="20" spans="1:17" customFormat="1">
      <c r="A20" s="112" t="s">
        <v>2552</v>
      </c>
      <c r="B20" s="134">
        <v>10.4</v>
      </c>
      <c r="C20" s="134">
        <v>39.18</v>
      </c>
      <c r="D20" s="134">
        <v>27.76</v>
      </c>
      <c r="E20" s="134">
        <v>5.28</v>
      </c>
      <c r="F20" s="134">
        <v>4.93</v>
      </c>
      <c r="G20" s="134">
        <v>21.59</v>
      </c>
      <c r="H20" s="134">
        <v>11.63</v>
      </c>
      <c r="I20" s="134">
        <v>3.75</v>
      </c>
      <c r="J20" s="134">
        <v>0.71</v>
      </c>
      <c r="K20" s="134">
        <v>257.04000000000002</v>
      </c>
      <c r="L20" s="134">
        <v>26.8</v>
      </c>
      <c r="M20" s="134">
        <v>81.58</v>
      </c>
      <c r="N20" s="134">
        <v>0</v>
      </c>
      <c r="O20" s="134">
        <v>0</v>
      </c>
      <c r="P20" s="134">
        <v>0.43</v>
      </c>
      <c r="Q20" s="134">
        <v>4.5199999999999996</v>
      </c>
    </row>
    <row r="21" spans="1:17" customFormat="1">
      <c r="A21" s="112" t="s">
        <v>2553</v>
      </c>
      <c r="B21" s="134">
        <v>10.43</v>
      </c>
      <c r="C21" s="134">
        <v>34.35</v>
      </c>
      <c r="D21" s="134">
        <v>25.27</v>
      </c>
      <c r="E21" s="134">
        <v>4.6500000000000004</v>
      </c>
      <c r="F21" s="134">
        <v>6.85</v>
      </c>
      <c r="G21" s="134">
        <v>21.59</v>
      </c>
      <c r="H21" s="134">
        <v>11.63</v>
      </c>
      <c r="I21" s="134">
        <v>3.82</v>
      </c>
      <c r="J21" s="134">
        <v>0.69</v>
      </c>
      <c r="K21" s="134">
        <v>249.33</v>
      </c>
      <c r="L21" s="134">
        <v>26.65</v>
      </c>
      <c r="M21" s="134">
        <v>81.39</v>
      </c>
      <c r="N21" s="134">
        <v>0</v>
      </c>
      <c r="O21" s="134">
        <v>0</v>
      </c>
      <c r="P21" s="134">
        <v>0.39</v>
      </c>
      <c r="Q21" s="134">
        <v>4.43</v>
      </c>
    </row>
    <row r="22" spans="1:17" customFormat="1">
      <c r="A22" s="112" t="s">
        <v>2554</v>
      </c>
      <c r="B22" s="134">
        <v>10.45</v>
      </c>
      <c r="C22" s="134">
        <v>33.590000000000003</v>
      </c>
      <c r="D22" s="134">
        <v>24.88</v>
      </c>
      <c r="E22" s="134">
        <v>4.43</v>
      </c>
      <c r="F22" s="134">
        <v>5.8</v>
      </c>
      <c r="G22" s="134">
        <v>21.59</v>
      </c>
      <c r="H22" s="134">
        <v>11.63</v>
      </c>
      <c r="I22" s="134">
        <v>3.78</v>
      </c>
      <c r="J22" s="134">
        <v>0.99</v>
      </c>
      <c r="K22" s="134">
        <v>253.47</v>
      </c>
      <c r="L22" s="134">
        <v>26.45</v>
      </c>
      <c r="M22" s="134">
        <v>82.18</v>
      </c>
      <c r="N22" s="134">
        <v>0</v>
      </c>
      <c r="O22" s="134">
        <v>0</v>
      </c>
      <c r="P22" s="134">
        <v>0.38</v>
      </c>
      <c r="Q22" s="134">
        <v>4.3499999999999996</v>
      </c>
    </row>
    <row r="23" spans="1:17" customFormat="1">
      <c r="A23" s="112" t="s">
        <v>2555</v>
      </c>
      <c r="B23" s="134">
        <v>10.5</v>
      </c>
      <c r="C23" s="134">
        <v>39.19</v>
      </c>
      <c r="D23" s="134">
        <v>27.85</v>
      </c>
      <c r="E23" s="134">
        <v>4.83</v>
      </c>
      <c r="F23" s="134">
        <v>4.28</v>
      </c>
      <c r="G23" s="134">
        <v>22.07</v>
      </c>
      <c r="H23" s="134">
        <v>10.95</v>
      </c>
      <c r="I23" s="134">
        <v>3.63</v>
      </c>
      <c r="J23" s="134">
        <v>0.87</v>
      </c>
      <c r="K23" s="134">
        <v>262.77</v>
      </c>
      <c r="L23" s="134">
        <v>26.25</v>
      </c>
      <c r="M23" s="134">
        <v>83.06</v>
      </c>
      <c r="N23" s="134">
        <v>0</v>
      </c>
      <c r="O23" s="134">
        <v>0</v>
      </c>
      <c r="P23" s="134">
        <v>0.42</v>
      </c>
      <c r="Q23" s="134">
        <v>4.47</v>
      </c>
    </row>
    <row r="24" spans="1:17" customFormat="1">
      <c r="A24" s="112" t="s">
        <v>2556</v>
      </c>
      <c r="B24" s="134">
        <v>10.66</v>
      </c>
      <c r="C24" s="134">
        <v>35.67</v>
      </c>
      <c r="D24" s="134">
        <v>26.14</v>
      </c>
      <c r="E24" s="134">
        <v>4.3499999999999996</v>
      </c>
      <c r="F24" s="134">
        <v>5.69</v>
      </c>
      <c r="G24" s="134">
        <v>22.79</v>
      </c>
      <c r="H24" s="134">
        <v>10.35</v>
      </c>
      <c r="I24" s="134">
        <v>3.66</v>
      </c>
      <c r="J24" s="134">
        <v>0.89</v>
      </c>
      <c r="K24" s="134">
        <v>264.27999999999997</v>
      </c>
      <c r="L24" s="134">
        <v>26.23</v>
      </c>
      <c r="M24" s="134">
        <v>83.22</v>
      </c>
      <c r="N24" s="134">
        <v>0</v>
      </c>
      <c r="O24" s="134">
        <v>0</v>
      </c>
      <c r="P24" s="134">
        <v>0.39</v>
      </c>
      <c r="Q24" s="134">
        <v>4.43</v>
      </c>
    </row>
    <row r="25" spans="1:17" customFormat="1">
      <c r="A25" s="112" t="s">
        <v>2557</v>
      </c>
      <c r="B25" s="134">
        <v>10.54</v>
      </c>
      <c r="C25" s="134">
        <v>36.07</v>
      </c>
      <c r="D25" s="134">
        <v>26.25</v>
      </c>
      <c r="E25" s="134">
        <v>4.12</v>
      </c>
      <c r="F25" s="134">
        <v>4.72</v>
      </c>
      <c r="G25" s="134">
        <v>22.79</v>
      </c>
      <c r="H25" s="134">
        <v>10.35</v>
      </c>
      <c r="I25" s="134">
        <v>3.68</v>
      </c>
      <c r="J25" s="134">
        <v>0.77</v>
      </c>
      <c r="K25" s="134">
        <v>258.67</v>
      </c>
      <c r="L25" s="134">
        <v>26.2</v>
      </c>
      <c r="M25" s="134">
        <v>83.61</v>
      </c>
      <c r="N25" s="134">
        <v>0</v>
      </c>
      <c r="O25" s="134">
        <v>0</v>
      </c>
      <c r="P25" s="134">
        <v>0.4</v>
      </c>
      <c r="Q25" s="134">
        <v>4.37</v>
      </c>
    </row>
    <row r="26" spans="1:17" customFormat="1">
      <c r="A26" s="112" t="s">
        <v>2558</v>
      </c>
      <c r="B26" s="134">
        <v>10.47</v>
      </c>
      <c r="C26" s="134">
        <v>37.72</v>
      </c>
      <c r="D26" s="134">
        <v>27.06</v>
      </c>
      <c r="E26" s="134">
        <v>4.05</v>
      </c>
      <c r="F26" s="134">
        <v>4.6900000000000004</v>
      </c>
      <c r="G26" s="134">
        <v>22.79</v>
      </c>
      <c r="H26" s="134">
        <v>10.35</v>
      </c>
      <c r="I26" s="134">
        <v>3.57</v>
      </c>
      <c r="J26" s="134">
        <v>0.71</v>
      </c>
      <c r="K26" s="134">
        <v>276.63</v>
      </c>
      <c r="L26" s="134">
        <v>26.18</v>
      </c>
      <c r="M26" s="134">
        <v>84.42</v>
      </c>
      <c r="N26" s="134">
        <v>0</v>
      </c>
      <c r="O26" s="134">
        <v>0</v>
      </c>
      <c r="P26" s="134">
        <v>0.4</v>
      </c>
      <c r="Q26" s="134">
        <v>4.46</v>
      </c>
    </row>
    <row r="27" spans="1:17" customFormat="1">
      <c r="A27" s="112" t="s">
        <v>2559</v>
      </c>
      <c r="B27" s="134">
        <v>10.52</v>
      </c>
      <c r="C27" s="134">
        <v>34.44</v>
      </c>
      <c r="D27" s="134">
        <v>25.38</v>
      </c>
      <c r="E27" s="134">
        <v>4.72</v>
      </c>
      <c r="F27" s="134">
        <v>6.22</v>
      </c>
      <c r="G27" s="134">
        <v>20.059999999999999</v>
      </c>
      <c r="H27" s="134">
        <v>10.73</v>
      </c>
      <c r="I27" s="134">
        <v>3.55</v>
      </c>
      <c r="J27" s="134">
        <v>1.05</v>
      </c>
      <c r="K27" s="134">
        <v>302.89</v>
      </c>
      <c r="L27" s="134">
        <v>25.72</v>
      </c>
      <c r="M27" s="134">
        <v>88.41</v>
      </c>
      <c r="N27" s="134">
        <v>0</v>
      </c>
      <c r="O27" s="134">
        <v>0</v>
      </c>
      <c r="P27" s="134">
        <v>0.39</v>
      </c>
      <c r="Q27" s="134">
        <v>4.4000000000000004</v>
      </c>
    </row>
    <row r="28" spans="1:17" customFormat="1">
      <c r="A28" s="112" t="s">
        <v>2560</v>
      </c>
      <c r="B28" s="134">
        <v>10.9</v>
      </c>
      <c r="C28" s="134">
        <v>36.94</v>
      </c>
      <c r="D28" s="134">
        <v>26.99</v>
      </c>
      <c r="E28" s="134">
        <v>3.88</v>
      </c>
      <c r="F28" s="134">
        <v>4.41</v>
      </c>
      <c r="G28" s="134">
        <v>15.97</v>
      </c>
      <c r="H28" s="134">
        <v>11.06</v>
      </c>
      <c r="I28" s="134">
        <v>3.48</v>
      </c>
      <c r="J28" s="134">
        <v>0.89</v>
      </c>
      <c r="K28" s="134">
        <v>280.25</v>
      </c>
      <c r="L28" s="134">
        <v>24.71</v>
      </c>
      <c r="M28" s="134">
        <v>95.17</v>
      </c>
      <c r="N28" s="134">
        <v>0</v>
      </c>
      <c r="O28" s="134">
        <v>0</v>
      </c>
      <c r="P28" s="134">
        <v>0.39</v>
      </c>
      <c r="Q28" s="134">
        <v>4.41</v>
      </c>
    </row>
    <row r="29" spans="1:17" customFormat="1">
      <c r="A29" s="112" t="s">
        <v>2561</v>
      </c>
      <c r="B29" s="134">
        <v>11.46</v>
      </c>
      <c r="C29" s="134">
        <v>40.020000000000003</v>
      </c>
      <c r="D29" s="134">
        <v>29.05</v>
      </c>
      <c r="E29" s="134">
        <v>4.8099999999999996</v>
      </c>
      <c r="F29" s="134">
        <v>3.79</v>
      </c>
      <c r="G29" s="134">
        <v>15.97</v>
      </c>
      <c r="H29" s="134">
        <v>11.06</v>
      </c>
      <c r="I29" s="134">
        <v>3.44</v>
      </c>
      <c r="J29" s="134">
        <v>1.2</v>
      </c>
      <c r="K29" s="134">
        <v>287.68</v>
      </c>
      <c r="L29" s="134">
        <v>24.48</v>
      </c>
      <c r="M29" s="134">
        <v>96.44</v>
      </c>
      <c r="N29" s="134">
        <v>0</v>
      </c>
      <c r="O29" s="134">
        <v>0</v>
      </c>
      <c r="P29" s="134">
        <v>0.43</v>
      </c>
      <c r="Q29" s="134">
        <v>4.54</v>
      </c>
    </row>
    <row r="30" spans="1:17" customFormat="1">
      <c r="A30" s="112" t="s">
        <v>2562</v>
      </c>
      <c r="B30" s="134">
        <v>12.07</v>
      </c>
      <c r="C30" s="134">
        <v>36.520000000000003</v>
      </c>
      <c r="D30" s="134">
        <v>27.72</v>
      </c>
      <c r="E30" s="134">
        <v>4.08</v>
      </c>
      <c r="F30" s="134">
        <v>4.96</v>
      </c>
      <c r="G30" s="134">
        <v>15.97</v>
      </c>
      <c r="H30" s="134">
        <v>11.06</v>
      </c>
      <c r="I30" s="134">
        <v>3.59</v>
      </c>
      <c r="J30" s="134">
        <v>0.94</v>
      </c>
      <c r="K30" s="134">
        <v>281.58</v>
      </c>
      <c r="L30" s="134">
        <v>24.35</v>
      </c>
      <c r="M30" s="134">
        <v>96.9</v>
      </c>
      <c r="N30" s="134">
        <v>0</v>
      </c>
      <c r="O30" s="134">
        <v>0</v>
      </c>
      <c r="P30" s="134">
        <v>0.4</v>
      </c>
      <c r="Q30" s="134">
        <v>4.4800000000000004</v>
      </c>
    </row>
    <row r="31" spans="1:17" customFormat="1">
      <c r="A31" s="112" t="s">
        <v>2563</v>
      </c>
      <c r="B31" s="134">
        <v>12.18</v>
      </c>
      <c r="C31" s="134">
        <v>38.799999999999997</v>
      </c>
      <c r="D31" s="134">
        <v>29</v>
      </c>
      <c r="E31" s="134">
        <v>4</v>
      </c>
      <c r="F31" s="134">
        <v>3.79</v>
      </c>
      <c r="G31" s="134">
        <v>17.63</v>
      </c>
      <c r="H31" s="134">
        <v>10.66</v>
      </c>
      <c r="I31" s="134">
        <v>3.63</v>
      </c>
      <c r="J31" s="134">
        <v>0.38</v>
      </c>
      <c r="K31" s="134">
        <v>198.03</v>
      </c>
      <c r="L31" s="134">
        <v>24.42</v>
      </c>
      <c r="M31" s="134">
        <v>97.19</v>
      </c>
      <c r="N31" s="134">
        <v>0</v>
      </c>
      <c r="O31" s="134">
        <v>0</v>
      </c>
      <c r="P31" s="134">
        <v>0.42</v>
      </c>
      <c r="Q31" s="134">
        <v>4.49</v>
      </c>
    </row>
    <row r="32" spans="1:17" customFormat="1">
      <c r="A32" s="112" t="s">
        <v>2564</v>
      </c>
      <c r="B32" s="134">
        <v>12.54</v>
      </c>
      <c r="C32" s="134">
        <v>40.96</v>
      </c>
      <c r="D32" s="134">
        <v>30.41</v>
      </c>
      <c r="E32" s="134">
        <v>4.59</v>
      </c>
      <c r="F32" s="134">
        <v>3.58</v>
      </c>
      <c r="G32" s="134">
        <v>20.11</v>
      </c>
      <c r="H32" s="134">
        <v>10.31</v>
      </c>
      <c r="I32" s="134">
        <v>3.59</v>
      </c>
      <c r="J32" s="134">
        <v>0.28999999999999998</v>
      </c>
      <c r="K32" s="134">
        <v>199.95</v>
      </c>
      <c r="L32" s="134">
        <v>24.39</v>
      </c>
      <c r="M32" s="134">
        <v>97.43</v>
      </c>
      <c r="N32" s="134">
        <v>0</v>
      </c>
      <c r="O32" s="134">
        <v>0</v>
      </c>
      <c r="P32" s="134">
        <v>0.44</v>
      </c>
      <c r="Q32" s="134">
        <v>4.62</v>
      </c>
    </row>
    <row r="33" spans="1:17" customFormat="1">
      <c r="A33" s="112" t="s">
        <v>2565</v>
      </c>
      <c r="B33" s="134">
        <v>12.82</v>
      </c>
      <c r="C33" s="134">
        <v>36.380000000000003</v>
      </c>
      <c r="D33" s="134">
        <v>28.25</v>
      </c>
      <c r="E33" s="134">
        <v>3.85</v>
      </c>
      <c r="F33" s="134">
        <v>5.37</v>
      </c>
      <c r="G33" s="134">
        <v>20.11</v>
      </c>
      <c r="H33" s="134">
        <v>10.31</v>
      </c>
      <c r="I33" s="134">
        <v>3.65</v>
      </c>
      <c r="J33" s="134">
        <v>0.47</v>
      </c>
      <c r="K33" s="134">
        <v>212.63</v>
      </c>
      <c r="L33" s="134">
        <v>24.42</v>
      </c>
      <c r="M33" s="134">
        <v>97.69</v>
      </c>
      <c r="N33" s="134">
        <v>0</v>
      </c>
      <c r="O33" s="134">
        <v>0</v>
      </c>
      <c r="P33" s="134">
        <v>0.41</v>
      </c>
      <c r="Q33" s="134">
        <v>4.54</v>
      </c>
    </row>
    <row r="34" spans="1:17" customFormat="1">
      <c r="A34" s="112" t="s">
        <v>2566</v>
      </c>
      <c r="B34" s="134">
        <v>13.09</v>
      </c>
      <c r="C34" s="134">
        <v>39.840000000000003</v>
      </c>
      <c r="D34" s="134">
        <v>30.27</v>
      </c>
      <c r="E34" s="134">
        <v>4.12</v>
      </c>
      <c r="F34" s="134">
        <v>3.83</v>
      </c>
      <c r="G34" s="134">
        <v>20.11</v>
      </c>
      <c r="H34" s="134">
        <v>10.31</v>
      </c>
      <c r="I34" s="134">
        <v>3.65</v>
      </c>
      <c r="J34" s="134">
        <v>0.27</v>
      </c>
      <c r="K34" s="134">
        <v>250.97</v>
      </c>
      <c r="L34" s="134">
        <v>24.52</v>
      </c>
      <c r="M34" s="134">
        <v>97.94</v>
      </c>
      <c r="N34" s="134">
        <v>0</v>
      </c>
      <c r="O34" s="134">
        <v>0</v>
      </c>
      <c r="P34" s="134">
        <v>0.44</v>
      </c>
      <c r="Q34" s="134">
        <v>4.5599999999999996</v>
      </c>
    </row>
    <row r="35" spans="1:17" customFormat="1">
      <c r="A35" s="112" t="s">
        <v>2567</v>
      </c>
      <c r="B35" s="134">
        <v>13.57</v>
      </c>
      <c r="C35" s="134">
        <v>40.1</v>
      </c>
      <c r="D35" s="134">
        <v>30.79</v>
      </c>
      <c r="E35" s="134">
        <v>4.43</v>
      </c>
      <c r="F35" s="134">
        <v>4.16</v>
      </c>
      <c r="G35" s="134">
        <v>19.13</v>
      </c>
      <c r="H35" s="134">
        <v>11.47</v>
      </c>
      <c r="I35" s="134">
        <v>3.61</v>
      </c>
      <c r="J35" s="134">
        <v>0.42</v>
      </c>
      <c r="K35" s="134">
        <v>324.67</v>
      </c>
      <c r="L35" s="134">
        <v>24.56</v>
      </c>
      <c r="M35" s="134">
        <v>98.16</v>
      </c>
      <c r="N35" s="134">
        <v>0</v>
      </c>
      <c r="O35" s="134">
        <v>0</v>
      </c>
      <c r="P35" s="134">
        <v>0.48</v>
      </c>
      <c r="Q35" s="134">
        <v>4.66</v>
      </c>
    </row>
    <row r="36" spans="1:17" customFormat="1">
      <c r="A36" s="112" t="s">
        <v>2568</v>
      </c>
      <c r="B36" s="134">
        <v>14.4</v>
      </c>
      <c r="C36" s="134">
        <v>37.83</v>
      </c>
      <c r="D36" s="134">
        <v>30.27</v>
      </c>
      <c r="E36" s="134">
        <v>4.16</v>
      </c>
      <c r="F36" s="134">
        <v>4.66</v>
      </c>
      <c r="G36" s="134">
        <v>17.66</v>
      </c>
      <c r="H36" s="134">
        <v>12.49</v>
      </c>
      <c r="I36" s="134">
        <v>3.7</v>
      </c>
      <c r="J36" s="134">
        <v>0.33</v>
      </c>
      <c r="K36" s="134">
        <v>66.72</v>
      </c>
      <c r="L36" s="134">
        <v>24.65</v>
      </c>
      <c r="M36" s="134">
        <v>98.37</v>
      </c>
      <c r="N36" s="134">
        <v>0</v>
      </c>
      <c r="O36" s="134">
        <v>0</v>
      </c>
      <c r="P36" s="134">
        <v>0.46</v>
      </c>
      <c r="Q36" s="134">
        <v>4.6100000000000003</v>
      </c>
    </row>
    <row r="37" spans="1:17" customFormat="1">
      <c r="A37" s="112" t="s">
        <v>2569</v>
      </c>
      <c r="B37" s="134">
        <v>14.84</v>
      </c>
      <c r="C37" s="134">
        <v>41.97</v>
      </c>
      <c r="D37" s="134">
        <v>32.79</v>
      </c>
      <c r="E37" s="134">
        <v>4.41</v>
      </c>
      <c r="F37" s="134">
        <v>3.48</v>
      </c>
      <c r="G37" s="134">
        <v>17.66</v>
      </c>
      <c r="H37" s="134">
        <v>12.49</v>
      </c>
      <c r="I37" s="134">
        <v>3.81</v>
      </c>
      <c r="J37" s="134">
        <v>0.42</v>
      </c>
      <c r="K37" s="134">
        <v>227.3</v>
      </c>
      <c r="L37" s="134">
        <v>24.61</v>
      </c>
      <c r="M37" s="134">
        <v>98.56</v>
      </c>
      <c r="N37" s="134">
        <v>0</v>
      </c>
      <c r="O37" s="134">
        <v>0</v>
      </c>
      <c r="P37" s="134">
        <v>0.5</v>
      </c>
      <c r="Q37" s="134">
        <v>4.7</v>
      </c>
    </row>
    <row r="38" spans="1:17" customFormat="1">
      <c r="A38" s="112" t="s">
        <v>2570</v>
      </c>
      <c r="B38" s="134">
        <v>14.54</v>
      </c>
      <c r="C38" s="134">
        <v>37.01</v>
      </c>
      <c r="D38" s="134">
        <v>29.95</v>
      </c>
      <c r="E38" s="134">
        <v>4.29</v>
      </c>
      <c r="F38" s="134">
        <v>5.26</v>
      </c>
      <c r="G38" s="134">
        <v>17.66</v>
      </c>
      <c r="H38" s="134">
        <v>12.49</v>
      </c>
      <c r="I38" s="134">
        <v>3.9</v>
      </c>
      <c r="J38" s="134">
        <v>0.18</v>
      </c>
      <c r="K38" s="134">
        <v>172.86</v>
      </c>
      <c r="L38" s="134">
        <v>24.54</v>
      </c>
      <c r="M38" s="134">
        <v>98.75</v>
      </c>
      <c r="N38" s="134">
        <v>0</v>
      </c>
      <c r="O38" s="134">
        <v>0</v>
      </c>
      <c r="P38" s="134">
        <v>0.49</v>
      </c>
      <c r="Q38" s="134">
        <v>4.6900000000000004</v>
      </c>
    </row>
    <row r="39" spans="1:17" customFormat="1">
      <c r="A39" s="112" t="s">
        <v>2571</v>
      </c>
      <c r="B39" s="134">
        <v>15.13</v>
      </c>
      <c r="C39" s="134">
        <v>39.729999999999997</v>
      </c>
      <c r="D39" s="134">
        <v>31.84</v>
      </c>
      <c r="E39" s="134">
        <v>4.45</v>
      </c>
      <c r="F39" s="134">
        <v>4.1500000000000004</v>
      </c>
      <c r="G39" s="134">
        <v>17.22</v>
      </c>
      <c r="H39" s="134">
        <v>11.99</v>
      </c>
      <c r="I39" s="134">
        <v>4</v>
      </c>
      <c r="J39" s="134">
        <v>0.17</v>
      </c>
      <c r="K39" s="134">
        <v>207.14</v>
      </c>
      <c r="L39" s="134">
        <v>24.55</v>
      </c>
      <c r="M39" s="134">
        <v>98.89</v>
      </c>
      <c r="N39" s="134">
        <v>0</v>
      </c>
      <c r="O39" s="134">
        <v>0</v>
      </c>
      <c r="P39" s="134">
        <v>0.5</v>
      </c>
      <c r="Q39" s="134">
        <v>4.7</v>
      </c>
    </row>
    <row r="40" spans="1:17" customFormat="1">
      <c r="A40" s="112" t="s">
        <v>2572</v>
      </c>
      <c r="B40" s="134">
        <v>15.83</v>
      </c>
      <c r="C40" s="134">
        <v>42.96</v>
      </c>
      <c r="D40" s="134">
        <v>34.090000000000003</v>
      </c>
      <c r="E40" s="134">
        <v>4.62</v>
      </c>
      <c r="F40" s="134">
        <v>3.64</v>
      </c>
      <c r="G40" s="134">
        <v>16.55</v>
      </c>
      <c r="H40" s="134">
        <v>10.79</v>
      </c>
      <c r="I40" s="134">
        <v>4.03</v>
      </c>
      <c r="J40" s="134">
        <v>0.44</v>
      </c>
      <c r="K40" s="134">
        <v>208.58</v>
      </c>
      <c r="L40" s="134">
        <v>24.48</v>
      </c>
      <c r="M40" s="134">
        <v>98.9</v>
      </c>
      <c r="N40" s="134">
        <v>0</v>
      </c>
      <c r="O40" s="134">
        <v>0</v>
      </c>
      <c r="P40" s="134">
        <v>0.52</v>
      </c>
      <c r="Q40" s="134">
        <v>4.84</v>
      </c>
    </row>
    <row r="41" spans="1:17" customFormat="1">
      <c r="A41" s="112" t="s">
        <v>2573</v>
      </c>
      <c r="B41" s="134">
        <v>15.35</v>
      </c>
      <c r="C41" s="134">
        <v>36.369999999999997</v>
      </c>
      <c r="D41" s="134">
        <v>30.26</v>
      </c>
      <c r="E41" s="134">
        <v>4</v>
      </c>
      <c r="F41" s="134">
        <v>5.72</v>
      </c>
      <c r="G41" s="134">
        <v>16.55</v>
      </c>
      <c r="H41" s="134">
        <v>10.79</v>
      </c>
      <c r="I41" s="134">
        <v>4.08</v>
      </c>
      <c r="J41" s="134">
        <v>0.28999999999999998</v>
      </c>
      <c r="K41" s="134">
        <v>194.48</v>
      </c>
      <c r="L41" s="134">
        <v>24.53</v>
      </c>
      <c r="M41" s="134">
        <v>98.9</v>
      </c>
      <c r="N41" s="134">
        <v>0</v>
      </c>
      <c r="O41" s="134">
        <v>0</v>
      </c>
      <c r="P41" s="134">
        <v>0.47</v>
      </c>
      <c r="Q41" s="134">
        <v>4.75</v>
      </c>
    </row>
    <row r="42" spans="1:17" customFormat="1">
      <c r="A42" s="112" t="s">
        <v>2574</v>
      </c>
      <c r="B42" s="134">
        <v>16.09</v>
      </c>
      <c r="C42" s="134">
        <v>39.57</v>
      </c>
      <c r="D42" s="134">
        <v>32.53</v>
      </c>
      <c r="E42" s="134">
        <v>4.24</v>
      </c>
      <c r="F42" s="134">
        <v>4.4000000000000004</v>
      </c>
      <c r="G42" s="134">
        <v>16.55</v>
      </c>
      <c r="H42" s="134">
        <v>10.79</v>
      </c>
      <c r="I42" s="134">
        <v>4.04</v>
      </c>
      <c r="J42" s="134">
        <v>0.42</v>
      </c>
      <c r="K42" s="134">
        <v>206.34</v>
      </c>
      <c r="L42" s="134">
        <v>24.52</v>
      </c>
      <c r="M42" s="134">
        <v>98.92</v>
      </c>
      <c r="N42" s="134">
        <v>0</v>
      </c>
      <c r="O42" s="134">
        <v>0</v>
      </c>
      <c r="P42" s="134">
        <v>0.49</v>
      </c>
      <c r="Q42" s="134">
        <v>4.75</v>
      </c>
    </row>
    <row r="43" spans="1:17" customFormat="1">
      <c r="A43" s="112" t="s">
        <v>2575</v>
      </c>
      <c r="B43" s="134">
        <v>15.89</v>
      </c>
      <c r="C43" s="134">
        <v>39.520000000000003</v>
      </c>
      <c r="D43" s="134">
        <v>32.35</v>
      </c>
      <c r="E43" s="134">
        <v>4.6399999999999997</v>
      </c>
      <c r="F43" s="134">
        <v>4.75</v>
      </c>
      <c r="G43" s="134">
        <v>15.32</v>
      </c>
      <c r="H43" s="134">
        <v>9.17</v>
      </c>
      <c r="I43" s="134">
        <v>3.95</v>
      </c>
      <c r="J43" s="134">
        <v>0.41</v>
      </c>
      <c r="K43" s="134">
        <v>159.41</v>
      </c>
      <c r="L43" s="134">
        <v>24.64</v>
      </c>
      <c r="M43" s="134">
        <v>98.93</v>
      </c>
      <c r="N43" s="134">
        <v>0</v>
      </c>
      <c r="O43" s="134">
        <v>0</v>
      </c>
      <c r="P43" s="134">
        <v>0.49</v>
      </c>
      <c r="Q43" s="134">
        <v>4.84</v>
      </c>
    </row>
    <row r="44" spans="1:17" customFormat="1">
      <c r="A44" s="112" t="s">
        <v>2576</v>
      </c>
      <c r="B44" s="134">
        <v>16.05</v>
      </c>
      <c r="C44" s="134">
        <v>35.78</v>
      </c>
      <c r="D44" s="134">
        <v>30.52</v>
      </c>
      <c r="E44" s="134">
        <v>4.47</v>
      </c>
      <c r="F44" s="134">
        <v>5.54</v>
      </c>
      <c r="G44" s="134">
        <v>13.48</v>
      </c>
      <c r="H44" s="134">
        <v>7.74</v>
      </c>
      <c r="I44" s="134">
        <v>4.03</v>
      </c>
      <c r="J44" s="134">
        <v>0.17</v>
      </c>
      <c r="K44" s="134">
        <v>107.44</v>
      </c>
      <c r="L44" s="134">
        <v>24.72</v>
      </c>
      <c r="M44" s="134">
        <v>98.93</v>
      </c>
      <c r="N44" s="134">
        <v>0</v>
      </c>
      <c r="O44" s="134">
        <v>0</v>
      </c>
      <c r="P44" s="134">
        <v>0.47</v>
      </c>
      <c r="Q44" s="134">
        <v>4.7699999999999996</v>
      </c>
    </row>
    <row r="45" spans="1:17" customFormat="1">
      <c r="A45" s="112" t="s">
        <v>2577</v>
      </c>
      <c r="B45" s="134">
        <v>17.12</v>
      </c>
      <c r="C45" s="134">
        <v>41.42</v>
      </c>
      <c r="D45" s="134">
        <v>34.32</v>
      </c>
      <c r="E45" s="134">
        <v>4.53</v>
      </c>
      <c r="F45" s="134">
        <v>3.67</v>
      </c>
      <c r="G45" s="134">
        <v>13.48</v>
      </c>
      <c r="H45" s="134">
        <v>7.74</v>
      </c>
      <c r="I45" s="134">
        <v>3.93</v>
      </c>
      <c r="J45" s="134">
        <v>0.19</v>
      </c>
      <c r="K45" s="134">
        <v>215.65</v>
      </c>
      <c r="L45" s="134">
        <v>24.68</v>
      </c>
      <c r="M45" s="134">
        <v>98.93</v>
      </c>
      <c r="N45" s="134">
        <v>1.5</v>
      </c>
      <c r="O45" s="134">
        <v>0</v>
      </c>
      <c r="P45" s="134">
        <v>0.5</v>
      </c>
      <c r="Q45" s="134">
        <v>4.83</v>
      </c>
    </row>
    <row r="46" spans="1:17" customFormat="1">
      <c r="A46" s="112" t="s">
        <v>2578</v>
      </c>
      <c r="B46" s="134">
        <v>17.239999999999998</v>
      </c>
      <c r="C46" s="134">
        <v>37.65</v>
      </c>
      <c r="D46" s="134">
        <v>32.450000000000003</v>
      </c>
      <c r="E46" s="134">
        <v>4.16</v>
      </c>
      <c r="F46" s="134">
        <v>4.9400000000000004</v>
      </c>
      <c r="G46" s="134">
        <v>13.48</v>
      </c>
      <c r="H46" s="134">
        <v>7.74</v>
      </c>
      <c r="I46" s="134">
        <v>3.93</v>
      </c>
      <c r="J46" s="134">
        <v>0.38</v>
      </c>
      <c r="K46" s="134">
        <v>251.92</v>
      </c>
      <c r="L46" s="134">
        <v>24.64</v>
      </c>
      <c r="M46" s="134">
        <v>98.93</v>
      </c>
      <c r="N46" s="134">
        <v>6.5</v>
      </c>
      <c r="O46" s="134">
        <v>0</v>
      </c>
      <c r="P46" s="134">
        <v>0.47</v>
      </c>
      <c r="Q46" s="134">
        <v>4.83</v>
      </c>
    </row>
    <row r="47" spans="1:17" customFormat="1">
      <c r="A47" s="112" t="s">
        <v>2579</v>
      </c>
      <c r="B47" s="134">
        <v>17.36</v>
      </c>
      <c r="C47" s="134">
        <v>37.39</v>
      </c>
      <c r="D47" s="134">
        <v>32.409999999999997</v>
      </c>
      <c r="E47" s="134">
        <v>3.96</v>
      </c>
      <c r="F47" s="134">
        <v>4.8</v>
      </c>
      <c r="G47" s="134">
        <v>13.58</v>
      </c>
      <c r="H47" s="134">
        <v>7.16</v>
      </c>
      <c r="I47" s="134">
        <v>4.03</v>
      </c>
      <c r="J47" s="134">
        <v>0.31</v>
      </c>
      <c r="K47" s="134">
        <v>253.02</v>
      </c>
      <c r="L47" s="134">
        <v>24.64</v>
      </c>
      <c r="M47" s="134">
        <v>98.93</v>
      </c>
      <c r="N47" s="134">
        <v>17.3</v>
      </c>
      <c r="O47" s="134">
        <v>0</v>
      </c>
      <c r="P47" s="134">
        <v>0.46</v>
      </c>
      <c r="Q47" s="134">
        <v>4.76</v>
      </c>
    </row>
    <row r="48" spans="1:17" customFormat="1">
      <c r="A48" s="112" t="s">
        <v>2580</v>
      </c>
      <c r="B48" s="134">
        <v>17.96</v>
      </c>
      <c r="C48" s="134">
        <v>43.23</v>
      </c>
      <c r="D48" s="134">
        <v>35.94</v>
      </c>
      <c r="E48" s="134">
        <v>4.6399999999999997</v>
      </c>
      <c r="F48" s="134">
        <v>3.29</v>
      </c>
      <c r="G48" s="134">
        <v>13.73</v>
      </c>
      <c r="H48" s="134">
        <v>6.65</v>
      </c>
      <c r="I48" s="134">
        <v>3.91</v>
      </c>
      <c r="J48" s="134">
        <v>0.3</v>
      </c>
      <c r="K48" s="134">
        <v>244.51</v>
      </c>
      <c r="L48" s="134">
        <v>24.68</v>
      </c>
      <c r="M48" s="134">
        <v>98.93</v>
      </c>
      <c r="N48" s="134">
        <v>25.9</v>
      </c>
      <c r="O48" s="134">
        <v>0</v>
      </c>
      <c r="P48" s="134">
        <v>0.5</v>
      </c>
      <c r="Q48" s="134">
        <v>4.8899999999999997</v>
      </c>
    </row>
    <row r="49" spans="1:17" customFormat="1">
      <c r="A49" s="112" t="s">
        <v>2581</v>
      </c>
      <c r="B49" s="134">
        <v>18.04</v>
      </c>
      <c r="C49" s="134">
        <v>39.57</v>
      </c>
      <c r="D49" s="134">
        <v>34.1</v>
      </c>
      <c r="E49" s="134">
        <v>4.5599999999999996</v>
      </c>
      <c r="F49" s="134">
        <v>4.63</v>
      </c>
      <c r="G49" s="134">
        <v>13.73</v>
      </c>
      <c r="H49" s="134">
        <v>6.65</v>
      </c>
      <c r="I49" s="134">
        <v>3.98</v>
      </c>
      <c r="J49" s="134">
        <v>0.14000000000000001</v>
      </c>
      <c r="K49" s="134">
        <v>194.97</v>
      </c>
      <c r="L49" s="134">
        <v>24.75</v>
      </c>
      <c r="M49" s="134">
        <v>98.93</v>
      </c>
      <c r="N49" s="134">
        <v>30.8</v>
      </c>
      <c r="O49" s="134">
        <v>0</v>
      </c>
      <c r="P49" s="134">
        <v>0.47</v>
      </c>
      <c r="Q49" s="134">
        <v>4.91</v>
      </c>
    </row>
    <row r="50" spans="1:17" customFormat="1">
      <c r="A50" s="112" t="s">
        <v>2582</v>
      </c>
      <c r="B50" s="134">
        <v>17.579999999999998</v>
      </c>
      <c r="C50" s="134">
        <v>36.229999999999997</v>
      </c>
      <c r="D50" s="134">
        <v>31.98</v>
      </c>
      <c r="E50" s="134">
        <v>5</v>
      </c>
      <c r="F50" s="134">
        <v>5.19</v>
      </c>
      <c r="G50" s="134">
        <v>13.73</v>
      </c>
      <c r="H50" s="134">
        <v>6.65</v>
      </c>
      <c r="I50" s="134">
        <v>4.0599999999999996</v>
      </c>
      <c r="J50" s="134">
        <v>0.24</v>
      </c>
      <c r="K50" s="134">
        <v>232.48</v>
      </c>
      <c r="L50" s="134">
        <v>24.75</v>
      </c>
      <c r="M50" s="134">
        <v>98.93</v>
      </c>
      <c r="N50" s="134">
        <v>35.700000000000003</v>
      </c>
      <c r="O50" s="134">
        <v>0</v>
      </c>
      <c r="P50" s="134">
        <v>0.45</v>
      </c>
      <c r="Q50" s="134">
        <v>4.82</v>
      </c>
    </row>
    <row r="51" spans="1:17" customFormat="1">
      <c r="A51" s="112" t="s">
        <v>2583</v>
      </c>
      <c r="B51" s="134">
        <v>17.940000000000001</v>
      </c>
      <c r="C51" s="134">
        <v>41.11</v>
      </c>
      <c r="D51" s="134">
        <v>34.82</v>
      </c>
      <c r="E51" s="134">
        <v>5.98</v>
      </c>
      <c r="F51" s="134">
        <v>4.0599999999999996</v>
      </c>
      <c r="G51" s="134">
        <v>13.06</v>
      </c>
      <c r="H51" s="134">
        <v>7.54</v>
      </c>
      <c r="I51" s="134">
        <v>3.87</v>
      </c>
      <c r="J51" s="134">
        <v>0.21</v>
      </c>
      <c r="K51" s="134">
        <v>267.01</v>
      </c>
      <c r="L51" s="134">
        <v>24.75</v>
      </c>
      <c r="M51" s="134">
        <v>98.93</v>
      </c>
      <c r="N51" s="134">
        <v>35.200000000000003</v>
      </c>
      <c r="O51" s="134">
        <v>0</v>
      </c>
      <c r="P51" s="134">
        <v>0.49</v>
      </c>
      <c r="Q51" s="134">
        <v>4.9000000000000004</v>
      </c>
    </row>
    <row r="52" spans="1:17" customFormat="1">
      <c r="A52" s="112" t="s">
        <v>2584</v>
      </c>
      <c r="B52" s="134">
        <v>18.64</v>
      </c>
      <c r="C52" s="134">
        <v>38.229999999999997</v>
      </c>
      <c r="D52" s="134">
        <v>33.880000000000003</v>
      </c>
      <c r="E52" s="134">
        <v>6.54</v>
      </c>
      <c r="F52" s="134">
        <v>4.74</v>
      </c>
      <c r="G52" s="134">
        <v>12.05</v>
      </c>
      <c r="H52" s="134">
        <v>8.32</v>
      </c>
      <c r="I52" s="134">
        <v>3.87</v>
      </c>
      <c r="J52" s="134">
        <v>0.45</v>
      </c>
      <c r="K52" s="134">
        <v>271.97000000000003</v>
      </c>
      <c r="L52" s="134">
        <v>24.85</v>
      </c>
      <c r="M52" s="134">
        <v>98.93</v>
      </c>
      <c r="N52" s="134">
        <v>32.1</v>
      </c>
      <c r="O52" s="134">
        <v>0</v>
      </c>
      <c r="P52" s="134">
        <v>0.48</v>
      </c>
      <c r="Q52" s="134">
        <v>4.93</v>
      </c>
    </row>
    <row r="53" spans="1:17" customFormat="1">
      <c r="A53" s="112" t="s">
        <v>2585</v>
      </c>
      <c r="B53" s="134">
        <v>19.309999999999999</v>
      </c>
      <c r="C53" s="134">
        <v>38.4</v>
      </c>
      <c r="D53" s="134">
        <v>34.51</v>
      </c>
      <c r="E53" s="134">
        <v>5.82</v>
      </c>
      <c r="F53" s="134">
        <v>4.4400000000000004</v>
      </c>
      <c r="G53" s="134">
        <v>12.05</v>
      </c>
      <c r="H53" s="134">
        <v>8.32</v>
      </c>
      <c r="I53" s="134">
        <v>4</v>
      </c>
      <c r="J53" s="134">
        <v>0.73</v>
      </c>
      <c r="K53" s="134">
        <v>297.04000000000002</v>
      </c>
      <c r="L53" s="134">
        <v>24.86</v>
      </c>
      <c r="M53" s="134">
        <v>98.93</v>
      </c>
      <c r="N53" s="134">
        <v>38.4</v>
      </c>
      <c r="O53" s="134">
        <v>0</v>
      </c>
      <c r="P53" s="134">
        <v>0.47</v>
      </c>
      <c r="Q53" s="134">
        <v>4.87</v>
      </c>
    </row>
    <row r="54" spans="1:17" customFormat="1">
      <c r="A54" s="112" t="s">
        <v>2586</v>
      </c>
      <c r="B54" s="134">
        <v>20.14</v>
      </c>
      <c r="C54" s="134">
        <v>43.25</v>
      </c>
      <c r="D54" s="134">
        <v>37.700000000000003</v>
      </c>
      <c r="E54" s="134">
        <v>5.77</v>
      </c>
      <c r="F54" s="134">
        <v>3.58</v>
      </c>
      <c r="G54" s="134">
        <v>12.05</v>
      </c>
      <c r="H54" s="134">
        <v>8.32</v>
      </c>
      <c r="I54" s="134">
        <v>3.98</v>
      </c>
      <c r="J54" s="134">
        <v>1.27</v>
      </c>
      <c r="K54" s="134">
        <v>299.70999999999998</v>
      </c>
      <c r="L54" s="134">
        <v>24.9</v>
      </c>
      <c r="M54" s="134">
        <v>98.93</v>
      </c>
      <c r="N54" s="134">
        <v>50.4</v>
      </c>
      <c r="O54" s="134">
        <v>0</v>
      </c>
      <c r="P54" s="134">
        <v>0.54</v>
      </c>
      <c r="Q54" s="134">
        <v>5.03</v>
      </c>
    </row>
    <row r="55" spans="1:17" customFormat="1">
      <c r="A55" s="112" t="s">
        <v>2587</v>
      </c>
      <c r="B55" s="134">
        <v>21.13</v>
      </c>
      <c r="C55" s="134">
        <v>39.92</v>
      </c>
      <c r="D55" s="134">
        <v>36.76</v>
      </c>
      <c r="E55" s="134">
        <v>5.95</v>
      </c>
      <c r="F55" s="134">
        <v>4.54</v>
      </c>
      <c r="G55" s="134">
        <v>14.02</v>
      </c>
      <c r="H55" s="134">
        <v>9.14</v>
      </c>
      <c r="I55" s="134">
        <v>4.1399999999999997</v>
      </c>
      <c r="J55" s="134">
        <v>1.2</v>
      </c>
      <c r="K55" s="134">
        <v>284.33999999999997</v>
      </c>
      <c r="L55" s="134">
        <v>24.86</v>
      </c>
      <c r="M55" s="134">
        <v>98.93</v>
      </c>
      <c r="N55" s="134">
        <v>49.6</v>
      </c>
      <c r="O55" s="134">
        <v>0</v>
      </c>
      <c r="P55" s="134">
        <v>0.54</v>
      </c>
      <c r="Q55" s="134">
        <v>5.01</v>
      </c>
    </row>
    <row r="56" spans="1:17" customFormat="1">
      <c r="A56" s="112" t="s">
        <v>2588</v>
      </c>
      <c r="B56" s="134">
        <v>21.48</v>
      </c>
      <c r="C56" s="134">
        <v>40.46</v>
      </c>
      <c r="D56" s="134">
        <v>37.32</v>
      </c>
      <c r="E56" s="134">
        <v>5.54</v>
      </c>
      <c r="F56" s="134">
        <v>4.01</v>
      </c>
      <c r="G56" s="134">
        <v>16.97</v>
      </c>
      <c r="H56" s="134">
        <v>9.86</v>
      </c>
      <c r="I56" s="134">
        <v>4.33</v>
      </c>
      <c r="J56" s="134">
        <v>0.64</v>
      </c>
      <c r="K56" s="134">
        <v>260.22000000000003</v>
      </c>
      <c r="L56" s="134">
        <v>24.95</v>
      </c>
      <c r="M56" s="134">
        <v>98.93</v>
      </c>
      <c r="N56" s="134">
        <v>78.099999999999994</v>
      </c>
      <c r="O56" s="134">
        <v>0</v>
      </c>
      <c r="P56" s="134">
        <v>0.56999999999999995</v>
      </c>
      <c r="Q56" s="134">
        <v>4.99</v>
      </c>
    </row>
    <row r="57" spans="1:17" customFormat="1">
      <c r="A57" s="112" t="s">
        <v>2589</v>
      </c>
      <c r="B57" s="134">
        <v>21.78</v>
      </c>
      <c r="C57" s="134">
        <v>43.43</v>
      </c>
      <c r="D57" s="134">
        <v>39.11</v>
      </c>
      <c r="E57" s="134">
        <v>6.29</v>
      </c>
      <c r="F57" s="134">
        <v>3.57</v>
      </c>
      <c r="G57" s="134">
        <v>16.97</v>
      </c>
      <c r="H57" s="134">
        <v>9.86</v>
      </c>
      <c r="I57" s="134">
        <v>4.43</v>
      </c>
      <c r="J57" s="134">
        <v>0.69</v>
      </c>
      <c r="K57" s="134">
        <v>267.82</v>
      </c>
      <c r="L57" s="134">
        <v>24.97</v>
      </c>
      <c r="M57" s="134">
        <v>98.93</v>
      </c>
      <c r="N57" s="134">
        <v>97.3</v>
      </c>
      <c r="O57" s="134">
        <v>0</v>
      </c>
      <c r="P57" s="134">
        <v>0.6</v>
      </c>
      <c r="Q57" s="134">
        <v>5.14</v>
      </c>
    </row>
    <row r="58" spans="1:17" customFormat="1">
      <c r="A58" s="112" t="s">
        <v>2590</v>
      </c>
      <c r="B58" s="134">
        <v>22.16</v>
      </c>
      <c r="C58" s="134">
        <v>39.65</v>
      </c>
      <c r="D58" s="134">
        <v>37.44</v>
      </c>
      <c r="E58" s="134">
        <v>5.91</v>
      </c>
      <c r="F58" s="134">
        <v>4.92</v>
      </c>
      <c r="G58" s="134">
        <v>16.97</v>
      </c>
      <c r="H58" s="134">
        <v>9.86</v>
      </c>
      <c r="I58" s="134">
        <v>4.57</v>
      </c>
      <c r="J58" s="134">
        <v>0.95</v>
      </c>
      <c r="K58" s="134">
        <v>297.01</v>
      </c>
      <c r="L58" s="134">
        <v>24.98</v>
      </c>
      <c r="M58" s="134">
        <v>98.93</v>
      </c>
      <c r="N58" s="134">
        <v>110</v>
      </c>
      <c r="O58" s="134">
        <v>0</v>
      </c>
      <c r="P58" s="134">
        <v>0.57999999999999996</v>
      </c>
      <c r="Q58" s="134">
        <v>5.08</v>
      </c>
    </row>
    <row r="59" spans="1:17" customFormat="1">
      <c r="A59" s="112" t="s">
        <v>2591</v>
      </c>
      <c r="B59" s="134">
        <v>22.39</v>
      </c>
      <c r="C59" s="134">
        <v>41.75</v>
      </c>
      <c r="D59" s="134">
        <v>38.729999999999997</v>
      </c>
      <c r="E59" s="134">
        <v>5.53</v>
      </c>
      <c r="F59" s="134">
        <v>4.0599999999999996</v>
      </c>
      <c r="G59" s="134">
        <v>15.88</v>
      </c>
      <c r="H59" s="134">
        <v>9.0299999999999994</v>
      </c>
      <c r="I59" s="134">
        <v>4.67</v>
      </c>
      <c r="J59" s="134">
        <v>0.63</v>
      </c>
      <c r="K59" s="134">
        <v>293.41000000000003</v>
      </c>
      <c r="L59" s="134">
        <v>25.06</v>
      </c>
      <c r="M59" s="134">
        <v>98.93</v>
      </c>
      <c r="N59" s="134">
        <v>90.6</v>
      </c>
      <c r="O59" s="134">
        <v>0</v>
      </c>
      <c r="P59" s="134">
        <v>0.59</v>
      </c>
      <c r="Q59" s="134">
        <v>5.07</v>
      </c>
    </row>
    <row r="60" spans="1:17" customFormat="1">
      <c r="A60" s="112" t="s">
        <v>2592</v>
      </c>
      <c r="B60" s="134">
        <v>22.43</v>
      </c>
      <c r="C60" s="134">
        <v>43.78</v>
      </c>
      <c r="D60" s="134">
        <v>39.82</v>
      </c>
      <c r="E60" s="134">
        <v>5.99</v>
      </c>
      <c r="F60" s="134">
        <v>4.0599999999999996</v>
      </c>
      <c r="G60" s="134">
        <v>14.25</v>
      </c>
      <c r="H60" s="134">
        <v>8.3000000000000007</v>
      </c>
      <c r="I60" s="134">
        <v>4.66</v>
      </c>
      <c r="J60" s="134">
        <v>0.85</v>
      </c>
      <c r="K60" s="134">
        <v>293.52</v>
      </c>
      <c r="L60" s="134">
        <v>25.16</v>
      </c>
      <c r="M60" s="134">
        <v>98.93</v>
      </c>
      <c r="N60" s="134">
        <v>62.4</v>
      </c>
      <c r="O60" s="134">
        <v>0</v>
      </c>
      <c r="P60" s="134">
        <v>0.62</v>
      </c>
      <c r="Q60" s="134">
        <v>5.18</v>
      </c>
    </row>
    <row r="61" spans="1:17" customFormat="1">
      <c r="A61" s="112" t="s">
        <v>2593</v>
      </c>
      <c r="B61" s="134">
        <v>22.68</v>
      </c>
      <c r="C61" s="134">
        <v>38.33</v>
      </c>
      <c r="D61" s="134">
        <v>37.17</v>
      </c>
      <c r="E61" s="134">
        <v>6.02</v>
      </c>
      <c r="F61" s="134">
        <v>5.21</v>
      </c>
      <c r="G61" s="134">
        <v>14.25</v>
      </c>
      <c r="H61" s="134">
        <v>8.3000000000000007</v>
      </c>
      <c r="I61" s="134">
        <v>4.75</v>
      </c>
      <c r="J61" s="134">
        <v>0.73</v>
      </c>
      <c r="K61" s="134">
        <v>293.26</v>
      </c>
      <c r="L61" s="134">
        <v>25.21</v>
      </c>
      <c r="M61" s="134">
        <v>98.93</v>
      </c>
      <c r="N61" s="134">
        <v>76</v>
      </c>
      <c r="O61" s="134">
        <v>0</v>
      </c>
      <c r="P61" s="134">
        <v>0.59</v>
      </c>
      <c r="Q61" s="134">
        <v>5.12</v>
      </c>
    </row>
    <row r="62" spans="1:17" customFormat="1">
      <c r="A62" s="112" t="s">
        <v>2594</v>
      </c>
      <c r="B62" s="134">
        <v>22.65</v>
      </c>
      <c r="C62" s="134">
        <v>39.9</v>
      </c>
      <c r="D62" s="134">
        <v>37.97</v>
      </c>
      <c r="E62" s="134">
        <v>5.4</v>
      </c>
      <c r="F62" s="134">
        <v>4.55</v>
      </c>
      <c r="G62" s="134">
        <v>14.25</v>
      </c>
      <c r="H62" s="134">
        <v>8.3000000000000007</v>
      </c>
      <c r="I62" s="134">
        <v>4.8099999999999996</v>
      </c>
      <c r="J62" s="134">
        <v>0.59</v>
      </c>
      <c r="K62" s="134">
        <v>276.31</v>
      </c>
      <c r="L62" s="134">
        <v>25.36</v>
      </c>
      <c r="M62" s="134">
        <v>98.93</v>
      </c>
      <c r="N62" s="134">
        <v>106.8</v>
      </c>
      <c r="O62" s="134">
        <v>0</v>
      </c>
      <c r="P62" s="134">
        <v>0.59</v>
      </c>
      <c r="Q62" s="134">
        <v>5.12</v>
      </c>
    </row>
    <row r="63" spans="1:17" customFormat="1">
      <c r="A63" s="112" t="s">
        <v>2595</v>
      </c>
      <c r="B63" s="134">
        <v>22.8</v>
      </c>
      <c r="C63" s="134">
        <v>44.93</v>
      </c>
      <c r="D63" s="134">
        <v>40.71</v>
      </c>
      <c r="E63" s="134">
        <v>5.98</v>
      </c>
      <c r="F63" s="134">
        <v>3.67</v>
      </c>
      <c r="G63" s="134">
        <v>15.38</v>
      </c>
      <c r="H63" s="134">
        <v>8.92</v>
      </c>
      <c r="I63" s="134">
        <v>4.83</v>
      </c>
      <c r="J63" s="134">
        <v>0.52</v>
      </c>
      <c r="K63" s="134">
        <v>292.06</v>
      </c>
      <c r="L63" s="134">
        <v>25.56</v>
      </c>
      <c r="M63" s="134">
        <v>98.93</v>
      </c>
      <c r="N63" s="134">
        <v>133.1</v>
      </c>
      <c r="O63" s="134">
        <v>0</v>
      </c>
      <c r="P63" s="134">
        <v>0.63</v>
      </c>
      <c r="Q63" s="134">
        <v>5.22</v>
      </c>
    </row>
    <row r="64" spans="1:17" customFormat="1">
      <c r="A64" s="112" t="s">
        <v>2596</v>
      </c>
      <c r="B64" s="134">
        <v>23.32</v>
      </c>
      <c r="C64" s="134">
        <v>45.46</v>
      </c>
      <c r="D64" s="134">
        <v>41.41</v>
      </c>
      <c r="E64" s="134">
        <v>5.48</v>
      </c>
      <c r="F64" s="134">
        <v>3.86</v>
      </c>
      <c r="G64" s="134">
        <v>17.059999999999999</v>
      </c>
      <c r="H64" s="134">
        <v>10.54</v>
      </c>
      <c r="I64" s="134">
        <v>4.9400000000000004</v>
      </c>
      <c r="J64" s="134">
        <v>0.4</v>
      </c>
      <c r="K64" s="134">
        <v>249.28</v>
      </c>
      <c r="L64" s="134">
        <v>25.73</v>
      </c>
      <c r="M64" s="134">
        <v>98.94</v>
      </c>
      <c r="N64" s="134">
        <v>123.8</v>
      </c>
      <c r="O64" s="134">
        <v>0</v>
      </c>
      <c r="P64" s="134">
        <v>0.64</v>
      </c>
      <c r="Q64" s="134">
        <v>5.28</v>
      </c>
    </row>
    <row r="65" spans="1:17" customFormat="1">
      <c r="A65" s="112" t="s">
        <v>2597</v>
      </c>
      <c r="B65" s="134">
        <v>23.13</v>
      </c>
      <c r="C65" s="134">
        <v>40.630000000000003</v>
      </c>
      <c r="D65" s="134">
        <v>38.729999999999997</v>
      </c>
      <c r="E65" s="134">
        <v>5.33</v>
      </c>
      <c r="F65" s="134">
        <v>5.33</v>
      </c>
      <c r="G65" s="134">
        <v>17.059999999999999</v>
      </c>
      <c r="H65" s="134">
        <v>10.54</v>
      </c>
      <c r="I65" s="134">
        <v>5.05</v>
      </c>
      <c r="J65" s="134">
        <v>0.46</v>
      </c>
      <c r="K65" s="134">
        <v>263.77</v>
      </c>
      <c r="L65" s="134">
        <v>25.96</v>
      </c>
      <c r="M65" s="134">
        <v>98.95</v>
      </c>
      <c r="N65" s="134">
        <v>125.5</v>
      </c>
      <c r="O65" s="134">
        <v>0</v>
      </c>
      <c r="P65" s="134">
        <v>0.57999999999999996</v>
      </c>
      <c r="Q65" s="134">
        <v>5.22</v>
      </c>
    </row>
    <row r="66" spans="1:17" customFormat="1">
      <c r="A66" s="112" t="s">
        <v>2598</v>
      </c>
      <c r="B66" s="134">
        <v>22.5</v>
      </c>
      <c r="C66" s="134">
        <v>38.11</v>
      </c>
      <c r="D66" s="134">
        <v>36.909999999999997</v>
      </c>
      <c r="E66" s="134">
        <v>4.93</v>
      </c>
      <c r="F66" s="134">
        <v>6.19</v>
      </c>
      <c r="G66" s="134">
        <v>17.059999999999999</v>
      </c>
      <c r="H66" s="134">
        <v>10.54</v>
      </c>
      <c r="I66" s="134">
        <v>5.04</v>
      </c>
      <c r="J66" s="134">
        <v>0.53</v>
      </c>
      <c r="K66" s="134">
        <v>268.48</v>
      </c>
      <c r="L66" s="134">
        <v>26</v>
      </c>
      <c r="M66" s="134">
        <v>98.95</v>
      </c>
      <c r="N66" s="134">
        <v>136.30000000000001</v>
      </c>
      <c r="O66" s="134">
        <v>0</v>
      </c>
      <c r="P66" s="134">
        <v>0.57999999999999996</v>
      </c>
      <c r="Q66" s="134">
        <v>5.09</v>
      </c>
    </row>
    <row r="67" spans="1:17" customFormat="1">
      <c r="A67" s="112" t="s">
        <v>2599</v>
      </c>
      <c r="B67" s="134">
        <v>22.51</v>
      </c>
      <c r="C67" s="134">
        <v>42.1</v>
      </c>
      <c r="D67" s="134">
        <v>39</v>
      </c>
      <c r="E67" s="134">
        <v>5.36</v>
      </c>
      <c r="F67" s="134">
        <v>4.34</v>
      </c>
      <c r="G67" s="134">
        <v>15.14</v>
      </c>
      <c r="H67" s="134">
        <v>10.65</v>
      </c>
      <c r="I67" s="134">
        <v>4.9800000000000004</v>
      </c>
      <c r="J67" s="134">
        <v>0.46</v>
      </c>
      <c r="K67" s="134">
        <v>294.94</v>
      </c>
      <c r="L67" s="134">
        <v>26.09</v>
      </c>
      <c r="M67" s="134">
        <v>98.94</v>
      </c>
      <c r="N67" s="134">
        <v>126.3</v>
      </c>
      <c r="O67" s="134">
        <v>0</v>
      </c>
      <c r="P67" s="134">
        <v>0.61</v>
      </c>
      <c r="Q67" s="134">
        <v>5.09</v>
      </c>
    </row>
    <row r="68" spans="1:17" customFormat="1">
      <c r="A68" s="112" t="s">
        <v>2600</v>
      </c>
      <c r="B68" s="134">
        <v>22.35</v>
      </c>
      <c r="C68" s="134">
        <v>45.27</v>
      </c>
      <c r="D68" s="134">
        <v>40.53</v>
      </c>
      <c r="E68" s="134">
        <v>6.08</v>
      </c>
      <c r="F68" s="134">
        <v>4.16</v>
      </c>
      <c r="G68" s="134">
        <v>12.25</v>
      </c>
      <c r="H68" s="134">
        <v>10.74</v>
      </c>
      <c r="I68" s="134">
        <v>4.99</v>
      </c>
      <c r="J68" s="134">
        <v>0.49</v>
      </c>
      <c r="K68" s="134">
        <v>265.87</v>
      </c>
      <c r="L68" s="134">
        <v>26.25</v>
      </c>
      <c r="M68" s="134">
        <v>98.93</v>
      </c>
      <c r="N68" s="134">
        <v>107.9</v>
      </c>
      <c r="O68" s="134">
        <v>0</v>
      </c>
      <c r="P68" s="134">
        <v>0.63</v>
      </c>
      <c r="Q68" s="134">
        <v>5.21</v>
      </c>
    </row>
    <row r="69" spans="1:17" customFormat="1">
      <c r="A69" s="112" t="s">
        <v>2601</v>
      </c>
      <c r="B69" s="134">
        <v>21.64</v>
      </c>
      <c r="C69" s="134">
        <v>40.4</v>
      </c>
      <c r="D69" s="134">
        <v>37.42</v>
      </c>
      <c r="E69" s="134">
        <v>6.09</v>
      </c>
      <c r="F69" s="134">
        <v>6.15</v>
      </c>
      <c r="G69" s="134">
        <v>12.25</v>
      </c>
      <c r="H69" s="134">
        <v>10.74</v>
      </c>
      <c r="I69" s="134">
        <v>5.09</v>
      </c>
      <c r="J69" s="134">
        <v>0.4</v>
      </c>
      <c r="K69" s="134">
        <v>253.79</v>
      </c>
      <c r="L69" s="134">
        <v>26.39</v>
      </c>
      <c r="M69" s="134">
        <v>98.91</v>
      </c>
      <c r="N69" s="134">
        <v>113.7</v>
      </c>
      <c r="O69" s="134">
        <v>0</v>
      </c>
      <c r="P69" s="134">
        <v>0.6</v>
      </c>
      <c r="Q69" s="134">
        <v>5.16</v>
      </c>
    </row>
    <row r="70" spans="1:17" customFormat="1">
      <c r="A70" s="112" t="s">
        <v>2602</v>
      </c>
      <c r="B70" s="134">
        <v>20.79</v>
      </c>
      <c r="C70" s="134">
        <v>38.11</v>
      </c>
      <c r="D70" s="134">
        <v>35.54</v>
      </c>
      <c r="E70" s="134">
        <v>6.11</v>
      </c>
      <c r="F70" s="134">
        <v>6.5</v>
      </c>
      <c r="G70" s="134">
        <v>12.25</v>
      </c>
      <c r="H70" s="134">
        <v>10.74</v>
      </c>
      <c r="I70" s="134">
        <v>5.15</v>
      </c>
      <c r="J70" s="134">
        <v>0.77</v>
      </c>
      <c r="K70" s="134">
        <v>262.18</v>
      </c>
      <c r="L70" s="134">
        <v>26.3</v>
      </c>
      <c r="M70" s="134">
        <v>96.15</v>
      </c>
      <c r="N70" s="134">
        <v>101.9</v>
      </c>
      <c r="O70" s="134">
        <v>0</v>
      </c>
      <c r="P70" s="134">
        <v>0.57999999999999996</v>
      </c>
      <c r="Q70" s="134">
        <v>5.08</v>
      </c>
    </row>
    <row r="71" spans="1:17" customFormat="1">
      <c r="A71" s="112" t="s">
        <v>2603</v>
      </c>
      <c r="B71" s="134">
        <v>21.35</v>
      </c>
      <c r="C71" s="134">
        <v>44.83</v>
      </c>
      <c r="D71" s="134">
        <v>39.5</v>
      </c>
      <c r="E71" s="134">
        <v>5.61</v>
      </c>
      <c r="F71" s="134">
        <v>3.86</v>
      </c>
      <c r="G71" s="134">
        <v>13.36</v>
      </c>
      <c r="H71" s="134">
        <v>9.83</v>
      </c>
      <c r="I71" s="134">
        <v>5.1100000000000003</v>
      </c>
      <c r="J71" s="134">
        <v>0.71</v>
      </c>
      <c r="K71" s="134">
        <v>263.88</v>
      </c>
      <c r="L71" s="134">
        <v>26.04</v>
      </c>
      <c r="M71" s="134">
        <v>93.44</v>
      </c>
      <c r="N71" s="134">
        <v>79.3</v>
      </c>
      <c r="O71" s="134">
        <v>0</v>
      </c>
      <c r="P71" s="134">
        <v>0.62</v>
      </c>
      <c r="Q71" s="134">
        <v>5.15</v>
      </c>
    </row>
    <row r="72" spans="1:17" customFormat="1">
      <c r="A72" s="112" t="s">
        <v>2604</v>
      </c>
      <c r="B72" s="134">
        <v>21.23</v>
      </c>
      <c r="C72" s="134">
        <v>42.35</v>
      </c>
      <c r="D72" s="134">
        <v>38.11</v>
      </c>
      <c r="E72" s="134">
        <v>5.87</v>
      </c>
      <c r="F72" s="134">
        <v>5.0999999999999996</v>
      </c>
      <c r="G72" s="134">
        <v>15.02</v>
      </c>
      <c r="H72" s="134">
        <v>9.0500000000000007</v>
      </c>
      <c r="I72" s="134">
        <v>5.18</v>
      </c>
      <c r="J72" s="134">
        <v>0.68</v>
      </c>
      <c r="K72" s="134">
        <v>276.27999999999997</v>
      </c>
      <c r="L72" s="134">
        <v>26.16</v>
      </c>
      <c r="M72" s="134">
        <v>93.32</v>
      </c>
      <c r="N72" s="134">
        <v>90.3</v>
      </c>
      <c r="O72" s="134">
        <v>0</v>
      </c>
      <c r="P72" s="134">
        <v>0.61</v>
      </c>
      <c r="Q72" s="134">
        <v>5.15</v>
      </c>
    </row>
    <row r="73" spans="1:17" customFormat="1">
      <c r="A73" s="112" t="s">
        <v>2605</v>
      </c>
      <c r="B73" s="134">
        <v>19.66</v>
      </c>
      <c r="C73" s="134">
        <v>37.700000000000003</v>
      </c>
      <c r="D73" s="134">
        <v>34.42</v>
      </c>
      <c r="E73" s="134">
        <v>5.43</v>
      </c>
      <c r="F73" s="134">
        <v>6.04</v>
      </c>
      <c r="G73" s="134">
        <v>15.02</v>
      </c>
      <c r="H73" s="134">
        <v>9.0500000000000007</v>
      </c>
      <c r="I73" s="134">
        <v>5.23</v>
      </c>
      <c r="J73" s="134">
        <v>0.48</v>
      </c>
      <c r="K73" s="134">
        <v>257.33</v>
      </c>
      <c r="L73" s="134">
        <v>26.23</v>
      </c>
      <c r="M73" s="134">
        <v>93.85</v>
      </c>
      <c r="N73" s="134">
        <v>67.099999999999994</v>
      </c>
      <c r="O73" s="134">
        <v>0</v>
      </c>
      <c r="P73" s="134">
        <v>0.61</v>
      </c>
      <c r="Q73" s="134">
        <v>5.04</v>
      </c>
    </row>
    <row r="74" spans="1:17" customFormat="1">
      <c r="A74" s="112" t="s">
        <v>2606</v>
      </c>
      <c r="B74" s="134">
        <v>20.54</v>
      </c>
      <c r="C74" s="134">
        <v>43.25</v>
      </c>
      <c r="D74" s="134">
        <v>38.020000000000003</v>
      </c>
      <c r="E74" s="134">
        <v>5.45</v>
      </c>
      <c r="F74" s="134">
        <v>3.93</v>
      </c>
      <c r="G74" s="134">
        <v>15.02</v>
      </c>
      <c r="H74" s="134">
        <v>9.0500000000000007</v>
      </c>
      <c r="I74" s="134">
        <v>5.21</v>
      </c>
      <c r="J74" s="134">
        <v>0.49</v>
      </c>
      <c r="K74" s="134">
        <v>265.10000000000002</v>
      </c>
      <c r="L74" s="134">
        <v>26.19</v>
      </c>
      <c r="M74" s="134">
        <v>94.62</v>
      </c>
      <c r="N74" s="134">
        <v>39.1</v>
      </c>
      <c r="O74" s="134">
        <v>0</v>
      </c>
      <c r="P74" s="134">
        <v>0.66</v>
      </c>
      <c r="Q74" s="134">
        <v>5.1100000000000003</v>
      </c>
    </row>
    <row r="75" spans="1:17" customFormat="1">
      <c r="A75" s="112" t="s">
        <v>2607</v>
      </c>
      <c r="B75" s="134">
        <v>19.78</v>
      </c>
      <c r="C75" s="134">
        <v>39.72</v>
      </c>
      <c r="D75" s="134">
        <v>35.57</v>
      </c>
      <c r="E75" s="134">
        <v>6.54</v>
      </c>
      <c r="F75" s="134">
        <v>6.14</v>
      </c>
      <c r="G75" s="134">
        <v>16.61</v>
      </c>
      <c r="H75" s="134">
        <v>10.35</v>
      </c>
      <c r="I75" s="134">
        <v>5.36</v>
      </c>
      <c r="J75" s="134">
        <v>0.54</v>
      </c>
      <c r="K75" s="134">
        <v>263.64</v>
      </c>
      <c r="L75" s="134">
        <v>26.05</v>
      </c>
      <c r="M75" s="134">
        <v>94.74</v>
      </c>
      <c r="N75" s="134">
        <v>34</v>
      </c>
      <c r="O75" s="134">
        <v>0</v>
      </c>
      <c r="P75" s="134">
        <v>0.7</v>
      </c>
      <c r="Q75" s="134">
        <v>5.15</v>
      </c>
    </row>
    <row r="76" spans="1:17" customFormat="1">
      <c r="A76" s="112" t="s">
        <v>2608</v>
      </c>
      <c r="B76" s="134">
        <v>19.12</v>
      </c>
      <c r="C76" s="134">
        <v>35.25</v>
      </c>
      <c r="D76" s="134">
        <v>32.700000000000003</v>
      </c>
      <c r="E76" s="134">
        <v>6.23</v>
      </c>
      <c r="F76" s="134">
        <v>7.91</v>
      </c>
      <c r="G76" s="134">
        <v>18.989999999999998</v>
      </c>
      <c r="H76" s="134">
        <v>11.5</v>
      </c>
      <c r="I76" s="134">
        <v>5.61</v>
      </c>
      <c r="J76" s="134">
        <v>0.61</v>
      </c>
      <c r="K76" s="134">
        <v>276.08999999999997</v>
      </c>
      <c r="L76" s="134">
        <v>25.93</v>
      </c>
      <c r="M76" s="134">
        <v>95.18</v>
      </c>
      <c r="N76" s="134">
        <v>15.7</v>
      </c>
      <c r="O76" s="134">
        <v>0</v>
      </c>
      <c r="P76" s="134">
        <v>0.65</v>
      </c>
      <c r="Q76" s="134">
        <v>5.0199999999999996</v>
      </c>
    </row>
    <row r="77" spans="1:17" customFormat="1">
      <c r="A77" s="112" t="s">
        <v>2609</v>
      </c>
      <c r="B77" s="134">
        <v>20.05</v>
      </c>
      <c r="C77" s="134">
        <v>41.75</v>
      </c>
      <c r="D77" s="134">
        <v>36.85</v>
      </c>
      <c r="E77" s="134">
        <v>5.61</v>
      </c>
      <c r="F77" s="134">
        <v>4.76</v>
      </c>
      <c r="G77" s="134">
        <v>18.989999999999998</v>
      </c>
      <c r="H77" s="134">
        <v>11.5</v>
      </c>
      <c r="I77" s="134">
        <v>5.69</v>
      </c>
      <c r="J77" s="134">
        <v>0.65</v>
      </c>
      <c r="K77" s="134">
        <v>303.60000000000002</v>
      </c>
      <c r="L77" s="134">
        <v>25.93</v>
      </c>
      <c r="M77" s="134">
        <v>95.74</v>
      </c>
      <c r="N77" s="134">
        <v>25.3</v>
      </c>
      <c r="O77" s="134">
        <v>0</v>
      </c>
      <c r="P77" s="134">
        <v>0.69</v>
      </c>
      <c r="Q77" s="134">
        <v>5.03</v>
      </c>
    </row>
    <row r="78" spans="1:17" customFormat="1">
      <c r="A78" s="112" t="s">
        <v>2610</v>
      </c>
      <c r="B78" s="134">
        <v>20.34</v>
      </c>
      <c r="C78" s="134">
        <v>42.83</v>
      </c>
      <c r="D78" s="134">
        <v>37.64</v>
      </c>
      <c r="E78" s="134">
        <v>5.78</v>
      </c>
      <c r="F78" s="134">
        <v>4.7</v>
      </c>
      <c r="G78" s="134">
        <v>18.989999999999998</v>
      </c>
      <c r="H78" s="134">
        <v>11.5</v>
      </c>
      <c r="I78" s="134">
        <v>5.65</v>
      </c>
      <c r="J78" s="134">
        <v>0.55000000000000004</v>
      </c>
      <c r="K78" s="134">
        <v>309.58999999999997</v>
      </c>
      <c r="L78" s="134">
        <v>25.94</v>
      </c>
      <c r="M78" s="134">
        <v>96.2</v>
      </c>
      <c r="N78" s="134">
        <v>11.1</v>
      </c>
      <c r="O78" s="134">
        <v>0</v>
      </c>
      <c r="P78" s="134">
        <v>0.72</v>
      </c>
      <c r="Q78" s="134">
        <v>5.1100000000000003</v>
      </c>
    </row>
    <row r="79" spans="1:17" customFormat="1">
      <c r="A79" s="112" t="s">
        <v>2611</v>
      </c>
      <c r="B79" s="134">
        <v>19.2</v>
      </c>
      <c r="C79" s="134">
        <v>37.53</v>
      </c>
      <c r="D79" s="134">
        <v>33.96</v>
      </c>
      <c r="E79" s="134">
        <v>5.96</v>
      </c>
      <c r="F79" s="134">
        <v>6.34</v>
      </c>
      <c r="G79" s="134">
        <v>20.11</v>
      </c>
      <c r="H79" s="134">
        <v>11.02</v>
      </c>
      <c r="I79" s="134">
        <v>5.77</v>
      </c>
      <c r="J79" s="134">
        <v>0.48</v>
      </c>
      <c r="K79" s="134">
        <v>259.79000000000002</v>
      </c>
      <c r="L79" s="134">
        <v>25.9</v>
      </c>
      <c r="M79" s="134">
        <v>96.44</v>
      </c>
      <c r="N79" s="134">
        <v>18.399999999999999</v>
      </c>
      <c r="O79" s="134">
        <v>0</v>
      </c>
      <c r="P79" s="134">
        <v>0.76</v>
      </c>
      <c r="Q79" s="134">
        <v>5.05</v>
      </c>
    </row>
    <row r="80" spans="1:17" customFormat="1">
      <c r="A80" s="112" t="s">
        <v>2612</v>
      </c>
      <c r="B80" s="134">
        <v>20.22</v>
      </c>
      <c r="C80" s="134">
        <v>40.86</v>
      </c>
      <c r="D80" s="134">
        <v>36.520000000000003</v>
      </c>
      <c r="E80" s="134">
        <v>5.77</v>
      </c>
      <c r="F80" s="134">
        <v>4.8</v>
      </c>
      <c r="G80" s="134">
        <v>21.79</v>
      </c>
      <c r="H80" s="134">
        <v>10.6</v>
      </c>
      <c r="I80" s="134">
        <v>5.97</v>
      </c>
      <c r="J80" s="134">
        <v>0.38</v>
      </c>
      <c r="K80" s="134">
        <v>251.04</v>
      </c>
      <c r="L80" s="134">
        <v>25.94</v>
      </c>
      <c r="M80" s="134">
        <v>96.74</v>
      </c>
      <c r="N80" s="134">
        <v>11.9</v>
      </c>
      <c r="O80" s="134">
        <v>0</v>
      </c>
      <c r="P80" s="134">
        <v>0.72</v>
      </c>
      <c r="Q80" s="134">
        <v>5.04</v>
      </c>
    </row>
    <row r="81" spans="1:17" customFormat="1">
      <c r="A81" s="112" t="s">
        <v>2613</v>
      </c>
      <c r="B81" s="134">
        <v>20.63</v>
      </c>
      <c r="C81" s="134">
        <v>43.89</v>
      </c>
      <c r="D81" s="134">
        <v>38.43</v>
      </c>
      <c r="E81" s="134">
        <v>4.93</v>
      </c>
      <c r="F81" s="134">
        <v>4.04</v>
      </c>
      <c r="G81" s="134">
        <v>21.79</v>
      </c>
      <c r="H81" s="134">
        <v>10.6</v>
      </c>
      <c r="I81" s="134">
        <v>6.15</v>
      </c>
      <c r="J81" s="134">
        <v>0.45</v>
      </c>
      <c r="K81" s="134">
        <v>259.75</v>
      </c>
      <c r="L81" s="134">
        <v>25.95</v>
      </c>
      <c r="M81" s="134">
        <v>96.66</v>
      </c>
      <c r="N81" s="134">
        <v>4.0999999999999996</v>
      </c>
      <c r="O81" s="134">
        <v>0</v>
      </c>
      <c r="P81" s="134">
        <v>0.79</v>
      </c>
      <c r="Q81" s="134">
        <v>5.15</v>
      </c>
    </row>
    <row r="82" spans="1:17" customFormat="1">
      <c r="A82" s="112" t="s">
        <v>2614</v>
      </c>
      <c r="B82" s="134">
        <v>20.05</v>
      </c>
      <c r="C82" s="134">
        <v>39.47</v>
      </c>
      <c r="D82" s="134">
        <v>35.65</v>
      </c>
      <c r="E82" s="134">
        <v>5.67</v>
      </c>
      <c r="F82" s="134">
        <v>5.88</v>
      </c>
      <c r="G82" s="134">
        <v>21.79</v>
      </c>
      <c r="H82" s="134">
        <v>10.6</v>
      </c>
      <c r="I82" s="134">
        <v>6.23</v>
      </c>
      <c r="J82" s="134">
        <v>0.5</v>
      </c>
      <c r="K82" s="134">
        <v>258.33</v>
      </c>
      <c r="L82" s="134">
        <v>25.96</v>
      </c>
      <c r="M82" s="134">
        <v>96.37</v>
      </c>
      <c r="N82" s="134">
        <v>0</v>
      </c>
      <c r="O82" s="134">
        <v>0</v>
      </c>
      <c r="P82" s="134">
        <v>0.75</v>
      </c>
      <c r="Q82" s="134">
        <v>5.09</v>
      </c>
    </row>
    <row r="83" spans="1:17" customFormat="1">
      <c r="A83" s="112" t="s">
        <v>2615</v>
      </c>
      <c r="B83" s="134">
        <v>20.329999999999998</v>
      </c>
      <c r="C83" s="134">
        <v>40.880000000000003</v>
      </c>
      <c r="D83" s="134">
        <v>36.619999999999997</v>
      </c>
      <c r="E83" s="134">
        <v>5.69</v>
      </c>
      <c r="F83" s="134">
        <v>4.75</v>
      </c>
      <c r="G83" s="134">
        <v>21.66</v>
      </c>
      <c r="H83" s="134">
        <v>11.4</v>
      </c>
      <c r="I83" s="134">
        <v>6.22</v>
      </c>
      <c r="J83" s="134">
        <v>0.4</v>
      </c>
      <c r="K83" s="134">
        <v>270.52999999999997</v>
      </c>
      <c r="L83" s="134">
        <v>25.94</v>
      </c>
      <c r="M83" s="134">
        <v>96.39</v>
      </c>
      <c r="N83" s="134">
        <v>0</v>
      </c>
      <c r="O83" s="134">
        <v>0</v>
      </c>
      <c r="P83" s="134">
        <v>0.77</v>
      </c>
      <c r="Q83" s="134">
        <v>5.0199999999999996</v>
      </c>
    </row>
    <row r="84" spans="1:17" customFormat="1">
      <c r="A84" s="112" t="s">
        <v>2616</v>
      </c>
      <c r="B84" s="134">
        <v>20.29</v>
      </c>
      <c r="C84" s="134">
        <v>42.56</v>
      </c>
      <c r="D84" s="134">
        <v>37.46</v>
      </c>
      <c r="E84" s="134">
        <v>5.65</v>
      </c>
      <c r="F84" s="134">
        <v>4.57</v>
      </c>
      <c r="G84" s="134">
        <v>21.46</v>
      </c>
      <c r="H84" s="134">
        <v>12.1</v>
      </c>
      <c r="I84" s="134">
        <v>6.13</v>
      </c>
      <c r="J84" s="134">
        <v>0.53</v>
      </c>
      <c r="K84" s="134">
        <v>260.11</v>
      </c>
      <c r="L84" s="134">
        <v>25.98</v>
      </c>
      <c r="M84" s="134">
        <v>96.48</v>
      </c>
      <c r="N84" s="134">
        <v>0</v>
      </c>
      <c r="O84" s="134">
        <v>0</v>
      </c>
      <c r="P84" s="134">
        <v>0.75</v>
      </c>
      <c r="Q84" s="134">
        <v>5.08</v>
      </c>
    </row>
    <row r="85" spans="1:17" customFormat="1">
      <c r="A85" s="112" t="s">
        <v>2617</v>
      </c>
      <c r="B85" s="134">
        <v>18.149999999999999</v>
      </c>
      <c r="C85" s="134">
        <v>34.659999999999997</v>
      </c>
      <c r="D85" s="134">
        <v>31.62</v>
      </c>
      <c r="E85" s="134">
        <v>5.43</v>
      </c>
      <c r="F85" s="134">
        <v>7.93</v>
      </c>
      <c r="G85" s="134">
        <v>21.46</v>
      </c>
      <c r="H85" s="134">
        <v>12.1</v>
      </c>
      <c r="I85" s="134">
        <v>6.11</v>
      </c>
      <c r="J85" s="134">
        <v>0.5</v>
      </c>
      <c r="K85" s="134">
        <v>263.41000000000003</v>
      </c>
      <c r="L85" s="134">
        <v>26.01</v>
      </c>
      <c r="M85" s="134">
        <v>96.44</v>
      </c>
      <c r="N85" s="134">
        <v>0</v>
      </c>
      <c r="O85" s="134">
        <v>0</v>
      </c>
      <c r="P85" s="134">
        <v>0.69</v>
      </c>
      <c r="Q85" s="134">
        <v>4.9800000000000004</v>
      </c>
    </row>
    <row r="86" spans="1:17" customFormat="1">
      <c r="A86" s="112" t="s">
        <v>2618</v>
      </c>
      <c r="B86" s="134">
        <v>18.829999999999998</v>
      </c>
      <c r="C86" s="134">
        <v>38.17</v>
      </c>
      <c r="D86" s="134">
        <v>33.99</v>
      </c>
      <c r="E86" s="134">
        <v>4.93</v>
      </c>
      <c r="F86" s="134">
        <v>5.93</v>
      </c>
      <c r="G86" s="134">
        <v>21.46</v>
      </c>
      <c r="H86" s="134">
        <v>12.1</v>
      </c>
      <c r="I86" s="134">
        <v>5.92</v>
      </c>
      <c r="J86" s="134">
        <v>0.44</v>
      </c>
      <c r="K86" s="134">
        <v>247.99</v>
      </c>
      <c r="L86" s="134">
        <v>26</v>
      </c>
      <c r="M86" s="134">
        <v>96.42</v>
      </c>
      <c r="N86" s="134">
        <v>0</v>
      </c>
      <c r="O86" s="134">
        <v>0</v>
      </c>
      <c r="P86" s="134">
        <v>0.72</v>
      </c>
      <c r="Q86" s="134">
        <v>4.92</v>
      </c>
    </row>
    <row r="87" spans="1:17" customFormat="1">
      <c r="A87" s="112" t="s">
        <v>2619</v>
      </c>
      <c r="B87" s="134">
        <v>18.28</v>
      </c>
      <c r="C87" s="134">
        <v>39.729999999999997</v>
      </c>
      <c r="D87" s="134">
        <v>34.369999999999997</v>
      </c>
      <c r="E87" s="134">
        <v>5.75</v>
      </c>
      <c r="F87" s="134">
        <v>5.96</v>
      </c>
      <c r="G87" s="134">
        <v>21.59</v>
      </c>
      <c r="H87" s="134">
        <v>11.94</v>
      </c>
      <c r="I87" s="134">
        <v>5.68</v>
      </c>
      <c r="J87" s="134">
        <v>0.55000000000000004</v>
      </c>
      <c r="K87" s="134">
        <v>264.35000000000002</v>
      </c>
      <c r="L87" s="134">
        <v>25.97</v>
      </c>
      <c r="M87" s="134">
        <v>96.28</v>
      </c>
      <c r="N87" s="134">
        <v>0</v>
      </c>
      <c r="O87" s="134">
        <v>0</v>
      </c>
      <c r="P87" s="134">
        <v>0.71</v>
      </c>
      <c r="Q87" s="134">
        <v>5.05</v>
      </c>
    </row>
    <row r="88" spans="1:17" customFormat="1">
      <c r="A88" s="112" t="s">
        <v>2620</v>
      </c>
      <c r="B88" s="134">
        <v>18.47</v>
      </c>
      <c r="C88" s="134">
        <v>39</v>
      </c>
      <c r="D88" s="134">
        <v>34.14</v>
      </c>
      <c r="E88" s="134">
        <v>5.34</v>
      </c>
      <c r="F88" s="134">
        <v>6.19</v>
      </c>
      <c r="G88" s="134">
        <v>21.78</v>
      </c>
      <c r="H88" s="134">
        <v>11.57</v>
      </c>
      <c r="I88" s="134">
        <v>5.8</v>
      </c>
      <c r="J88" s="134">
        <v>0.78</v>
      </c>
      <c r="K88" s="134">
        <v>254.97</v>
      </c>
      <c r="L88" s="134">
        <v>25.96</v>
      </c>
      <c r="M88" s="134">
        <v>95.83</v>
      </c>
      <c r="N88" s="134">
        <v>0</v>
      </c>
      <c r="O88" s="134">
        <v>0</v>
      </c>
      <c r="P88" s="134">
        <v>0.7</v>
      </c>
      <c r="Q88" s="134">
        <v>5</v>
      </c>
    </row>
    <row r="89" spans="1:17" customFormat="1">
      <c r="A89" s="112" t="s">
        <v>2621</v>
      </c>
      <c r="B89" s="134">
        <v>19.12</v>
      </c>
      <c r="C89" s="134">
        <v>41.52</v>
      </c>
      <c r="D89" s="134">
        <v>35.979999999999997</v>
      </c>
      <c r="E89" s="134">
        <v>5.65</v>
      </c>
      <c r="F89" s="134">
        <v>4.87</v>
      </c>
      <c r="G89" s="134">
        <v>21.78</v>
      </c>
      <c r="H89" s="134">
        <v>11.57</v>
      </c>
      <c r="I89" s="134">
        <v>5.74</v>
      </c>
      <c r="J89" s="134">
        <v>0.62</v>
      </c>
      <c r="K89" s="134">
        <v>258.61</v>
      </c>
      <c r="L89" s="134">
        <v>25.96</v>
      </c>
      <c r="M89" s="134">
        <v>95.64</v>
      </c>
      <c r="N89" s="134">
        <v>0</v>
      </c>
      <c r="O89" s="134">
        <v>0</v>
      </c>
      <c r="P89" s="134">
        <v>0.71</v>
      </c>
      <c r="Q89" s="134">
        <v>5.04</v>
      </c>
    </row>
    <row r="90" spans="1:17" customFormat="1">
      <c r="A90" s="112" t="s">
        <v>2622</v>
      </c>
      <c r="B90" s="134">
        <v>18.670000000000002</v>
      </c>
      <c r="C90" s="134">
        <v>36.92</v>
      </c>
      <c r="D90" s="134">
        <v>33.21</v>
      </c>
      <c r="E90" s="134">
        <v>5.54</v>
      </c>
      <c r="F90" s="134">
        <v>6.42</v>
      </c>
      <c r="G90" s="134">
        <v>21.78</v>
      </c>
      <c r="H90" s="134">
        <v>11.57</v>
      </c>
      <c r="I90" s="134">
        <v>5.71</v>
      </c>
      <c r="J90" s="134">
        <v>0.8</v>
      </c>
      <c r="K90" s="134">
        <v>257.36</v>
      </c>
      <c r="L90" s="134">
        <v>25.99</v>
      </c>
      <c r="M90" s="134">
        <v>95.24</v>
      </c>
      <c r="N90" s="134">
        <v>0</v>
      </c>
      <c r="O90" s="134">
        <v>0</v>
      </c>
      <c r="P90" s="134">
        <v>0.66</v>
      </c>
      <c r="Q90" s="134">
        <v>4.96</v>
      </c>
    </row>
    <row r="91" spans="1:17" customFormat="1">
      <c r="A91" s="112" t="s">
        <v>2623</v>
      </c>
      <c r="B91" s="134">
        <v>18.600000000000001</v>
      </c>
      <c r="C91" s="134">
        <v>38.83</v>
      </c>
      <c r="D91" s="134">
        <v>34.159999999999997</v>
      </c>
      <c r="E91" s="134">
        <v>5.35</v>
      </c>
      <c r="F91" s="134">
        <v>5.04</v>
      </c>
      <c r="G91" s="134">
        <v>19.64</v>
      </c>
      <c r="H91" s="134">
        <v>10.68</v>
      </c>
      <c r="I91" s="134">
        <v>5.71</v>
      </c>
      <c r="J91" s="134">
        <v>0.79</v>
      </c>
      <c r="K91" s="134">
        <v>260.08999999999997</v>
      </c>
      <c r="L91" s="134">
        <v>26.04</v>
      </c>
      <c r="M91" s="134">
        <v>94.92</v>
      </c>
      <c r="N91" s="134">
        <v>0</v>
      </c>
      <c r="O91" s="134">
        <v>0</v>
      </c>
      <c r="P91" s="134">
        <v>0.67</v>
      </c>
      <c r="Q91" s="134">
        <v>4.8899999999999997</v>
      </c>
    </row>
    <row r="92" spans="1:17" customFormat="1">
      <c r="A92" s="112" t="s">
        <v>2624</v>
      </c>
      <c r="B92" s="134">
        <v>18.45</v>
      </c>
      <c r="C92" s="134">
        <v>43.02</v>
      </c>
      <c r="D92" s="134">
        <v>36.229999999999997</v>
      </c>
      <c r="E92" s="134">
        <v>5.66</v>
      </c>
      <c r="F92" s="134">
        <v>3.79</v>
      </c>
      <c r="G92" s="134">
        <v>16.43</v>
      </c>
      <c r="H92" s="134">
        <v>9.92</v>
      </c>
      <c r="I92" s="134">
        <v>5.53</v>
      </c>
      <c r="J92" s="134">
        <v>0.79</v>
      </c>
      <c r="K92" s="134">
        <v>255.73</v>
      </c>
      <c r="L92" s="134">
        <v>26.1</v>
      </c>
      <c r="M92" s="134">
        <v>94.36</v>
      </c>
      <c r="N92" s="134">
        <v>0</v>
      </c>
      <c r="O92" s="134">
        <v>0</v>
      </c>
      <c r="P92" s="134">
        <v>0.69</v>
      </c>
      <c r="Q92" s="134">
        <v>4.99</v>
      </c>
    </row>
    <row r="93" spans="1:17" customFormat="1">
      <c r="A93" s="112" t="s">
        <v>2625</v>
      </c>
      <c r="B93" s="134">
        <v>17.850000000000001</v>
      </c>
      <c r="C93" s="134">
        <v>36.21</v>
      </c>
      <c r="D93" s="134">
        <v>32.19</v>
      </c>
      <c r="E93" s="134">
        <v>5.55</v>
      </c>
      <c r="F93" s="134">
        <v>5.84</v>
      </c>
      <c r="G93" s="134">
        <v>16.43</v>
      </c>
      <c r="H93" s="134">
        <v>9.92</v>
      </c>
      <c r="I93" s="134">
        <v>5.58</v>
      </c>
      <c r="J93" s="134">
        <v>0.74</v>
      </c>
      <c r="K93" s="134">
        <v>256.49</v>
      </c>
      <c r="L93" s="134">
        <v>26.12</v>
      </c>
      <c r="M93" s="134">
        <v>94.43</v>
      </c>
      <c r="N93" s="134">
        <v>0</v>
      </c>
      <c r="O93" s="134">
        <v>0</v>
      </c>
      <c r="P93" s="134">
        <v>0.65</v>
      </c>
      <c r="Q93" s="134">
        <v>4.9400000000000004</v>
      </c>
    </row>
    <row r="94" spans="1:17" customFormat="1">
      <c r="A94" s="112" t="s">
        <v>2626</v>
      </c>
      <c r="B94" s="134">
        <v>16.55</v>
      </c>
      <c r="C94" s="134">
        <v>34.21</v>
      </c>
      <c r="D94" s="134">
        <v>30.1</v>
      </c>
      <c r="E94" s="134">
        <v>5.24</v>
      </c>
      <c r="F94" s="134">
        <v>6.25</v>
      </c>
      <c r="G94" s="134">
        <v>16.43</v>
      </c>
      <c r="H94" s="134">
        <v>9.92</v>
      </c>
      <c r="I94" s="134">
        <v>5.53</v>
      </c>
      <c r="J94" s="134">
        <v>0.51</v>
      </c>
      <c r="K94" s="134">
        <v>250.05</v>
      </c>
      <c r="L94" s="134">
        <v>26.1</v>
      </c>
      <c r="M94" s="134">
        <v>94.67</v>
      </c>
      <c r="N94" s="134">
        <v>0</v>
      </c>
      <c r="O94" s="134">
        <v>0</v>
      </c>
      <c r="P94" s="134">
        <v>0.63</v>
      </c>
      <c r="Q94" s="134">
        <v>4.83</v>
      </c>
    </row>
    <row r="95" spans="1:17" customFormat="1">
      <c r="A95" s="112" t="s">
        <v>2627</v>
      </c>
      <c r="B95" s="134">
        <v>17.5</v>
      </c>
      <c r="C95" s="134">
        <v>41.1</v>
      </c>
      <c r="D95" s="134">
        <v>34.46</v>
      </c>
      <c r="E95" s="134">
        <v>5.14</v>
      </c>
      <c r="F95" s="134">
        <v>4.1100000000000003</v>
      </c>
      <c r="G95" s="134">
        <v>18.11</v>
      </c>
      <c r="H95" s="134">
        <v>11.04</v>
      </c>
      <c r="I95" s="134">
        <v>5.28</v>
      </c>
      <c r="J95" s="134">
        <v>0.57999999999999996</v>
      </c>
      <c r="K95" s="134">
        <v>254.63</v>
      </c>
      <c r="L95" s="134">
        <v>25.98</v>
      </c>
      <c r="M95" s="134">
        <v>95.6</v>
      </c>
      <c r="N95" s="134">
        <v>0</v>
      </c>
      <c r="O95" s="134">
        <v>0</v>
      </c>
      <c r="P95" s="134">
        <v>0.67</v>
      </c>
      <c r="Q95" s="134">
        <v>4.9000000000000004</v>
      </c>
    </row>
    <row r="96" spans="1:17" customFormat="1">
      <c r="A96" s="112" t="s">
        <v>2628</v>
      </c>
      <c r="B96" s="134">
        <v>16.96</v>
      </c>
      <c r="C96" s="134">
        <v>37.86</v>
      </c>
      <c r="D96" s="134">
        <v>32.33</v>
      </c>
      <c r="E96" s="134">
        <v>5.03</v>
      </c>
      <c r="F96" s="134">
        <v>6.09</v>
      </c>
      <c r="G96" s="134">
        <v>20.5</v>
      </c>
      <c r="H96" s="134">
        <v>12.04</v>
      </c>
      <c r="I96" s="134">
        <v>5.31</v>
      </c>
      <c r="J96" s="134">
        <v>0.47</v>
      </c>
      <c r="K96" s="134">
        <v>248.01</v>
      </c>
      <c r="L96" s="134">
        <v>25.97</v>
      </c>
      <c r="M96" s="134">
        <v>95.79</v>
      </c>
      <c r="N96" s="134">
        <v>0</v>
      </c>
      <c r="O96" s="134">
        <v>0</v>
      </c>
      <c r="P96" s="134">
        <v>0.62</v>
      </c>
      <c r="Q96" s="134">
        <v>4.91</v>
      </c>
    </row>
    <row r="97" spans="1:22" customFormat="1">
      <c r="A97" s="112" t="s">
        <v>2629</v>
      </c>
      <c r="B97" s="134">
        <v>16.89</v>
      </c>
      <c r="C97" s="134">
        <v>36.94</v>
      </c>
      <c r="D97" s="134">
        <v>31.8</v>
      </c>
      <c r="E97" s="134">
        <v>5.31</v>
      </c>
      <c r="F97" s="134">
        <v>6.25</v>
      </c>
      <c r="G97" s="134">
        <v>20.5</v>
      </c>
      <c r="H97" s="134">
        <v>12.04</v>
      </c>
      <c r="I97" s="134">
        <v>5.31</v>
      </c>
      <c r="J97" s="134">
        <v>0.48</v>
      </c>
      <c r="K97" s="134">
        <v>251.92</v>
      </c>
      <c r="L97" s="134">
        <v>25.97</v>
      </c>
      <c r="M97" s="134">
        <v>95.94</v>
      </c>
      <c r="N97" s="134">
        <v>0</v>
      </c>
      <c r="O97" s="134">
        <v>0</v>
      </c>
      <c r="P97" s="134">
        <v>0.62</v>
      </c>
      <c r="Q97" s="134">
        <v>4.8099999999999996</v>
      </c>
    </row>
    <row r="98" spans="1:22" customFormat="1">
      <c r="A98" s="112" t="s">
        <v>2630</v>
      </c>
      <c r="B98" s="134">
        <v>17.52</v>
      </c>
      <c r="C98" s="134">
        <v>41.48</v>
      </c>
      <c r="D98" s="134">
        <v>34.68</v>
      </c>
      <c r="E98" s="134">
        <v>5.28</v>
      </c>
      <c r="F98" s="134">
        <v>4.5599999999999996</v>
      </c>
      <c r="G98" s="134">
        <v>20.5</v>
      </c>
      <c r="H98" s="134">
        <v>12.04</v>
      </c>
      <c r="I98" s="134">
        <v>5.07</v>
      </c>
      <c r="J98" s="134">
        <v>0.42</v>
      </c>
      <c r="K98" s="134">
        <v>248.68</v>
      </c>
      <c r="L98" s="134">
        <v>25.98</v>
      </c>
      <c r="M98" s="134">
        <v>95.91</v>
      </c>
      <c r="N98" s="134">
        <v>0</v>
      </c>
      <c r="O98" s="134">
        <v>0</v>
      </c>
      <c r="P98" s="134">
        <v>0.65</v>
      </c>
      <c r="Q98" s="134">
        <v>4.9000000000000004</v>
      </c>
    </row>
    <row r="99" spans="1:22" customFormat="1">
      <c r="A99" s="112" t="s">
        <v>2631</v>
      </c>
      <c r="B99" s="134">
        <v>16.22</v>
      </c>
      <c r="C99" s="134">
        <v>34.729999999999997</v>
      </c>
      <c r="D99" s="134">
        <v>30.11</v>
      </c>
      <c r="E99" s="134">
        <v>5.42</v>
      </c>
      <c r="F99" s="134">
        <v>7.51</v>
      </c>
      <c r="G99" s="134">
        <v>21.09</v>
      </c>
      <c r="H99" s="134">
        <v>11.6</v>
      </c>
      <c r="I99" s="134">
        <v>5.13</v>
      </c>
      <c r="J99" s="134">
        <v>0.48</v>
      </c>
      <c r="K99" s="134">
        <v>251.72</v>
      </c>
      <c r="L99" s="134">
        <v>26.09</v>
      </c>
      <c r="M99" s="134">
        <v>95.15</v>
      </c>
      <c r="N99" s="134">
        <v>0</v>
      </c>
      <c r="O99" s="134">
        <v>0</v>
      </c>
      <c r="P99" s="134">
        <v>0.6</v>
      </c>
      <c r="Q99" s="134">
        <v>4.88</v>
      </c>
    </row>
    <row r="100" spans="1:22" customFormat="1">
      <c r="A100" s="112" t="s">
        <v>2632</v>
      </c>
      <c r="B100" s="134">
        <v>16.47</v>
      </c>
      <c r="C100" s="134">
        <v>34.869999999999997</v>
      </c>
      <c r="D100" s="134">
        <v>30.39</v>
      </c>
      <c r="E100" s="134">
        <v>5.63</v>
      </c>
      <c r="F100" s="134">
        <v>6.81</v>
      </c>
      <c r="G100" s="134">
        <v>21.96</v>
      </c>
      <c r="H100" s="134">
        <v>11.21</v>
      </c>
      <c r="I100" s="134">
        <v>5.0999999999999996</v>
      </c>
      <c r="J100" s="134">
        <v>0.44</v>
      </c>
      <c r="K100" s="134">
        <v>252.26</v>
      </c>
      <c r="L100" s="134">
        <v>26.07</v>
      </c>
      <c r="M100" s="134">
        <v>95.14</v>
      </c>
      <c r="N100" s="134">
        <v>0</v>
      </c>
      <c r="O100" s="134">
        <v>0</v>
      </c>
      <c r="P100" s="134">
        <v>0.57999999999999996</v>
      </c>
      <c r="Q100" s="134">
        <v>4.82</v>
      </c>
    </row>
    <row r="101" spans="1:22" customFormat="1">
      <c r="A101" s="112" t="s">
        <v>2633</v>
      </c>
      <c r="B101" s="134">
        <v>17.37</v>
      </c>
      <c r="C101" s="134">
        <v>41.81</v>
      </c>
      <c r="D101" s="134">
        <v>34.729999999999997</v>
      </c>
      <c r="E101" s="134">
        <v>5.79</v>
      </c>
      <c r="F101" s="134">
        <v>4.25</v>
      </c>
      <c r="G101" s="134">
        <v>21.96</v>
      </c>
      <c r="H101" s="134">
        <v>11.21</v>
      </c>
      <c r="I101" s="134">
        <v>4.8099999999999996</v>
      </c>
      <c r="J101" s="134">
        <v>0.4</v>
      </c>
      <c r="K101" s="134">
        <v>238.56</v>
      </c>
      <c r="L101" s="134">
        <v>26.01</v>
      </c>
      <c r="M101" s="134">
        <v>95.66</v>
      </c>
      <c r="N101" s="134">
        <v>0</v>
      </c>
      <c r="O101" s="134">
        <v>0</v>
      </c>
      <c r="P101" s="134">
        <v>0.63</v>
      </c>
      <c r="Q101" s="134">
        <v>4.91</v>
      </c>
    </row>
    <row r="102" spans="1:22" customFormat="1">
      <c r="A102" s="112" t="s">
        <v>2634</v>
      </c>
      <c r="B102" s="134">
        <v>17.52</v>
      </c>
      <c r="C102" s="134">
        <v>40.61</v>
      </c>
      <c r="D102" s="134">
        <v>34.22</v>
      </c>
      <c r="E102" s="134">
        <v>5.72</v>
      </c>
      <c r="F102" s="134">
        <v>5.01</v>
      </c>
      <c r="G102" s="134">
        <v>21.96</v>
      </c>
      <c r="H102" s="134">
        <v>11.21</v>
      </c>
      <c r="I102" s="134">
        <v>4.9000000000000004</v>
      </c>
      <c r="J102" s="134">
        <v>0.49</v>
      </c>
      <c r="K102" s="134">
        <v>252.45</v>
      </c>
      <c r="L102" s="134">
        <v>25.99</v>
      </c>
      <c r="M102" s="134">
        <v>95.71</v>
      </c>
      <c r="N102" s="134">
        <v>0</v>
      </c>
      <c r="O102" s="134">
        <v>0</v>
      </c>
      <c r="P102" s="134">
        <v>0.61</v>
      </c>
      <c r="Q102" s="134">
        <v>4.93</v>
      </c>
    </row>
    <row r="103" spans="1:22" customFormat="1">
      <c r="A103" s="112" t="s">
        <v>2635</v>
      </c>
      <c r="B103" s="134">
        <v>17.2</v>
      </c>
      <c r="C103" s="134">
        <v>35.4</v>
      </c>
      <c r="D103" s="134">
        <v>31.24</v>
      </c>
      <c r="E103" s="134">
        <v>5.28</v>
      </c>
      <c r="F103" s="134">
        <v>6.05</v>
      </c>
      <c r="G103" s="134">
        <v>22.02</v>
      </c>
      <c r="H103" s="134">
        <v>11.65</v>
      </c>
      <c r="I103" s="134">
        <v>5.04</v>
      </c>
      <c r="J103" s="134">
        <v>0.63</v>
      </c>
      <c r="K103" s="134">
        <v>260.22000000000003</v>
      </c>
      <c r="L103" s="134">
        <v>26.01</v>
      </c>
      <c r="M103" s="134">
        <v>95.58</v>
      </c>
      <c r="N103" s="134">
        <v>0</v>
      </c>
      <c r="O103" s="134">
        <v>0</v>
      </c>
      <c r="P103" s="134">
        <v>0.59</v>
      </c>
      <c r="Q103" s="134">
        <v>4.8899999999999997</v>
      </c>
    </row>
    <row r="104" spans="1:22" customFormat="1">
      <c r="A104" s="112" t="s">
        <v>2636</v>
      </c>
      <c r="B104" s="134">
        <v>16.43</v>
      </c>
      <c r="C104" s="134">
        <v>33.71</v>
      </c>
      <c r="D104" s="134">
        <v>29.74</v>
      </c>
      <c r="E104" s="134">
        <v>4.49</v>
      </c>
      <c r="F104" s="134">
        <v>6.63</v>
      </c>
      <c r="G104" s="134">
        <v>22.1</v>
      </c>
      <c r="H104" s="134">
        <v>12.02</v>
      </c>
      <c r="I104" s="134">
        <v>4.87</v>
      </c>
      <c r="J104" s="134">
        <v>0.72</v>
      </c>
      <c r="K104" s="134">
        <v>261.58999999999997</v>
      </c>
      <c r="L104" s="134">
        <v>26.06</v>
      </c>
      <c r="M104" s="134">
        <v>95.18</v>
      </c>
      <c r="N104" s="134">
        <v>0</v>
      </c>
      <c r="O104" s="134">
        <v>0</v>
      </c>
      <c r="P104" s="134">
        <v>0.55000000000000004</v>
      </c>
      <c r="Q104" s="134">
        <v>4.7699999999999996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9.16</v>
      </c>
      <c r="C106" s="183">
        <f>MIN(C9:C104)</f>
        <v>32.11</v>
      </c>
      <c r="D106" s="183">
        <f t="shared" ref="D106:Q106" si="0">MIN(D9:D104)</f>
        <v>23.37</v>
      </c>
      <c r="E106" s="183">
        <f t="shared" si="0"/>
        <v>3.85</v>
      </c>
      <c r="F106" s="183">
        <f t="shared" si="0"/>
        <v>3.29</v>
      </c>
      <c r="G106" s="183">
        <f t="shared" si="0"/>
        <v>12.05</v>
      </c>
      <c r="H106" s="183">
        <f t="shared" si="0"/>
        <v>6.65</v>
      </c>
      <c r="I106" s="183">
        <f t="shared" si="0"/>
        <v>3.44</v>
      </c>
      <c r="J106" s="183">
        <f t="shared" si="0"/>
        <v>0.14000000000000001</v>
      </c>
      <c r="K106" s="183">
        <f t="shared" si="0"/>
        <v>66.72</v>
      </c>
      <c r="L106" s="183">
        <f t="shared" si="0"/>
        <v>24.35</v>
      </c>
      <c r="M106" s="183">
        <f t="shared" si="0"/>
        <v>78.819999999999993</v>
      </c>
      <c r="N106" s="183">
        <f t="shared" si="0"/>
        <v>0</v>
      </c>
      <c r="O106" s="183">
        <f t="shared" si="0"/>
        <v>0</v>
      </c>
      <c r="P106" s="183">
        <f t="shared" si="0"/>
        <v>0.38</v>
      </c>
      <c r="Q106" s="183">
        <f t="shared" si="0"/>
        <v>4.32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23.32</v>
      </c>
      <c r="C107" s="184">
        <f t="shared" ref="C107:Q107" si="1">MAX(C9:C104)</f>
        <v>45.46</v>
      </c>
      <c r="D107" s="184">
        <f t="shared" si="1"/>
        <v>41.41</v>
      </c>
      <c r="E107" s="184">
        <f t="shared" si="1"/>
        <v>8.44</v>
      </c>
      <c r="F107" s="184">
        <f t="shared" si="1"/>
        <v>10.130000000000001</v>
      </c>
      <c r="G107" s="184">
        <f t="shared" si="1"/>
        <v>25.62</v>
      </c>
      <c r="H107" s="184">
        <f t="shared" si="1"/>
        <v>12.49</v>
      </c>
      <c r="I107" s="184">
        <f t="shared" si="1"/>
        <v>6.23</v>
      </c>
      <c r="J107" s="184">
        <f t="shared" si="1"/>
        <v>1.27</v>
      </c>
      <c r="K107" s="184">
        <f t="shared" si="1"/>
        <v>324.67</v>
      </c>
      <c r="L107" s="184">
        <f t="shared" si="1"/>
        <v>27.51</v>
      </c>
      <c r="M107" s="184">
        <f t="shared" si="1"/>
        <v>98.95</v>
      </c>
      <c r="N107" s="184">
        <f t="shared" si="1"/>
        <v>136.30000000000001</v>
      </c>
      <c r="O107" s="184">
        <f t="shared" si="1"/>
        <v>0</v>
      </c>
      <c r="P107" s="184">
        <f t="shared" si="1"/>
        <v>0.79</v>
      </c>
      <c r="Q107" s="184">
        <f t="shared" si="1"/>
        <v>5.28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16.673541666666662</v>
      </c>
      <c r="C108" s="183">
        <f t="shared" ref="C108:Q108" si="2">AVERAGE(C9:C104)</f>
        <v>38.925000000000004</v>
      </c>
      <c r="D108" s="183">
        <f t="shared" si="2"/>
        <v>32.66281249999998</v>
      </c>
      <c r="E108" s="183">
        <f t="shared" si="2"/>
        <v>5.369583333333332</v>
      </c>
      <c r="F108" s="183">
        <f t="shared" si="2"/>
        <v>5.2270833333333337</v>
      </c>
      <c r="G108" s="183">
        <f t="shared" si="2"/>
        <v>18.556562499999995</v>
      </c>
      <c r="H108" s="183">
        <f t="shared" si="2"/>
        <v>10.393020833333331</v>
      </c>
      <c r="I108" s="183">
        <f t="shared" si="2"/>
        <v>4.5867708333333335</v>
      </c>
      <c r="J108" s="183">
        <f t="shared" si="2"/>
        <v>0.57979166666666659</v>
      </c>
      <c r="K108" s="183">
        <f t="shared" si="2"/>
        <v>253.59125000000006</v>
      </c>
      <c r="L108" s="183">
        <f t="shared" si="2"/>
        <v>25.712395833333332</v>
      </c>
      <c r="M108" s="183">
        <f t="shared" si="2"/>
        <v>94.218854166666645</v>
      </c>
      <c r="N108" s="183">
        <f t="shared" si="2"/>
        <v>24.056249999999995</v>
      </c>
      <c r="O108" s="183">
        <f t="shared" si="2"/>
        <v>0</v>
      </c>
      <c r="P108" s="183">
        <f t="shared" si="2"/>
        <v>0.54812499999999986</v>
      </c>
      <c r="Q108" s="183">
        <f t="shared" si="2"/>
        <v>4.8232291666666649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4.3016784922722051</v>
      </c>
      <c r="C109" s="183">
        <f t="shared" ref="C109:Q109" si="3">STDEV(C9:C104)</f>
        <v>3.1151406152260468</v>
      </c>
      <c r="D109" s="183">
        <f t="shared" si="3"/>
        <v>4.6101397862413318</v>
      </c>
      <c r="E109" s="183">
        <f t="shared" si="3"/>
        <v>0.97259059019732153</v>
      </c>
      <c r="F109" s="183">
        <f t="shared" si="3"/>
        <v>1.3075279340211445</v>
      </c>
      <c r="G109" s="183">
        <f t="shared" si="3"/>
        <v>3.8240352971628551</v>
      </c>
      <c r="H109" s="183">
        <f t="shared" si="3"/>
        <v>1.434677385185078</v>
      </c>
      <c r="I109" s="183">
        <f t="shared" si="3"/>
        <v>0.82454388640873988</v>
      </c>
      <c r="J109" s="183">
        <f t="shared" si="3"/>
        <v>0.23434558002487069</v>
      </c>
      <c r="K109" s="183">
        <f t="shared" si="3"/>
        <v>37.184381250026455</v>
      </c>
      <c r="L109" s="183">
        <f t="shared" si="3"/>
        <v>0.8713024066144277</v>
      </c>
      <c r="M109" s="183">
        <f t="shared" si="3"/>
        <v>6.2326854683141244</v>
      </c>
      <c r="N109" s="183">
        <f t="shared" si="3"/>
        <v>40.365406795788317</v>
      </c>
      <c r="O109" s="183">
        <f t="shared" si="3"/>
        <v>0</v>
      </c>
      <c r="P109" s="183">
        <f t="shared" si="3"/>
        <v>0.11506805766474437</v>
      </c>
      <c r="Q109" s="183">
        <f t="shared" si="3"/>
        <v>0.27300855892377957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26/06/2023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2637</v>
      </c>
      <c r="B9" s="134">
        <v>16.8</v>
      </c>
      <c r="C9" s="134">
        <v>41.57</v>
      </c>
      <c r="D9" s="134">
        <v>34.15</v>
      </c>
      <c r="E9" s="134">
        <v>4.68</v>
      </c>
      <c r="F9" s="134">
        <v>4.3600000000000003</v>
      </c>
      <c r="G9" s="134">
        <v>22.1</v>
      </c>
      <c r="H9" s="134">
        <v>12.02</v>
      </c>
      <c r="I9" s="134">
        <v>4.72</v>
      </c>
      <c r="J9" s="134">
        <v>0.56999999999999995</v>
      </c>
      <c r="K9" s="134">
        <v>253.35</v>
      </c>
      <c r="L9" s="134">
        <v>26.08</v>
      </c>
      <c r="M9" s="134">
        <v>95.11</v>
      </c>
      <c r="N9" s="134">
        <v>0</v>
      </c>
      <c r="O9" s="134">
        <v>0</v>
      </c>
      <c r="P9" s="134">
        <v>0.57999999999999996</v>
      </c>
      <c r="Q9" s="134">
        <v>4.79</v>
      </c>
    </row>
    <row r="10" spans="1:21" customFormat="1">
      <c r="A10" s="112" t="s">
        <v>2638</v>
      </c>
      <c r="B10" s="134">
        <v>15.86</v>
      </c>
      <c r="C10" s="134">
        <v>38.44</v>
      </c>
      <c r="D10" s="134">
        <v>31.76</v>
      </c>
      <c r="E10" s="134">
        <v>5.58</v>
      </c>
      <c r="F10" s="134">
        <v>5.31</v>
      </c>
      <c r="G10" s="134">
        <v>22.1</v>
      </c>
      <c r="H10" s="134">
        <v>12.02</v>
      </c>
      <c r="I10" s="134">
        <v>4.6900000000000004</v>
      </c>
      <c r="J10" s="134">
        <v>0.48</v>
      </c>
      <c r="K10" s="134">
        <v>260.82</v>
      </c>
      <c r="L10" s="134">
        <v>26.09</v>
      </c>
      <c r="M10" s="134">
        <v>95.02</v>
      </c>
      <c r="N10" s="134">
        <v>0</v>
      </c>
      <c r="O10" s="134">
        <v>0</v>
      </c>
      <c r="P10" s="134">
        <v>0.56000000000000005</v>
      </c>
      <c r="Q10" s="134">
        <v>4.87</v>
      </c>
    </row>
    <row r="11" spans="1:21" customFormat="1">
      <c r="A11" s="112" t="s">
        <v>2639</v>
      </c>
      <c r="B11" s="134">
        <v>15.31</v>
      </c>
      <c r="C11" s="134">
        <v>34.71</v>
      </c>
      <c r="D11" s="134">
        <v>29.36</v>
      </c>
      <c r="E11" s="134">
        <v>5.46</v>
      </c>
      <c r="F11" s="134">
        <v>6.65</v>
      </c>
      <c r="G11" s="134">
        <v>21.06</v>
      </c>
      <c r="H11" s="134">
        <v>11.63</v>
      </c>
      <c r="I11" s="134">
        <v>4.6900000000000004</v>
      </c>
      <c r="J11" s="134">
        <v>0.57999999999999996</v>
      </c>
      <c r="K11" s="134">
        <v>255.11</v>
      </c>
      <c r="L11" s="134">
        <v>26.08</v>
      </c>
      <c r="M11" s="134">
        <v>94.95</v>
      </c>
      <c r="N11" s="134">
        <v>0</v>
      </c>
      <c r="O11" s="134">
        <v>0</v>
      </c>
      <c r="P11" s="134">
        <v>0.53</v>
      </c>
      <c r="Q11" s="134">
        <v>4.8</v>
      </c>
    </row>
    <row r="12" spans="1:21" customFormat="1">
      <c r="A12" s="112" t="s">
        <v>2640</v>
      </c>
      <c r="B12" s="134">
        <v>16.239999999999998</v>
      </c>
      <c r="C12" s="134">
        <v>39.369999999999997</v>
      </c>
      <c r="D12" s="134">
        <v>32.549999999999997</v>
      </c>
      <c r="E12" s="134">
        <v>5.65</v>
      </c>
      <c r="F12" s="134">
        <v>4.4800000000000004</v>
      </c>
      <c r="G12" s="134">
        <v>19.5</v>
      </c>
      <c r="H12" s="134">
        <v>11.29</v>
      </c>
      <c r="I12" s="134">
        <v>4.5</v>
      </c>
      <c r="J12" s="134">
        <v>0.77</v>
      </c>
      <c r="K12" s="134">
        <v>257.19</v>
      </c>
      <c r="L12" s="134">
        <v>26.09</v>
      </c>
      <c r="M12" s="134">
        <v>94.6</v>
      </c>
      <c r="N12" s="134">
        <v>0</v>
      </c>
      <c r="O12" s="134">
        <v>0</v>
      </c>
      <c r="P12" s="134">
        <v>0.56999999999999995</v>
      </c>
      <c r="Q12" s="134">
        <v>4.82</v>
      </c>
    </row>
    <row r="13" spans="1:21" customFormat="1">
      <c r="A13" s="112" t="s">
        <v>2641</v>
      </c>
      <c r="B13" s="134">
        <v>16.489999999999998</v>
      </c>
      <c r="C13" s="134">
        <v>37.659999999999997</v>
      </c>
      <c r="D13" s="134">
        <v>31.86</v>
      </c>
      <c r="E13" s="134">
        <v>5.47</v>
      </c>
      <c r="F13" s="134">
        <v>5</v>
      </c>
      <c r="G13" s="134">
        <v>19.5</v>
      </c>
      <c r="H13" s="134">
        <v>11.29</v>
      </c>
      <c r="I13" s="134">
        <v>4.54</v>
      </c>
      <c r="J13" s="134">
        <v>0.97</v>
      </c>
      <c r="K13" s="134">
        <v>255.94</v>
      </c>
      <c r="L13" s="134">
        <v>26.11</v>
      </c>
      <c r="M13" s="134">
        <v>94</v>
      </c>
      <c r="N13" s="134">
        <v>0</v>
      </c>
      <c r="O13" s="134">
        <v>0</v>
      </c>
      <c r="P13" s="134">
        <v>0.55000000000000004</v>
      </c>
      <c r="Q13" s="134">
        <v>4.8600000000000003</v>
      </c>
    </row>
    <row r="14" spans="1:21" customFormat="1">
      <c r="A14" s="112" t="s">
        <v>2642</v>
      </c>
      <c r="B14" s="134">
        <v>15.87</v>
      </c>
      <c r="C14" s="134">
        <v>34.9</v>
      </c>
      <c r="D14" s="134">
        <v>29.91</v>
      </c>
      <c r="E14" s="134">
        <v>5.35</v>
      </c>
      <c r="F14" s="134">
        <v>5.73</v>
      </c>
      <c r="G14" s="134">
        <v>19.5</v>
      </c>
      <c r="H14" s="134">
        <v>11.29</v>
      </c>
      <c r="I14" s="134">
        <v>4.66</v>
      </c>
      <c r="J14" s="134">
        <v>0.77</v>
      </c>
      <c r="K14" s="134">
        <v>256.89999999999998</v>
      </c>
      <c r="L14" s="134">
        <v>26.11</v>
      </c>
      <c r="M14" s="134">
        <v>93.56</v>
      </c>
      <c r="N14" s="134">
        <v>0</v>
      </c>
      <c r="O14" s="134">
        <v>0</v>
      </c>
      <c r="P14" s="134">
        <v>0.51</v>
      </c>
      <c r="Q14" s="134">
        <v>4.76</v>
      </c>
    </row>
    <row r="15" spans="1:21" customFormat="1">
      <c r="A15" s="112" t="s">
        <v>2643</v>
      </c>
      <c r="B15" s="134">
        <v>16.04</v>
      </c>
      <c r="C15" s="134">
        <v>40.119999999999997</v>
      </c>
      <c r="D15" s="134">
        <v>32.78</v>
      </c>
      <c r="E15" s="134">
        <v>5.43</v>
      </c>
      <c r="F15" s="134">
        <v>4.07</v>
      </c>
      <c r="G15" s="134">
        <v>20.440000000000001</v>
      </c>
      <c r="H15" s="134">
        <v>11.34</v>
      </c>
      <c r="I15" s="134">
        <v>4.5199999999999996</v>
      </c>
      <c r="J15" s="134">
        <v>0.78</v>
      </c>
      <c r="K15" s="134">
        <v>270.02</v>
      </c>
      <c r="L15" s="134">
        <v>26.11</v>
      </c>
      <c r="M15" s="134">
        <v>93.17</v>
      </c>
      <c r="N15" s="134">
        <v>0</v>
      </c>
      <c r="O15" s="134">
        <v>0</v>
      </c>
      <c r="P15" s="134">
        <v>0.55000000000000004</v>
      </c>
      <c r="Q15" s="134">
        <v>4.7699999999999996</v>
      </c>
    </row>
    <row r="16" spans="1:21" customFormat="1">
      <c r="A16" s="112" t="s">
        <v>2644</v>
      </c>
      <c r="B16" s="134">
        <v>15.82</v>
      </c>
      <c r="C16" s="134">
        <v>39.92</v>
      </c>
      <c r="D16" s="134">
        <v>32.5</v>
      </c>
      <c r="E16" s="134">
        <v>6.26</v>
      </c>
      <c r="F16" s="134">
        <v>4.7</v>
      </c>
      <c r="G16" s="134">
        <v>21.86</v>
      </c>
      <c r="H16" s="134">
        <v>11.48</v>
      </c>
      <c r="I16" s="134">
        <v>4.46</v>
      </c>
      <c r="J16" s="134">
        <v>0.63</v>
      </c>
      <c r="K16" s="134">
        <v>267.10000000000002</v>
      </c>
      <c r="L16" s="134">
        <v>26.07</v>
      </c>
      <c r="M16" s="134">
        <v>93.46</v>
      </c>
      <c r="N16" s="134">
        <v>0</v>
      </c>
      <c r="O16" s="134">
        <v>0</v>
      </c>
      <c r="P16" s="134">
        <v>0.55000000000000004</v>
      </c>
      <c r="Q16" s="134">
        <v>4.8600000000000003</v>
      </c>
    </row>
    <row r="17" spans="1:17" customFormat="1">
      <c r="A17" s="112" t="s">
        <v>2645</v>
      </c>
      <c r="B17" s="134">
        <v>15.38</v>
      </c>
      <c r="C17" s="134">
        <v>34.200000000000003</v>
      </c>
      <c r="D17" s="134">
        <v>29.15</v>
      </c>
      <c r="E17" s="134">
        <v>4.95</v>
      </c>
      <c r="F17" s="134">
        <v>5.87</v>
      </c>
      <c r="G17" s="134">
        <v>21.86</v>
      </c>
      <c r="H17" s="134">
        <v>11.48</v>
      </c>
      <c r="I17" s="134">
        <v>4.4800000000000004</v>
      </c>
      <c r="J17" s="134">
        <v>0.55000000000000004</v>
      </c>
      <c r="K17" s="134">
        <v>267.92</v>
      </c>
      <c r="L17" s="134">
        <v>26.03</v>
      </c>
      <c r="M17" s="134">
        <v>93.44</v>
      </c>
      <c r="N17" s="134">
        <v>0</v>
      </c>
      <c r="O17" s="134">
        <v>0</v>
      </c>
      <c r="P17" s="134">
        <v>0.53</v>
      </c>
      <c r="Q17" s="134">
        <v>4.78</v>
      </c>
    </row>
    <row r="18" spans="1:17" customFormat="1">
      <c r="A18" s="112" t="s">
        <v>2646</v>
      </c>
      <c r="B18" s="134">
        <v>15.84</v>
      </c>
      <c r="C18" s="134">
        <v>36.75</v>
      </c>
      <c r="D18" s="134">
        <v>30.85</v>
      </c>
      <c r="E18" s="134">
        <v>5.52</v>
      </c>
      <c r="F18" s="134">
        <v>4.93</v>
      </c>
      <c r="G18" s="134">
        <v>21.86</v>
      </c>
      <c r="H18" s="134">
        <v>11.48</v>
      </c>
      <c r="I18" s="134">
        <v>4.4000000000000004</v>
      </c>
      <c r="J18" s="134">
        <v>0.56000000000000005</v>
      </c>
      <c r="K18" s="134">
        <v>256.41000000000003</v>
      </c>
      <c r="L18" s="134">
        <v>25.85</v>
      </c>
      <c r="M18" s="134">
        <v>93.91</v>
      </c>
      <c r="N18" s="134">
        <v>0</v>
      </c>
      <c r="O18" s="134">
        <v>0</v>
      </c>
      <c r="P18" s="134">
        <v>0.53</v>
      </c>
      <c r="Q18" s="134">
        <v>4.71</v>
      </c>
    </row>
    <row r="19" spans="1:17" customFormat="1">
      <c r="A19" s="112" t="s">
        <v>2647</v>
      </c>
      <c r="B19" s="134">
        <v>16.32</v>
      </c>
      <c r="C19" s="134">
        <v>40.25</v>
      </c>
      <c r="D19" s="134">
        <v>33.07</v>
      </c>
      <c r="E19" s="134">
        <v>5.53</v>
      </c>
      <c r="F19" s="134">
        <v>4.34</v>
      </c>
      <c r="G19" s="134">
        <v>22.46</v>
      </c>
      <c r="H19" s="134">
        <v>10.92</v>
      </c>
      <c r="I19" s="134">
        <v>4.37</v>
      </c>
      <c r="J19" s="134">
        <v>0.59</v>
      </c>
      <c r="K19" s="134">
        <v>265.81</v>
      </c>
      <c r="L19" s="134">
        <v>25.64</v>
      </c>
      <c r="M19" s="134">
        <v>94.69</v>
      </c>
      <c r="N19" s="134">
        <v>0</v>
      </c>
      <c r="O19" s="134">
        <v>0</v>
      </c>
      <c r="P19" s="134">
        <v>0.56000000000000005</v>
      </c>
      <c r="Q19" s="134">
        <v>4.8499999999999996</v>
      </c>
    </row>
    <row r="20" spans="1:17" customFormat="1">
      <c r="A20" s="112" t="s">
        <v>2648</v>
      </c>
      <c r="B20" s="134">
        <v>15.75</v>
      </c>
      <c r="C20" s="134">
        <v>34.47</v>
      </c>
      <c r="D20" s="134">
        <v>29.6</v>
      </c>
      <c r="E20" s="134">
        <v>5.66</v>
      </c>
      <c r="F20" s="134">
        <v>6.66</v>
      </c>
      <c r="G20" s="134">
        <v>23.37</v>
      </c>
      <c r="H20" s="134">
        <v>10.42</v>
      </c>
      <c r="I20" s="134">
        <v>4.45</v>
      </c>
      <c r="J20" s="134">
        <v>0.35</v>
      </c>
      <c r="K20" s="134">
        <v>275.83</v>
      </c>
      <c r="L20" s="134">
        <v>25.5</v>
      </c>
      <c r="M20" s="134">
        <v>95.44</v>
      </c>
      <c r="N20" s="134">
        <v>0</v>
      </c>
      <c r="O20" s="134">
        <v>0</v>
      </c>
      <c r="P20" s="134">
        <v>0.52</v>
      </c>
      <c r="Q20" s="134">
        <v>4.83</v>
      </c>
    </row>
    <row r="21" spans="1:17" customFormat="1">
      <c r="A21" s="112" t="s">
        <v>2649</v>
      </c>
      <c r="B21" s="134">
        <v>16.559999999999999</v>
      </c>
      <c r="C21" s="134">
        <v>37.97</v>
      </c>
      <c r="D21" s="134">
        <v>32.07</v>
      </c>
      <c r="E21" s="134">
        <v>5.12</v>
      </c>
      <c r="F21" s="134">
        <v>5</v>
      </c>
      <c r="G21" s="134">
        <v>23.37</v>
      </c>
      <c r="H21" s="134">
        <v>10.42</v>
      </c>
      <c r="I21" s="134">
        <v>4.47</v>
      </c>
      <c r="J21" s="134">
        <v>1.48</v>
      </c>
      <c r="K21" s="134">
        <v>48.74</v>
      </c>
      <c r="L21" s="134">
        <v>25.24</v>
      </c>
      <c r="M21" s="134">
        <v>96.84</v>
      </c>
      <c r="N21" s="134">
        <v>0</v>
      </c>
      <c r="O21" s="134">
        <v>0</v>
      </c>
      <c r="P21" s="134">
        <v>0.54</v>
      </c>
      <c r="Q21" s="134">
        <v>4.78</v>
      </c>
    </row>
    <row r="22" spans="1:17" customFormat="1">
      <c r="A22" s="112" t="s">
        <v>2650</v>
      </c>
      <c r="B22" s="134">
        <v>16.489999999999998</v>
      </c>
      <c r="C22" s="134">
        <v>38.130000000000003</v>
      </c>
      <c r="D22" s="134">
        <v>32.1</v>
      </c>
      <c r="E22" s="134">
        <v>5.53</v>
      </c>
      <c r="F22" s="134">
        <v>6.18</v>
      </c>
      <c r="G22" s="134">
        <v>23.37</v>
      </c>
      <c r="H22" s="134">
        <v>10.42</v>
      </c>
      <c r="I22" s="134">
        <v>4.41</v>
      </c>
      <c r="J22" s="134">
        <v>1.1100000000000001</v>
      </c>
      <c r="K22" s="134">
        <v>324.45</v>
      </c>
      <c r="L22" s="134">
        <v>24.22</v>
      </c>
      <c r="M22" s="134">
        <v>97.62</v>
      </c>
      <c r="N22" s="134">
        <v>0</v>
      </c>
      <c r="O22" s="134">
        <v>0</v>
      </c>
      <c r="P22" s="134">
        <v>0.54</v>
      </c>
      <c r="Q22" s="134">
        <v>4.88</v>
      </c>
    </row>
    <row r="23" spans="1:17" customFormat="1">
      <c r="A23" s="112" t="s">
        <v>2651</v>
      </c>
      <c r="B23" s="134">
        <v>15.39</v>
      </c>
      <c r="C23" s="134">
        <v>30.6</v>
      </c>
      <c r="D23" s="134">
        <v>27.28</v>
      </c>
      <c r="E23" s="134">
        <v>5.19</v>
      </c>
      <c r="F23" s="134">
        <v>9.5</v>
      </c>
      <c r="G23" s="134">
        <v>21.77</v>
      </c>
      <c r="H23" s="134">
        <v>9.89</v>
      </c>
      <c r="I23" s="134">
        <v>4.46</v>
      </c>
      <c r="J23" s="134">
        <v>1.36</v>
      </c>
      <c r="K23" s="134">
        <v>335.55</v>
      </c>
      <c r="L23" s="134">
        <v>23.63</v>
      </c>
      <c r="M23" s="134">
        <v>98</v>
      </c>
      <c r="N23" s="134">
        <v>0</v>
      </c>
      <c r="O23" s="134">
        <v>0</v>
      </c>
      <c r="P23" s="134">
        <v>0.49</v>
      </c>
      <c r="Q23" s="134">
        <v>4.76</v>
      </c>
    </row>
    <row r="24" spans="1:17" customFormat="1">
      <c r="A24" s="112" t="s">
        <v>2652</v>
      </c>
      <c r="B24" s="134">
        <v>14.93</v>
      </c>
      <c r="C24" s="134">
        <v>37.89</v>
      </c>
      <c r="D24" s="134">
        <v>30.72</v>
      </c>
      <c r="E24" s="134">
        <v>5.04</v>
      </c>
      <c r="F24" s="134">
        <v>4.97</v>
      </c>
      <c r="G24" s="134">
        <v>19.37</v>
      </c>
      <c r="H24" s="134">
        <v>9.43</v>
      </c>
      <c r="I24" s="134">
        <v>4.34</v>
      </c>
      <c r="J24" s="134">
        <v>1.93</v>
      </c>
      <c r="K24" s="134">
        <v>299.81</v>
      </c>
      <c r="L24" s="134">
        <v>23.8</v>
      </c>
      <c r="M24" s="134">
        <v>98.3</v>
      </c>
      <c r="N24" s="134">
        <v>0</v>
      </c>
      <c r="O24" s="134">
        <v>0</v>
      </c>
      <c r="P24" s="134">
        <v>0.52</v>
      </c>
      <c r="Q24" s="134">
        <v>4.76</v>
      </c>
    </row>
    <row r="25" spans="1:17" customFormat="1">
      <c r="A25" s="112" t="s">
        <v>2653</v>
      </c>
      <c r="B25" s="134">
        <v>14.37</v>
      </c>
      <c r="C25" s="134">
        <v>39.85</v>
      </c>
      <c r="D25" s="134">
        <v>31.3</v>
      </c>
      <c r="E25" s="134">
        <v>5.37</v>
      </c>
      <c r="F25" s="134">
        <v>4.95</v>
      </c>
      <c r="G25" s="134">
        <v>19.37</v>
      </c>
      <c r="H25" s="134">
        <v>9.43</v>
      </c>
      <c r="I25" s="134">
        <v>4.21</v>
      </c>
      <c r="J25" s="134">
        <v>0.63</v>
      </c>
      <c r="K25" s="134">
        <v>217.32</v>
      </c>
      <c r="L25" s="134">
        <v>23.96</v>
      </c>
      <c r="M25" s="134">
        <v>98.54</v>
      </c>
      <c r="N25" s="134">
        <v>0</v>
      </c>
      <c r="O25" s="134">
        <v>0</v>
      </c>
      <c r="P25" s="134">
        <v>0.52</v>
      </c>
      <c r="Q25" s="134">
        <v>4.75</v>
      </c>
    </row>
    <row r="26" spans="1:17" customFormat="1">
      <c r="A26" s="112" t="s">
        <v>2654</v>
      </c>
      <c r="B26" s="134">
        <v>14.32</v>
      </c>
      <c r="C26" s="134">
        <v>40.93</v>
      </c>
      <c r="D26" s="134">
        <v>31.82</v>
      </c>
      <c r="E26" s="134">
        <v>5.47</v>
      </c>
      <c r="F26" s="134">
        <v>4.34</v>
      </c>
      <c r="G26" s="134">
        <v>19.37</v>
      </c>
      <c r="H26" s="134">
        <v>9.43</v>
      </c>
      <c r="I26" s="134">
        <v>4.2300000000000004</v>
      </c>
      <c r="J26" s="134">
        <v>2.5</v>
      </c>
      <c r="K26" s="134">
        <v>200.65</v>
      </c>
      <c r="L26" s="134">
        <v>23.89</v>
      </c>
      <c r="M26" s="134">
        <v>98.68</v>
      </c>
      <c r="N26" s="134">
        <v>0</v>
      </c>
      <c r="O26" s="134">
        <v>0</v>
      </c>
      <c r="P26" s="134">
        <v>0.52</v>
      </c>
      <c r="Q26" s="134">
        <v>4.7300000000000004</v>
      </c>
    </row>
    <row r="27" spans="1:17" customFormat="1">
      <c r="A27" s="112" t="s">
        <v>2655</v>
      </c>
      <c r="B27" s="134">
        <v>14.13</v>
      </c>
      <c r="C27" s="134">
        <v>38.200000000000003</v>
      </c>
      <c r="D27" s="134">
        <v>30.25</v>
      </c>
      <c r="E27" s="134">
        <v>4.5</v>
      </c>
      <c r="F27" s="134">
        <v>5.21</v>
      </c>
      <c r="G27" s="134">
        <v>18.2</v>
      </c>
      <c r="H27" s="134">
        <v>8.93</v>
      </c>
      <c r="I27" s="134">
        <v>4.18</v>
      </c>
      <c r="J27" s="134">
        <v>1.07</v>
      </c>
      <c r="K27" s="134">
        <v>222.88</v>
      </c>
      <c r="L27" s="134">
        <v>23.91</v>
      </c>
      <c r="M27" s="134">
        <v>98.81</v>
      </c>
      <c r="N27" s="134">
        <v>0</v>
      </c>
      <c r="O27" s="134">
        <v>0</v>
      </c>
      <c r="P27" s="134">
        <v>0.48</v>
      </c>
      <c r="Q27" s="134">
        <v>4.68</v>
      </c>
    </row>
    <row r="28" spans="1:17" customFormat="1">
      <c r="A28" s="112" t="s">
        <v>2656</v>
      </c>
      <c r="B28" s="134">
        <v>13.82</v>
      </c>
      <c r="C28" s="134">
        <v>40.47</v>
      </c>
      <c r="D28" s="134">
        <v>31.18</v>
      </c>
      <c r="E28" s="134">
        <v>4.99</v>
      </c>
      <c r="F28" s="134">
        <v>4.3899999999999997</v>
      </c>
      <c r="G28" s="134">
        <v>16.46</v>
      </c>
      <c r="H28" s="134">
        <v>8.48</v>
      </c>
      <c r="I28" s="134">
        <v>4.1100000000000003</v>
      </c>
      <c r="J28" s="134">
        <v>1.2</v>
      </c>
      <c r="K28" s="134">
        <v>287.64</v>
      </c>
      <c r="L28" s="134">
        <v>23.86</v>
      </c>
      <c r="M28" s="134">
        <v>98.9</v>
      </c>
      <c r="N28" s="134">
        <v>0</v>
      </c>
      <c r="O28" s="134">
        <v>0</v>
      </c>
      <c r="P28" s="134">
        <v>0.49</v>
      </c>
      <c r="Q28" s="134">
        <v>4.66</v>
      </c>
    </row>
    <row r="29" spans="1:17" customFormat="1">
      <c r="A29" s="112" t="s">
        <v>2657</v>
      </c>
      <c r="B29" s="134">
        <v>13.61</v>
      </c>
      <c r="C29" s="134">
        <v>40.83</v>
      </c>
      <c r="D29" s="134">
        <v>31.2</v>
      </c>
      <c r="E29" s="134">
        <v>5.47</v>
      </c>
      <c r="F29" s="134">
        <v>5.0999999999999996</v>
      </c>
      <c r="G29" s="134">
        <v>16.46</v>
      </c>
      <c r="H29" s="134">
        <v>8.48</v>
      </c>
      <c r="I29" s="134">
        <v>4</v>
      </c>
      <c r="J29" s="134">
        <v>0.91</v>
      </c>
      <c r="K29" s="134">
        <v>295.89</v>
      </c>
      <c r="L29" s="134">
        <v>23.71</v>
      </c>
      <c r="M29" s="134">
        <v>98.9</v>
      </c>
      <c r="N29" s="134">
        <v>0</v>
      </c>
      <c r="O29" s="134">
        <v>0</v>
      </c>
      <c r="P29" s="134">
        <v>0.48</v>
      </c>
      <c r="Q29" s="134">
        <v>4.74</v>
      </c>
    </row>
    <row r="30" spans="1:17" customFormat="1">
      <c r="A30" s="112" t="s">
        <v>2658</v>
      </c>
      <c r="B30" s="134">
        <v>13.49</v>
      </c>
      <c r="C30" s="134">
        <v>38.200000000000003</v>
      </c>
      <c r="D30" s="134">
        <v>29.73</v>
      </c>
      <c r="E30" s="134">
        <v>4.45</v>
      </c>
      <c r="F30" s="134">
        <v>5.35</v>
      </c>
      <c r="G30" s="134">
        <v>16.46</v>
      </c>
      <c r="H30" s="134">
        <v>8.48</v>
      </c>
      <c r="I30" s="134">
        <v>3.99</v>
      </c>
      <c r="J30" s="134">
        <v>1.0900000000000001</v>
      </c>
      <c r="K30" s="134">
        <v>289.8</v>
      </c>
      <c r="L30" s="134">
        <v>23.78</v>
      </c>
      <c r="M30" s="134">
        <v>98.9</v>
      </c>
      <c r="N30" s="134">
        <v>0</v>
      </c>
      <c r="O30" s="134">
        <v>0</v>
      </c>
      <c r="P30" s="134">
        <v>0.47</v>
      </c>
      <c r="Q30" s="134">
        <v>4.63</v>
      </c>
    </row>
    <row r="31" spans="1:17" customFormat="1">
      <c r="A31" s="112" t="s">
        <v>2659</v>
      </c>
      <c r="B31" s="134">
        <v>13.38</v>
      </c>
      <c r="C31" s="134">
        <v>41.81</v>
      </c>
      <c r="D31" s="134">
        <v>31.53</v>
      </c>
      <c r="E31" s="134">
        <v>4.8099999999999996</v>
      </c>
      <c r="F31" s="134">
        <v>4.33</v>
      </c>
      <c r="G31" s="134">
        <v>15.54</v>
      </c>
      <c r="H31" s="134">
        <v>7.22</v>
      </c>
      <c r="I31" s="134">
        <v>3.91</v>
      </c>
      <c r="J31" s="134">
        <v>1.27</v>
      </c>
      <c r="K31" s="134">
        <v>281.35000000000002</v>
      </c>
      <c r="L31" s="134">
        <v>23.7</v>
      </c>
      <c r="M31" s="134">
        <v>98.9</v>
      </c>
      <c r="N31" s="134">
        <v>0</v>
      </c>
      <c r="O31" s="134">
        <v>0</v>
      </c>
      <c r="P31" s="134">
        <v>0.49</v>
      </c>
      <c r="Q31" s="134">
        <v>4.7</v>
      </c>
    </row>
    <row r="32" spans="1:17" customFormat="1">
      <c r="A32" s="112" t="s">
        <v>2660</v>
      </c>
      <c r="B32" s="134">
        <v>13.3</v>
      </c>
      <c r="C32" s="134">
        <v>38.590000000000003</v>
      </c>
      <c r="D32" s="134">
        <v>29.78</v>
      </c>
      <c r="E32" s="134">
        <v>4.55</v>
      </c>
      <c r="F32" s="134">
        <v>5.54</v>
      </c>
      <c r="G32" s="134">
        <v>14.15</v>
      </c>
      <c r="H32" s="134">
        <v>6.1</v>
      </c>
      <c r="I32" s="134">
        <v>3.87</v>
      </c>
      <c r="J32" s="134">
        <v>1.24</v>
      </c>
      <c r="K32" s="134">
        <v>291.05</v>
      </c>
      <c r="L32" s="134">
        <v>23.74</v>
      </c>
      <c r="M32" s="134">
        <v>98.89</v>
      </c>
      <c r="N32" s="134">
        <v>0</v>
      </c>
      <c r="O32" s="134">
        <v>0</v>
      </c>
      <c r="P32" s="134">
        <v>0.46</v>
      </c>
      <c r="Q32" s="134">
        <v>4.66</v>
      </c>
    </row>
    <row r="33" spans="1:17" customFormat="1">
      <c r="A33" s="112" t="s">
        <v>2661</v>
      </c>
      <c r="B33" s="134">
        <v>12.94</v>
      </c>
      <c r="C33" s="134">
        <v>40.17</v>
      </c>
      <c r="D33" s="134">
        <v>30.32</v>
      </c>
      <c r="E33" s="134">
        <v>4.76</v>
      </c>
      <c r="F33" s="134">
        <v>4.3</v>
      </c>
      <c r="G33" s="134">
        <v>14.15</v>
      </c>
      <c r="H33" s="134">
        <v>6.1</v>
      </c>
      <c r="I33" s="134">
        <v>3.87</v>
      </c>
      <c r="J33" s="134">
        <v>0.98</v>
      </c>
      <c r="K33" s="134">
        <v>271.37</v>
      </c>
      <c r="L33" s="134">
        <v>23.73</v>
      </c>
      <c r="M33" s="134">
        <v>98.89</v>
      </c>
      <c r="N33" s="134">
        <v>2.6</v>
      </c>
      <c r="O33" s="134">
        <v>0</v>
      </c>
      <c r="P33" s="134">
        <v>0.47</v>
      </c>
      <c r="Q33" s="134">
        <v>4.5999999999999996</v>
      </c>
    </row>
    <row r="34" spans="1:17" customFormat="1">
      <c r="A34" s="112" t="s">
        <v>2662</v>
      </c>
      <c r="B34" s="134">
        <v>12.68</v>
      </c>
      <c r="C34" s="134">
        <v>41.83</v>
      </c>
      <c r="D34" s="134">
        <v>30.98</v>
      </c>
      <c r="E34" s="134">
        <v>5.08</v>
      </c>
      <c r="F34" s="134">
        <v>4.3499999999999996</v>
      </c>
      <c r="G34" s="134">
        <v>14.15</v>
      </c>
      <c r="H34" s="134">
        <v>6.1</v>
      </c>
      <c r="I34" s="134">
        <v>3.75</v>
      </c>
      <c r="J34" s="134">
        <v>0.95</v>
      </c>
      <c r="K34" s="134">
        <v>282.89</v>
      </c>
      <c r="L34" s="134">
        <v>23.75</v>
      </c>
      <c r="M34" s="134">
        <v>98.9</v>
      </c>
      <c r="N34" s="134">
        <v>7.8</v>
      </c>
      <c r="O34" s="134">
        <v>0</v>
      </c>
      <c r="P34" s="134">
        <v>0.47</v>
      </c>
      <c r="Q34" s="134">
        <v>4.68</v>
      </c>
    </row>
    <row r="35" spans="1:17" customFormat="1">
      <c r="A35" s="112" t="s">
        <v>2663</v>
      </c>
      <c r="B35" s="134">
        <v>12.54</v>
      </c>
      <c r="C35" s="134">
        <v>38.61</v>
      </c>
      <c r="D35" s="134">
        <v>29.18</v>
      </c>
      <c r="E35" s="134">
        <v>4.4800000000000004</v>
      </c>
      <c r="F35" s="134">
        <v>5.63</v>
      </c>
      <c r="G35" s="134">
        <v>12.82</v>
      </c>
      <c r="H35" s="134">
        <v>6.05</v>
      </c>
      <c r="I35" s="134">
        <v>3.72</v>
      </c>
      <c r="J35" s="134">
        <v>1.01</v>
      </c>
      <c r="K35" s="134">
        <v>286.94</v>
      </c>
      <c r="L35" s="134">
        <v>23.91</v>
      </c>
      <c r="M35" s="134">
        <v>98.89</v>
      </c>
      <c r="N35" s="134">
        <v>11.5</v>
      </c>
      <c r="O35" s="134">
        <v>0</v>
      </c>
      <c r="P35" s="134">
        <v>0.44</v>
      </c>
      <c r="Q35" s="134">
        <v>4.5999999999999996</v>
      </c>
    </row>
    <row r="36" spans="1:17" customFormat="1">
      <c r="A36" s="112" t="s">
        <v>2664</v>
      </c>
      <c r="B36" s="134">
        <v>12.49</v>
      </c>
      <c r="C36" s="134">
        <v>42.51</v>
      </c>
      <c r="D36" s="134">
        <v>31.18</v>
      </c>
      <c r="E36" s="134">
        <v>4.54</v>
      </c>
      <c r="F36" s="134">
        <v>3.74</v>
      </c>
      <c r="G36" s="134">
        <v>10.82</v>
      </c>
      <c r="H36" s="134">
        <v>6.01</v>
      </c>
      <c r="I36" s="134">
        <v>3.66</v>
      </c>
      <c r="J36" s="134">
        <v>0.93</v>
      </c>
      <c r="K36" s="134">
        <v>269.62</v>
      </c>
      <c r="L36" s="134">
        <v>23.94</v>
      </c>
      <c r="M36" s="134">
        <v>98.9</v>
      </c>
      <c r="N36" s="134">
        <v>14.1</v>
      </c>
      <c r="O36" s="134">
        <v>0</v>
      </c>
      <c r="P36" s="134">
        <v>0.47</v>
      </c>
      <c r="Q36" s="134">
        <v>4.63</v>
      </c>
    </row>
    <row r="37" spans="1:17" customFormat="1">
      <c r="A37" s="112" t="s">
        <v>2665</v>
      </c>
      <c r="B37" s="134">
        <v>12.67</v>
      </c>
      <c r="C37" s="134">
        <v>41.42</v>
      </c>
      <c r="D37" s="134">
        <v>30.75</v>
      </c>
      <c r="E37" s="134">
        <v>4.49</v>
      </c>
      <c r="F37" s="134">
        <v>4.5</v>
      </c>
      <c r="G37" s="134">
        <v>10.82</v>
      </c>
      <c r="H37" s="134">
        <v>6.01</v>
      </c>
      <c r="I37" s="134">
        <v>3.62</v>
      </c>
      <c r="J37" s="134">
        <v>0.97</v>
      </c>
      <c r="K37" s="134">
        <v>266.93</v>
      </c>
      <c r="L37" s="134">
        <v>24.02</v>
      </c>
      <c r="M37" s="134">
        <v>98.93</v>
      </c>
      <c r="N37" s="134">
        <v>15.3</v>
      </c>
      <c r="O37" s="134">
        <v>0</v>
      </c>
      <c r="P37" s="134">
        <v>0.46</v>
      </c>
      <c r="Q37" s="134">
        <v>4.66</v>
      </c>
    </row>
    <row r="38" spans="1:17" customFormat="1">
      <c r="A38" s="112" t="s">
        <v>2666</v>
      </c>
      <c r="B38" s="134">
        <v>12.27</v>
      </c>
      <c r="C38" s="134">
        <v>39.85</v>
      </c>
      <c r="D38" s="134">
        <v>29.61</v>
      </c>
      <c r="E38" s="134">
        <v>4.1399999999999997</v>
      </c>
      <c r="F38" s="134">
        <v>4.8</v>
      </c>
      <c r="G38" s="134">
        <v>10.82</v>
      </c>
      <c r="H38" s="134">
        <v>6.01</v>
      </c>
      <c r="I38" s="134">
        <v>3.67</v>
      </c>
      <c r="J38" s="134">
        <v>1.22</v>
      </c>
      <c r="K38" s="134">
        <v>281.12</v>
      </c>
      <c r="L38" s="134">
        <v>23.92</v>
      </c>
      <c r="M38" s="134">
        <v>98.93</v>
      </c>
      <c r="N38" s="134">
        <v>23.1</v>
      </c>
      <c r="O38" s="134">
        <v>0</v>
      </c>
      <c r="P38" s="134">
        <v>0.45</v>
      </c>
      <c r="Q38" s="134">
        <v>4.57</v>
      </c>
    </row>
    <row r="39" spans="1:17" customFormat="1">
      <c r="A39" s="112" t="s">
        <v>2667</v>
      </c>
      <c r="B39" s="134">
        <v>12.12</v>
      </c>
      <c r="C39" s="134">
        <v>43.1</v>
      </c>
      <c r="D39" s="134">
        <v>31.19</v>
      </c>
      <c r="E39" s="134">
        <v>5.47</v>
      </c>
      <c r="F39" s="134">
        <v>3.75</v>
      </c>
      <c r="G39" s="134">
        <v>10.08</v>
      </c>
      <c r="H39" s="134">
        <v>5.51</v>
      </c>
      <c r="I39" s="134">
        <v>3.6</v>
      </c>
      <c r="J39" s="134">
        <v>1.01</v>
      </c>
      <c r="K39" s="134">
        <v>273.89</v>
      </c>
      <c r="L39" s="134">
        <v>23.95</v>
      </c>
      <c r="M39" s="134">
        <v>98.91</v>
      </c>
      <c r="N39" s="134">
        <v>38.6</v>
      </c>
      <c r="O39" s="134">
        <v>0</v>
      </c>
      <c r="P39" s="134">
        <v>0.47</v>
      </c>
      <c r="Q39" s="134">
        <v>4.66</v>
      </c>
    </row>
    <row r="40" spans="1:17" customFormat="1">
      <c r="A40" s="112" t="s">
        <v>2668</v>
      </c>
      <c r="B40" s="134">
        <v>12.14</v>
      </c>
      <c r="C40" s="134">
        <v>39.799999999999997</v>
      </c>
      <c r="D40" s="134">
        <v>29.48</v>
      </c>
      <c r="E40" s="134">
        <v>4.6500000000000004</v>
      </c>
      <c r="F40" s="134">
        <v>4.88</v>
      </c>
      <c r="G40" s="134">
        <v>8.9600000000000009</v>
      </c>
      <c r="H40" s="134">
        <v>4.2300000000000004</v>
      </c>
      <c r="I40" s="134">
        <v>3.58</v>
      </c>
      <c r="J40" s="134">
        <v>0.84</v>
      </c>
      <c r="K40" s="134">
        <v>263.49</v>
      </c>
      <c r="L40" s="134">
        <v>24.03</v>
      </c>
      <c r="M40" s="134">
        <v>98.88</v>
      </c>
      <c r="N40" s="134">
        <v>44.2</v>
      </c>
      <c r="O40" s="134">
        <v>0</v>
      </c>
      <c r="P40" s="134">
        <v>0.45</v>
      </c>
      <c r="Q40" s="134">
        <v>4.5999999999999996</v>
      </c>
    </row>
    <row r="41" spans="1:17" customFormat="1">
      <c r="A41" s="112" t="s">
        <v>2669</v>
      </c>
      <c r="B41" s="134">
        <v>11.96</v>
      </c>
      <c r="C41" s="134">
        <v>43.55</v>
      </c>
      <c r="D41" s="134">
        <v>31.3</v>
      </c>
      <c r="E41" s="134">
        <v>5.16</v>
      </c>
      <c r="F41" s="134">
        <v>3.45</v>
      </c>
      <c r="G41" s="134">
        <v>8.9600000000000009</v>
      </c>
      <c r="H41" s="134">
        <v>4.2300000000000004</v>
      </c>
      <c r="I41" s="134">
        <v>3.59</v>
      </c>
      <c r="J41" s="134">
        <v>0.88</v>
      </c>
      <c r="K41" s="134">
        <v>262.89</v>
      </c>
      <c r="L41" s="134">
        <v>24.18</v>
      </c>
      <c r="M41" s="134">
        <v>98.83</v>
      </c>
      <c r="N41" s="134">
        <v>51.3</v>
      </c>
      <c r="O41" s="134">
        <v>0</v>
      </c>
      <c r="P41" s="134">
        <v>0.47</v>
      </c>
      <c r="Q41" s="134">
        <v>4.6500000000000004</v>
      </c>
    </row>
    <row r="42" spans="1:17" customFormat="1">
      <c r="A42" s="112" t="s">
        <v>2670</v>
      </c>
      <c r="B42" s="134">
        <v>11.99</v>
      </c>
      <c r="C42" s="134">
        <v>40.909999999999997</v>
      </c>
      <c r="D42" s="134">
        <v>29.94</v>
      </c>
      <c r="E42" s="134">
        <v>4.8499999999999996</v>
      </c>
      <c r="F42" s="134">
        <v>4.63</v>
      </c>
      <c r="G42" s="134">
        <v>8.9600000000000009</v>
      </c>
      <c r="H42" s="134">
        <v>4.2300000000000004</v>
      </c>
      <c r="I42" s="134">
        <v>3.58</v>
      </c>
      <c r="J42" s="134">
        <v>0.94</v>
      </c>
      <c r="K42" s="134">
        <v>267.8</v>
      </c>
      <c r="L42" s="134">
        <v>24.29</v>
      </c>
      <c r="M42" s="134">
        <v>98.28</v>
      </c>
      <c r="N42" s="134">
        <v>66.599999999999994</v>
      </c>
      <c r="O42" s="134">
        <v>0</v>
      </c>
      <c r="P42" s="134">
        <v>0.45</v>
      </c>
      <c r="Q42" s="134">
        <v>4.62</v>
      </c>
    </row>
    <row r="43" spans="1:17" customFormat="1">
      <c r="A43" s="112" t="s">
        <v>2671</v>
      </c>
      <c r="B43" s="134">
        <v>11.72</v>
      </c>
      <c r="C43" s="134">
        <v>38.35</v>
      </c>
      <c r="D43" s="134">
        <v>28.39</v>
      </c>
      <c r="E43" s="134">
        <v>4.43</v>
      </c>
      <c r="F43" s="134">
        <v>5.33</v>
      </c>
      <c r="G43" s="134">
        <v>8.3000000000000007</v>
      </c>
      <c r="H43" s="134">
        <v>4.67</v>
      </c>
      <c r="I43" s="134">
        <v>3.58</v>
      </c>
      <c r="J43" s="134">
        <v>1.06</v>
      </c>
      <c r="K43" s="134">
        <v>287.14</v>
      </c>
      <c r="L43" s="134">
        <v>24.55</v>
      </c>
      <c r="M43" s="134">
        <v>96.52</v>
      </c>
      <c r="N43" s="134">
        <v>94.7</v>
      </c>
      <c r="O43" s="134">
        <v>0</v>
      </c>
      <c r="P43" s="134">
        <v>0.43</v>
      </c>
      <c r="Q43" s="134">
        <v>4.53</v>
      </c>
    </row>
    <row r="44" spans="1:17" customFormat="1">
      <c r="A44" s="112" t="s">
        <v>2672</v>
      </c>
      <c r="B44" s="134">
        <v>11.61</v>
      </c>
      <c r="C44" s="134">
        <v>43.02</v>
      </c>
      <c r="D44" s="134">
        <v>30.74</v>
      </c>
      <c r="E44" s="134">
        <v>5.22</v>
      </c>
      <c r="F44" s="134">
        <v>3.7</v>
      </c>
      <c r="G44" s="134">
        <v>7.31</v>
      </c>
      <c r="H44" s="134">
        <v>5.0599999999999996</v>
      </c>
      <c r="I44" s="134">
        <v>3.49</v>
      </c>
      <c r="J44" s="134">
        <v>1.06</v>
      </c>
      <c r="K44" s="134">
        <v>278.98</v>
      </c>
      <c r="L44" s="134">
        <v>24.75</v>
      </c>
      <c r="M44" s="134">
        <v>94.25</v>
      </c>
      <c r="N44" s="134">
        <v>82.7</v>
      </c>
      <c r="O44" s="134">
        <v>0</v>
      </c>
      <c r="P44" s="134">
        <v>0.47</v>
      </c>
      <c r="Q44" s="134">
        <v>4.6100000000000003</v>
      </c>
    </row>
    <row r="45" spans="1:17" customFormat="1">
      <c r="A45" s="112" t="s">
        <v>2673</v>
      </c>
      <c r="B45" s="134">
        <v>11.68</v>
      </c>
      <c r="C45" s="134">
        <v>44.49</v>
      </c>
      <c r="D45" s="134">
        <v>31.57</v>
      </c>
      <c r="E45" s="134">
        <v>4.8499999999999996</v>
      </c>
      <c r="F45" s="134">
        <v>3.9</v>
      </c>
      <c r="G45" s="134">
        <v>7.31</v>
      </c>
      <c r="H45" s="134">
        <v>5.0599999999999996</v>
      </c>
      <c r="I45" s="134">
        <v>3.49</v>
      </c>
      <c r="J45" s="134">
        <v>1.1200000000000001</v>
      </c>
      <c r="K45" s="134">
        <v>278.66000000000003</v>
      </c>
      <c r="L45" s="134">
        <v>24.9</v>
      </c>
      <c r="M45" s="134">
        <v>93.86</v>
      </c>
      <c r="N45" s="134">
        <v>58.1</v>
      </c>
      <c r="O45" s="134">
        <v>0</v>
      </c>
      <c r="P45" s="134">
        <v>0.49</v>
      </c>
      <c r="Q45" s="134">
        <v>4.6900000000000004</v>
      </c>
    </row>
    <row r="46" spans="1:17" customFormat="1">
      <c r="A46" s="112" t="s">
        <v>2674</v>
      </c>
      <c r="B46" s="134">
        <v>11.79</v>
      </c>
      <c r="C46" s="134">
        <v>40.58</v>
      </c>
      <c r="D46" s="134">
        <v>29.61</v>
      </c>
      <c r="E46" s="134">
        <v>4.71</v>
      </c>
      <c r="F46" s="134">
        <v>5.19</v>
      </c>
      <c r="G46" s="134">
        <v>7.31</v>
      </c>
      <c r="H46" s="134">
        <v>5.0599999999999996</v>
      </c>
      <c r="I46" s="134">
        <v>3.58</v>
      </c>
      <c r="J46" s="134">
        <v>1.1299999999999999</v>
      </c>
      <c r="K46" s="134">
        <v>290.42</v>
      </c>
      <c r="L46" s="134">
        <v>24.93</v>
      </c>
      <c r="M46" s="134">
        <v>92.92</v>
      </c>
      <c r="N46" s="134">
        <v>49.8</v>
      </c>
      <c r="O46" s="134">
        <v>0</v>
      </c>
      <c r="P46" s="134">
        <v>0.47</v>
      </c>
      <c r="Q46" s="134">
        <v>4.59</v>
      </c>
    </row>
    <row r="47" spans="1:17" customFormat="1">
      <c r="A47" s="112" t="s">
        <v>2675</v>
      </c>
      <c r="B47" s="134">
        <v>11.64</v>
      </c>
      <c r="C47" s="134">
        <v>39.07</v>
      </c>
      <c r="D47" s="134">
        <v>28.7</v>
      </c>
      <c r="E47" s="134">
        <v>3.97</v>
      </c>
      <c r="F47" s="134">
        <v>5.82</v>
      </c>
      <c r="G47" s="134">
        <v>9.24</v>
      </c>
      <c r="H47" s="134">
        <v>4.26</v>
      </c>
      <c r="I47" s="134">
        <v>3.55</v>
      </c>
      <c r="J47" s="134">
        <v>1.1299999999999999</v>
      </c>
      <c r="K47" s="134">
        <v>282.5</v>
      </c>
      <c r="L47" s="134">
        <v>24.77</v>
      </c>
      <c r="M47" s="134">
        <v>93.14</v>
      </c>
      <c r="N47" s="134">
        <v>32.799999999999997</v>
      </c>
      <c r="O47" s="134">
        <v>0</v>
      </c>
      <c r="P47" s="134">
        <v>0.45</v>
      </c>
      <c r="Q47" s="134">
        <v>4.54</v>
      </c>
    </row>
    <row r="48" spans="1:17" customFormat="1">
      <c r="A48" s="112" t="s">
        <v>2676</v>
      </c>
      <c r="B48" s="134">
        <v>11.73</v>
      </c>
      <c r="C48" s="134">
        <v>43.75</v>
      </c>
      <c r="D48" s="134">
        <v>31.22</v>
      </c>
      <c r="E48" s="134">
        <v>4.24</v>
      </c>
      <c r="F48" s="134">
        <v>3.7</v>
      </c>
      <c r="G48" s="134">
        <v>12.14</v>
      </c>
      <c r="H48" s="134">
        <v>3.55</v>
      </c>
      <c r="I48" s="134">
        <v>3.47</v>
      </c>
      <c r="J48" s="134">
        <v>1.1100000000000001</v>
      </c>
      <c r="K48" s="134">
        <v>265.86</v>
      </c>
      <c r="L48" s="134">
        <v>24.65</v>
      </c>
      <c r="M48" s="134">
        <v>92.98</v>
      </c>
      <c r="N48" s="134">
        <v>43.4</v>
      </c>
      <c r="O48" s="134">
        <v>0</v>
      </c>
      <c r="P48" s="134">
        <v>0.49</v>
      </c>
      <c r="Q48" s="134">
        <v>4.62</v>
      </c>
    </row>
    <row r="49" spans="1:17" customFormat="1">
      <c r="A49" s="112" t="s">
        <v>2677</v>
      </c>
      <c r="B49" s="134">
        <v>11.84</v>
      </c>
      <c r="C49" s="134">
        <v>41.66</v>
      </c>
      <c r="D49" s="134">
        <v>30.21</v>
      </c>
      <c r="E49" s="134">
        <v>4.66</v>
      </c>
      <c r="F49" s="134">
        <v>4.49</v>
      </c>
      <c r="G49" s="134">
        <v>12.14</v>
      </c>
      <c r="H49" s="134">
        <v>3.55</v>
      </c>
      <c r="I49" s="134">
        <v>3.52</v>
      </c>
      <c r="J49" s="134">
        <v>0.96</v>
      </c>
      <c r="K49" s="134">
        <v>263.95</v>
      </c>
      <c r="L49" s="134">
        <v>24.72</v>
      </c>
      <c r="M49" s="134">
        <v>92.8</v>
      </c>
      <c r="N49" s="134">
        <v>55.1</v>
      </c>
      <c r="O49" s="134">
        <v>0</v>
      </c>
      <c r="P49" s="134">
        <v>0.48</v>
      </c>
      <c r="Q49" s="134">
        <v>4.6100000000000003</v>
      </c>
    </row>
    <row r="50" spans="1:17" customFormat="1">
      <c r="A50" s="112" t="s">
        <v>2678</v>
      </c>
      <c r="B50" s="134">
        <v>11.56</v>
      </c>
      <c r="C50" s="134">
        <v>39.18</v>
      </c>
      <c r="D50" s="134">
        <v>28.69</v>
      </c>
      <c r="E50" s="134">
        <v>5.4</v>
      </c>
      <c r="F50" s="134">
        <v>5.65</v>
      </c>
      <c r="G50" s="134">
        <v>12.14</v>
      </c>
      <c r="H50" s="134">
        <v>3.55</v>
      </c>
      <c r="I50" s="134">
        <v>3.59</v>
      </c>
      <c r="J50" s="134">
        <v>1.34</v>
      </c>
      <c r="K50" s="134">
        <v>278.98</v>
      </c>
      <c r="L50" s="134">
        <v>24.73</v>
      </c>
      <c r="M50" s="134">
        <v>91.57</v>
      </c>
      <c r="N50" s="134">
        <v>50.4</v>
      </c>
      <c r="O50" s="134">
        <v>0</v>
      </c>
      <c r="P50" s="134">
        <v>0.45</v>
      </c>
      <c r="Q50" s="134">
        <v>4.51</v>
      </c>
    </row>
    <row r="51" spans="1:17" customFormat="1">
      <c r="A51" s="112" t="s">
        <v>2679</v>
      </c>
      <c r="B51" s="134">
        <v>11.28</v>
      </c>
      <c r="C51" s="134">
        <v>43.13</v>
      </c>
      <c r="D51" s="134">
        <v>30.53</v>
      </c>
      <c r="E51" s="134">
        <v>6.04</v>
      </c>
      <c r="F51" s="134">
        <v>3.87</v>
      </c>
      <c r="G51" s="134">
        <v>12.41</v>
      </c>
      <c r="H51" s="134">
        <v>3.13</v>
      </c>
      <c r="I51" s="134">
        <v>3.52</v>
      </c>
      <c r="J51" s="134">
        <v>0.98</v>
      </c>
      <c r="K51" s="134">
        <v>277.31</v>
      </c>
      <c r="L51" s="134">
        <v>24.55</v>
      </c>
      <c r="M51" s="134">
        <v>93.43</v>
      </c>
      <c r="N51" s="134">
        <v>54.5</v>
      </c>
      <c r="O51" s="134">
        <v>0</v>
      </c>
      <c r="P51" s="134">
        <v>0.5</v>
      </c>
      <c r="Q51" s="134">
        <v>4.57</v>
      </c>
    </row>
    <row r="52" spans="1:17" customFormat="1">
      <c r="A52" s="112" t="s">
        <v>2680</v>
      </c>
      <c r="B52" s="134">
        <v>11.44</v>
      </c>
      <c r="C52" s="134">
        <v>43.16</v>
      </c>
      <c r="D52" s="134">
        <v>30.68</v>
      </c>
      <c r="E52" s="134">
        <v>6.3</v>
      </c>
      <c r="F52" s="134">
        <v>4.04</v>
      </c>
      <c r="G52" s="134">
        <v>12.8</v>
      </c>
      <c r="H52" s="134">
        <v>2.77</v>
      </c>
      <c r="I52" s="134">
        <v>3.54</v>
      </c>
      <c r="J52" s="134">
        <v>0.77</v>
      </c>
      <c r="K52" s="134">
        <v>262.79000000000002</v>
      </c>
      <c r="L52" s="134">
        <v>24.56</v>
      </c>
      <c r="M52" s="134">
        <v>95.17</v>
      </c>
      <c r="N52" s="134">
        <v>67.400000000000006</v>
      </c>
      <c r="O52" s="134">
        <v>0</v>
      </c>
      <c r="P52" s="134">
        <v>0.5</v>
      </c>
      <c r="Q52" s="134">
        <v>4.66</v>
      </c>
    </row>
    <row r="53" spans="1:17" customFormat="1">
      <c r="A53" s="112" t="s">
        <v>2681</v>
      </c>
      <c r="B53" s="134">
        <v>11.37</v>
      </c>
      <c r="C53" s="134">
        <v>41.08</v>
      </c>
      <c r="D53" s="134">
        <v>29.54</v>
      </c>
      <c r="E53" s="134">
        <v>5.88</v>
      </c>
      <c r="F53" s="134">
        <v>4.38</v>
      </c>
      <c r="G53" s="134">
        <v>12.8</v>
      </c>
      <c r="H53" s="134">
        <v>2.77</v>
      </c>
      <c r="I53" s="134">
        <v>3.64</v>
      </c>
      <c r="J53" s="134">
        <v>1.02</v>
      </c>
      <c r="K53" s="134">
        <v>262.79000000000002</v>
      </c>
      <c r="L53" s="134">
        <v>24.51</v>
      </c>
      <c r="M53" s="134">
        <v>95.72</v>
      </c>
      <c r="N53" s="134">
        <v>57.7</v>
      </c>
      <c r="O53" s="134">
        <v>0</v>
      </c>
      <c r="P53" s="134">
        <v>0.5</v>
      </c>
      <c r="Q53" s="134">
        <v>4.58</v>
      </c>
    </row>
    <row r="54" spans="1:17" customFormat="1">
      <c r="A54" s="112" t="s">
        <v>2682</v>
      </c>
      <c r="B54" s="134">
        <v>11.34</v>
      </c>
      <c r="C54" s="134">
        <v>43.04</v>
      </c>
      <c r="D54" s="134">
        <v>30.53</v>
      </c>
      <c r="E54" s="134">
        <v>5.81</v>
      </c>
      <c r="F54" s="134">
        <v>3.79</v>
      </c>
      <c r="G54" s="134">
        <v>12.8</v>
      </c>
      <c r="H54" s="134">
        <v>2.77</v>
      </c>
      <c r="I54" s="134">
        <v>3.65</v>
      </c>
      <c r="J54" s="134">
        <v>1.08</v>
      </c>
      <c r="K54" s="134">
        <v>265.11</v>
      </c>
      <c r="L54" s="134">
        <v>24.5</v>
      </c>
      <c r="M54" s="134">
        <v>95.53</v>
      </c>
      <c r="N54" s="134">
        <v>33.9</v>
      </c>
      <c r="O54" s="134">
        <v>0</v>
      </c>
      <c r="P54" s="134">
        <v>0.52</v>
      </c>
      <c r="Q54" s="134">
        <v>4.62</v>
      </c>
    </row>
    <row r="55" spans="1:17" customFormat="1">
      <c r="A55" s="112" t="s">
        <v>2683</v>
      </c>
      <c r="B55" s="134">
        <v>11.28</v>
      </c>
      <c r="C55" s="134">
        <v>39.549999999999997</v>
      </c>
      <c r="D55" s="134">
        <v>28.66</v>
      </c>
      <c r="E55" s="134">
        <v>5.57</v>
      </c>
      <c r="F55" s="134">
        <v>5.1100000000000003</v>
      </c>
      <c r="G55" s="134">
        <v>11.33</v>
      </c>
      <c r="H55" s="134">
        <v>2.76</v>
      </c>
      <c r="I55" s="134">
        <v>3.69</v>
      </c>
      <c r="J55" s="134">
        <v>1.36</v>
      </c>
      <c r="K55" s="134">
        <v>268.72000000000003</v>
      </c>
      <c r="L55" s="134">
        <v>24.3</v>
      </c>
      <c r="M55" s="134">
        <v>94.9</v>
      </c>
      <c r="N55" s="134">
        <v>80.099999999999994</v>
      </c>
      <c r="O55" s="134">
        <v>0</v>
      </c>
      <c r="P55" s="134">
        <v>0.49</v>
      </c>
      <c r="Q55" s="134">
        <v>4.54</v>
      </c>
    </row>
    <row r="56" spans="1:17" customFormat="1">
      <c r="A56" s="112" t="s">
        <v>2684</v>
      </c>
      <c r="B56" s="134">
        <v>10.92</v>
      </c>
      <c r="C56" s="134">
        <v>42.65</v>
      </c>
      <c r="D56" s="134">
        <v>29.99</v>
      </c>
      <c r="E56" s="134">
        <v>5.42</v>
      </c>
      <c r="F56" s="134">
        <v>3.91</v>
      </c>
      <c r="G56" s="134">
        <v>9.1199999999999992</v>
      </c>
      <c r="H56" s="134">
        <v>2.76</v>
      </c>
      <c r="I56" s="134">
        <v>3.75</v>
      </c>
      <c r="J56" s="134">
        <v>1.1200000000000001</v>
      </c>
      <c r="K56" s="134">
        <v>260.08999999999997</v>
      </c>
      <c r="L56" s="134">
        <v>24.24</v>
      </c>
      <c r="M56" s="134">
        <v>95.7</v>
      </c>
      <c r="N56" s="134">
        <v>80.7</v>
      </c>
      <c r="O56" s="134">
        <v>0</v>
      </c>
      <c r="P56" s="134">
        <v>0.52</v>
      </c>
      <c r="Q56" s="134">
        <v>4.55</v>
      </c>
    </row>
    <row r="57" spans="1:17" customFormat="1">
      <c r="A57" s="112" t="s">
        <v>2685</v>
      </c>
      <c r="B57" s="134">
        <v>10.81</v>
      </c>
      <c r="C57" s="134">
        <v>42</v>
      </c>
      <c r="D57" s="134">
        <v>29.57</v>
      </c>
      <c r="E57" s="134">
        <v>5.48</v>
      </c>
      <c r="F57" s="134">
        <v>4.47</v>
      </c>
      <c r="G57" s="134">
        <v>9.1199999999999992</v>
      </c>
      <c r="H57" s="134">
        <v>2.76</v>
      </c>
      <c r="I57" s="134">
        <v>3.74</v>
      </c>
      <c r="J57" s="134">
        <v>1.01</v>
      </c>
      <c r="K57" s="134">
        <v>271.60000000000002</v>
      </c>
      <c r="L57" s="134">
        <v>24.27</v>
      </c>
      <c r="M57" s="134">
        <v>95.9</v>
      </c>
      <c r="N57" s="134">
        <v>56.6</v>
      </c>
      <c r="O57" s="134">
        <v>0</v>
      </c>
      <c r="P57" s="134">
        <v>0.51</v>
      </c>
      <c r="Q57" s="134">
        <v>4.59</v>
      </c>
    </row>
    <row r="58" spans="1:17" customFormat="1">
      <c r="A58" s="112" t="s">
        <v>2686</v>
      </c>
      <c r="B58" s="134">
        <v>10.68</v>
      </c>
      <c r="C58" s="134">
        <v>39.450000000000003</v>
      </c>
      <c r="D58" s="134">
        <v>28.13</v>
      </c>
      <c r="E58" s="134">
        <v>5.21</v>
      </c>
      <c r="F58" s="134">
        <v>4.62</v>
      </c>
      <c r="G58" s="134">
        <v>9.1199999999999992</v>
      </c>
      <c r="H58" s="134">
        <v>2.76</v>
      </c>
      <c r="I58" s="134">
        <v>3.77</v>
      </c>
      <c r="J58" s="134">
        <v>0.88</v>
      </c>
      <c r="K58" s="134">
        <v>256.83</v>
      </c>
      <c r="L58" s="134">
        <v>24.29</v>
      </c>
      <c r="M58" s="134">
        <v>96.17</v>
      </c>
      <c r="N58" s="134">
        <v>44.1</v>
      </c>
      <c r="O58" s="134">
        <v>0</v>
      </c>
      <c r="P58" s="134">
        <v>0.5</v>
      </c>
      <c r="Q58" s="134">
        <v>4.4800000000000004</v>
      </c>
    </row>
    <row r="59" spans="1:17" customFormat="1">
      <c r="A59" s="112" t="s">
        <v>2687</v>
      </c>
      <c r="B59" s="134">
        <v>10.53</v>
      </c>
      <c r="C59" s="134">
        <v>42.94</v>
      </c>
      <c r="D59" s="134">
        <v>29.83</v>
      </c>
      <c r="E59" s="134">
        <v>5.35</v>
      </c>
      <c r="F59" s="134">
        <v>3.54</v>
      </c>
      <c r="G59" s="134">
        <v>9.73</v>
      </c>
      <c r="H59" s="134">
        <v>3.32</v>
      </c>
      <c r="I59" s="134">
        <v>3.75</v>
      </c>
      <c r="J59" s="134">
        <v>0.94</v>
      </c>
      <c r="K59" s="134">
        <v>260.89</v>
      </c>
      <c r="L59" s="134">
        <v>24.45</v>
      </c>
      <c r="M59" s="134">
        <v>95.79</v>
      </c>
      <c r="N59" s="134">
        <v>76.3</v>
      </c>
      <c r="O59" s="134">
        <v>0</v>
      </c>
      <c r="P59" s="134">
        <v>0.55000000000000004</v>
      </c>
      <c r="Q59" s="134">
        <v>4.57</v>
      </c>
    </row>
    <row r="60" spans="1:17" customFormat="1">
      <c r="A60" s="112" t="s">
        <v>2688</v>
      </c>
      <c r="B60" s="134">
        <v>10.53</v>
      </c>
      <c r="C60" s="134">
        <v>40.29</v>
      </c>
      <c r="D60" s="134">
        <v>28.45</v>
      </c>
      <c r="E60" s="134">
        <v>5.34</v>
      </c>
      <c r="F60" s="134">
        <v>4.5599999999999996</v>
      </c>
      <c r="G60" s="134">
        <v>10.64</v>
      </c>
      <c r="H60" s="134">
        <v>3.81</v>
      </c>
      <c r="I60" s="134">
        <v>3.81</v>
      </c>
      <c r="J60" s="134">
        <v>0.95</v>
      </c>
      <c r="K60" s="134">
        <v>262.58</v>
      </c>
      <c r="L60" s="134">
        <v>24.72</v>
      </c>
      <c r="M60" s="134">
        <v>95.24</v>
      </c>
      <c r="N60" s="134">
        <v>87.8</v>
      </c>
      <c r="O60" s="134">
        <v>0</v>
      </c>
      <c r="P60" s="134">
        <v>0.56000000000000005</v>
      </c>
      <c r="Q60" s="134">
        <v>4.53</v>
      </c>
    </row>
    <row r="61" spans="1:17" customFormat="1">
      <c r="A61" s="112" t="s">
        <v>2689</v>
      </c>
      <c r="B61" s="134">
        <v>10.29</v>
      </c>
      <c r="C61" s="134">
        <v>40.06</v>
      </c>
      <c r="D61" s="134">
        <v>28.14</v>
      </c>
      <c r="E61" s="134">
        <v>5.12</v>
      </c>
      <c r="F61" s="134">
        <v>4.18</v>
      </c>
      <c r="G61" s="134">
        <v>10.64</v>
      </c>
      <c r="H61" s="134">
        <v>3.81</v>
      </c>
      <c r="I61" s="134">
        <v>4.03</v>
      </c>
      <c r="J61" s="134">
        <v>0.76</v>
      </c>
      <c r="K61" s="134">
        <v>257.98</v>
      </c>
      <c r="L61" s="134">
        <v>24.87</v>
      </c>
      <c r="M61" s="134">
        <v>95.06</v>
      </c>
      <c r="N61" s="134">
        <v>84.9</v>
      </c>
      <c r="O61" s="134">
        <v>0</v>
      </c>
      <c r="P61" s="134">
        <v>0.56000000000000005</v>
      </c>
      <c r="Q61" s="134">
        <v>4.47</v>
      </c>
    </row>
    <row r="62" spans="1:17" customFormat="1">
      <c r="A62" s="112" t="s">
        <v>2690</v>
      </c>
      <c r="B62" s="134">
        <v>10.34</v>
      </c>
      <c r="C62" s="134">
        <v>42.84</v>
      </c>
      <c r="D62" s="134">
        <v>29.63</v>
      </c>
      <c r="E62" s="134">
        <v>5.99</v>
      </c>
      <c r="F62" s="134">
        <v>3.54</v>
      </c>
      <c r="G62" s="134">
        <v>10.64</v>
      </c>
      <c r="H62" s="134">
        <v>3.81</v>
      </c>
      <c r="I62" s="134">
        <v>4.21</v>
      </c>
      <c r="J62" s="134">
        <v>1.1599999999999999</v>
      </c>
      <c r="K62" s="134">
        <v>266.89999999999998</v>
      </c>
      <c r="L62" s="134">
        <v>24.66</v>
      </c>
      <c r="M62" s="134">
        <v>94.64</v>
      </c>
      <c r="N62" s="134">
        <v>53.3</v>
      </c>
      <c r="O62" s="134">
        <v>0</v>
      </c>
      <c r="P62" s="134">
        <v>0.62</v>
      </c>
      <c r="Q62" s="134">
        <v>4.57</v>
      </c>
    </row>
    <row r="63" spans="1:17" customFormat="1">
      <c r="A63" s="112" t="s">
        <v>2691</v>
      </c>
      <c r="B63" s="134">
        <v>10.3</v>
      </c>
      <c r="C63" s="134">
        <v>39.380000000000003</v>
      </c>
      <c r="D63" s="134">
        <v>27.79</v>
      </c>
      <c r="E63" s="134">
        <v>5.57</v>
      </c>
      <c r="F63" s="134">
        <v>5.05</v>
      </c>
      <c r="G63" s="134">
        <v>9.85</v>
      </c>
      <c r="H63" s="134">
        <v>3.92</v>
      </c>
      <c r="I63" s="134">
        <v>4.3600000000000003</v>
      </c>
      <c r="J63" s="134">
        <v>0.89</v>
      </c>
      <c r="K63" s="134">
        <v>262.26</v>
      </c>
      <c r="L63" s="134">
        <v>24.64</v>
      </c>
      <c r="M63" s="134">
        <v>94.38</v>
      </c>
      <c r="N63" s="134">
        <v>63.8</v>
      </c>
      <c r="O63" s="134">
        <v>0</v>
      </c>
      <c r="P63" s="134">
        <v>0.62</v>
      </c>
      <c r="Q63" s="134">
        <v>4.5199999999999996</v>
      </c>
    </row>
    <row r="64" spans="1:17" customFormat="1">
      <c r="A64" s="112" t="s">
        <v>2692</v>
      </c>
      <c r="B64" s="134">
        <v>10.23</v>
      </c>
      <c r="C64" s="134">
        <v>40.450000000000003</v>
      </c>
      <c r="D64" s="134">
        <v>28.29</v>
      </c>
      <c r="E64" s="134">
        <v>5.39</v>
      </c>
      <c r="F64" s="134">
        <v>4.45</v>
      </c>
      <c r="G64" s="134">
        <v>8.66</v>
      </c>
      <c r="H64" s="134">
        <v>4.2</v>
      </c>
      <c r="I64" s="134">
        <v>4.53</v>
      </c>
      <c r="J64" s="134">
        <v>0.96</v>
      </c>
      <c r="K64" s="134">
        <v>257.04000000000002</v>
      </c>
      <c r="L64" s="134">
        <v>24.62</v>
      </c>
      <c r="M64" s="134">
        <v>94.82</v>
      </c>
      <c r="N64" s="134">
        <v>94.4</v>
      </c>
      <c r="O64" s="134">
        <v>0</v>
      </c>
      <c r="P64" s="134">
        <v>0.63</v>
      </c>
      <c r="Q64" s="134">
        <v>4.45</v>
      </c>
    </row>
    <row r="65" spans="1:17" customFormat="1">
      <c r="A65" s="112" t="s">
        <v>2693</v>
      </c>
      <c r="B65" s="134">
        <v>10.31</v>
      </c>
      <c r="C65" s="134">
        <v>43.02</v>
      </c>
      <c r="D65" s="134">
        <v>29.7</v>
      </c>
      <c r="E65" s="134">
        <v>5.78</v>
      </c>
      <c r="F65" s="134">
        <v>3.94</v>
      </c>
      <c r="G65" s="134">
        <v>8.66</v>
      </c>
      <c r="H65" s="134">
        <v>4.2</v>
      </c>
      <c r="I65" s="134">
        <v>4.6900000000000004</v>
      </c>
      <c r="J65" s="134">
        <v>0.64</v>
      </c>
      <c r="K65" s="134">
        <v>247.61</v>
      </c>
      <c r="L65" s="134">
        <v>24.7</v>
      </c>
      <c r="M65" s="134">
        <v>95.01</v>
      </c>
      <c r="N65" s="134">
        <v>107.2</v>
      </c>
      <c r="O65" s="134">
        <v>0</v>
      </c>
      <c r="P65" s="134">
        <v>0.64</v>
      </c>
      <c r="Q65" s="134">
        <v>4.55</v>
      </c>
    </row>
    <row r="66" spans="1:17" customFormat="1">
      <c r="A66" s="112" t="s">
        <v>2694</v>
      </c>
      <c r="B66" s="134">
        <v>10.39</v>
      </c>
      <c r="C66" s="134">
        <v>39.17</v>
      </c>
      <c r="D66" s="134">
        <v>27.75</v>
      </c>
      <c r="E66" s="134">
        <v>4.97</v>
      </c>
      <c r="F66" s="134">
        <v>5.5</v>
      </c>
      <c r="G66" s="134">
        <v>8.66</v>
      </c>
      <c r="H66" s="134">
        <v>4.2</v>
      </c>
      <c r="I66" s="134">
        <v>4.88</v>
      </c>
      <c r="J66" s="134">
        <v>0.66</v>
      </c>
      <c r="K66" s="134">
        <v>254.57</v>
      </c>
      <c r="L66" s="134">
        <v>24.95</v>
      </c>
      <c r="M66" s="134">
        <v>95.33</v>
      </c>
      <c r="N66" s="134">
        <v>128.1</v>
      </c>
      <c r="O66" s="134">
        <v>0</v>
      </c>
      <c r="P66" s="134">
        <v>0.64</v>
      </c>
      <c r="Q66" s="134">
        <v>4.51</v>
      </c>
    </row>
    <row r="67" spans="1:17" customFormat="1">
      <c r="A67" s="112" t="s">
        <v>2695</v>
      </c>
      <c r="B67" s="134">
        <v>10.31</v>
      </c>
      <c r="C67" s="134">
        <v>39.229999999999997</v>
      </c>
      <c r="D67" s="134">
        <v>27.72</v>
      </c>
      <c r="E67" s="134">
        <v>4.66</v>
      </c>
      <c r="F67" s="134">
        <v>5.27</v>
      </c>
      <c r="G67" s="134">
        <v>9.82</v>
      </c>
      <c r="H67" s="134">
        <v>4.08</v>
      </c>
      <c r="I67" s="134">
        <v>5.01</v>
      </c>
      <c r="J67" s="134">
        <v>0.82</v>
      </c>
      <c r="K67" s="134">
        <v>255.18</v>
      </c>
      <c r="L67" s="134">
        <v>25.03</v>
      </c>
      <c r="M67" s="134">
        <v>95.1</v>
      </c>
      <c r="N67" s="134">
        <v>100.7</v>
      </c>
      <c r="O67" s="134">
        <v>0</v>
      </c>
      <c r="P67" s="134">
        <v>0.63</v>
      </c>
      <c r="Q67" s="134">
        <v>4.4400000000000004</v>
      </c>
    </row>
    <row r="68" spans="1:17" customFormat="1">
      <c r="A68" s="112" t="s">
        <v>2696</v>
      </c>
      <c r="B68" s="134">
        <v>10.4</v>
      </c>
      <c r="C68" s="134">
        <v>43.64</v>
      </c>
      <c r="D68" s="134">
        <v>30.1</v>
      </c>
      <c r="E68" s="134">
        <v>5.46</v>
      </c>
      <c r="F68" s="134">
        <v>3.45</v>
      </c>
      <c r="G68" s="134">
        <v>11.55</v>
      </c>
      <c r="H68" s="134">
        <v>3.98</v>
      </c>
      <c r="I68" s="134">
        <v>5</v>
      </c>
      <c r="J68" s="134">
        <v>0.64</v>
      </c>
      <c r="K68" s="134">
        <v>251.55</v>
      </c>
      <c r="L68" s="134">
        <v>25.05</v>
      </c>
      <c r="M68" s="134">
        <v>94.96</v>
      </c>
      <c r="N68" s="134">
        <v>79</v>
      </c>
      <c r="O68" s="134">
        <v>0</v>
      </c>
      <c r="P68" s="134">
        <v>0.66</v>
      </c>
      <c r="Q68" s="134">
        <v>4.55</v>
      </c>
    </row>
    <row r="69" spans="1:17" customFormat="1">
      <c r="A69" s="112" t="s">
        <v>2697</v>
      </c>
      <c r="B69" s="134">
        <v>10.57</v>
      </c>
      <c r="C69" s="134">
        <v>39.93</v>
      </c>
      <c r="D69" s="134">
        <v>28.29</v>
      </c>
      <c r="E69" s="134">
        <v>5.66</v>
      </c>
      <c r="F69" s="134">
        <v>4.88</v>
      </c>
      <c r="G69" s="134">
        <v>11.55</v>
      </c>
      <c r="H69" s="134">
        <v>3.98</v>
      </c>
      <c r="I69" s="134">
        <v>5.0199999999999996</v>
      </c>
      <c r="J69" s="134">
        <v>0.54</v>
      </c>
      <c r="K69" s="134">
        <v>247.14</v>
      </c>
      <c r="L69" s="134">
        <v>25.12</v>
      </c>
      <c r="M69" s="134">
        <v>94.49</v>
      </c>
      <c r="N69" s="134">
        <v>59.6</v>
      </c>
      <c r="O69" s="134">
        <v>0</v>
      </c>
      <c r="P69" s="134">
        <v>0.63</v>
      </c>
      <c r="Q69" s="134">
        <v>4.5199999999999996</v>
      </c>
    </row>
    <row r="70" spans="1:17" customFormat="1">
      <c r="A70" s="112" t="s">
        <v>2698</v>
      </c>
      <c r="B70" s="134">
        <v>10.23</v>
      </c>
      <c r="C70" s="134">
        <v>36.24</v>
      </c>
      <c r="D70" s="134">
        <v>26.1</v>
      </c>
      <c r="E70" s="134">
        <v>5.0999999999999996</v>
      </c>
      <c r="F70" s="134">
        <v>6.91</v>
      </c>
      <c r="G70" s="134">
        <v>11.55</v>
      </c>
      <c r="H70" s="134">
        <v>3.98</v>
      </c>
      <c r="I70" s="134">
        <v>4.9800000000000004</v>
      </c>
      <c r="J70" s="134">
        <v>0.56999999999999995</v>
      </c>
      <c r="K70" s="134">
        <v>251.4</v>
      </c>
      <c r="L70" s="134">
        <v>25.14</v>
      </c>
      <c r="M70" s="134">
        <v>94</v>
      </c>
      <c r="N70" s="134">
        <v>55.3</v>
      </c>
      <c r="O70" s="134">
        <v>0</v>
      </c>
      <c r="P70" s="134">
        <v>0.6</v>
      </c>
      <c r="Q70" s="134">
        <v>4.43</v>
      </c>
    </row>
    <row r="71" spans="1:17" customFormat="1">
      <c r="A71" s="112" t="s">
        <v>2699</v>
      </c>
      <c r="B71" s="134">
        <v>10.220000000000001</v>
      </c>
      <c r="C71" s="134">
        <v>42.29</v>
      </c>
      <c r="D71" s="134">
        <v>29.25</v>
      </c>
      <c r="E71" s="134">
        <v>5.55</v>
      </c>
      <c r="F71" s="134">
        <v>3.64</v>
      </c>
      <c r="G71" s="134">
        <v>10.28</v>
      </c>
      <c r="H71" s="134">
        <v>3.47</v>
      </c>
      <c r="I71" s="134">
        <v>4.78</v>
      </c>
      <c r="J71" s="134">
        <v>0.59</v>
      </c>
      <c r="K71" s="134">
        <v>247.97</v>
      </c>
      <c r="L71" s="134">
        <v>25.23</v>
      </c>
      <c r="M71" s="134">
        <v>93.85</v>
      </c>
      <c r="N71" s="134">
        <v>68.5</v>
      </c>
      <c r="O71" s="134">
        <v>0</v>
      </c>
      <c r="P71" s="134">
        <v>0.64</v>
      </c>
      <c r="Q71" s="134">
        <v>4.5199999999999996</v>
      </c>
    </row>
    <row r="72" spans="1:17" customFormat="1">
      <c r="A72" s="112" t="s">
        <v>2700</v>
      </c>
      <c r="B72" s="134">
        <v>10.46</v>
      </c>
      <c r="C72" s="134">
        <v>41.05</v>
      </c>
      <c r="D72" s="134">
        <v>28.79</v>
      </c>
      <c r="E72" s="134">
        <v>5.68</v>
      </c>
      <c r="F72" s="134">
        <v>4.59</v>
      </c>
      <c r="G72" s="134">
        <v>8.3699999999999992</v>
      </c>
      <c r="H72" s="134">
        <v>3.02</v>
      </c>
      <c r="I72" s="134">
        <v>4.7300000000000004</v>
      </c>
      <c r="J72" s="134">
        <v>0.68</v>
      </c>
      <c r="K72" s="134">
        <v>251.13</v>
      </c>
      <c r="L72" s="134">
        <v>25.32</v>
      </c>
      <c r="M72" s="134">
        <v>93.04</v>
      </c>
      <c r="N72" s="134">
        <v>58.5</v>
      </c>
      <c r="O72" s="134">
        <v>0</v>
      </c>
      <c r="P72" s="134">
        <v>0.61</v>
      </c>
      <c r="Q72" s="134">
        <v>4.54</v>
      </c>
    </row>
    <row r="73" spans="1:17" customFormat="1">
      <c r="A73" s="112" t="s">
        <v>2701</v>
      </c>
      <c r="B73" s="134">
        <v>10.29</v>
      </c>
      <c r="C73" s="134">
        <v>37.29</v>
      </c>
      <c r="D73" s="134">
        <v>26.69</v>
      </c>
      <c r="E73" s="134">
        <v>4.8099999999999996</v>
      </c>
      <c r="F73" s="134">
        <v>5.95</v>
      </c>
      <c r="G73" s="134">
        <v>8.3699999999999992</v>
      </c>
      <c r="H73" s="134">
        <v>3.02</v>
      </c>
      <c r="I73" s="134">
        <v>4.7699999999999996</v>
      </c>
      <c r="J73" s="134">
        <v>0.73</v>
      </c>
      <c r="K73" s="134">
        <v>247.84</v>
      </c>
      <c r="L73" s="134">
        <v>25.28</v>
      </c>
      <c r="M73" s="134">
        <v>92.72</v>
      </c>
      <c r="N73" s="134">
        <v>27.3</v>
      </c>
      <c r="O73" s="134">
        <v>0</v>
      </c>
      <c r="P73" s="134">
        <v>0.56999999999999995</v>
      </c>
      <c r="Q73" s="134">
        <v>4.43</v>
      </c>
    </row>
    <row r="74" spans="1:17" customFormat="1">
      <c r="A74" s="112" t="s">
        <v>2702</v>
      </c>
      <c r="B74" s="134">
        <v>10.1</v>
      </c>
      <c r="C74" s="134">
        <v>40.409999999999997</v>
      </c>
      <c r="D74" s="134">
        <v>28.17</v>
      </c>
      <c r="E74" s="134">
        <v>5.15</v>
      </c>
      <c r="F74" s="134">
        <v>4.21</v>
      </c>
      <c r="G74" s="134">
        <v>8.3699999999999992</v>
      </c>
      <c r="H74" s="134">
        <v>3.02</v>
      </c>
      <c r="I74" s="134">
        <v>4.63</v>
      </c>
      <c r="J74" s="134">
        <v>0.75</v>
      </c>
      <c r="K74" s="134">
        <v>257.89</v>
      </c>
      <c r="L74" s="134">
        <v>25.24</v>
      </c>
      <c r="M74" s="134">
        <v>92.5</v>
      </c>
      <c r="N74" s="134">
        <v>18.399999999999999</v>
      </c>
      <c r="O74" s="134">
        <v>0</v>
      </c>
      <c r="P74" s="134">
        <v>0.6</v>
      </c>
      <c r="Q74" s="134">
        <v>4.45</v>
      </c>
    </row>
    <row r="75" spans="1:17" customFormat="1">
      <c r="A75" s="112" t="s">
        <v>2703</v>
      </c>
      <c r="B75" s="134">
        <v>10.14</v>
      </c>
      <c r="C75" s="134">
        <v>40.35</v>
      </c>
      <c r="D75" s="134">
        <v>28.17</v>
      </c>
      <c r="E75" s="134">
        <v>5.51</v>
      </c>
      <c r="F75" s="134">
        <v>5.34</v>
      </c>
      <c r="G75" s="134">
        <v>8.5500000000000007</v>
      </c>
      <c r="H75" s="134">
        <v>2.72</v>
      </c>
      <c r="I75" s="134">
        <v>4.5199999999999996</v>
      </c>
      <c r="J75" s="134">
        <v>0.84</v>
      </c>
      <c r="K75" s="134">
        <v>262.62</v>
      </c>
      <c r="L75" s="134">
        <v>25.09</v>
      </c>
      <c r="M75" s="134">
        <v>93.14</v>
      </c>
      <c r="N75" s="134">
        <v>22</v>
      </c>
      <c r="O75" s="134">
        <v>0</v>
      </c>
      <c r="P75" s="134">
        <v>0.59</v>
      </c>
      <c r="Q75" s="134">
        <v>4.53</v>
      </c>
    </row>
    <row r="76" spans="1:17" customFormat="1">
      <c r="A76" s="112" t="s">
        <v>2704</v>
      </c>
      <c r="B76" s="134">
        <v>10.15</v>
      </c>
      <c r="C76" s="134">
        <v>37.85</v>
      </c>
      <c r="D76" s="134">
        <v>26.87</v>
      </c>
      <c r="E76" s="134">
        <v>4.9400000000000004</v>
      </c>
      <c r="F76" s="134">
        <v>5.75</v>
      </c>
      <c r="G76" s="134">
        <v>8.81</v>
      </c>
      <c r="H76" s="134">
        <v>2.4500000000000002</v>
      </c>
      <c r="I76" s="134">
        <v>4.49</v>
      </c>
      <c r="J76" s="134">
        <v>0.86</v>
      </c>
      <c r="K76" s="134">
        <v>261.94</v>
      </c>
      <c r="L76" s="134">
        <v>24.95</v>
      </c>
      <c r="M76" s="134">
        <v>94.46</v>
      </c>
      <c r="N76" s="134">
        <v>20.5</v>
      </c>
      <c r="O76" s="134">
        <v>0</v>
      </c>
      <c r="P76" s="134">
        <v>0.56000000000000005</v>
      </c>
      <c r="Q76" s="134">
        <v>4.43</v>
      </c>
    </row>
    <row r="77" spans="1:17" customFormat="1">
      <c r="A77" s="112" t="s">
        <v>2705</v>
      </c>
      <c r="B77" s="134">
        <v>10.08</v>
      </c>
      <c r="C77" s="134">
        <v>41.91</v>
      </c>
      <c r="D77" s="134">
        <v>28.94</v>
      </c>
      <c r="E77" s="134">
        <v>5.33</v>
      </c>
      <c r="F77" s="134">
        <v>3.71</v>
      </c>
      <c r="G77" s="134">
        <v>8.81</v>
      </c>
      <c r="H77" s="134">
        <v>2.4500000000000002</v>
      </c>
      <c r="I77" s="134">
        <v>4.41</v>
      </c>
      <c r="J77" s="134">
        <v>0.87</v>
      </c>
      <c r="K77" s="134">
        <v>258.92</v>
      </c>
      <c r="L77" s="134">
        <v>24.81</v>
      </c>
      <c r="M77" s="134">
        <v>95.6</v>
      </c>
      <c r="N77" s="134">
        <v>7.8</v>
      </c>
      <c r="O77" s="134">
        <v>0</v>
      </c>
      <c r="P77" s="134">
        <v>0.59</v>
      </c>
      <c r="Q77" s="134">
        <v>4.51</v>
      </c>
    </row>
    <row r="78" spans="1:17" customFormat="1">
      <c r="A78" s="112" t="s">
        <v>2706</v>
      </c>
      <c r="B78" s="134">
        <v>10.19</v>
      </c>
      <c r="C78" s="134">
        <v>38.36</v>
      </c>
      <c r="D78" s="134">
        <v>27.17</v>
      </c>
      <c r="E78" s="134">
        <v>5.26</v>
      </c>
      <c r="F78" s="134">
        <v>5.24</v>
      </c>
      <c r="G78" s="134">
        <v>8.81</v>
      </c>
      <c r="H78" s="134">
        <v>2.4500000000000002</v>
      </c>
      <c r="I78" s="134">
        <v>4.3899999999999997</v>
      </c>
      <c r="J78" s="134">
        <v>0.62</v>
      </c>
      <c r="K78" s="134">
        <v>253.51</v>
      </c>
      <c r="L78" s="134">
        <v>24.66</v>
      </c>
      <c r="M78" s="134">
        <v>96.53</v>
      </c>
      <c r="N78" s="134">
        <v>3.5</v>
      </c>
      <c r="O78" s="134">
        <v>0</v>
      </c>
      <c r="P78" s="134">
        <v>0.54</v>
      </c>
      <c r="Q78" s="134">
        <v>4.46</v>
      </c>
    </row>
    <row r="79" spans="1:17" customFormat="1">
      <c r="A79" s="112" t="s">
        <v>2707</v>
      </c>
      <c r="B79" s="134">
        <v>9.9</v>
      </c>
      <c r="C79" s="134">
        <v>37.44</v>
      </c>
      <c r="D79" s="134">
        <v>26.45</v>
      </c>
      <c r="E79" s="134">
        <v>4.9800000000000004</v>
      </c>
      <c r="F79" s="134">
        <v>5.28</v>
      </c>
      <c r="G79" s="134">
        <v>7.77</v>
      </c>
      <c r="H79" s="134">
        <v>2.35</v>
      </c>
      <c r="I79" s="134">
        <v>4.3600000000000003</v>
      </c>
      <c r="J79" s="134">
        <v>0.78</v>
      </c>
      <c r="K79" s="134">
        <v>253.09</v>
      </c>
      <c r="L79" s="134">
        <v>24.57</v>
      </c>
      <c r="M79" s="134">
        <v>96.9</v>
      </c>
      <c r="N79" s="134">
        <v>1.5</v>
      </c>
      <c r="O79" s="134">
        <v>0</v>
      </c>
      <c r="P79" s="134">
        <v>0.53</v>
      </c>
      <c r="Q79" s="134">
        <v>4.41</v>
      </c>
    </row>
    <row r="80" spans="1:17" customFormat="1">
      <c r="A80" s="112" t="s">
        <v>2708</v>
      </c>
      <c r="B80" s="134">
        <v>9.91</v>
      </c>
      <c r="C80" s="134">
        <v>42.04</v>
      </c>
      <c r="D80" s="134">
        <v>28.86</v>
      </c>
      <c r="E80" s="134">
        <v>5.86</v>
      </c>
      <c r="F80" s="134">
        <v>3.51</v>
      </c>
      <c r="G80" s="134">
        <v>6.2</v>
      </c>
      <c r="H80" s="134">
        <v>2.2599999999999998</v>
      </c>
      <c r="I80" s="134">
        <v>4.2</v>
      </c>
      <c r="J80" s="134">
        <v>1.45</v>
      </c>
      <c r="K80" s="134">
        <v>261.66000000000003</v>
      </c>
      <c r="L80" s="134">
        <v>24.35</v>
      </c>
      <c r="M80" s="134">
        <v>96.61</v>
      </c>
      <c r="N80" s="134">
        <v>1.3</v>
      </c>
      <c r="O80" s="134">
        <v>0</v>
      </c>
      <c r="P80" s="134">
        <v>0.56999999999999995</v>
      </c>
      <c r="Q80" s="134">
        <v>4.51</v>
      </c>
    </row>
    <row r="81" spans="1:17" customFormat="1">
      <c r="A81" s="112" t="s">
        <v>2709</v>
      </c>
      <c r="B81" s="134">
        <v>9.94</v>
      </c>
      <c r="C81" s="134">
        <v>38.56</v>
      </c>
      <c r="D81" s="134">
        <v>27.08</v>
      </c>
      <c r="E81" s="134">
        <v>4.0999999999999996</v>
      </c>
      <c r="F81" s="134">
        <v>4.8899999999999997</v>
      </c>
      <c r="G81" s="134">
        <v>6.2</v>
      </c>
      <c r="H81" s="134">
        <v>2.2599999999999998</v>
      </c>
      <c r="I81" s="134">
        <v>4.18</v>
      </c>
      <c r="J81" s="134">
        <v>0.97</v>
      </c>
      <c r="K81" s="134">
        <v>260.24</v>
      </c>
      <c r="L81" s="134">
        <v>24.22</v>
      </c>
      <c r="M81" s="134">
        <v>96.4</v>
      </c>
      <c r="N81" s="134">
        <v>0</v>
      </c>
      <c r="O81" s="134">
        <v>0</v>
      </c>
      <c r="P81" s="134">
        <v>0.53</v>
      </c>
      <c r="Q81" s="134">
        <v>4.45</v>
      </c>
    </row>
    <row r="82" spans="1:17" customFormat="1">
      <c r="A82" s="112" t="s">
        <v>2710</v>
      </c>
      <c r="B82" s="134">
        <v>9.65</v>
      </c>
      <c r="C82" s="134">
        <v>37.83</v>
      </c>
      <c r="D82" s="134">
        <v>26.46</v>
      </c>
      <c r="E82" s="134">
        <v>3.75</v>
      </c>
      <c r="F82" s="134">
        <v>4.51</v>
      </c>
      <c r="G82" s="134">
        <v>6.2</v>
      </c>
      <c r="H82" s="134">
        <v>2.2599999999999998</v>
      </c>
      <c r="I82" s="134">
        <v>4.17</v>
      </c>
      <c r="J82" s="134">
        <v>1.1000000000000001</v>
      </c>
      <c r="K82" s="134">
        <v>258.49</v>
      </c>
      <c r="L82" s="134">
        <v>24.15</v>
      </c>
      <c r="M82" s="134">
        <v>96.51</v>
      </c>
      <c r="N82" s="134">
        <v>0</v>
      </c>
      <c r="O82" s="134">
        <v>0</v>
      </c>
      <c r="P82" s="134">
        <v>0.52</v>
      </c>
      <c r="Q82" s="134">
        <v>4.34</v>
      </c>
    </row>
    <row r="83" spans="1:17" customFormat="1">
      <c r="A83" s="112" t="s">
        <v>2711</v>
      </c>
      <c r="B83" s="134">
        <v>9.4499999999999993</v>
      </c>
      <c r="C83" s="134">
        <v>42.61</v>
      </c>
      <c r="D83" s="134">
        <v>28.8</v>
      </c>
      <c r="E83" s="134">
        <v>4.8499999999999996</v>
      </c>
      <c r="F83" s="134">
        <v>3.29</v>
      </c>
      <c r="G83" s="134">
        <v>5.69</v>
      </c>
      <c r="H83" s="134">
        <v>2.14</v>
      </c>
      <c r="I83" s="134">
        <v>4.03</v>
      </c>
      <c r="J83" s="134">
        <v>1.0900000000000001</v>
      </c>
      <c r="K83" s="134">
        <v>251.99</v>
      </c>
      <c r="L83" s="134">
        <v>24.12</v>
      </c>
      <c r="M83" s="134">
        <v>96.53</v>
      </c>
      <c r="N83" s="134">
        <v>0</v>
      </c>
      <c r="O83" s="134">
        <v>0</v>
      </c>
      <c r="P83" s="134">
        <v>0.56000000000000005</v>
      </c>
      <c r="Q83" s="134">
        <v>4.4800000000000004</v>
      </c>
    </row>
    <row r="84" spans="1:17" customFormat="1">
      <c r="A84" s="112" t="s">
        <v>2712</v>
      </c>
      <c r="B84" s="134">
        <v>9.4700000000000006</v>
      </c>
      <c r="C84" s="134">
        <v>40.68</v>
      </c>
      <c r="D84" s="134">
        <v>27.8</v>
      </c>
      <c r="E84" s="134">
        <v>5.09</v>
      </c>
      <c r="F84" s="134">
        <v>4.32</v>
      </c>
      <c r="G84" s="134">
        <v>4.92</v>
      </c>
      <c r="H84" s="134">
        <v>2.04</v>
      </c>
      <c r="I84" s="134">
        <v>4</v>
      </c>
      <c r="J84" s="134">
        <v>1.49</v>
      </c>
      <c r="K84" s="134">
        <v>247.26</v>
      </c>
      <c r="L84" s="134">
        <v>24.15</v>
      </c>
      <c r="M84" s="134">
        <v>96.36</v>
      </c>
      <c r="N84" s="134">
        <v>0</v>
      </c>
      <c r="O84" s="134">
        <v>0</v>
      </c>
      <c r="P84" s="134">
        <v>0.53</v>
      </c>
      <c r="Q84" s="134">
        <v>4.4800000000000004</v>
      </c>
    </row>
    <row r="85" spans="1:17" customFormat="1">
      <c r="A85" s="112" t="s">
        <v>2713</v>
      </c>
      <c r="B85" s="134">
        <v>9.3699999999999992</v>
      </c>
      <c r="C85" s="134">
        <v>35.9</v>
      </c>
      <c r="D85" s="134">
        <v>25.23</v>
      </c>
      <c r="E85" s="134">
        <v>4.0199999999999996</v>
      </c>
      <c r="F85" s="134">
        <v>5.62</v>
      </c>
      <c r="G85" s="134">
        <v>4.92</v>
      </c>
      <c r="H85" s="134">
        <v>2.04</v>
      </c>
      <c r="I85" s="134">
        <v>4.0199999999999996</v>
      </c>
      <c r="J85" s="134">
        <v>1.38</v>
      </c>
      <c r="K85" s="134">
        <v>248.32</v>
      </c>
      <c r="L85" s="134">
        <v>24.18</v>
      </c>
      <c r="M85" s="134">
        <v>96.23</v>
      </c>
      <c r="N85" s="134">
        <v>0</v>
      </c>
      <c r="O85" s="134">
        <v>0</v>
      </c>
      <c r="P85" s="134">
        <v>0.48</v>
      </c>
      <c r="Q85" s="134">
        <v>4.3600000000000003</v>
      </c>
    </row>
    <row r="86" spans="1:17" customFormat="1">
      <c r="A86" s="112" t="s">
        <v>2714</v>
      </c>
      <c r="B86" s="134">
        <v>9.1199999999999992</v>
      </c>
      <c r="C86" s="134">
        <v>38.25</v>
      </c>
      <c r="D86" s="134">
        <v>26.25</v>
      </c>
      <c r="E86" s="134">
        <v>4.2699999999999996</v>
      </c>
      <c r="F86" s="134">
        <v>4.5999999999999996</v>
      </c>
      <c r="G86" s="134">
        <v>4.92</v>
      </c>
      <c r="H86" s="134">
        <v>2.04</v>
      </c>
      <c r="I86" s="134">
        <v>3.89</v>
      </c>
      <c r="J86" s="134">
        <v>1.63</v>
      </c>
      <c r="K86" s="134">
        <v>248.23</v>
      </c>
      <c r="L86" s="134">
        <v>24.17</v>
      </c>
      <c r="M86" s="134">
        <v>96.13</v>
      </c>
      <c r="N86" s="134">
        <v>0</v>
      </c>
      <c r="O86" s="134">
        <v>0</v>
      </c>
      <c r="P86" s="134">
        <v>0.49</v>
      </c>
      <c r="Q86" s="134">
        <v>4.3099999999999996</v>
      </c>
    </row>
    <row r="87" spans="1:17" customFormat="1">
      <c r="A87" s="112" t="s">
        <v>2715</v>
      </c>
      <c r="B87" s="134">
        <v>9.15</v>
      </c>
      <c r="C87" s="134">
        <v>40.44</v>
      </c>
      <c r="D87" s="134">
        <v>27.42</v>
      </c>
      <c r="E87" s="134">
        <v>4.9400000000000004</v>
      </c>
      <c r="F87" s="134">
        <v>4.01</v>
      </c>
      <c r="G87" s="134">
        <v>4.43</v>
      </c>
      <c r="H87" s="134">
        <v>2.11</v>
      </c>
      <c r="I87" s="134">
        <v>3.77</v>
      </c>
      <c r="J87" s="134">
        <v>1.56</v>
      </c>
      <c r="K87" s="134">
        <v>247.07</v>
      </c>
      <c r="L87" s="134">
        <v>24.14</v>
      </c>
      <c r="M87" s="134">
        <v>95.77</v>
      </c>
      <c r="N87" s="134">
        <v>0</v>
      </c>
      <c r="O87" s="134">
        <v>0</v>
      </c>
      <c r="P87" s="134">
        <v>0.51</v>
      </c>
      <c r="Q87" s="134">
        <v>4.47</v>
      </c>
    </row>
    <row r="88" spans="1:17" customFormat="1">
      <c r="A88" s="112" t="s">
        <v>2716</v>
      </c>
      <c r="B88" s="134">
        <v>9.11</v>
      </c>
      <c r="C88" s="134">
        <v>39.26</v>
      </c>
      <c r="D88" s="134">
        <v>26.77</v>
      </c>
      <c r="E88" s="134">
        <v>4.57</v>
      </c>
      <c r="F88" s="134">
        <v>4.3899999999999997</v>
      </c>
      <c r="G88" s="134">
        <v>3.71</v>
      </c>
      <c r="H88" s="134">
        <v>2.29</v>
      </c>
      <c r="I88" s="134">
        <v>3.77</v>
      </c>
      <c r="J88" s="134">
        <v>1.61</v>
      </c>
      <c r="K88" s="134">
        <v>252.99</v>
      </c>
      <c r="L88" s="134">
        <v>24.07</v>
      </c>
      <c r="M88" s="134">
        <v>95.49</v>
      </c>
      <c r="N88" s="134">
        <v>0</v>
      </c>
      <c r="O88" s="134">
        <v>0</v>
      </c>
      <c r="P88" s="134">
        <v>0.49</v>
      </c>
      <c r="Q88" s="134">
        <v>4.4000000000000004</v>
      </c>
    </row>
    <row r="89" spans="1:17" customFormat="1">
      <c r="A89" s="112" t="s">
        <v>2717</v>
      </c>
      <c r="B89" s="134">
        <v>9.15</v>
      </c>
      <c r="C89" s="134">
        <v>40.22</v>
      </c>
      <c r="D89" s="134">
        <v>27.3</v>
      </c>
      <c r="E89" s="134">
        <v>5.21</v>
      </c>
      <c r="F89" s="134">
        <v>4.18</v>
      </c>
      <c r="G89" s="134">
        <v>3.71</v>
      </c>
      <c r="H89" s="134">
        <v>2.29</v>
      </c>
      <c r="I89" s="134">
        <v>3.75</v>
      </c>
      <c r="J89" s="134">
        <v>1.1000000000000001</v>
      </c>
      <c r="K89" s="134">
        <v>249.09</v>
      </c>
      <c r="L89" s="134">
        <v>24.05</v>
      </c>
      <c r="M89" s="134">
        <v>95.67</v>
      </c>
      <c r="N89" s="134">
        <v>0</v>
      </c>
      <c r="O89" s="134">
        <v>0</v>
      </c>
      <c r="P89" s="134">
        <v>0.49</v>
      </c>
      <c r="Q89" s="134">
        <v>4.4400000000000004</v>
      </c>
    </row>
    <row r="90" spans="1:17" customFormat="1">
      <c r="A90" s="112" t="s">
        <v>2718</v>
      </c>
      <c r="B90" s="134">
        <v>9.0299999999999994</v>
      </c>
      <c r="C90" s="134">
        <v>36.659999999999997</v>
      </c>
      <c r="D90" s="134">
        <v>25.35</v>
      </c>
      <c r="E90" s="134">
        <v>4.4800000000000004</v>
      </c>
      <c r="F90" s="134">
        <v>5.0599999999999996</v>
      </c>
      <c r="G90" s="134">
        <v>3.71</v>
      </c>
      <c r="H90" s="134">
        <v>2.29</v>
      </c>
      <c r="I90" s="134">
        <v>3.71</v>
      </c>
      <c r="J90" s="134">
        <v>1.1000000000000001</v>
      </c>
      <c r="K90" s="134">
        <v>249.85</v>
      </c>
      <c r="L90" s="134">
        <v>24.03</v>
      </c>
      <c r="M90" s="134">
        <v>95.56</v>
      </c>
      <c r="N90" s="134">
        <v>0</v>
      </c>
      <c r="O90" s="134">
        <v>0</v>
      </c>
      <c r="P90" s="134">
        <v>0.44</v>
      </c>
      <c r="Q90" s="134">
        <v>4.3600000000000003</v>
      </c>
    </row>
    <row r="91" spans="1:17" customFormat="1">
      <c r="A91" s="112" t="s">
        <v>2719</v>
      </c>
      <c r="B91" s="134">
        <v>8.86</v>
      </c>
      <c r="C91" s="134">
        <v>39.299999999999997</v>
      </c>
      <c r="D91" s="134">
        <v>26.59</v>
      </c>
      <c r="E91" s="134">
        <v>4.7699999999999996</v>
      </c>
      <c r="F91" s="134">
        <v>3.71</v>
      </c>
      <c r="G91" s="134">
        <v>3.33</v>
      </c>
      <c r="H91" s="134">
        <v>1.94</v>
      </c>
      <c r="I91" s="134">
        <v>3.67</v>
      </c>
      <c r="J91" s="134">
        <v>0.86</v>
      </c>
      <c r="K91" s="134">
        <v>249.71</v>
      </c>
      <c r="L91" s="134">
        <v>23.91</v>
      </c>
      <c r="M91" s="134">
        <v>96.06</v>
      </c>
      <c r="N91" s="134">
        <v>0</v>
      </c>
      <c r="O91" s="134">
        <v>0</v>
      </c>
      <c r="P91" s="134">
        <v>0.47</v>
      </c>
      <c r="Q91" s="134">
        <v>4.3499999999999996</v>
      </c>
    </row>
    <row r="92" spans="1:17" customFormat="1">
      <c r="A92" s="112" t="s">
        <v>2720</v>
      </c>
      <c r="B92" s="134">
        <v>9.1199999999999992</v>
      </c>
      <c r="C92" s="134">
        <v>40.51</v>
      </c>
      <c r="D92" s="134">
        <v>27.44</v>
      </c>
      <c r="E92" s="134">
        <v>5.66</v>
      </c>
      <c r="F92" s="134">
        <v>3.89</v>
      </c>
      <c r="G92" s="134">
        <v>2.75</v>
      </c>
      <c r="H92" s="134">
        <v>1.65</v>
      </c>
      <c r="I92" s="134">
        <v>3.58</v>
      </c>
      <c r="J92" s="134">
        <v>1.06</v>
      </c>
      <c r="K92" s="134">
        <v>255.68</v>
      </c>
      <c r="L92" s="134">
        <v>23.9</v>
      </c>
      <c r="M92" s="134">
        <v>96.41</v>
      </c>
      <c r="N92" s="134">
        <v>0</v>
      </c>
      <c r="O92" s="134">
        <v>0</v>
      </c>
      <c r="P92" s="134">
        <v>0.47</v>
      </c>
      <c r="Q92" s="134">
        <v>4.43</v>
      </c>
    </row>
    <row r="93" spans="1:17" customFormat="1">
      <c r="A93" s="112" t="s">
        <v>2721</v>
      </c>
      <c r="B93" s="134">
        <v>9.0399999999999991</v>
      </c>
      <c r="C93" s="134">
        <v>36.770000000000003</v>
      </c>
      <c r="D93" s="134">
        <v>25.41</v>
      </c>
      <c r="E93" s="134">
        <v>3.85</v>
      </c>
      <c r="F93" s="134">
        <v>4.87</v>
      </c>
      <c r="G93" s="134">
        <v>2.75</v>
      </c>
      <c r="H93" s="134">
        <v>1.65</v>
      </c>
      <c r="I93" s="134">
        <v>3.59</v>
      </c>
      <c r="J93" s="134">
        <v>0.88</v>
      </c>
      <c r="K93" s="134">
        <v>254.23</v>
      </c>
      <c r="L93" s="134">
        <v>23.94</v>
      </c>
      <c r="M93" s="134">
        <v>96.59</v>
      </c>
      <c r="N93" s="134">
        <v>0</v>
      </c>
      <c r="O93" s="134">
        <v>0</v>
      </c>
      <c r="P93" s="134">
        <v>0.43</v>
      </c>
      <c r="Q93" s="134">
        <v>4.3499999999999996</v>
      </c>
    </row>
    <row r="94" spans="1:17" customFormat="1">
      <c r="A94" s="112" t="s">
        <v>2722</v>
      </c>
      <c r="B94" s="134">
        <v>8.92</v>
      </c>
      <c r="C94" s="134">
        <v>40.15</v>
      </c>
      <c r="D94" s="134">
        <v>27.08</v>
      </c>
      <c r="E94" s="134">
        <v>4.28</v>
      </c>
      <c r="F94" s="134">
        <v>3.61</v>
      </c>
      <c r="G94" s="134">
        <v>2.75</v>
      </c>
      <c r="H94" s="134">
        <v>1.65</v>
      </c>
      <c r="I94" s="134">
        <v>3.53</v>
      </c>
      <c r="J94" s="134">
        <v>0.78</v>
      </c>
      <c r="K94" s="134">
        <v>249.5</v>
      </c>
      <c r="L94" s="134">
        <v>23.93</v>
      </c>
      <c r="M94" s="134">
        <v>96.76</v>
      </c>
      <c r="N94" s="134">
        <v>0</v>
      </c>
      <c r="O94" s="134">
        <v>0</v>
      </c>
      <c r="P94" s="134">
        <v>0.46</v>
      </c>
      <c r="Q94" s="134">
        <v>4.41</v>
      </c>
    </row>
    <row r="95" spans="1:17" customFormat="1">
      <c r="A95" s="112" t="s">
        <v>2723</v>
      </c>
      <c r="B95" s="134">
        <v>9.19</v>
      </c>
      <c r="C95" s="134">
        <v>38.69</v>
      </c>
      <c r="D95" s="134">
        <v>26.54</v>
      </c>
      <c r="E95" s="134">
        <v>4.46</v>
      </c>
      <c r="F95" s="134">
        <v>4.1900000000000004</v>
      </c>
      <c r="G95" s="134">
        <v>2.56</v>
      </c>
      <c r="H95" s="134">
        <v>1.42</v>
      </c>
      <c r="I95" s="134">
        <v>3.47</v>
      </c>
      <c r="J95" s="134">
        <v>0.75</v>
      </c>
      <c r="K95" s="134">
        <v>247.04</v>
      </c>
      <c r="L95" s="134">
        <v>23.96</v>
      </c>
      <c r="M95" s="134">
        <v>96.97</v>
      </c>
      <c r="N95" s="134">
        <v>0</v>
      </c>
      <c r="O95" s="134">
        <v>0</v>
      </c>
      <c r="P95" s="134">
        <v>0.45</v>
      </c>
      <c r="Q95" s="134">
        <v>4.43</v>
      </c>
    </row>
    <row r="96" spans="1:17" customFormat="1">
      <c r="A96" s="112" t="s">
        <v>2724</v>
      </c>
      <c r="B96" s="134">
        <v>9.14</v>
      </c>
      <c r="C96" s="134">
        <v>37.99</v>
      </c>
      <c r="D96" s="134">
        <v>26.14</v>
      </c>
      <c r="E96" s="134">
        <v>4.57</v>
      </c>
      <c r="F96" s="134">
        <v>4.26</v>
      </c>
      <c r="G96" s="134">
        <v>2.29</v>
      </c>
      <c r="H96" s="134">
        <v>1.22</v>
      </c>
      <c r="I96" s="134">
        <v>3.46</v>
      </c>
      <c r="J96" s="134">
        <v>0.97</v>
      </c>
      <c r="K96" s="134">
        <v>253.74</v>
      </c>
      <c r="L96" s="134">
        <v>23.89</v>
      </c>
      <c r="M96" s="134">
        <v>97.11</v>
      </c>
      <c r="N96" s="134">
        <v>0</v>
      </c>
      <c r="O96" s="134">
        <v>0</v>
      </c>
      <c r="P96" s="134">
        <v>0.43</v>
      </c>
      <c r="Q96" s="134">
        <v>4.3499999999999996</v>
      </c>
    </row>
    <row r="97" spans="1:22" customFormat="1">
      <c r="A97" s="112" t="s">
        <v>2725</v>
      </c>
      <c r="B97" s="134">
        <v>9.16</v>
      </c>
      <c r="C97" s="134">
        <v>40.1</v>
      </c>
      <c r="D97" s="134">
        <v>27.25</v>
      </c>
      <c r="E97" s="134">
        <v>4.6399999999999997</v>
      </c>
      <c r="F97" s="134">
        <v>3.91</v>
      </c>
      <c r="G97" s="134">
        <v>2.29</v>
      </c>
      <c r="H97" s="134">
        <v>1.22</v>
      </c>
      <c r="I97" s="134">
        <v>3.38</v>
      </c>
      <c r="J97" s="134">
        <v>1.24</v>
      </c>
      <c r="K97" s="134">
        <v>243.86</v>
      </c>
      <c r="L97" s="134">
        <v>23.8</v>
      </c>
      <c r="M97" s="134">
        <v>97.55</v>
      </c>
      <c r="N97" s="134">
        <v>0</v>
      </c>
      <c r="O97" s="134">
        <v>0</v>
      </c>
      <c r="P97" s="134">
        <v>0.45</v>
      </c>
      <c r="Q97" s="134">
        <v>4.43</v>
      </c>
    </row>
    <row r="98" spans="1:22" customFormat="1">
      <c r="A98" s="112" t="s">
        <v>2726</v>
      </c>
      <c r="B98" s="134">
        <v>9.15</v>
      </c>
      <c r="C98" s="134">
        <v>36.03</v>
      </c>
      <c r="D98" s="134">
        <v>25.12</v>
      </c>
      <c r="E98" s="134">
        <v>4.5</v>
      </c>
      <c r="F98" s="134">
        <v>5.35</v>
      </c>
      <c r="G98" s="134">
        <v>2.29</v>
      </c>
      <c r="H98" s="134">
        <v>1.22</v>
      </c>
      <c r="I98" s="134">
        <v>3.36</v>
      </c>
      <c r="J98" s="134">
        <v>1.44</v>
      </c>
      <c r="K98" s="134">
        <v>243.18</v>
      </c>
      <c r="L98" s="134">
        <v>23.81</v>
      </c>
      <c r="M98" s="134">
        <v>97.9</v>
      </c>
      <c r="N98" s="134">
        <v>0</v>
      </c>
      <c r="O98" s="134">
        <v>0</v>
      </c>
      <c r="P98" s="134">
        <v>0.4</v>
      </c>
      <c r="Q98" s="134">
        <v>4.33</v>
      </c>
    </row>
    <row r="99" spans="1:22" customFormat="1">
      <c r="A99" s="112" t="s">
        <v>2727</v>
      </c>
      <c r="B99" s="134">
        <v>9.01</v>
      </c>
      <c r="C99" s="134">
        <v>38.369999999999997</v>
      </c>
      <c r="D99" s="134">
        <v>26.23</v>
      </c>
      <c r="E99" s="134">
        <v>4.21</v>
      </c>
      <c r="F99" s="134">
        <v>4.07</v>
      </c>
      <c r="G99" s="134">
        <v>2.36</v>
      </c>
      <c r="H99" s="134">
        <v>1.06</v>
      </c>
      <c r="I99" s="134">
        <v>3.32</v>
      </c>
      <c r="J99" s="134">
        <v>1.45</v>
      </c>
      <c r="K99" s="134">
        <v>250.05</v>
      </c>
      <c r="L99" s="134">
        <v>23.84</v>
      </c>
      <c r="M99" s="134">
        <v>98.11</v>
      </c>
      <c r="N99" s="134">
        <v>0</v>
      </c>
      <c r="O99" s="134">
        <v>0</v>
      </c>
      <c r="P99" s="134">
        <v>0.42</v>
      </c>
      <c r="Q99" s="134">
        <v>4.32</v>
      </c>
    </row>
    <row r="100" spans="1:22" customFormat="1">
      <c r="A100" s="112" t="s">
        <v>2728</v>
      </c>
      <c r="B100" s="134">
        <v>9.19</v>
      </c>
      <c r="C100" s="134">
        <v>39.83</v>
      </c>
      <c r="D100" s="134">
        <v>27.14</v>
      </c>
      <c r="E100" s="134">
        <v>4.8600000000000003</v>
      </c>
      <c r="F100" s="134">
        <v>3.8</v>
      </c>
      <c r="G100" s="134">
        <v>2.4700000000000002</v>
      </c>
      <c r="H100" s="134">
        <v>0.93</v>
      </c>
      <c r="I100" s="134">
        <v>3.22</v>
      </c>
      <c r="J100" s="134">
        <v>1.58</v>
      </c>
      <c r="K100" s="134">
        <v>250.38</v>
      </c>
      <c r="L100" s="134">
        <v>23.92</v>
      </c>
      <c r="M100" s="134">
        <v>98.25</v>
      </c>
      <c r="N100" s="134">
        <v>0</v>
      </c>
      <c r="O100" s="134">
        <v>0</v>
      </c>
      <c r="P100" s="134">
        <v>0.43</v>
      </c>
      <c r="Q100" s="134">
        <v>4.47</v>
      </c>
    </row>
    <row r="101" spans="1:22" customFormat="1">
      <c r="A101" s="112" t="s">
        <v>2729</v>
      </c>
      <c r="B101" s="134">
        <v>9.2799999999999994</v>
      </c>
      <c r="C101" s="134">
        <v>35.78</v>
      </c>
      <c r="D101" s="134">
        <v>25.09</v>
      </c>
      <c r="E101" s="134">
        <v>4.62</v>
      </c>
      <c r="F101" s="134">
        <v>5.24</v>
      </c>
      <c r="G101" s="134">
        <v>2.4700000000000002</v>
      </c>
      <c r="H101" s="134">
        <v>0.93</v>
      </c>
      <c r="I101" s="134">
        <v>3.25</v>
      </c>
      <c r="J101" s="134">
        <v>1.23</v>
      </c>
      <c r="K101" s="134">
        <v>254.71</v>
      </c>
      <c r="L101" s="134">
        <v>24</v>
      </c>
      <c r="M101" s="134">
        <v>98.35</v>
      </c>
      <c r="N101" s="134">
        <v>0</v>
      </c>
      <c r="O101" s="134">
        <v>0</v>
      </c>
      <c r="P101" s="134">
        <v>0.39</v>
      </c>
      <c r="Q101" s="134">
        <v>4.34</v>
      </c>
    </row>
    <row r="102" spans="1:22" customFormat="1">
      <c r="A102" s="112" t="s">
        <v>2730</v>
      </c>
      <c r="B102" s="134">
        <v>9.0299999999999994</v>
      </c>
      <c r="C102" s="134">
        <v>39.4</v>
      </c>
      <c r="D102" s="134">
        <v>26.79</v>
      </c>
      <c r="E102" s="134">
        <v>4.34</v>
      </c>
      <c r="F102" s="134">
        <v>3.5</v>
      </c>
      <c r="G102" s="134">
        <v>2.4700000000000002</v>
      </c>
      <c r="H102" s="134">
        <v>0.93</v>
      </c>
      <c r="I102" s="134">
        <v>3.22</v>
      </c>
      <c r="J102" s="134">
        <v>1.02</v>
      </c>
      <c r="K102" s="134">
        <v>257.94</v>
      </c>
      <c r="L102" s="134">
        <v>24.03</v>
      </c>
      <c r="M102" s="134">
        <v>98.45</v>
      </c>
      <c r="N102" s="134">
        <v>0</v>
      </c>
      <c r="O102" s="134">
        <v>0</v>
      </c>
      <c r="P102" s="134">
        <v>0.42</v>
      </c>
      <c r="Q102" s="134">
        <v>4.3600000000000003</v>
      </c>
    </row>
    <row r="103" spans="1:22" customFormat="1">
      <c r="A103" s="112" t="s">
        <v>2731</v>
      </c>
      <c r="B103" s="134">
        <v>9.19</v>
      </c>
      <c r="C103" s="134">
        <v>40.65</v>
      </c>
      <c r="D103" s="134">
        <v>27.56</v>
      </c>
      <c r="E103" s="134">
        <v>4.4800000000000004</v>
      </c>
      <c r="F103" s="134">
        <v>4.13</v>
      </c>
      <c r="G103" s="134">
        <v>2.25</v>
      </c>
      <c r="H103" s="134">
        <v>0.86</v>
      </c>
      <c r="I103" s="134">
        <v>3.14</v>
      </c>
      <c r="J103" s="134">
        <v>0.97</v>
      </c>
      <c r="K103" s="134">
        <v>260.14</v>
      </c>
      <c r="L103" s="134">
        <v>23.99</v>
      </c>
      <c r="M103" s="134">
        <v>98.48</v>
      </c>
      <c r="N103" s="134">
        <v>0</v>
      </c>
      <c r="O103" s="134">
        <v>0</v>
      </c>
      <c r="P103" s="134">
        <v>0.43</v>
      </c>
      <c r="Q103" s="134">
        <v>4.46</v>
      </c>
    </row>
    <row r="104" spans="1:22" customFormat="1">
      <c r="A104" s="112" t="s">
        <v>2732</v>
      </c>
      <c r="B104" s="134">
        <v>9.26</v>
      </c>
      <c r="C104" s="134">
        <v>35.520000000000003</v>
      </c>
      <c r="D104" s="134">
        <v>24.94</v>
      </c>
      <c r="E104" s="134">
        <v>4.47</v>
      </c>
      <c r="F104" s="134">
        <v>5.84</v>
      </c>
      <c r="G104" s="134">
        <v>1.92</v>
      </c>
      <c r="H104" s="134">
        <v>0.81</v>
      </c>
      <c r="I104" s="134">
        <v>3.14</v>
      </c>
      <c r="J104" s="134">
        <v>0.78</v>
      </c>
      <c r="K104" s="134">
        <v>249.71</v>
      </c>
      <c r="L104" s="134">
        <v>23.98</v>
      </c>
      <c r="M104" s="134">
        <v>98.5</v>
      </c>
      <c r="N104" s="134">
        <v>0</v>
      </c>
      <c r="O104" s="134">
        <v>0</v>
      </c>
      <c r="P104" s="134">
        <v>0.39</v>
      </c>
      <c r="Q104" s="134">
        <v>4.3499999999999996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8.86</v>
      </c>
      <c r="C106" s="183">
        <f>MIN(C9:C104)</f>
        <v>30.6</v>
      </c>
      <c r="D106" s="183">
        <f t="shared" ref="D106:Q106" si="0">MIN(D9:D104)</f>
        <v>24.94</v>
      </c>
      <c r="E106" s="183">
        <f t="shared" si="0"/>
        <v>3.75</v>
      </c>
      <c r="F106" s="183">
        <f t="shared" si="0"/>
        <v>3.29</v>
      </c>
      <c r="G106" s="183">
        <f t="shared" si="0"/>
        <v>1.92</v>
      </c>
      <c r="H106" s="183">
        <f t="shared" si="0"/>
        <v>0.81</v>
      </c>
      <c r="I106" s="183">
        <f t="shared" si="0"/>
        <v>3.14</v>
      </c>
      <c r="J106" s="183">
        <f t="shared" si="0"/>
        <v>0.35</v>
      </c>
      <c r="K106" s="183">
        <f t="shared" si="0"/>
        <v>48.74</v>
      </c>
      <c r="L106" s="183">
        <f t="shared" si="0"/>
        <v>23.63</v>
      </c>
      <c r="M106" s="183">
        <f t="shared" si="0"/>
        <v>91.57</v>
      </c>
      <c r="N106" s="183">
        <f t="shared" si="0"/>
        <v>0</v>
      </c>
      <c r="O106" s="183">
        <f t="shared" si="0"/>
        <v>0</v>
      </c>
      <c r="P106" s="183">
        <f t="shared" si="0"/>
        <v>0.39</v>
      </c>
      <c r="Q106" s="183">
        <f t="shared" si="0"/>
        <v>4.3099999999999996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16.8</v>
      </c>
      <c r="C107" s="184">
        <f t="shared" ref="C107:Q107" si="1">MAX(C9:C104)</f>
        <v>44.49</v>
      </c>
      <c r="D107" s="184">
        <f t="shared" si="1"/>
        <v>34.15</v>
      </c>
      <c r="E107" s="184">
        <f t="shared" si="1"/>
        <v>6.3</v>
      </c>
      <c r="F107" s="184">
        <f t="shared" si="1"/>
        <v>9.5</v>
      </c>
      <c r="G107" s="184">
        <f t="shared" si="1"/>
        <v>23.37</v>
      </c>
      <c r="H107" s="184">
        <f t="shared" si="1"/>
        <v>12.02</v>
      </c>
      <c r="I107" s="184">
        <f t="shared" si="1"/>
        <v>5.0199999999999996</v>
      </c>
      <c r="J107" s="184">
        <f t="shared" si="1"/>
        <v>2.5</v>
      </c>
      <c r="K107" s="184">
        <f t="shared" si="1"/>
        <v>335.55</v>
      </c>
      <c r="L107" s="184">
        <f t="shared" si="1"/>
        <v>26.11</v>
      </c>
      <c r="M107" s="184">
        <f t="shared" si="1"/>
        <v>98.93</v>
      </c>
      <c r="N107" s="184">
        <f t="shared" si="1"/>
        <v>128.1</v>
      </c>
      <c r="O107" s="184">
        <f t="shared" si="1"/>
        <v>0</v>
      </c>
      <c r="P107" s="184">
        <f t="shared" si="1"/>
        <v>0.66</v>
      </c>
      <c r="Q107" s="184">
        <f t="shared" si="1"/>
        <v>4.88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11.654687500000001</v>
      </c>
      <c r="C108" s="183">
        <f t="shared" ref="C108:Q108" si="2">AVERAGE(C9:C104)</f>
        <v>39.660625000000003</v>
      </c>
      <c r="D108" s="183">
        <f t="shared" si="2"/>
        <v>29.022083333333338</v>
      </c>
      <c r="E108" s="183">
        <f t="shared" si="2"/>
        <v>5.0342708333333333</v>
      </c>
      <c r="F108" s="183">
        <f t="shared" si="2"/>
        <v>4.6946874999999979</v>
      </c>
      <c r="G108" s="183">
        <f t="shared" si="2"/>
        <v>10.886249999999995</v>
      </c>
      <c r="H108" s="183">
        <f t="shared" si="2"/>
        <v>4.8837500000000009</v>
      </c>
      <c r="I108" s="183">
        <f t="shared" si="2"/>
        <v>4.0108333333333333</v>
      </c>
      <c r="J108" s="183">
        <f t="shared" si="2"/>
        <v>0.9998958333333331</v>
      </c>
      <c r="K108" s="183">
        <f t="shared" si="2"/>
        <v>260.22156249999995</v>
      </c>
      <c r="L108" s="183">
        <f t="shared" si="2"/>
        <v>24.539270833333333</v>
      </c>
      <c r="M108" s="183">
        <f t="shared" si="2"/>
        <v>96.060833333333335</v>
      </c>
      <c r="N108" s="183">
        <f t="shared" si="2"/>
        <v>25.383333333333336</v>
      </c>
      <c r="O108" s="183">
        <f t="shared" si="2"/>
        <v>0</v>
      </c>
      <c r="P108" s="183">
        <f t="shared" si="2"/>
        <v>0.51177083333333351</v>
      </c>
      <c r="Q108" s="183">
        <f t="shared" si="2"/>
        <v>4.566250000000001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2.3699584509460112</v>
      </c>
      <c r="C109" s="183">
        <f t="shared" ref="C109:Q109" si="3">STDEV(C9:C104)</f>
        <v>2.4761552593527787</v>
      </c>
      <c r="D109" s="183">
        <f t="shared" si="3"/>
        <v>2.0897947099712453</v>
      </c>
      <c r="E109" s="183">
        <f t="shared" si="3"/>
        <v>0.55755810609001155</v>
      </c>
      <c r="F109" s="183">
        <f t="shared" si="3"/>
        <v>0.93618031678001501</v>
      </c>
      <c r="G109" s="183">
        <f t="shared" si="3"/>
        <v>6.2469352907098274</v>
      </c>
      <c r="H109" s="183">
        <f t="shared" si="3"/>
        <v>3.3872706758655879</v>
      </c>
      <c r="I109" s="183">
        <f t="shared" si="3"/>
        <v>0.49749407119804168</v>
      </c>
      <c r="J109" s="183">
        <f t="shared" si="3"/>
        <v>0.33321873578355898</v>
      </c>
      <c r="K109" s="183">
        <f t="shared" si="3"/>
        <v>28.509888232095904</v>
      </c>
      <c r="L109" s="183">
        <f t="shared" si="3"/>
        <v>0.70506325926222702</v>
      </c>
      <c r="M109" s="183">
        <f t="shared" si="3"/>
        <v>2.005006715655282</v>
      </c>
      <c r="N109" s="183">
        <f t="shared" si="3"/>
        <v>33.673999548821563</v>
      </c>
      <c r="O109" s="183">
        <f t="shared" si="3"/>
        <v>0</v>
      </c>
      <c r="P109" s="183">
        <f t="shared" si="3"/>
        <v>6.3028728481818772E-2</v>
      </c>
      <c r="Q109" s="183">
        <f t="shared" si="3"/>
        <v>0.14983675327359228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27/06/2023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2733</v>
      </c>
      <c r="B9" s="134">
        <v>8.75</v>
      </c>
      <c r="C9" s="134">
        <v>39.549999999999997</v>
      </c>
      <c r="D9" s="134">
        <v>26.63</v>
      </c>
      <c r="E9" s="134">
        <v>4.33</v>
      </c>
      <c r="F9" s="134">
        <v>4.0999999999999996</v>
      </c>
      <c r="G9" s="134">
        <v>1.92</v>
      </c>
      <c r="H9" s="134">
        <v>0.81</v>
      </c>
      <c r="I9" s="134">
        <v>3.09</v>
      </c>
      <c r="J9" s="134">
        <v>0.86</v>
      </c>
      <c r="K9" s="134">
        <v>250.97</v>
      </c>
      <c r="L9" s="134">
        <v>24.02</v>
      </c>
      <c r="M9" s="134">
        <v>98.48</v>
      </c>
      <c r="N9" s="134">
        <v>0</v>
      </c>
      <c r="O9" s="134">
        <v>0</v>
      </c>
      <c r="P9" s="134">
        <v>0.4</v>
      </c>
      <c r="Q9" s="134">
        <v>4.3099999999999996</v>
      </c>
    </row>
    <row r="10" spans="1:21" customFormat="1">
      <c r="A10" s="112" t="s">
        <v>2734</v>
      </c>
      <c r="B10" s="134">
        <v>8.8699999999999992</v>
      </c>
      <c r="C10" s="134">
        <v>39.299999999999997</v>
      </c>
      <c r="D10" s="134">
        <v>26.6</v>
      </c>
      <c r="E10" s="134">
        <v>4.72</v>
      </c>
      <c r="F10" s="134">
        <v>4.25</v>
      </c>
      <c r="G10" s="134">
        <v>1.92</v>
      </c>
      <c r="H10" s="134">
        <v>0.81</v>
      </c>
      <c r="I10" s="134">
        <v>3.03</v>
      </c>
      <c r="J10" s="134">
        <v>0.56999999999999995</v>
      </c>
      <c r="K10" s="134">
        <v>246.79</v>
      </c>
      <c r="L10" s="134">
        <v>24.09</v>
      </c>
      <c r="M10" s="134">
        <v>98.43</v>
      </c>
      <c r="N10" s="134">
        <v>0</v>
      </c>
      <c r="O10" s="134">
        <v>0</v>
      </c>
      <c r="P10" s="134">
        <v>0.4</v>
      </c>
      <c r="Q10" s="134">
        <v>4.41</v>
      </c>
    </row>
    <row r="11" spans="1:21" customFormat="1">
      <c r="A11" s="112" t="s">
        <v>2735</v>
      </c>
      <c r="B11" s="134">
        <v>9.02</v>
      </c>
      <c r="C11" s="134">
        <v>36.35</v>
      </c>
      <c r="D11" s="134">
        <v>25.18</v>
      </c>
      <c r="E11" s="134">
        <v>4.38</v>
      </c>
      <c r="F11" s="134">
        <v>4.82</v>
      </c>
      <c r="G11" s="134">
        <v>3.01</v>
      </c>
      <c r="H11" s="134">
        <v>0.8</v>
      </c>
      <c r="I11" s="134">
        <v>3.04</v>
      </c>
      <c r="J11" s="134">
        <v>0.84</v>
      </c>
      <c r="K11" s="134">
        <v>253.41</v>
      </c>
      <c r="L11" s="134">
        <v>24.14</v>
      </c>
      <c r="M11" s="134">
        <v>98.36</v>
      </c>
      <c r="N11" s="134">
        <v>0</v>
      </c>
      <c r="O11" s="134">
        <v>0</v>
      </c>
      <c r="P11" s="134">
        <v>0.37</v>
      </c>
      <c r="Q11" s="134">
        <v>4.33</v>
      </c>
    </row>
    <row r="12" spans="1:21" customFormat="1">
      <c r="A12" s="112" t="s">
        <v>2736</v>
      </c>
      <c r="B12" s="134">
        <v>9.1999999999999993</v>
      </c>
      <c r="C12" s="134">
        <v>40.369999999999997</v>
      </c>
      <c r="D12" s="134">
        <v>27.43</v>
      </c>
      <c r="E12" s="134">
        <v>4.38</v>
      </c>
      <c r="F12" s="134">
        <v>3.45</v>
      </c>
      <c r="G12" s="134">
        <v>4.66</v>
      </c>
      <c r="H12" s="134">
        <v>0.8</v>
      </c>
      <c r="I12" s="134">
        <v>2.98</v>
      </c>
      <c r="J12" s="134">
        <v>0.71</v>
      </c>
      <c r="K12" s="134">
        <v>250.08</v>
      </c>
      <c r="L12" s="134">
        <v>24.12</v>
      </c>
      <c r="M12" s="134">
        <v>98.27</v>
      </c>
      <c r="N12" s="134">
        <v>0</v>
      </c>
      <c r="O12" s="134">
        <v>0</v>
      </c>
      <c r="P12" s="134">
        <v>0.41</v>
      </c>
      <c r="Q12" s="134">
        <v>4.42</v>
      </c>
    </row>
    <row r="13" spans="1:21" customFormat="1">
      <c r="A13" s="112" t="s">
        <v>2737</v>
      </c>
      <c r="B13" s="134">
        <v>9.4499999999999993</v>
      </c>
      <c r="C13" s="134">
        <v>38.04</v>
      </c>
      <c r="D13" s="134">
        <v>26.4</v>
      </c>
      <c r="E13" s="134">
        <v>4.41</v>
      </c>
      <c r="F13" s="134">
        <v>4.25</v>
      </c>
      <c r="G13" s="134">
        <v>4.66</v>
      </c>
      <c r="H13" s="134">
        <v>0.8</v>
      </c>
      <c r="I13" s="134">
        <v>2.97</v>
      </c>
      <c r="J13" s="134">
        <v>0.92</v>
      </c>
      <c r="K13" s="134">
        <v>257.41000000000003</v>
      </c>
      <c r="L13" s="134">
        <v>23.98</v>
      </c>
      <c r="M13" s="134">
        <v>98.1</v>
      </c>
      <c r="N13" s="134">
        <v>0</v>
      </c>
      <c r="O13" s="134">
        <v>0</v>
      </c>
      <c r="P13" s="134">
        <v>0.38</v>
      </c>
      <c r="Q13" s="134">
        <v>4.4400000000000004</v>
      </c>
    </row>
    <row r="14" spans="1:21" customFormat="1">
      <c r="A14" s="112" t="s">
        <v>2738</v>
      </c>
      <c r="B14" s="134">
        <v>9.44</v>
      </c>
      <c r="C14" s="134">
        <v>37.08</v>
      </c>
      <c r="D14" s="134">
        <v>25.9</v>
      </c>
      <c r="E14" s="134">
        <v>4.3899999999999997</v>
      </c>
      <c r="F14" s="134">
        <v>4.21</v>
      </c>
      <c r="G14" s="134">
        <v>4.66</v>
      </c>
      <c r="H14" s="134">
        <v>0.8</v>
      </c>
      <c r="I14" s="134">
        <v>3.01</v>
      </c>
      <c r="J14" s="134">
        <v>1.06</v>
      </c>
      <c r="K14" s="134">
        <v>248.37</v>
      </c>
      <c r="L14" s="134">
        <v>23.88</v>
      </c>
      <c r="M14" s="134">
        <v>97.98</v>
      </c>
      <c r="N14" s="134">
        <v>0</v>
      </c>
      <c r="O14" s="134">
        <v>0</v>
      </c>
      <c r="P14" s="134">
        <v>0.37</v>
      </c>
      <c r="Q14" s="134">
        <v>4.34</v>
      </c>
    </row>
    <row r="15" spans="1:21" customFormat="1">
      <c r="A15" s="112" t="s">
        <v>2739</v>
      </c>
      <c r="B15" s="134">
        <v>9.67</v>
      </c>
      <c r="C15" s="134">
        <v>39.700000000000003</v>
      </c>
      <c r="D15" s="134">
        <v>27.45</v>
      </c>
      <c r="E15" s="134">
        <v>4.68</v>
      </c>
      <c r="F15" s="134">
        <v>3.64</v>
      </c>
      <c r="G15" s="134">
        <v>4.1399999999999997</v>
      </c>
      <c r="H15" s="134">
        <v>0.76</v>
      </c>
      <c r="I15" s="134">
        <v>2.91</v>
      </c>
      <c r="J15" s="134">
        <v>1.04</v>
      </c>
      <c r="K15" s="134">
        <v>257.38</v>
      </c>
      <c r="L15" s="134">
        <v>23.88</v>
      </c>
      <c r="M15" s="134">
        <v>97.95</v>
      </c>
      <c r="N15" s="134">
        <v>0</v>
      </c>
      <c r="O15" s="134">
        <v>0</v>
      </c>
      <c r="P15" s="134">
        <v>0.4</v>
      </c>
      <c r="Q15" s="134">
        <v>4.4400000000000004</v>
      </c>
    </row>
    <row r="16" spans="1:21" customFormat="1">
      <c r="A16" s="112" t="s">
        <v>2740</v>
      </c>
      <c r="B16" s="134">
        <v>9.92</v>
      </c>
      <c r="C16" s="134">
        <v>38.4</v>
      </c>
      <c r="D16" s="134">
        <v>26.98</v>
      </c>
      <c r="E16" s="134">
        <v>4.29</v>
      </c>
      <c r="F16" s="134">
        <v>4.13</v>
      </c>
      <c r="G16" s="134">
        <v>3.35</v>
      </c>
      <c r="H16" s="134">
        <v>0.68</v>
      </c>
      <c r="I16" s="134">
        <v>2.91</v>
      </c>
      <c r="J16" s="134">
        <v>1.05</v>
      </c>
      <c r="K16" s="134">
        <v>261.54000000000002</v>
      </c>
      <c r="L16" s="134">
        <v>23.89</v>
      </c>
      <c r="M16" s="134">
        <v>97.92</v>
      </c>
      <c r="N16" s="134">
        <v>0</v>
      </c>
      <c r="O16" s="134">
        <v>0</v>
      </c>
      <c r="P16" s="134">
        <v>0.38</v>
      </c>
      <c r="Q16" s="134">
        <v>4.46</v>
      </c>
    </row>
    <row r="17" spans="1:17" customFormat="1">
      <c r="A17" s="112" t="s">
        <v>2741</v>
      </c>
      <c r="B17" s="134">
        <v>10.14</v>
      </c>
      <c r="C17" s="134">
        <v>39.72</v>
      </c>
      <c r="D17" s="134">
        <v>27.84</v>
      </c>
      <c r="E17" s="134">
        <v>4.43</v>
      </c>
      <c r="F17" s="134">
        <v>3.93</v>
      </c>
      <c r="G17" s="134">
        <v>3.35</v>
      </c>
      <c r="H17" s="134">
        <v>0.68</v>
      </c>
      <c r="I17" s="134">
        <v>2.92</v>
      </c>
      <c r="J17" s="134">
        <v>1.33</v>
      </c>
      <c r="K17" s="134">
        <v>257.17</v>
      </c>
      <c r="L17" s="134">
        <v>23.91</v>
      </c>
      <c r="M17" s="134">
        <v>97.82</v>
      </c>
      <c r="N17" s="134">
        <v>0</v>
      </c>
      <c r="O17" s="134">
        <v>0</v>
      </c>
      <c r="P17" s="134">
        <v>0.39</v>
      </c>
      <c r="Q17" s="134">
        <v>4.5</v>
      </c>
    </row>
    <row r="18" spans="1:17" customFormat="1">
      <c r="A18" s="112" t="s">
        <v>2742</v>
      </c>
      <c r="B18" s="134">
        <v>10.24</v>
      </c>
      <c r="C18" s="134">
        <v>36.44</v>
      </c>
      <c r="D18" s="134">
        <v>26.21</v>
      </c>
      <c r="E18" s="134">
        <v>5.29</v>
      </c>
      <c r="F18" s="134">
        <v>4.62</v>
      </c>
      <c r="G18" s="134">
        <v>3.35</v>
      </c>
      <c r="H18" s="134">
        <v>0.68</v>
      </c>
      <c r="I18" s="134">
        <v>2.87</v>
      </c>
      <c r="J18" s="134">
        <v>1.22</v>
      </c>
      <c r="K18" s="134">
        <v>251.62</v>
      </c>
      <c r="L18" s="134">
        <v>23.92</v>
      </c>
      <c r="M18" s="134">
        <v>97.63</v>
      </c>
      <c r="N18" s="134">
        <v>0</v>
      </c>
      <c r="O18" s="134">
        <v>0</v>
      </c>
      <c r="P18" s="134">
        <v>0.36</v>
      </c>
      <c r="Q18" s="134">
        <v>4.41</v>
      </c>
    </row>
    <row r="19" spans="1:17" customFormat="1">
      <c r="A19" s="112" t="s">
        <v>2743</v>
      </c>
      <c r="B19" s="134">
        <v>10.26</v>
      </c>
      <c r="C19" s="134">
        <v>39.33</v>
      </c>
      <c r="D19" s="134">
        <v>27.73</v>
      </c>
      <c r="E19" s="134">
        <v>5.93</v>
      </c>
      <c r="F19" s="134">
        <v>3.53</v>
      </c>
      <c r="G19" s="134">
        <v>3.13</v>
      </c>
      <c r="H19" s="134">
        <v>0.64</v>
      </c>
      <c r="I19" s="134">
        <v>2.84</v>
      </c>
      <c r="J19" s="134">
        <v>1.1299999999999999</v>
      </c>
      <c r="K19" s="134">
        <v>255.33</v>
      </c>
      <c r="L19" s="134">
        <v>23.91</v>
      </c>
      <c r="M19" s="134">
        <v>97.44</v>
      </c>
      <c r="N19" s="134">
        <v>0</v>
      </c>
      <c r="O19" s="134">
        <v>0</v>
      </c>
      <c r="P19" s="134">
        <v>0.39</v>
      </c>
      <c r="Q19" s="134">
        <v>4.46</v>
      </c>
    </row>
    <row r="20" spans="1:17" customFormat="1">
      <c r="A20" s="112" t="s">
        <v>2744</v>
      </c>
      <c r="B20" s="134">
        <v>10.42</v>
      </c>
      <c r="C20" s="134">
        <v>36.97</v>
      </c>
      <c r="D20" s="134">
        <v>26.63</v>
      </c>
      <c r="E20" s="134">
        <v>5.53</v>
      </c>
      <c r="F20" s="134">
        <v>4.4000000000000004</v>
      </c>
      <c r="G20" s="134">
        <v>2.81</v>
      </c>
      <c r="H20" s="134">
        <v>0.61</v>
      </c>
      <c r="I20" s="134">
        <v>2.78</v>
      </c>
      <c r="J20" s="134">
        <v>1.07</v>
      </c>
      <c r="K20" s="134">
        <v>255</v>
      </c>
      <c r="L20" s="134">
        <v>23.94</v>
      </c>
      <c r="M20" s="134">
        <v>97.26</v>
      </c>
      <c r="N20" s="134">
        <v>0</v>
      </c>
      <c r="O20" s="134">
        <v>0</v>
      </c>
      <c r="P20" s="134">
        <v>0.35</v>
      </c>
      <c r="Q20" s="134">
        <v>4.47</v>
      </c>
    </row>
    <row r="21" spans="1:17" customFormat="1">
      <c r="A21" s="112" t="s">
        <v>2745</v>
      </c>
      <c r="B21" s="134">
        <v>10.35</v>
      </c>
      <c r="C21" s="134">
        <v>37.6</v>
      </c>
      <c r="D21" s="134">
        <v>26.9</v>
      </c>
      <c r="E21" s="134">
        <v>6.01</v>
      </c>
      <c r="F21" s="134">
        <v>4.0999999999999996</v>
      </c>
      <c r="G21" s="134">
        <v>2.81</v>
      </c>
      <c r="H21" s="134">
        <v>0.61</v>
      </c>
      <c r="I21" s="134">
        <v>2.78</v>
      </c>
      <c r="J21" s="134">
        <v>1.03</v>
      </c>
      <c r="K21" s="134">
        <v>252.76</v>
      </c>
      <c r="L21" s="134">
        <v>23.94</v>
      </c>
      <c r="M21" s="134">
        <v>96.76</v>
      </c>
      <c r="N21" s="134">
        <v>0</v>
      </c>
      <c r="O21" s="134">
        <v>0</v>
      </c>
      <c r="P21" s="134">
        <v>0.36</v>
      </c>
      <c r="Q21" s="134">
        <v>4.42</v>
      </c>
    </row>
    <row r="22" spans="1:17" customFormat="1">
      <c r="A22" s="112" t="s">
        <v>2746</v>
      </c>
      <c r="B22" s="134">
        <v>10.5</v>
      </c>
      <c r="C22" s="134">
        <v>39.21</v>
      </c>
      <c r="D22" s="134">
        <v>27.86</v>
      </c>
      <c r="E22" s="134">
        <v>6.17</v>
      </c>
      <c r="F22" s="134">
        <v>3.72</v>
      </c>
      <c r="G22" s="134">
        <v>2.81</v>
      </c>
      <c r="H22" s="134">
        <v>0.61</v>
      </c>
      <c r="I22" s="134">
        <v>2.7</v>
      </c>
      <c r="J22" s="134">
        <v>1.23</v>
      </c>
      <c r="K22" s="134">
        <v>253.96</v>
      </c>
      <c r="L22" s="134">
        <v>23.88</v>
      </c>
      <c r="M22" s="134">
        <v>96.46</v>
      </c>
      <c r="N22" s="134">
        <v>0</v>
      </c>
      <c r="O22" s="134">
        <v>0</v>
      </c>
      <c r="P22" s="134">
        <v>0.38</v>
      </c>
      <c r="Q22" s="134">
        <v>4.51</v>
      </c>
    </row>
    <row r="23" spans="1:17" customFormat="1">
      <c r="A23" s="112" t="s">
        <v>2747</v>
      </c>
      <c r="B23" s="134">
        <v>10.59</v>
      </c>
      <c r="C23" s="134">
        <v>34.56</v>
      </c>
      <c r="D23" s="134">
        <v>25.51</v>
      </c>
      <c r="E23" s="134">
        <v>5.75</v>
      </c>
      <c r="F23" s="134">
        <v>4.5599999999999996</v>
      </c>
      <c r="G23" s="134">
        <v>2.5499999999999998</v>
      </c>
      <c r="H23" s="134">
        <v>0.57999999999999996</v>
      </c>
      <c r="I23" s="134">
        <v>2.71</v>
      </c>
      <c r="J23" s="134">
        <v>0.88</v>
      </c>
      <c r="K23" s="134">
        <v>253.44</v>
      </c>
      <c r="L23" s="134">
        <v>23.82</v>
      </c>
      <c r="M23" s="134">
        <v>96.55</v>
      </c>
      <c r="N23" s="134">
        <v>0</v>
      </c>
      <c r="O23" s="134">
        <v>0</v>
      </c>
      <c r="P23" s="134">
        <v>0.34</v>
      </c>
      <c r="Q23" s="134">
        <v>4.38</v>
      </c>
    </row>
    <row r="24" spans="1:17" customFormat="1">
      <c r="A24" s="112" t="s">
        <v>2748</v>
      </c>
      <c r="B24" s="134">
        <v>10.49</v>
      </c>
      <c r="C24" s="134">
        <v>39.090000000000003</v>
      </c>
      <c r="D24" s="134">
        <v>27.79</v>
      </c>
      <c r="E24" s="134">
        <v>5.49</v>
      </c>
      <c r="F24" s="134">
        <v>3.58</v>
      </c>
      <c r="G24" s="134">
        <v>2.1800000000000002</v>
      </c>
      <c r="H24" s="134">
        <v>0.55000000000000004</v>
      </c>
      <c r="I24" s="134">
        <v>2.7</v>
      </c>
      <c r="J24" s="134">
        <v>1.05</v>
      </c>
      <c r="K24" s="134">
        <v>250.84</v>
      </c>
      <c r="L24" s="134">
        <v>23.86</v>
      </c>
      <c r="M24" s="134">
        <v>96.36</v>
      </c>
      <c r="N24" s="134">
        <v>0</v>
      </c>
      <c r="O24" s="134">
        <v>0</v>
      </c>
      <c r="P24" s="134">
        <v>0.36</v>
      </c>
      <c r="Q24" s="134">
        <v>4.43</v>
      </c>
    </row>
    <row r="25" spans="1:17" customFormat="1">
      <c r="A25" s="112" t="s">
        <v>2749</v>
      </c>
      <c r="B25" s="134">
        <v>10.71</v>
      </c>
      <c r="C25" s="134">
        <v>37.909999999999997</v>
      </c>
      <c r="D25" s="134">
        <v>27.35</v>
      </c>
      <c r="E25" s="134">
        <v>5.52</v>
      </c>
      <c r="F25" s="134">
        <v>4.2300000000000004</v>
      </c>
      <c r="G25" s="134">
        <v>2.1800000000000002</v>
      </c>
      <c r="H25" s="134">
        <v>0.55000000000000004</v>
      </c>
      <c r="I25" s="134">
        <v>2.64</v>
      </c>
      <c r="J25" s="134">
        <v>1.18</v>
      </c>
      <c r="K25" s="134">
        <v>253.1</v>
      </c>
      <c r="L25" s="134">
        <v>23.86</v>
      </c>
      <c r="M25" s="134">
        <v>95.88</v>
      </c>
      <c r="N25" s="134">
        <v>0</v>
      </c>
      <c r="O25" s="134">
        <v>0</v>
      </c>
      <c r="P25" s="134">
        <v>0.35</v>
      </c>
      <c r="Q25" s="134">
        <v>4.47</v>
      </c>
    </row>
    <row r="26" spans="1:17" customFormat="1">
      <c r="A26" s="112" t="s">
        <v>2750</v>
      </c>
      <c r="B26" s="134">
        <v>10.58</v>
      </c>
      <c r="C26" s="134">
        <v>37.54</v>
      </c>
      <c r="D26" s="134">
        <v>27.05</v>
      </c>
      <c r="E26" s="134">
        <v>5.28</v>
      </c>
      <c r="F26" s="134">
        <v>4.08</v>
      </c>
      <c r="G26" s="134">
        <v>2.1800000000000002</v>
      </c>
      <c r="H26" s="134">
        <v>0.55000000000000004</v>
      </c>
      <c r="I26" s="134">
        <v>2.65</v>
      </c>
      <c r="J26" s="134">
        <v>1.04</v>
      </c>
      <c r="K26" s="134">
        <v>256.67</v>
      </c>
      <c r="L26" s="134">
        <v>23.82</v>
      </c>
      <c r="M26" s="134">
        <v>95.71</v>
      </c>
      <c r="N26" s="134">
        <v>0</v>
      </c>
      <c r="O26" s="134">
        <v>0</v>
      </c>
      <c r="P26" s="134">
        <v>0.35</v>
      </c>
      <c r="Q26" s="134">
        <v>4.41</v>
      </c>
    </row>
    <row r="27" spans="1:17" customFormat="1">
      <c r="A27" s="112" t="s">
        <v>2751</v>
      </c>
      <c r="B27" s="134">
        <v>10.66</v>
      </c>
      <c r="C27" s="134">
        <v>36.96</v>
      </c>
      <c r="D27" s="134">
        <v>26.81</v>
      </c>
      <c r="E27" s="134">
        <v>5.49</v>
      </c>
      <c r="F27" s="134">
        <v>4.26</v>
      </c>
      <c r="G27" s="134">
        <v>2.09</v>
      </c>
      <c r="H27" s="134">
        <v>0.56999999999999995</v>
      </c>
      <c r="I27" s="134">
        <v>2.58</v>
      </c>
      <c r="J27" s="134">
        <v>1.39</v>
      </c>
      <c r="K27" s="134">
        <v>255.2</v>
      </c>
      <c r="L27" s="134">
        <v>23.83</v>
      </c>
      <c r="M27" s="134">
        <v>95.47</v>
      </c>
      <c r="N27" s="134">
        <v>0</v>
      </c>
      <c r="O27" s="134">
        <v>0</v>
      </c>
      <c r="P27" s="134">
        <v>0.34</v>
      </c>
      <c r="Q27" s="134">
        <v>4.43</v>
      </c>
    </row>
    <row r="28" spans="1:17" customFormat="1">
      <c r="A28" s="112" t="s">
        <v>2752</v>
      </c>
      <c r="B28" s="134">
        <v>10.55</v>
      </c>
      <c r="C28" s="134">
        <v>38.61</v>
      </c>
      <c r="D28" s="134">
        <v>27.59</v>
      </c>
      <c r="E28" s="134">
        <v>5.16</v>
      </c>
      <c r="F28" s="134">
        <v>3.61</v>
      </c>
      <c r="G28" s="134">
        <v>1.97</v>
      </c>
      <c r="H28" s="134">
        <v>0.59</v>
      </c>
      <c r="I28" s="134">
        <v>2.54</v>
      </c>
      <c r="J28" s="134">
        <v>1.35</v>
      </c>
      <c r="K28" s="134">
        <v>261.04000000000002</v>
      </c>
      <c r="L28" s="134">
        <v>23.73</v>
      </c>
      <c r="M28" s="134">
        <v>94.95</v>
      </c>
      <c r="N28" s="134">
        <v>0</v>
      </c>
      <c r="O28" s="134">
        <v>0</v>
      </c>
      <c r="P28" s="134">
        <v>0.36</v>
      </c>
      <c r="Q28" s="134">
        <v>4.43</v>
      </c>
    </row>
    <row r="29" spans="1:17" customFormat="1">
      <c r="A29" s="112" t="s">
        <v>2753</v>
      </c>
      <c r="B29" s="134">
        <v>10.67</v>
      </c>
      <c r="C29" s="134">
        <v>37.74</v>
      </c>
      <c r="D29" s="134">
        <v>27.23</v>
      </c>
      <c r="E29" s="134">
        <v>5.42</v>
      </c>
      <c r="F29" s="134">
        <v>4.1100000000000003</v>
      </c>
      <c r="G29" s="134">
        <v>1.97</v>
      </c>
      <c r="H29" s="134">
        <v>0.59</v>
      </c>
      <c r="I29" s="134">
        <v>2.5299999999999998</v>
      </c>
      <c r="J29" s="134">
        <v>1.1399999999999999</v>
      </c>
      <c r="K29" s="134">
        <v>254.09</v>
      </c>
      <c r="L29" s="134">
        <v>23.4</v>
      </c>
      <c r="M29" s="134">
        <v>96.35</v>
      </c>
      <c r="N29" s="134">
        <v>0</v>
      </c>
      <c r="O29" s="134">
        <v>0</v>
      </c>
      <c r="P29" s="134">
        <v>0.34</v>
      </c>
      <c r="Q29" s="134">
        <v>4.49</v>
      </c>
    </row>
    <row r="30" spans="1:17" customFormat="1">
      <c r="A30" s="112" t="s">
        <v>2754</v>
      </c>
      <c r="B30" s="134">
        <v>10.64</v>
      </c>
      <c r="C30" s="134">
        <v>38.04</v>
      </c>
      <c r="D30" s="134">
        <v>27.36</v>
      </c>
      <c r="E30" s="134">
        <v>5.18</v>
      </c>
      <c r="F30" s="134">
        <v>3.81</v>
      </c>
      <c r="G30" s="134">
        <v>1.97</v>
      </c>
      <c r="H30" s="134">
        <v>0.59</v>
      </c>
      <c r="I30" s="134">
        <v>2.52</v>
      </c>
      <c r="J30" s="134">
        <v>1.1200000000000001</v>
      </c>
      <c r="K30" s="134">
        <v>256.14999999999998</v>
      </c>
      <c r="L30" s="134">
        <v>23.38</v>
      </c>
      <c r="M30" s="134">
        <v>97.08</v>
      </c>
      <c r="N30" s="134">
        <v>0</v>
      </c>
      <c r="O30" s="134">
        <v>0</v>
      </c>
      <c r="P30" s="134">
        <v>0.35</v>
      </c>
      <c r="Q30" s="134">
        <v>4.43</v>
      </c>
    </row>
    <row r="31" spans="1:17" customFormat="1">
      <c r="A31" s="112" t="s">
        <v>2755</v>
      </c>
      <c r="B31" s="134">
        <v>10.87</v>
      </c>
      <c r="C31" s="134">
        <v>37.69</v>
      </c>
      <c r="D31" s="134">
        <v>27.36</v>
      </c>
      <c r="E31" s="134">
        <v>5.87</v>
      </c>
      <c r="F31" s="134">
        <v>4.1500000000000004</v>
      </c>
      <c r="G31" s="134">
        <v>1.77</v>
      </c>
      <c r="H31" s="134">
        <v>0.57999999999999996</v>
      </c>
      <c r="I31" s="134">
        <v>2.48</v>
      </c>
      <c r="J31" s="134">
        <v>0.99</v>
      </c>
      <c r="K31" s="134">
        <v>254.34</v>
      </c>
      <c r="L31" s="134">
        <v>23.44</v>
      </c>
      <c r="M31" s="134">
        <v>97.22</v>
      </c>
      <c r="N31" s="134">
        <v>0</v>
      </c>
      <c r="O31" s="134">
        <v>0</v>
      </c>
      <c r="P31" s="134">
        <v>0.33</v>
      </c>
      <c r="Q31" s="134">
        <v>4.46</v>
      </c>
    </row>
    <row r="32" spans="1:17" customFormat="1">
      <c r="A32" s="112" t="s">
        <v>2756</v>
      </c>
      <c r="B32" s="134">
        <v>10.86</v>
      </c>
      <c r="C32" s="134">
        <v>37.58</v>
      </c>
      <c r="D32" s="134">
        <v>27.3</v>
      </c>
      <c r="E32" s="134">
        <v>5.64</v>
      </c>
      <c r="F32" s="134">
        <v>3.98</v>
      </c>
      <c r="G32" s="134">
        <v>1.47</v>
      </c>
      <c r="H32" s="134">
        <v>0.56000000000000005</v>
      </c>
      <c r="I32" s="134">
        <v>2.44</v>
      </c>
      <c r="J32" s="134">
        <v>1.1499999999999999</v>
      </c>
      <c r="K32" s="134">
        <v>252.81</v>
      </c>
      <c r="L32" s="134">
        <v>23.3</v>
      </c>
      <c r="M32" s="134">
        <v>97.25</v>
      </c>
      <c r="N32" s="134">
        <v>0</v>
      </c>
      <c r="O32" s="134">
        <v>0</v>
      </c>
      <c r="P32" s="134">
        <v>0.33</v>
      </c>
      <c r="Q32" s="134">
        <v>4.41</v>
      </c>
    </row>
    <row r="33" spans="1:17" customFormat="1">
      <c r="A33" s="112" t="s">
        <v>2757</v>
      </c>
      <c r="B33" s="134">
        <v>10.96</v>
      </c>
      <c r="C33" s="134">
        <v>39.86</v>
      </c>
      <c r="D33" s="134">
        <v>28.57</v>
      </c>
      <c r="E33" s="134">
        <v>5.91</v>
      </c>
      <c r="F33" s="134">
        <v>3.58</v>
      </c>
      <c r="G33" s="134">
        <v>1.47</v>
      </c>
      <c r="H33" s="134">
        <v>0.56000000000000005</v>
      </c>
      <c r="I33" s="134">
        <v>2.42</v>
      </c>
      <c r="J33" s="134">
        <v>1.06</v>
      </c>
      <c r="K33" s="134">
        <v>256.33</v>
      </c>
      <c r="L33" s="134">
        <v>23.33</v>
      </c>
      <c r="M33" s="134">
        <v>97.46</v>
      </c>
      <c r="N33" s="134">
        <v>0</v>
      </c>
      <c r="O33" s="134">
        <v>0</v>
      </c>
      <c r="P33" s="134">
        <v>0.35</v>
      </c>
      <c r="Q33" s="134">
        <v>4.51</v>
      </c>
    </row>
    <row r="34" spans="1:17" customFormat="1">
      <c r="A34" s="112" t="s">
        <v>2758</v>
      </c>
      <c r="B34" s="134">
        <v>11.09</v>
      </c>
      <c r="C34" s="134">
        <v>35.89</v>
      </c>
      <c r="D34" s="134">
        <v>26.6</v>
      </c>
      <c r="E34" s="134">
        <v>5.0999999999999996</v>
      </c>
      <c r="F34" s="134">
        <v>4.66</v>
      </c>
      <c r="G34" s="134">
        <v>1.47</v>
      </c>
      <c r="H34" s="134">
        <v>0.56000000000000005</v>
      </c>
      <c r="I34" s="134">
        <v>2.4300000000000002</v>
      </c>
      <c r="J34" s="134">
        <v>1.1000000000000001</v>
      </c>
      <c r="K34" s="134">
        <v>248.49</v>
      </c>
      <c r="L34" s="134">
        <v>23.16</v>
      </c>
      <c r="M34" s="134">
        <v>97.51</v>
      </c>
      <c r="N34" s="134">
        <v>0</v>
      </c>
      <c r="O34" s="134">
        <v>0</v>
      </c>
      <c r="P34" s="134">
        <v>0.32</v>
      </c>
      <c r="Q34" s="134">
        <v>4.43</v>
      </c>
    </row>
    <row r="35" spans="1:17" customFormat="1">
      <c r="A35" s="112" t="s">
        <v>2759</v>
      </c>
      <c r="B35" s="134">
        <v>11.03</v>
      </c>
      <c r="C35" s="134">
        <v>38.78</v>
      </c>
      <c r="D35" s="134">
        <v>28.06</v>
      </c>
      <c r="E35" s="134">
        <v>5.82</v>
      </c>
      <c r="F35" s="134">
        <v>3.46</v>
      </c>
      <c r="G35" s="134">
        <v>1.35</v>
      </c>
      <c r="H35" s="134">
        <v>0.57999999999999996</v>
      </c>
      <c r="I35" s="134">
        <v>2.4300000000000002</v>
      </c>
      <c r="J35" s="134">
        <v>1.06</v>
      </c>
      <c r="K35" s="134">
        <v>249.68</v>
      </c>
      <c r="L35" s="134">
        <v>23.05</v>
      </c>
      <c r="M35" s="134">
        <v>97.76</v>
      </c>
      <c r="N35" s="134">
        <v>0.6</v>
      </c>
      <c r="O35" s="134">
        <v>0</v>
      </c>
      <c r="P35" s="134">
        <v>0.34</v>
      </c>
      <c r="Q35" s="134">
        <v>4.45</v>
      </c>
    </row>
    <row r="36" spans="1:17" customFormat="1">
      <c r="A36" s="112" t="s">
        <v>2760</v>
      </c>
      <c r="B36" s="134">
        <v>11.33</v>
      </c>
      <c r="C36" s="134">
        <v>38.29</v>
      </c>
      <c r="D36" s="134">
        <v>28.05</v>
      </c>
      <c r="E36" s="134">
        <v>5.66</v>
      </c>
      <c r="F36" s="134">
        <v>4.05</v>
      </c>
      <c r="G36" s="134">
        <v>1.18</v>
      </c>
      <c r="H36" s="134">
        <v>0.6</v>
      </c>
      <c r="I36" s="134">
        <v>2.38</v>
      </c>
      <c r="J36" s="134">
        <v>1.25</v>
      </c>
      <c r="K36" s="134">
        <v>255.27</v>
      </c>
      <c r="L36" s="134">
        <v>23</v>
      </c>
      <c r="M36" s="134">
        <v>97.96</v>
      </c>
      <c r="N36" s="134">
        <v>0.3</v>
      </c>
      <c r="O36" s="134">
        <v>0</v>
      </c>
      <c r="P36" s="134">
        <v>0.33</v>
      </c>
      <c r="Q36" s="134">
        <v>4.5</v>
      </c>
    </row>
    <row r="37" spans="1:17" customFormat="1">
      <c r="A37" s="112" t="s">
        <v>2761</v>
      </c>
      <c r="B37" s="134">
        <v>11.37</v>
      </c>
      <c r="C37" s="134">
        <v>36.229999999999997</v>
      </c>
      <c r="D37" s="134">
        <v>27.01</v>
      </c>
      <c r="E37" s="134">
        <v>5.16</v>
      </c>
      <c r="F37" s="134">
        <v>4.25</v>
      </c>
      <c r="G37" s="134">
        <v>1.18</v>
      </c>
      <c r="H37" s="134">
        <v>0.6</v>
      </c>
      <c r="I37" s="134">
        <v>2.41</v>
      </c>
      <c r="J37" s="134">
        <v>1.0900000000000001</v>
      </c>
      <c r="K37" s="134">
        <v>254.19</v>
      </c>
      <c r="L37" s="134">
        <v>22.93</v>
      </c>
      <c r="M37" s="134">
        <v>97.68</v>
      </c>
      <c r="N37" s="134">
        <v>0.3</v>
      </c>
      <c r="O37" s="134">
        <v>0</v>
      </c>
      <c r="P37" s="134">
        <v>0.31</v>
      </c>
      <c r="Q37" s="134">
        <v>4.41</v>
      </c>
    </row>
    <row r="38" spans="1:17" customFormat="1">
      <c r="A38" s="112" t="s">
        <v>2762</v>
      </c>
      <c r="B38" s="134">
        <v>11.35</v>
      </c>
      <c r="C38" s="134">
        <v>40</v>
      </c>
      <c r="D38" s="134">
        <v>28.96</v>
      </c>
      <c r="E38" s="134">
        <v>6.09</v>
      </c>
      <c r="F38" s="134">
        <v>3.27</v>
      </c>
      <c r="G38" s="134">
        <v>1.18</v>
      </c>
      <c r="H38" s="134">
        <v>0.6</v>
      </c>
      <c r="I38" s="134">
        <v>2.36</v>
      </c>
      <c r="J38" s="134">
        <v>1.22</v>
      </c>
      <c r="K38" s="134">
        <v>253.89</v>
      </c>
      <c r="L38" s="134">
        <v>23.06</v>
      </c>
      <c r="M38" s="134">
        <v>97.71</v>
      </c>
      <c r="N38" s="134">
        <v>4.9000000000000004</v>
      </c>
      <c r="O38" s="134">
        <v>0</v>
      </c>
      <c r="P38" s="134">
        <v>0.35</v>
      </c>
      <c r="Q38" s="134">
        <v>4.51</v>
      </c>
    </row>
    <row r="39" spans="1:17" customFormat="1">
      <c r="A39" s="112" t="s">
        <v>2763</v>
      </c>
      <c r="B39" s="134">
        <v>11.55</v>
      </c>
      <c r="C39" s="134">
        <v>36.71</v>
      </c>
      <c r="D39" s="134">
        <v>27.4</v>
      </c>
      <c r="E39" s="134">
        <v>5.91</v>
      </c>
      <c r="F39" s="134">
        <v>4.3099999999999996</v>
      </c>
      <c r="G39" s="134">
        <v>1.1599999999999999</v>
      </c>
      <c r="H39" s="134">
        <v>0.6</v>
      </c>
      <c r="I39" s="134">
        <v>2.37</v>
      </c>
      <c r="J39" s="134">
        <v>1.19</v>
      </c>
      <c r="K39" s="134">
        <v>261.07</v>
      </c>
      <c r="L39" s="134">
        <v>23.19</v>
      </c>
      <c r="M39" s="134">
        <v>98.24</v>
      </c>
      <c r="N39" s="134">
        <v>12.6</v>
      </c>
      <c r="O39" s="134">
        <v>0</v>
      </c>
      <c r="P39" s="134">
        <v>0.32</v>
      </c>
      <c r="Q39" s="134">
        <v>4.47</v>
      </c>
    </row>
    <row r="40" spans="1:17" customFormat="1">
      <c r="A40" s="112" t="s">
        <v>2764</v>
      </c>
      <c r="B40" s="134">
        <v>11.44</v>
      </c>
      <c r="C40" s="134">
        <v>38.89</v>
      </c>
      <c r="D40" s="134">
        <v>28.45</v>
      </c>
      <c r="E40" s="134">
        <v>5.84</v>
      </c>
      <c r="F40" s="134">
        <v>3.61</v>
      </c>
      <c r="G40" s="134">
        <v>1.1200000000000001</v>
      </c>
      <c r="H40" s="134">
        <v>0.61</v>
      </c>
      <c r="I40" s="134">
        <v>2.37</v>
      </c>
      <c r="J40" s="134">
        <v>1.25</v>
      </c>
      <c r="K40" s="134">
        <v>258.12</v>
      </c>
      <c r="L40" s="134">
        <v>23.2</v>
      </c>
      <c r="M40" s="134">
        <v>97.79</v>
      </c>
      <c r="N40" s="134">
        <v>17.2</v>
      </c>
      <c r="O40" s="134">
        <v>0</v>
      </c>
      <c r="P40" s="134">
        <v>0.34</v>
      </c>
      <c r="Q40" s="134">
        <v>4.49</v>
      </c>
    </row>
    <row r="41" spans="1:17" customFormat="1">
      <c r="A41" s="112" t="s">
        <v>2765</v>
      </c>
      <c r="B41" s="134">
        <v>11.63</v>
      </c>
      <c r="C41" s="134">
        <v>39.71</v>
      </c>
      <c r="D41" s="134">
        <v>29.03</v>
      </c>
      <c r="E41" s="134">
        <v>5.35</v>
      </c>
      <c r="F41" s="134">
        <v>3.66</v>
      </c>
      <c r="G41" s="134">
        <v>1.1200000000000001</v>
      </c>
      <c r="H41" s="134">
        <v>0.61</v>
      </c>
      <c r="I41" s="134">
        <v>2.34</v>
      </c>
      <c r="J41" s="134">
        <v>1.76</v>
      </c>
      <c r="K41" s="134">
        <v>260.22000000000003</v>
      </c>
      <c r="L41" s="134">
        <v>23.28</v>
      </c>
      <c r="M41" s="134">
        <v>97.75</v>
      </c>
      <c r="N41" s="134">
        <v>23.2</v>
      </c>
      <c r="O41" s="134">
        <v>0</v>
      </c>
      <c r="P41" s="134">
        <v>0.34</v>
      </c>
      <c r="Q41" s="134">
        <v>4.5599999999999996</v>
      </c>
    </row>
    <row r="42" spans="1:17" customFormat="1">
      <c r="A42" s="112" t="s">
        <v>2766</v>
      </c>
      <c r="B42" s="134">
        <v>11.56</v>
      </c>
      <c r="C42" s="134">
        <v>36.25</v>
      </c>
      <c r="D42" s="134">
        <v>27.17</v>
      </c>
      <c r="E42" s="134">
        <v>5.27</v>
      </c>
      <c r="F42" s="134">
        <v>4.51</v>
      </c>
      <c r="G42" s="134">
        <v>1.1200000000000001</v>
      </c>
      <c r="H42" s="134">
        <v>0.61</v>
      </c>
      <c r="I42" s="134">
        <v>2.39</v>
      </c>
      <c r="J42" s="134">
        <v>1.55</v>
      </c>
      <c r="K42" s="134">
        <v>256.48</v>
      </c>
      <c r="L42" s="134">
        <v>23.06</v>
      </c>
      <c r="M42" s="134">
        <v>97.62</v>
      </c>
      <c r="N42" s="134">
        <v>38</v>
      </c>
      <c r="O42" s="134">
        <v>0</v>
      </c>
      <c r="P42" s="134">
        <v>0.31</v>
      </c>
      <c r="Q42" s="134">
        <v>4.46</v>
      </c>
    </row>
    <row r="43" spans="1:17" customFormat="1">
      <c r="A43" s="112" t="s">
        <v>2767</v>
      </c>
      <c r="B43" s="134">
        <v>11.22</v>
      </c>
      <c r="C43" s="134">
        <v>39.89</v>
      </c>
      <c r="D43" s="134">
        <v>28.8</v>
      </c>
      <c r="E43" s="134">
        <v>5.39</v>
      </c>
      <c r="F43" s="134">
        <v>3.42</v>
      </c>
      <c r="G43" s="134">
        <v>1.0900000000000001</v>
      </c>
      <c r="H43" s="134">
        <v>0.61</v>
      </c>
      <c r="I43" s="134">
        <v>2.36</v>
      </c>
      <c r="J43" s="134">
        <v>2.0299999999999998</v>
      </c>
      <c r="K43" s="134">
        <v>252.03</v>
      </c>
      <c r="L43" s="134">
        <v>22.98</v>
      </c>
      <c r="M43" s="134">
        <v>98.06</v>
      </c>
      <c r="N43" s="134">
        <v>52.1</v>
      </c>
      <c r="O43" s="134">
        <v>0</v>
      </c>
      <c r="P43" s="134">
        <v>0.35</v>
      </c>
      <c r="Q43" s="134">
        <v>4.51</v>
      </c>
    </row>
    <row r="44" spans="1:17" customFormat="1">
      <c r="A44" s="112" t="s">
        <v>2768</v>
      </c>
      <c r="B44" s="134">
        <v>11.26</v>
      </c>
      <c r="C44" s="134">
        <v>37.31</v>
      </c>
      <c r="D44" s="134">
        <v>27.48</v>
      </c>
      <c r="E44" s="134">
        <v>5.49</v>
      </c>
      <c r="F44" s="134">
        <v>4.4800000000000004</v>
      </c>
      <c r="G44" s="134">
        <v>1.04</v>
      </c>
      <c r="H44" s="134">
        <v>0.6</v>
      </c>
      <c r="I44" s="134">
        <v>2.31</v>
      </c>
      <c r="J44" s="134">
        <v>2.0099999999999998</v>
      </c>
      <c r="K44" s="134">
        <v>255.04</v>
      </c>
      <c r="L44" s="134">
        <v>23</v>
      </c>
      <c r="M44" s="134">
        <v>97.67</v>
      </c>
      <c r="N44" s="134">
        <v>47</v>
      </c>
      <c r="O44" s="134">
        <v>0</v>
      </c>
      <c r="P44" s="134">
        <v>0.32</v>
      </c>
      <c r="Q44" s="134">
        <v>4.5199999999999996</v>
      </c>
    </row>
    <row r="45" spans="1:17" customFormat="1">
      <c r="A45" s="112" t="s">
        <v>2769</v>
      </c>
      <c r="B45" s="134">
        <v>11.08</v>
      </c>
      <c r="C45" s="134">
        <v>36.58</v>
      </c>
      <c r="D45" s="134">
        <v>26.95</v>
      </c>
      <c r="E45" s="134">
        <v>5.31</v>
      </c>
      <c r="F45" s="134">
        <v>4.22</v>
      </c>
      <c r="G45" s="134">
        <v>1.04</v>
      </c>
      <c r="H45" s="134">
        <v>0.6</v>
      </c>
      <c r="I45" s="134">
        <v>2.35</v>
      </c>
      <c r="J45" s="134">
        <v>1.89</v>
      </c>
      <c r="K45" s="134">
        <v>253.43</v>
      </c>
      <c r="L45" s="134">
        <v>23.22</v>
      </c>
      <c r="M45" s="134">
        <v>97.72</v>
      </c>
      <c r="N45" s="134">
        <v>74.599999999999994</v>
      </c>
      <c r="O45" s="134">
        <v>0</v>
      </c>
      <c r="P45" s="134">
        <v>0.32</v>
      </c>
      <c r="Q45" s="134">
        <v>4.42</v>
      </c>
    </row>
    <row r="46" spans="1:17" customFormat="1">
      <c r="A46" s="112" t="s">
        <v>2770</v>
      </c>
      <c r="B46" s="134">
        <v>10.78</v>
      </c>
      <c r="C46" s="134">
        <v>38.18</v>
      </c>
      <c r="D46" s="134">
        <v>27.55</v>
      </c>
      <c r="E46" s="134">
        <v>4.8</v>
      </c>
      <c r="F46" s="134">
        <v>4.08</v>
      </c>
      <c r="G46" s="134">
        <v>1.04</v>
      </c>
      <c r="H46" s="134">
        <v>0.6</v>
      </c>
      <c r="I46" s="134">
        <v>2.31</v>
      </c>
      <c r="J46" s="134">
        <v>1.79</v>
      </c>
      <c r="K46" s="134">
        <v>258.2</v>
      </c>
      <c r="L46" s="134">
        <v>23.23</v>
      </c>
      <c r="M46" s="134">
        <v>97.88</v>
      </c>
      <c r="N46" s="134">
        <v>92.6</v>
      </c>
      <c r="O46" s="134">
        <v>0</v>
      </c>
      <c r="P46" s="134">
        <v>0.34</v>
      </c>
      <c r="Q46" s="134">
        <v>4.47</v>
      </c>
    </row>
    <row r="47" spans="1:17" customFormat="1">
      <c r="A47" s="112" t="s">
        <v>2771</v>
      </c>
      <c r="B47" s="134">
        <v>10.53</v>
      </c>
      <c r="C47" s="134">
        <v>35.979999999999997</v>
      </c>
      <c r="D47" s="134">
        <v>26.2</v>
      </c>
      <c r="E47" s="134">
        <v>5</v>
      </c>
      <c r="F47" s="134">
        <v>4.5199999999999996</v>
      </c>
      <c r="G47" s="134">
        <v>1.02</v>
      </c>
      <c r="H47" s="134">
        <v>0.61</v>
      </c>
      <c r="I47" s="134">
        <v>2.2999999999999998</v>
      </c>
      <c r="J47" s="134">
        <v>1.76</v>
      </c>
      <c r="K47" s="134">
        <v>256.89999999999998</v>
      </c>
      <c r="L47" s="134">
        <v>23.32</v>
      </c>
      <c r="M47" s="134">
        <v>97.99</v>
      </c>
      <c r="N47" s="134">
        <v>86.4</v>
      </c>
      <c r="O47" s="134">
        <v>0</v>
      </c>
      <c r="P47" s="134">
        <v>0.31</v>
      </c>
      <c r="Q47" s="134">
        <v>4.41</v>
      </c>
    </row>
    <row r="48" spans="1:17" customFormat="1">
      <c r="A48" s="112" t="s">
        <v>2772</v>
      </c>
      <c r="B48" s="134">
        <v>10.26</v>
      </c>
      <c r="C48" s="134">
        <v>39.68</v>
      </c>
      <c r="D48" s="134">
        <v>27.91</v>
      </c>
      <c r="E48" s="134">
        <v>5.27</v>
      </c>
      <c r="F48" s="134">
        <v>3.35</v>
      </c>
      <c r="G48" s="134">
        <v>0.99</v>
      </c>
      <c r="H48" s="134">
        <v>0.61</v>
      </c>
      <c r="I48" s="134">
        <v>2.2799999999999998</v>
      </c>
      <c r="J48" s="134">
        <v>1.56</v>
      </c>
      <c r="K48" s="134">
        <v>259.60000000000002</v>
      </c>
      <c r="L48" s="134">
        <v>23.29</v>
      </c>
      <c r="M48" s="134">
        <v>97.21</v>
      </c>
      <c r="N48" s="134">
        <v>45.2</v>
      </c>
      <c r="O48" s="134">
        <v>0</v>
      </c>
      <c r="P48" s="134">
        <v>0.34</v>
      </c>
      <c r="Q48" s="134">
        <v>4.46</v>
      </c>
    </row>
    <row r="49" spans="1:17" customFormat="1">
      <c r="A49" s="112" t="s">
        <v>2773</v>
      </c>
      <c r="B49" s="134">
        <v>10.19</v>
      </c>
      <c r="C49" s="134">
        <v>36.619999999999997</v>
      </c>
      <c r="D49" s="134">
        <v>26.26</v>
      </c>
      <c r="E49" s="134">
        <v>3.85</v>
      </c>
      <c r="F49" s="134">
        <v>4.3</v>
      </c>
      <c r="G49" s="134">
        <v>0.99</v>
      </c>
      <c r="H49" s="134">
        <v>0.61</v>
      </c>
      <c r="I49" s="134">
        <v>2.25</v>
      </c>
      <c r="J49" s="134">
        <v>1.78</v>
      </c>
      <c r="K49" s="134">
        <v>257.19</v>
      </c>
      <c r="L49" s="134">
        <v>23.44</v>
      </c>
      <c r="M49" s="134">
        <v>95.96</v>
      </c>
      <c r="N49" s="134">
        <v>68.7</v>
      </c>
      <c r="O49" s="134">
        <v>0</v>
      </c>
      <c r="P49" s="134">
        <v>0.31</v>
      </c>
      <c r="Q49" s="134">
        <v>4.43</v>
      </c>
    </row>
    <row r="50" spans="1:17" customFormat="1">
      <c r="A50" s="112" t="s">
        <v>2774</v>
      </c>
      <c r="B50" s="134">
        <v>9.9700000000000006</v>
      </c>
      <c r="C50" s="134">
        <v>37.26</v>
      </c>
      <c r="D50" s="134">
        <v>26.41</v>
      </c>
      <c r="E50" s="134">
        <v>4.78</v>
      </c>
      <c r="F50" s="134">
        <v>3.81</v>
      </c>
      <c r="G50" s="134">
        <v>0.99</v>
      </c>
      <c r="H50" s="134">
        <v>0.61</v>
      </c>
      <c r="I50" s="134">
        <v>2.27</v>
      </c>
      <c r="J50" s="134">
        <v>1.43</v>
      </c>
      <c r="K50" s="134">
        <v>260.64</v>
      </c>
      <c r="L50" s="134">
        <v>23.51</v>
      </c>
      <c r="M50" s="134">
        <v>94.54</v>
      </c>
      <c r="N50" s="134">
        <v>66.099999999999994</v>
      </c>
      <c r="O50" s="134">
        <v>0</v>
      </c>
      <c r="P50" s="134">
        <v>0.32</v>
      </c>
      <c r="Q50" s="134">
        <v>4.37</v>
      </c>
    </row>
    <row r="51" spans="1:17" customFormat="1">
      <c r="A51" s="112" t="s">
        <v>2775</v>
      </c>
      <c r="B51" s="134">
        <v>10</v>
      </c>
      <c r="C51" s="134">
        <v>37.909999999999997</v>
      </c>
      <c r="D51" s="134">
        <v>26.78</v>
      </c>
      <c r="E51" s="134">
        <v>4.96</v>
      </c>
      <c r="F51" s="134">
        <v>3.96</v>
      </c>
      <c r="G51" s="134">
        <v>1.05</v>
      </c>
      <c r="H51" s="134">
        <v>0.62</v>
      </c>
      <c r="I51" s="134">
        <v>2.2000000000000002</v>
      </c>
      <c r="J51" s="134">
        <v>1.63</v>
      </c>
      <c r="K51" s="134">
        <v>265.60000000000002</v>
      </c>
      <c r="L51" s="134">
        <v>23.63</v>
      </c>
      <c r="M51" s="134">
        <v>93.2</v>
      </c>
      <c r="N51" s="134">
        <v>62.9</v>
      </c>
      <c r="O51" s="134">
        <v>0</v>
      </c>
      <c r="P51" s="134">
        <v>0.33</v>
      </c>
      <c r="Q51" s="134">
        <v>4.45</v>
      </c>
    </row>
    <row r="52" spans="1:17" customFormat="1">
      <c r="A52" s="112" t="s">
        <v>2776</v>
      </c>
      <c r="B52" s="134">
        <v>9.93</v>
      </c>
      <c r="C52" s="134">
        <v>35.86</v>
      </c>
      <c r="D52" s="134">
        <v>25.65</v>
      </c>
      <c r="E52" s="134">
        <v>4.99</v>
      </c>
      <c r="F52" s="134">
        <v>4.2</v>
      </c>
      <c r="G52" s="134">
        <v>1.1399999999999999</v>
      </c>
      <c r="H52" s="134">
        <v>0.63</v>
      </c>
      <c r="I52" s="134">
        <v>2.2200000000000002</v>
      </c>
      <c r="J52" s="134">
        <v>1.48</v>
      </c>
      <c r="K52" s="134">
        <v>262.38</v>
      </c>
      <c r="L52" s="134">
        <v>23.73</v>
      </c>
      <c r="M52" s="134">
        <v>92.58</v>
      </c>
      <c r="N52" s="134">
        <v>87</v>
      </c>
      <c r="O52" s="134">
        <v>0</v>
      </c>
      <c r="P52" s="134">
        <v>0.31</v>
      </c>
      <c r="Q52" s="134">
        <v>4.34</v>
      </c>
    </row>
    <row r="53" spans="1:17" customFormat="1">
      <c r="A53" s="112" t="s">
        <v>2777</v>
      </c>
      <c r="B53" s="134">
        <v>9.8699999999999992</v>
      </c>
      <c r="C53" s="134">
        <v>38.840000000000003</v>
      </c>
      <c r="D53" s="134">
        <v>27.16</v>
      </c>
      <c r="E53" s="134">
        <v>4.72</v>
      </c>
      <c r="F53" s="134">
        <v>3.5</v>
      </c>
      <c r="G53" s="134">
        <v>1.1399999999999999</v>
      </c>
      <c r="H53" s="134">
        <v>0.63</v>
      </c>
      <c r="I53" s="134">
        <v>2.2200000000000002</v>
      </c>
      <c r="J53" s="134">
        <v>1.44</v>
      </c>
      <c r="K53" s="134">
        <v>259.73</v>
      </c>
      <c r="L53" s="134">
        <v>23.86</v>
      </c>
      <c r="M53" s="134">
        <v>92.5</v>
      </c>
      <c r="N53" s="134">
        <v>83.5</v>
      </c>
      <c r="O53" s="134">
        <v>0</v>
      </c>
      <c r="P53" s="134">
        <v>0.35</v>
      </c>
      <c r="Q53" s="134">
        <v>4.43</v>
      </c>
    </row>
    <row r="54" spans="1:17" customFormat="1">
      <c r="A54" s="112" t="s">
        <v>2778</v>
      </c>
      <c r="B54" s="134">
        <v>9.85</v>
      </c>
      <c r="C54" s="134">
        <v>35.479999999999997</v>
      </c>
      <c r="D54" s="134">
        <v>25.39</v>
      </c>
      <c r="E54" s="134">
        <v>4.6399999999999997</v>
      </c>
      <c r="F54" s="134">
        <v>4.4800000000000004</v>
      </c>
      <c r="G54" s="134">
        <v>1.1399999999999999</v>
      </c>
      <c r="H54" s="134">
        <v>0.63</v>
      </c>
      <c r="I54" s="134">
        <v>2.2200000000000002</v>
      </c>
      <c r="J54" s="134">
        <v>1.63</v>
      </c>
      <c r="K54" s="134">
        <v>260.3</v>
      </c>
      <c r="L54" s="134">
        <v>23.95</v>
      </c>
      <c r="M54" s="134">
        <v>92.06</v>
      </c>
      <c r="N54" s="134">
        <v>109.5</v>
      </c>
      <c r="O54" s="134">
        <v>0</v>
      </c>
      <c r="P54" s="134">
        <v>0.32</v>
      </c>
      <c r="Q54" s="134">
        <v>4.38</v>
      </c>
    </row>
    <row r="55" spans="1:17" customFormat="1">
      <c r="A55" s="112" t="s">
        <v>2779</v>
      </c>
      <c r="B55" s="134">
        <v>9.6199999999999992</v>
      </c>
      <c r="C55" s="134">
        <v>37.770000000000003</v>
      </c>
      <c r="D55" s="134">
        <v>26.4</v>
      </c>
      <c r="E55" s="134">
        <v>4.46</v>
      </c>
      <c r="F55" s="134">
        <v>3.66</v>
      </c>
      <c r="G55" s="134">
        <v>1.19</v>
      </c>
      <c r="H55" s="134">
        <v>0.64</v>
      </c>
      <c r="I55" s="134">
        <v>2.25</v>
      </c>
      <c r="J55" s="134">
        <v>1.63</v>
      </c>
      <c r="K55" s="134">
        <v>264.48</v>
      </c>
      <c r="L55" s="134">
        <v>24.14</v>
      </c>
      <c r="M55" s="134">
        <v>90.62</v>
      </c>
      <c r="N55" s="134">
        <v>92.9</v>
      </c>
      <c r="O55" s="134">
        <v>0</v>
      </c>
      <c r="P55" s="134">
        <v>0.35</v>
      </c>
      <c r="Q55" s="134">
        <v>4.3899999999999997</v>
      </c>
    </row>
    <row r="56" spans="1:17" customFormat="1">
      <c r="A56" s="112" t="s">
        <v>2780</v>
      </c>
      <c r="B56" s="134">
        <v>9.6999999999999993</v>
      </c>
      <c r="C56" s="134">
        <v>36.979999999999997</v>
      </c>
      <c r="D56" s="134">
        <v>26.06</v>
      </c>
      <c r="E56" s="134">
        <v>4.9800000000000004</v>
      </c>
      <c r="F56" s="134">
        <v>4.18</v>
      </c>
      <c r="G56" s="134">
        <v>1.28</v>
      </c>
      <c r="H56" s="134">
        <v>0.64</v>
      </c>
      <c r="I56" s="134">
        <v>2.2200000000000002</v>
      </c>
      <c r="J56" s="134">
        <v>1.37</v>
      </c>
      <c r="K56" s="134">
        <v>260.54000000000002</v>
      </c>
      <c r="L56" s="134">
        <v>24.21</v>
      </c>
      <c r="M56" s="134">
        <v>90.14</v>
      </c>
      <c r="N56" s="134">
        <v>51.8</v>
      </c>
      <c r="O56" s="134">
        <v>0</v>
      </c>
      <c r="P56" s="134">
        <v>0.34</v>
      </c>
      <c r="Q56" s="134">
        <v>4.43</v>
      </c>
    </row>
    <row r="57" spans="1:17" customFormat="1">
      <c r="A57" s="112" t="s">
        <v>2781</v>
      </c>
      <c r="B57" s="134">
        <v>9.67</v>
      </c>
      <c r="C57" s="134">
        <v>35.340000000000003</v>
      </c>
      <c r="D57" s="134">
        <v>25.18</v>
      </c>
      <c r="E57" s="134">
        <v>4.1900000000000004</v>
      </c>
      <c r="F57" s="134">
        <v>4.42</v>
      </c>
      <c r="G57" s="134">
        <v>1.28</v>
      </c>
      <c r="H57" s="134">
        <v>0.64</v>
      </c>
      <c r="I57" s="134">
        <v>2.25</v>
      </c>
      <c r="J57" s="134">
        <v>1.46</v>
      </c>
      <c r="K57" s="134">
        <v>264.49</v>
      </c>
      <c r="L57" s="134">
        <v>24.3</v>
      </c>
      <c r="M57" s="134">
        <v>89.88</v>
      </c>
      <c r="N57" s="134">
        <v>73.900000000000006</v>
      </c>
      <c r="O57" s="134">
        <v>0</v>
      </c>
      <c r="P57" s="134">
        <v>0.32</v>
      </c>
      <c r="Q57" s="134">
        <v>4.3499999999999996</v>
      </c>
    </row>
    <row r="58" spans="1:17" customFormat="1">
      <c r="A58" s="112" t="s">
        <v>2782</v>
      </c>
      <c r="B58" s="134">
        <v>9.7200000000000006</v>
      </c>
      <c r="C58" s="134">
        <v>38.11</v>
      </c>
      <c r="D58" s="134">
        <v>26.67</v>
      </c>
      <c r="E58" s="134">
        <v>4.6900000000000004</v>
      </c>
      <c r="F58" s="134">
        <v>3.82</v>
      </c>
      <c r="G58" s="134">
        <v>1.28</v>
      </c>
      <c r="H58" s="134">
        <v>0.64</v>
      </c>
      <c r="I58" s="134">
        <v>2.2200000000000002</v>
      </c>
      <c r="J58" s="134">
        <v>1.33</v>
      </c>
      <c r="K58" s="134">
        <v>256.48</v>
      </c>
      <c r="L58" s="134">
        <v>24.3</v>
      </c>
      <c r="M58" s="134">
        <v>90.8</v>
      </c>
      <c r="N58" s="134">
        <v>80.900000000000006</v>
      </c>
      <c r="O58" s="134">
        <v>0</v>
      </c>
      <c r="P58" s="134">
        <v>0.35</v>
      </c>
      <c r="Q58" s="134">
        <v>4.42</v>
      </c>
    </row>
    <row r="59" spans="1:17" customFormat="1">
      <c r="A59" s="112" t="s">
        <v>2783</v>
      </c>
      <c r="B59" s="134">
        <v>9.7100000000000009</v>
      </c>
      <c r="C59" s="134">
        <v>34.94</v>
      </c>
      <c r="D59" s="134">
        <v>24.99</v>
      </c>
      <c r="E59" s="134">
        <v>4.34</v>
      </c>
      <c r="F59" s="134">
        <v>4.8499999999999996</v>
      </c>
      <c r="G59" s="134">
        <v>1.29</v>
      </c>
      <c r="H59" s="134">
        <v>0.63</v>
      </c>
      <c r="I59" s="134">
        <v>2.23</v>
      </c>
      <c r="J59" s="134">
        <v>1.42</v>
      </c>
      <c r="K59" s="134">
        <v>267.87</v>
      </c>
      <c r="L59" s="134">
        <v>24.25</v>
      </c>
      <c r="M59" s="134">
        <v>91.94</v>
      </c>
      <c r="N59" s="134">
        <v>75.400000000000006</v>
      </c>
      <c r="O59" s="134">
        <v>0</v>
      </c>
      <c r="P59" s="134">
        <v>0.32</v>
      </c>
      <c r="Q59" s="134">
        <v>4.38</v>
      </c>
    </row>
    <row r="60" spans="1:17" customFormat="1">
      <c r="A60" s="112" t="s">
        <v>2784</v>
      </c>
      <c r="B60" s="134">
        <v>9.56</v>
      </c>
      <c r="C60" s="134">
        <v>37.520000000000003</v>
      </c>
      <c r="D60" s="134">
        <v>26.23</v>
      </c>
      <c r="E60" s="134">
        <v>4.4800000000000004</v>
      </c>
      <c r="F60" s="134">
        <v>3.91</v>
      </c>
      <c r="G60" s="134">
        <v>1.3</v>
      </c>
      <c r="H60" s="134">
        <v>0.63</v>
      </c>
      <c r="I60" s="134">
        <v>2.2599999999999998</v>
      </c>
      <c r="J60" s="134">
        <v>1.47</v>
      </c>
      <c r="K60" s="134">
        <v>258.91000000000003</v>
      </c>
      <c r="L60" s="134">
        <v>24.21</v>
      </c>
      <c r="M60" s="134">
        <v>92.74</v>
      </c>
      <c r="N60" s="134">
        <v>91.2</v>
      </c>
      <c r="O60" s="134">
        <v>0</v>
      </c>
      <c r="P60" s="134">
        <v>0.34</v>
      </c>
      <c r="Q60" s="134">
        <v>4.3899999999999997</v>
      </c>
    </row>
    <row r="61" spans="1:17" customFormat="1">
      <c r="A61" s="112" t="s">
        <v>2785</v>
      </c>
      <c r="B61" s="134">
        <v>9.66</v>
      </c>
      <c r="C61" s="134">
        <v>37.33</v>
      </c>
      <c r="D61" s="134">
        <v>26.21</v>
      </c>
      <c r="E61" s="134">
        <v>4.68</v>
      </c>
      <c r="F61" s="134">
        <v>4.3499999999999996</v>
      </c>
      <c r="G61" s="134">
        <v>1.3</v>
      </c>
      <c r="H61" s="134">
        <v>0.63</v>
      </c>
      <c r="I61" s="134">
        <v>2.2200000000000002</v>
      </c>
      <c r="J61" s="134">
        <v>1.36</v>
      </c>
      <c r="K61" s="134">
        <v>261</v>
      </c>
      <c r="L61" s="134">
        <v>24.31</v>
      </c>
      <c r="M61" s="134">
        <v>92.87</v>
      </c>
      <c r="N61" s="134">
        <v>118.3</v>
      </c>
      <c r="O61" s="134">
        <v>0</v>
      </c>
      <c r="P61" s="134">
        <v>0.34</v>
      </c>
      <c r="Q61" s="134">
        <v>4.4400000000000004</v>
      </c>
    </row>
    <row r="62" spans="1:17" customFormat="1">
      <c r="A62" s="112" t="s">
        <v>2786</v>
      </c>
      <c r="B62" s="134">
        <v>9.66</v>
      </c>
      <c r="C62" s="134">
        <v>35.409999999999997</v>
      </c>
      <c r="D62" s="134">
        <v>25.2</v>
      </c>
      <c r="E62" s="134">
        <v>4.42</v>
      </c>
      <c r="F62" s="134">
        <v>4.45</v>
      </c>
      <c r="G62" s="134">
        <v>1.3</v>
      </c>
      <c r="H62" s="134">
        <v>0.63</v>
      </c>
      <c r="I62" s="134">
        <v>2.2599999999999998</v>
      </c>
      <c r="J62" s="134">
        <v>1.21</v>
      </c>
      <c r="K62" s="134">
        <v>258.73</v>
      </c>
      <c r="L62" s="134">
        <v>24.51</v>
      </c>
      <c r="M62" s="134">
        <v>92.45</v>
      </c>
      <c r="N62" s="134">
        <v>122.6</v>
      </c>
      <c r="O62" s="134">
        <v>0</v>
      </c>
      <c r="P62" s="134">
        <v>0.32</v>
      </c>
      <c r="Q62" s="134">
        <v>4.33</v>
      </c>
    </row>
    <row r="63" spans="1:17" customFormat="1">
      <c r="A63" s="112" t="s">
        <v>2787</v>
      </c>
      <c r="B63" s="134">
        <v>9.6</v>
      </c>
      <c r="C63" s="134">
        <v>38.47</v>
      </c>
      <c r="D63" s="134">
        <v>26.75</v>
      </c>
      <c r="E63" s="134">
        <v>4.63</v>
      </c>
      <c r="F63" s="134">
        <v>3.74</v>
      </c>
      <c r="G63" s="134">
        <v>1.3</v>
      </c>
      <c r="H63" s="134">
        <v>0.64</v>
      </c>
      <c r="I63" s="134">
        <v>2.25</v>
      </c>
      <c r="J63" s="134">
        <v>1.08</v>
      </c>
      <c r="K63" s="134">
        <v>261.14999999999998</v>
      </c>
      <c r="L63" s="134">
        <v>24.66</v>
      </c>
      <c r="M63" s="134">
        <v>91.64</v>
      </c>
      <c r="N63" s="134">
        <v>104.3</v>
      </c>
      <c r="O63" s="134">
        <v>0</v>
      </c>
      <c r="P63" s="134">
        <v>0.35</v>
      </c>
      <c r="Q63" s="134">
        <v>4.41</v>
      </c>
    </row>
    <row r="64" spans="1:17" customFormat="1">
      <c r="A64" s="112" t="s">
        <v>2788</v>
      </c>
      <c r="B64" s="134">
        <v>9.65</v>
      </c>
      <c r="C64" s="134">
        <v>35.5</v>
      </c>
      <c r="D64" s="134">
        <v>25.24</v>
      </c>
      <c r="E64" s="134">
        <v>4.41</v>
      </c>
      <c r="F64" s="134">
        <v>4.57</v>
      </c>
      <c r="G64" s="134">
        <v>1.31</v>
      </c>
      <c r="H64" s="134">
        <v>0.65</v>
      </c>
      <c r="I64" s="134">
        <v>2.25</v>
      </c>
      <c r="J64" s="134">
        <v>1.22</v>
      </c>
      <c r="K64" s="134">
        <v>257.81</v>
      </c>
      <c r="L64" s="134">
        <v>24.78</v>
      </c>
      <c r="M64" s="134">
        <v>90.97</v>
      </c>
      <c r="N64" s="134">
        <v>110.7</v>
      </c>
      <c r="O64" s="134">
        <v>0</v>
      </c>
      <c r="P64" s="134">
        <v>0.33</v>
      </c>
      <c r="Q64" s="134">
        <v>4.3899999999999997</v>
      </c>
    </row>
    <row r="65" spans="1:17" customFormat="1">
      <c r="A65" s="112" t="s">
        <v>2789</v>
      </c>
      <c r="B65" s="134">
        <v>9.73</v>
      </c>
      <c r="C65" s="134">
        <v>38.29</v>
      </c>
      <c r="D65" s="134">
        <v>26.76</v>
      </c>
      <c r="E65" s="134">
        <v>4.3899999999999997</v>
      </c>
      <c r="F65" s="134">
        <v>3.68</v>
      </c>
      <c r="G65" s="134">
        <v>1.31</v>
      </c>
      <c r="H65" s="134">
        <v>0.65</v>
      </c>
      <c r="I65" s="134">
        <v>2.2599999999999998</v>
      </c>
      <c r="J65" s="134">
        <v>1.1599999999999999</v>
      </c>
      <c r="K65" s="134">
        <v>258.82</v>
      </c>
      <c r="L65" s="134">
        <v>24.94</v>
      </c>
      <c r="M65" s="134">
        <v>90.41</v>
      </c>
      <c r="N65" s="134">
        <v>112.9</v>
      </c>
      <c r="O65" s="134">
        <v>0</v>
      </c>
      <c r="P65" s="134">
        <v>0.34</v>
      </c>
      <c r="Q65" s="134">
        <v>4.4000000000000004</v>
      </c>
    </row>
    <row r="66" spans="1:17" customFormat="1">
      <c r="A66" s="112" t="s">
        <v>2790</v>
      </c>
      <c r="B66" s="134">
        <v>9.85</v>
      </c>
      <c r="C66" s="134">
        <v>35.68</v>
      </c>
      <c r="D66" s="134">
        <v>25.5</v>
      </c>
      <c r="E66" s="134">
        <v>5.01</v>
      </c>
      <c r="F66" s="134">
        <v>4.6500000000000004</v>
      </c>
      <c r="G66" s="134">
        <v>1.31</v>
      </c>
      <c r="H66" s="134">
        <v>0.65</v>
      </c>
      <c r="I66" s="134">
        <v>2.2599999999999998</v>
      </c>
      <c r="J66" s="134">
        <v>1.02</v>
      </c>
      <c r="K66" s="134">
        <v>254.55</v>
      </c>
      <c r="L66" s="134">
        <v>25.04</v>
      </c>
      <c r="M66" s="134">
        <v>90.2</v>
      </c>
      <c r="N66" s="134">
        <v>119.2</v>
      </c>
      <c r="O66" s="134">
        <v>0</v>
      </c>
      <c r="P66" s="134">
        <v>0.32</v>
      </c>
      <c r="Q66" s="134">
        <v>4.3600000000000003</v>
      </c>
    </row>
    <row r="67" spans="1:17" customFormat="1">
      <c r="A67" s="112" t="s">
        <v>2791</v>
      </c>
      <c r="B67" s="134">
        <v>9.7899999999999991</v>
      </c>
      <c r="C67" s="134">
        <v>35.86</v>
      </c>
      <c r="D67" s="134">
        <v>25.54</v>
      </c>
      <c r="E67" s="134">
        <v>4.26</v>
      </c>
      <c r="F67" s="134">
        <v>4.3</v>
      </c>
      <c r="G67" s="134">
        <v>1.32</v>
      </c>
      <c r="H67" s="134">
        <v>0.65</v>
      </c>
      <c r="I67" s="134">
        <v>2.27</v>
      </c>
      <c r="J67" s="134">
        <v>1.26</v>
      </c>
      <c r="K67" s="134">
        <v>263.85000000000002</v>
      </c>
      <c r="L67" s="134">
        <v>25.07</v>
      </c>
      <c r="M67" s="134">
        <v>89.61</v>
      </c>
      <c r="N67" s="134">
        <v>102.3</v>
      </c>
      <c r="O67" s="134">
        <v>0</v>
      </c>
      <c r="P67" s="134">
        <v>0.33</v>
      </c>
      <c r="Q67" s="134">
        <v>4.33</v>
      </c>
    </row>
    <row r="68" spans="1:17" customFormat="1">
      <c r="A68" s="112" t="s">
        <v>2792</v>
      </c>
      <c r="B68" s="134">
        <v>9.84</v>
      </c>
      <c r="C68" s="134">
        <v>38.74</v>
      </c>
      <c r="D68" s="134">
        <v>27.08</v>
      </c>
      <c r="E68" s="134">
        <v>4.57</v>
      </c>
      <c r="F68" s="134">
        <v>3.76</v>
      </c>
      <c r="G68" s="134">
        <v>1.34</v>
      </c>
      <c r="H68" s="134">
        <v>0.64</v>
      </c>
      <c r="I68" s="134">
        <v>2.21</v>
      </c>
      <c r="J68" s="134">
        <v>1.31</v>
      </c>
      <c r="K68" s="134">
        <v>256.69</v>
      </c>
      <c r="L68" s="134">
        <v>25.09</v>
      </c>
      <c r="M68" s="134">
        <v>89.12</v>
      </c>
      <c r="N68" s="134">
        <v>92.6</v>
      </c>
      <c r="O68" s="134">
        <v>0</v>
      </c>
      <c r="P68" s="134">
        <v>0.35</v>
      </c>
      <c r="Q68" s="134">
        <v>4.4400000000000004</v>
      </c>
    </row>
    <row r="69" spans="1:17" customFormat="1">
      <c r="A69" s="112" t="s">
        <v>2793</v>
      </c>
      <c r="B69" s="134">
        <v>9.89</v>
      </c>
      <c r="C69" s="134">
        <v>34.97</v>
      </c>
      <c r="D69" s="134">
        <v>25.16</v>
      </c>
      <c r="E69" s="134">
        <v>4.42</v>
      </c>
      <c r="F69" s="134">
        <v>4.99</v>
      </c>
      <c r="G69" s="134">
        <v>1.34</v>
      </c>
      <c r="H69" s="134">
        <v>0.64</v>
      </c>
      <c r="I69" s="134">
        <v>2.25</v>
      </c>
      <c r="J69" s="134">
        <v>1.04</v>
      </c>
      <c r="K69" s="134">
        <v>260.52999999999997</v>
      </c>
      <c r="L69" s="134">
        <v>25.09</v>
      </c>
      <c r="M69" s="134">
        <v>89.57</v>
      </c>
      <c r="N69" s="134">
        <v>94.6</v>
      </c>
      <c r="O69" s="134">
        <v>0</v>
      </c>
      <c r="P69" s="134">
        <v>0.32</v>
      </c>
      <c r="Q69" s="134">
        <v>4.3600000000000003</v>
      </c>
    </row>
    <row r="70" spans="1:17" customFormat="1">
      <c r="A70" s="112" t="s">
        <v>2794</v>
      </c>
      <c r="B70" s="134">
        <v>9.6199999999999992</v>
      </c>
      <c r="C70" s="134">
        <v>35.520000000000003</v>
      </c>
      <c r="D70" s="134">
        <v>25.23</v>
      </c>
      <c r="E70" s="134">
        <v>4.42</v>
      </c>
      <c r="F70" s="134">
        <v>4.49</v>
      </c>
      <c r="G70" s="134">
        <v>1.34</v>
      </c>
      <c r="H70" s="134">
        <v>0.64</v>
      </c>
      <c r="I70" s="134">
        <v>2.2599999999999998</v>
      </c>
      <c r="J70" s="134">
        <v>1.32</v>
      </c>
      <c r="K70" s="134">
        <v>261.47000000000003</v>
      </c>
      <c r="L70" s="134">
        <v>25.2</v>
      </c>
      <c r="M70" s="134">
        <v>89.72</v>
      </c>
      <c r="N70" s="134">
        <v>113.2</v>
      </c>
      <c r="O70" s="134">
        <v>0</v>
      </c>
      <c r="P70" s="134">
        <v>0.32</v>
      </c>
      <c r="Q70" s="134">
        <v>4.32</v>
      </c>
    </row>
    <row r="71" spans="1:17" customFormat="1">
      <c r="A71" s="112" t="s">
        <v>2795</v>
      </c>
      <c r="B71" s="134">
        <v>9.66</v>
      </c>
      <c r="C71" s="134">
        <v>37.53</v>
      </c>
      <c r="D71" s="134">
        <v>26.31</v>
      </c>
      <c r="E71" s="134">
        <v>4.82</v>
      </c>
      <c r="F71" s="134">
        <v>3.79</v>
      </c>
      <c r="G71" s="134">
        <v>1.37</v>
      </c>
      <c r="H71" s="134">
        <v>0.64</v>
      </c>
      <c r="I71" s="134">
        <v>2.2000000000000002</v>
      </c>
      <c r="J71" s="134">
        <v>1.17</v>
      </c>
      <c r="K71" s="134">
        <v>254.65</v>
      </c>
      <c r="L71" s="134">
        <v>25.18</v>
      </c>
      <c r="M71" s="134">
        <v>89.75</v>
      </c>
      <c r="N71" s="134">
        <v>54</v>
      </c>
      <c r="O71" s="134">
        <v>0</v>
      </c>
      <c r="P71" s="134">
        <v>0.35</v>
      </c>
      <c r="Q71" s="134">
        <v>4.43</v>
      </c>
    </row>
    <row r="72" spans="1:17" customFormat="1">
      <c r="A72" s="112" t="s">
        <v>2796</v>
      </c>
      <c r="B72" s="134">
        <v>9.67</v>
      </c>
      <c r="C72" s="134">
        <v>33.92</v>
      </c>
      <c r="D72" s="134">
        <v>24.43</v>
      </c>
      <c r="E72" s="134">
        <v>4.4800000000000004</v>
      </c>
      <c r="F72" s="134">
        <v>4.87</v>
      </c>
      <c r="G72" s="134">
        <v>1.4</v>
      </c>
      <c r="H72" s="134">
        <v>0.64</v>
      </c>
      <c r="I72" s="134">
        <v>2.23</v>
      </c>
      <c r="J72" s="134">
        <v>1.22</v>
      </c>
      <c r="K72" s="134">
        <v>258.45999999999998</v>
      </c>
      <c r="L72" s="134">
        <v>25.07</v>
      </c>
      <c r="M72" s="134">
        <v>90.17</v>
      </c>
      <c r="N72" s="134">
        <v>39.200000000000003</v>
      </c>
      <c r="O72" s="134">
        <v>0</v>
      </c>
      <c r="P72" s="134">
        <v>0.31</v>
      </c>
      <c r="Q72" s="134">
        <v>4.3600000000000003</v>
      </c>
    </row>
    <row r="73" spans="1:17" customFormat="1">
      <c r="A73" s="112" t="s">
        <v>2797</v>
      </c>
      <c r="B73" s="134">
        <v>9.5500000000000007</v>
      </c>
      <c r="C73" s="134">
        <v>36.19</v>
      </c>
      <c r="D73" s="134">
        <v>25.52</v>
      </c>
      <c r="E73" s="134">
        <v>4.24</v>
      </c>
      <c r="F73" s="134">
        <v>3.97</v>
      </c>
      <c r="G73" s="134">
        <v>1.4</v>
      </c>
      <c r="H73" s="134">
        <v>0.64</v>
      </c>
      <c r="I73" s="134">
        <v>2.25</v>
      </c>
      <c r="J73" s="134">
        <v>1.08</v>
      </c>
      <c r="K73" s="134">
        <v>261.04000000000002</v>
      </c>
      <c r="L73" s="134">
        <v>24.77</v>
      </c>
      <c r="M73" s="134">
        <v>92.6</v>
      </c>
      <c r="N73" s="134">
        <v>48.8</v>
      </c>
      <c r="O73" s="134">
        <v>0</v>
      </c>
      <c r="P73" s="134">
        <v>0.33</v>
      </c>
      <c r="Q73" s="134">
        <v>4.33</v>
      </c>
    </row>
    <row r="74" spans="1:17" customFormat="1">
      <c r="A74" s="112" t="s">
        <v>2798</v>
      </c>
      <c r="B74" s="134">
        <v>9.68</v>
      </c>
      <c r="C74" s="134">
        <v>37.869999999999997</v>
      </c>
      <c r="D74" s="134">
        <v>26.5</v>
      </c>
      <c r="E74" s="134">
        <v>4.7</v>
      </c>
      <c r="F74" s="134">
        <v>3.85</v>
      </c>
      <c r="G74" s="134">
        <v>1.4</v>
      </c>
      <c r="H74" s="134">
        <v>0.64</v>
      </c>
      <c r="I74" s="134">
        <v>2.19</v>
      </c>
      <c r="J74" s="134">
        <v>1.1200000000000001</v>
      </c>
      <c r="K74" s="134">
        <v>256.52</v>
      </c>
      <c r="L74" s="134">
        <v>24.67</v>
      </c>
      <c r="M74" s="134">
        <v>93.86</v>
      </c>
      <c r="N74" s="134">
        <v>57.8</v>
      </c>
      <c r="O74" s="134">
        <v>0</v>
      </c>
      <c r="P74" s="134">
        <v>0.35</v>
      </c>
      <c r="Q74" s="134">
        <v>4.42</v>
      </c>
    </row>
    <row r="75" spans="1:17" customFormat="1">
      <c r="A75" s="112" t="s">
        <v>2799</v>
      </c>
      <c r="B75" s="134">
        <v>9.7200000000000006</v>
      </c>
      <c r="C75" s="134">
        <v>34.79</v>
      </c>
      <c r="D75" s="134">
        <v>24.93</v>
      </c>
      <c r="E75" s="134">
        <v>5.12</v>
      </c>
      <c r="F75" s="134">
        <v>4.5199999999999996</v>
      </c>
      <c r="G75" s="134">
        <v>1.39</v>
      </c>
      <c r="H75" s="134">
        <v>0.64</v>
      </c>
      <c r="I75" s="134">
        <v>2.23</v>
      </c>
      <c r="J75" s="134">
        <v>1.08</v>
      </c>
      <c r="K75" s="134">
        <v>255.78</v>
      </c>
      <c r="L75" s="134">
        <v>24.78</v>
      </c>
      <c r="M75" s="134">
        <v>92.88</v>
      </c>
      <c r="N75" s="134">
        <v>29.2</v>
      </c>
      <c r="O75" s="134">
        <v>0</v>
      </c>
      <c r="P75" s="134">
        <v>0.32</v>
      </c>
      <c r="Q75" s="134">
        <v>4.33</v>
      </c>
    </row>
    <row r="76" spans="1:17" customFormat="1">
      <c r="A76" s="112" t="s">
        <v>2800</v>
      </c>
      <c r="B76" s="134">
        <v>9.75</v>
      </c>
      <c r="C76" s="134">
        <v>38.28</v>
      </c>
      <c r="D76" s="134">
        <v>26.78</v>
      </c>
      <c r="E76" s="134">
        <v>4.32</v>
      </c>
      <c r="F76" s="134">
        <v>3.38</v>
      </c>
      <c r="G76" s="134">
        <v>1.38</v>
      </c>
      <c r="H76" s="134">
        <v>0.64</v>
      </c>
      <c r="I76" s="134">
        <v>2.2400000000000002</v>
      </c>
      <c r="J76" s="134">
        <v>0.88</v>
      </c>
      <c r="K76" s="134">
        <v>253.58</v>
      </c>
      <c r="L76" s="134">
        <v>24.85</v>
      </c>
      <c r="M76" s="134">
        <v>92.32</v>
      </c>
      <c r="N76" s="134">
        <v>15.1</v>
      </c>
      <c r="O76" s="134">
        <v>0</v>
      </c>
      <c r="P76" s="134">
        <v>0.35</v>
      </c>
      <c r="Q76" s="134">
        <v>4.37</v>
      </c>
    </row>
    <row r="77" spans="1:17" customFormat="1">
      <c r="A77" s="112" t="s">
        <v>2801</v>
      </c>
      <c r="B77" s="134">
        <v>9.98</v>
      </c>
      <c r="C77" s="134">
        <v>36.630000000000003</v>
      </c>
      <c r="D77" s="134">
        <v>26.09</v>
      </c>
      <c r="E77" s="134">
        <v>5.12</v>
      </c>
      <c r="F77" s="134">
        <v>4.13</v>
      </c>
      <c r="G77" s="134">
        <v>1.38</v>
      </c>
      <c r="H77" s="134">
        <v>0.64</v>
      </c>
      <c r="I77" s="134">
        <v>2.2400000000000002</v>
      </c>
      <c r="J77" s="134">
        <v>1.05</v>
      </c>
      <c r="K77" s="134">
        <v>256.27999999999997</v>
      </c>
      <c r="L77" s="134">
        <v>24.94</v>
      </c>
      <c r="M77" s="134">
        <v>91.66</v>
      </c>
      <c r="N77" s="134">
        <v>16.3</v>
      </c>
      <c r="O77" s="134">
        <v>0</v>
      </c>
      <c r="P77" s="134">
        <v>0.33</v>
      </c>
      <c r="Q77" s="134">
        <v>4.3899999999999997</v>
      </c>
    </row>
    <row r="78" spans="1:17" customFormat="1">
      <c r="A78" s="112" t="s">
        <v>2802</v>
      </c>
      <c r="B78" s="134">
        <v>9.99</v>
      </c>
      <c r="C78" s="134">
        <v>34.72</v>
      </c>
      <c r="D78" s="134">
        <v>25.11</v>
      </c>
      <c r="E78" s="134">
        <v>4.0999999999999996</v>
      </c>
      <c r="F78" s="134">
        <v>4.42</v>
      </c>
      <c r="G78" s="134">
        <v>1.38</v>
      </c>
      <c r="H78" s="134">
        <v>0.64</v>
      </c>
      <c r="I78" s="134">
        <v>2.2799999999999998</v>
      </c>
      <c r="J78" s="134">
        <v>1.1100000000000001</v>
      </c>
      <c r="K78" s="134">
        <v>260.32</v>
      </c>
      <c r="L78" s="134">
        <v>25.01</v>
      </c>
      <c r="M78" s="134">
        <v>91.2</v>
      </c>
      <c r="N78" s="134">
        <v>12.7</v>
      </c>
      <c r="O78" s="134">
        <v>0</v>
      </c>
      <c r="P78" s="134">
        <v>0.31</v>
      </c>
      <c r="Q78" s="134">
        <v>4.32</v>
      </c>
    </row>
    <row r="79" spans="1:17" customFormat="1">
      <c r="A79" s="112" t="s">
        <v>2803</v>
      </c>
      <c r="B79" s="134">
        <v>9.93</v>
      </c>
      <c r="C79" s="134">
        <v>38.58</v>
      </c>
      <c r="D79" s="134">
        <v>27.07</v>
      </c>
      <c r="E79" s="134">
        <v>4.79</v>
      </c>
      <c r="F79" s="134">
        <v>3.59</v>
      </c>
      <c r="G79" s="134">
        <v>1.38</v>
      </c>
      <c r="H79" s="134">
        <v>0.64</v>
      </c>
      <c r="I79" s="134">
        <v>2.23</v>
      </c>
      <c r="J79" s="134">
        <v>0.9</v>
      </c>
      <c r="K79" s="134">
        <v>265.33999999999997</v>
      </c>
      <c r="L79" s="134">
        <v>25.08</v>
      </c>
      <c r="M79" s="134">
        <v>90.75</v>
      </c>
      <c r="N79" s="134">
        <v>8.6</v>
      </c>
      <c r="O79" s="134">
        <v>0</v>
      </c>
      <c r="P79" s="134">
        <v>0.35</v>
      </c>
      <c r="Q79" s="134">
        <v>4.43</v>
      </c>
    </row>
    <row r="80" spans="1:17" customFormat="1">
      <c r="A80" s="112" t="s">
        <v>2804</v>
      </c>
      <c r="B80" s="134">
        <v>10.14</v>
      </c>
      <c r="C80" s="134">
        <v>36.1</v>
      </c>
      <c r="D80" s="134">
        <v>25.95</v>
      </c>
      <c r="E80" s="134">
        <v>4.5999999999999996</v>
      </c>
      <c r="F80" s="134">
        <v>4.5999999999999996</v>
      </c>
      <c r="G80" s="134">
        <v>1.38</v>
      </c>
      <c r="H80" s="134">
        <v>0.64</v>
      </c>
      <c r="I80" s="134">
        <v>2.2599999999999998</v>
      </c>
      <c r="J80" s="134">
        <v>1.21</v>
      </c>
      <c r="K80" s="134">
        <v>257.86</v>
      </c>
      <c r="L80" s="134">
        <v>25.13</v>
      </c>
      <c r="M80" s="134">
        <v>90.03</v>
      </c>
      <c r="N80" s="134">
        <v>4</v>
      </c>
      <c r="O80" s="134">
        <v>0</v>
      </c>
      <c r="P80" s="134">
        <v>0.33</v>
      </c>
      <c r="Q80" s="134">
        <v>4.45</v>
      </c>
    </row>
    <row r="81" spans="1:17" customFormat="1">
      <c r="A81" s="112" t="s">
        <v>2805</v>
      </c>
      <c r="B81" s="134">
        <v>9.99</v>
      </c>
      <c r="C81" s="134">
        <v>35.020000000000003</v>
      </c>
      <c r="D81" s="134">
        <v>25.27</v>
      </c>
      <c r="E81" s="134">
        <v>3.51</v>
      </c>
      <c r="F81" s="134">
        <v>4.51</v>
      </c>
      <c r="G81" s="134">
        <v>1.38</v>
      </c>
      <c r="H81" s="134">
        <v>0.64</v>
      </c>
      <c r="I81" s="134">
        <v>2.2999999999999998</v>
      </c>
      <c r="J81" s="134">
        <v>1.33</v>
      </c>
      <c r="K81" s="134">
        <v>258.45999999999998</v>
      </c>
      <c r="L81" s="134">
        <v>25.12</v>
      </c>
      <c r="M81" s="134">
        <v>89.98</v>
      </c>
      <c r="N81" s="134">
        <v>1.3</v>
      </c>
      <c r="O81" s="134">
        <v>0</v>
      </c>
      <c r="P81" s="134">
        <v>0.32</v>
      </c>
      <c r="Q81" s="134">
        <v>4.3600000000000003</v>
      </c>
    </row>
    <row r="82" spans="1:17" customFormat="1">
      <c r="A82" s="112" t="s">
        <v>2806</v>
      </c>
      <c r="B82" s="134">
        <v>9.9600000000000009</v>
      </c>
      <c r="C82" s="134">
        <v>38.83</v>
      </c>
      <c r="D82" s="134">
        <v>27.23</v>
      </c>
      <c r="E82" s="134">
        <v>4.92</v>
      </c>
      <c r="F82" s="134">
        <v>3.53</v>
      </c>
      <c r="G82" s="134">
        <v>1.38</v>
      </c>
      <c r="H82" s="134">
        <v>0.64</v>
      </c>
      <c r="I82" s="134">
        <v>2.2599999999999998</v>
      </c>
      <c r="J82" s="134">
        <v>1</v>
      </c>
      <c r="K82" s="134">
        <v>259.91000000000003</v>
      </c>
      <c r="L82" s="134">
        <v>25.09</v>
      </c>
      <c r="M82" s="134">
        <v>90.32</v>
      </c>
      <c r="N82" s="134">
        <v>0</v>
      </c>
      <c r="O82" s="134">
        <v>0</v>
      </c>
      <c r="P82" s="134">
        <v>0.36</v>
      </c>
      <c r="Q82" s="134">
        <v>4.42</v>
      </c>
    </row>
    <row r="83" spans="1:17" customFormat="1">
      <c r="A83" s="112" t="s">
        <v>2807</v>
      </c>
      <c r="B83" s="134">
        <v>10.01</v>
      </c>
      <c r="C83" s="134">
        <v>35.72</v>
      </c>
      <c r="D83" s="134">
        <v>25.65</v>
      </c>
      <c r="E83" s="134">
        <v>3.91</v>
      </c>
      <c r="F83" s="134">
        <v>4.59</v>
      </c>
      <c r="G83" s="134">
        <v>1.47</v>
      </c>
      <c r="H83" s="134">
        <v>0.65</v>
      </c>
      <c r="I83" s="134">
        <v>2.2999999999999998</v>
      </c>
      <c r="J83" s="134">
        <v>1.1000000000000001</v>
      </c>
      <c r="K83" s="134">
        <v>260.91000000000003</v>
      </c>
      <c r="L83" s="134">
        <v>25.06</v>
      </c>
      <c r="M83" s="134">
        <v>90.69</v>
      </c>
      <c r="N83" s="134">
        <v>0</v>
      </c>
      <c r="O83" s="134">
        <v>0</v>
      </c>
      <c r="P83" s="134">
        <v>0.34</v>
      </c>
      <c r="Q83" s="134">
        <v>4.38</v>
      </c>
    </row>
    <row r="84" spans="1:17" customFormat="1">
      <c r="A84" s="112" t="s">
        <v>2808</v>
      </c>
      <c r="B84" s="134">
        <v>9.83</v>
      </c>
      <c r="C84" s="134">
        <v>37.770000000000003</v>
      </c>
      <c r="D84" s="134">
        <v>26.57</v>
      </c>
      <c r="E84" s="134">
        <v>4.3499999999999996</v>
      </c>
      <c r="F84" s="134">
        <v>3.95</v>
      </c>
      <c r="G84" s="134">
        <v>1.61</v>
      </c>
      <c r="H84" s="134">
        <v>0.65</v>
      </c>
      <c r="I84" s="134">
        <v>2.34</v>
      </c>
      <c r="J84" s="134">
        <v>1.17</v>
      </c>
      <c r="K84" s="134">
        <v>257</v>
      </c>
      <c r="L84" s="134">
        <v>25.07</v>
      </c>
      <c r="M84" s="134">
        <v>90.65</v>
      </c>
      <c r="N84" s="134">
        <v>0</v>
      </c>
      <c r="O84" s="134">
        <v>0</v>
      </c>
      <c r="P84" s="134">
        <v>0.37</v>
      </c>
      <c r="Q84" s="134">
        <v>4.4000000000000004</v>
      </c>
    </row>
    <row r="85" spans="1:17" customFormat="1">
      <c r="A85" s="112" t="s">
        <v>2809</v>
      </c>
      <c r="B85" s="134">
        <v>9.81</v>
      </c>
      <c r="C85" s="134">
        <v>36.380000000000003</v>
      </c>
      <c r="D85" s="134">
        <v>25.83</v>
      </c>
      <c r="E85" s="134">
        <v>3.86</v>
      </c>
      <c r="F85" s="134">
        <v>4.51</v>
      </c>
      <c r="G85" s="134">
        <v>1.61</v>
      </c>
      <c r="H85" s="134">
        <v>0.65</v>
      </c>
      <c r="I85" s="134">
        <v>2.29</v>
      </c>
      <c r="J85" s="134">
        <v>1.23</v>
      </c>
      <c r="K85" s="134">
        <v>263.44</v>
      </c>
      <c r="L85" s="134">
        <v>25.12</v>
      </c>
      <c r="M85" s="134">
        <v>90.47</v>
      </c>
      <c r="N85" s="134">
        <v>0</v>
      </c>
      <c r="O85" s="134">
        <v>0</v>
      </c>
      <c r="P85" s="134">
        <v>0.34</v>
      </c>
      <c r="Q85" s="134">
        <v>4.42</v>
      </c>
    </row>
    <row r="86" spans="1:17" customFormat="1">
      <c r="A86" s="112" t="s">
        <v>2810</v>
      </c>
      <c r="B86" s="134">
        <v>9.68</v>
      </c>
      <c r="C86" s="134">
        <v>34.729999999999997</v>
      </c>
      <c r="D86" s="134">
        <v>24.86</v>
      </c>
      <c r="E86" s="134">
        <v>3.84</v>
      </c>
      <c r="F86" s="134">
        <v>4.68</v>
      </c>
      <c r="G86" s="134">
        <v>1.61</v>
      </c>
      <c r="H86" s="134">
        <v>0.65</v>
      </c>
      <c r="I86" s="134">
        <v>2.31</v>
      </c>
      <c r="J86" s="134">
        <v>1.29</v>
      </c>
      <c r="K86" s="134">
        <v>255.83</v>
      </c>
      <c r="L86" s="134">
        <v>25.12</v>
      </c>
      <c r="M86" s="134">
        <v>90.52</v>
      </c>
      <c r="N86" s="134">
        <v>0</v>
      </c>
      <c r="O86" s="134">
        <v>0</v>
      </c>
      <c r="P86" s="134">
        <v>0.32</v>
      </c>
      <c r="Q86" s="134">
        <v>4.32</v>
      </c>
    </row>
    <row r="87" spans="1:17" customFormat="1">
      <c r="A87" s="112" t="s">
        <v>2811</v>
      </c>
      <c r="B87" s="134">
        <v>9.64</v>
      </c>
      <c r="C87" s="134">
        <v>38.4</v>
      </c>
      <c r="D87" s="134">
        <v>26.75</v>
      </c>
      <c r="E87" s="134">
        <v>4.29</v>
      </c>
      <c r="F87" s="134">
        <v>3.7</v>
      </c>
      <c r="G87" s="134">
        <v>1.59</v>
      </c>
      <c r="H87" s="134">
        <v>0.65</v>
      </c>
      <c r="I87" s="134">
        <v>2.29</v>
      </c>
      <c r="J87" s="134">
        <v>1.0900000000000001</v>
      </c>
      <c r="K87" s="134">
        <v>255.13</v>
      </c>
      <c r="L87" s="134">
        <v>25.08</v>
      </c>
      <c r="M87" s="134">
        <v>90.98</v>
      </c>
      <c r="N87" s="134">
        <v>0</v>
      </c>
      <c r="O87" s="134">
        <v>0</v>
      </c>
      <c r="P87" s="134">
        <v>0.35</v>
      </c>
      <c r="Q87" s="134">
        <v>4.3899999999999997</v>
      </c>
    </row>
    <row r="88" spans="1:17" customFormat="1">
      <c r="A88" s="112" t="s">
        <v>2812</v>
      </c>
      <c r="B88" s="134">
        <v>9.73</v>
      </c>
      <c r="C88" s="134">
        <v>35.799999999999997</v>
      </c>
      <c r="D88" s="134">
        <v>25.46</v>
      </c>
      <c r="E88" s="134">
        <v>4.42</v>
      </c>
      <c r="F88" s="134">
        <v>4.54</v>
      </c>
      <c r="G88" s="134">
        <v>1.57</v>
      </c>
      <c r="H88" s="134">
        <v>0.66</v>
      </c>
      <c r="I88" s="134">
        <v>2.2999999999999998</v>
      </c>
      <c r="J88" s="134">
        <v>0.77</v>
      </c>
      <c r="K88" s="134">
        <v>253.02</v>
      </c>
      <c r="L88" s="134">
        <v>25.02</v>
      </c>
      <c r="M88" s="134">
        <v>91.58</v>
      </c>
      <c r="N88" s="134">
        <v>0</v>
      </c>
      <c r="O88" s="134">
        <v>0</v>
      </c>
      <c r="P88" s="134">
        <v>0.32</v>
      </c>
      <c r="Q88" s="134">
        <v>4.4000000000000004</v>
      </c>
    </row>
    <row r="89" spans="1:17" customFormat="1">
      <c r="A89" s="112" t="s">
        <v>2813</v>
      </c>
      <c r="B89" s="134">
        <v>9.7899999999999991</v>
      </c>
      <c r="C89" s="134">
        <v>36.81</v>
      </c>
      <c r="D89" s="134">
        <v>26.04</v>
      </c>
      <c r="E89" s="134">
        <v>4.57</v>
      </c>
      <c r="F89" s="134">
        <v>3.84</v>
      </c>
      <c r="G89" s="134">
        <v>1.57</v>
      </c>
      <c r="H89" s="134">
        <v>0.66</v>
      </c>
      <c r="I89" s="134">
        <v>2.31</v>
      </c>
      <c r="J89" s="134">
        <v>0.94</v>
      </c>
      <c r="K89" s="134">
        <v>254.16</v>
      </c>
      <c r="L89" s="134">
        <v>24.94</v>
      </c>
      <c r="M89" s="134">
        <v>92.37</v>
      </c>
      <c r="N89" s="134">
        <v>0</v>
      </c>
      <c r="O89" s="134">
        <v>0</v>
      </c>
      <c r="P89" s="134">
        <v>0.33</v>
      </c>
      <c r="Q89" s="134">
        <v>4.3899999999999997</v>
      </c>
    </row>
    <row r="90" spans="1:17" customFormat="1">
      <c r="A90" s="112" t="s">
        <v>2814</v>
      </c>
      <c r="B90" s="134">
        <v>10.07</v>
      </c>
      <c r="C90" s="134">
        <v>38.61</v>
      </c>
      <c r="D90" s="134">
        <v>27.21</v>
      </c>
      <c r="E90" s="134">
        <v>4.97</v>
      </c>
      <c r="F90" s="134">
        <v>3.65</v>
      </c>
      <c r="G90" s="134">
        <v>1.57</v>
      </c>
      <c r="H90" s="134">
        <v>0.66</v>
      </c>
      <c r="I90" s="134">
        <v>2.2799999999999998</v>
      </c>
      <c r="J90" s="134">
        <v>0.77</v>
      </c>
      <c r="K90" s="134">
        <v>254.52</v>
      </c>
      <c r="L90" s="134">
        <v>24.9</v>
      </c>
      <c r="M90" s="134">
        <v>92.9</v>
      </c>
      <c r="N90" s="134">
        <v>0</v>
      </c>
      <c r="O90" s="134">
        <v>0</v>
      </c>
      <c r="P90" s="134">
        <v>0.35</v>
      </c>
      <c r="Q90" s="134">
        <v>4.47</v>
      </c>
    </row>
    <row r="91" spans="1:17" customFormat="1">
      <c r="A91" s="112" t="s">
        <v>2815</v>
      </c>
      <c r="B91" s="134">
        <v>10.220000000000001</v>
      </c>
      <c r="C91" s="134">
        <v>35.19</v>
      </c>
      <c r="D91" s="134">
        <v>25.53</v>
      </c>
      <c r="E91" s="134">
        <v>4.54</v>
      </c>
      <c r="F91" s="134">
        <v>4.8099999999999996</v>
      </c>
      <c r="G91" s="134">
        <v>1.56</v>
      </c>
      <c r="H91" s="134">
        <v>0.67</v>
      </c>
      <c r="I91" s="134">
        <v>2.34</v>
      </c>
      <c r="J91" s="134">
        <v>0.74</v>
      </c>
      <c r="K91" s="134">
        <v>256.49</v>
      </c>
      <c r="L91" s="134">
        <v>24.88</v>
      </c>
      <c r="M91" s="134">
        <v>93.39</v>
      </c>
      <c r="N91" s="134">
        <v>0</v>
      </c>
      <c r="O91" s="134">
        <v>0</v>
      </c>
      <c r="P91" s="134">
        <v>0.32</v>
      </c>
      <c r="Q91" s="134">
        <v>4.4000000000000004</v>
      </c>
    </row>
    <row r="92" spans="1:17" customFormat="1">
      <c r="A92" s="112" t="s">
        <v>2816</v>
      </c>
      <c r="B92" s="134">
        <v>10.42</v>
      </c>
      <c r="C92" s="134">
        <v>38.700000000000003</v>
      </c>
      <c r="D92" s="134">
        <v>27.53</v>
      </c>
      <c r="E92" s="134">
        <v>4.46</v>
      </c>
      <c r="F92" s="134">
        <v>3.55</v>
      </c>
      <c r="G92" s="134">
        <v>1.56</v>
      </c>
      <c r="H92" s="134">
        <v>0.67</v>
      </c>
      <c r="I92" s="134">
        <v>2.36</v>
      </c>
      <c r="J92" s="134">
        <v>0.68</v>
      </c>
      <c r="K92" s="134">
        <v>253.43</v>
      </c>
      <c r="L92" s="134">
        <v>24.98</v>
      </c>
      <c r="M92" s="134">
        <v>92.67</v>
      </c>
      <c r="N92" s="134">
        <v>0</v>
      </c>
      <c r="O92" s="134">
        <v>0</v>
      </c>
      <c r="P92" s="134">
        <v>0.36</v>
      </c>
      <c r="Q92" s="134">
        <v>4.43</v>
      </c>
    </row>
    <row r="93" spans="1:17" customFormat="1">
      <c r="A93" s="112" t="s">
        <v>2817</v>
      </c>
      <c r="B93" s="134">
        <v>10.77</v>
      </c>
      <c r="C93" s="134">
        <v>37.31</v>
      </c>
      <c r="D93" s="134">
        <v>27.08</v>
      </c>
      <c r="E93" s="134">
        <v>4.88</v>
      </c>
      <c r="F93" s="134">
        <v>4.28</v>
      </c>
      <c r="G93" s="134">
        <v>1.56</v>
      </c>
      <c r="H93" s="134">
        <v>0.67</v>
      </c>
      <c r="I93" s="134">
        <v>2.36</v>
      </c>
      <c r="J93" s="134">
        <v>0.98</v>
      </c>
      <c r="K93" s="134">
        <v>254.63</v>
      </c>
      <c r="L93" s="134">
        <v>25.03</v>
      </c>
      <c r="M93" s="134">
        <v>92.28</v>
      </c>
      <c r="N93" s="134">
        <v>0</v>
      </c>
      <c r="O93" s="134">
        <v>0</v>
      </c>
      <c r="P93" s="134">
        <v>0.35</v>
      </c>
      <c r="Q93" s="134">
        <v>4.49</v>
      </c>
    </row>
    <row r="94" spans="1:17" customFormat="1">
      <c r="A94" s="112" t="s">
        <v>2818</v>
      </c>
      <c r="B94" s="134">
        <v>10.69</v>
      </c>
      <c r="C94" s="134">
        <v>34.71</v>
      </c>
      <c r="D94" s="134">
        <v>25.66</v>
      </c>
      <c r="E94" s="134">
        <v>4.08</v>
      </c>
      <c r="F94" s="134">
        <v>4.7699999999999996</v>
      </c>
      <c r="G94" s="134">
        <v>1.56</v>
      </c>
      <c r="H94" s="134">
        <v>0.67</v>
      </c>
      <c r="I94" s="134">
        <v>2.4</v>
      </c>
      <c r="J94" s="134">
        <v>0.78</v>
      </c>
      <c r="K94" s="134">
        <v>257.72000000000003</v>
      </c>
      <c r="L94" s="134">
        <v>25.03</v>
      </c>
      <c r="M94" s="134">
        <v>92.4</v>
      </c>
      <c r="N94" s="134">
        <v>0</v>
      </c>
      <c r="O94" s="134">
        <v>0</v>
      </c>
      <c r="P94" s="134">
        <v>0.32</v>
      </c>
      <c r="Q94" s="134">
        <v>4.37</v>
      </c>
    </row>
    <row r="95" spans="1:17" customFormat="1">
      <c r="A95" s="112" t="s">
        <v>2819</v>
      </c>
      <c r="B95" s="134">
        <v>10.77</v>
      </c>
      <c r="C95" s="134">
        <v>38.96</v>
      </c>
      <c r="D95" s="134">
        <v>27.95</v>
      </c>
      <c r="E95" s="134">
        <v>4.8099999999999996</v>
      </c>
      <c r="F95" s="134">
        <v>3.28</v>
      </c>
      <c r="G95" s="134">
        <v>1.66</v>
      </c>
      <c r="H95" s="134">
        <v>0.67</v>
      </c>
      <c r="I95" s="134">
        <v>2.35</v>
      </c>
      <c r="J95" s="134">
        <v>0.92</v>
      </c>
      <c r="K95" s="134">
        <v>259.07</v>
      </c>
      <c r="L95" s="134">
        <v>25.06</v>
      </c>
      <c r="M95" s="134">
        <v>92.34</v>
      </c>
      <c r="N95" s="134">
        <v>0</v>
      </c>
      <c r="O95" s="134">
        <v>0</v>
      </c>
      <c r="P95" s="134">
        <v>0.37</v>
      </c>
      <c r="Q95" s="134">
        <v>4.45</v>
      </c>
    </row>
    <row r="96" spans="1:17" customFormat="1">
      <c r="A96" s="112" t="s">
        <v>2820</v>
      </c>
      <c r="B96" s="134">
        <v>11.01</v>
      </c>
      <c r="C96" s="134">
        <v>37.92</v>
      </c>
      <c r="D96" s="134">
        <v>27.6</v>
      </c>
      <c r="E96" s="134">
        <v>5.04</v>
      </c>
      <c r="F96" s="134">
        <v>4.07</v>
      </c>
      <c r="G96" s="134">
        <v>1.8</v>
      </c>
      <c r="H96" s="134">
        <v>0.67</v>
      </c>
      <c r="I96" s="134">
        <v>2.36</v>
      </c>
      <c r="J96" s="134">
        <v>0.97</v>
      </c>
      <c r="K96" s="134">
        <v>256.14999999999998</v>
      </c>
      <c r="L96" s="134">
        <v>25.1</v>
      </c>
      <c r="M96" s="134">
        <v>92.21</v>
      </c>
      <c r="N96" s="134">
        <v>0</v>
      </c>
      <c r="O96" s="134">
        <v>0</v>
      </c>
      <c r="P96" s="134">
        <v>0.35</v>
      </c>
      <c r="Q96" s="134">
        <v>4.5</v>
      </c>
    </row>
    <row r="97" spans="1:22" customFormat="1">
      <c r="A97" s="112" t="s">
        <v>2821</v>
      </c>
      <c r="B97" s="134">
        <v>10.97</v>
      </c>
      <c r="C97" s="134">
        <v>35.01</v>
      </c>
      <c r="D97" s="134">
        <v>26.04</v>
      </c>
      <c r="E97" s="134">
        <v>4.62</v>
      </c>
      <c r="F97" s="134">
        <v>4.5999999999999996</v>
      </c>
      <c r="G97" s="134">
        <v>1.8</v>
      </c>
      <c r="H97" s="134">
        <v>0.67</v>
      </c>
      <c r="I97" s="134">
        <v>2.41</v>
      </c>
      <c r="J97" s="134">
        <v>0.91</v>
      </c>
      <c r="K97" s="134">
        <v>256.52999999999997</v>
      </c>
      <c r="L97" s="134">
        <v>25.02</v>
      </c>
      <c r="M97" s="134">
        <v>92.85</v>
      </c>
      <c r="N97" s="134">
        <v>0</v>
      </c>
      <c r="O97" s="134">
        <v>0</v>
      </c>
      <c r="P97" s="134">
        <v>0.32</v>
      </c>
      <c r="Q97" s="134">
        <v>4.42</v>
      </c>
    </row>
    <row r="98" spans="1:22" customFormat="1">
      <c r="A98" s="112" t="s">
        <v>2822</v>
      </c>
      <c r="B98" s="134">
        <v>11.01</v>
      </c>
      <c r="C98" s="134">
        <v>38.92</v>
      </c>
      <c r="D98" s="134">
        <v>28.12</v>
      </c>
      <c r="E98" s="134">
        <v>4.2</v>
      </c>
      <c r="F98" s="134">
        <v>3.41</v>
      </c>
      <c r="G98" s="134">
        <v>1.8</v>
      </c>
      <c r="H98" s="134">
        <v>0.67</v>
      </c>
      <c r="I98" s="134">
        <v>2.36</v>
      </c>
      <c r="J98" s="134">
        <v>1.27</v>
      </c>
      <c r="K98" s="134">
        <v>258.13</v>
      </c>
      <c r="L98" s="134">
        <v>24.92</v>
      </c>
      <c r="M98" s="134">
        <v>93.61</v>
      </c>
      <c r="N98" s="134">
        <v>0</v>
      </c>
      <c r="O98" s="134">
        <v>0</v>
      </c>
      <c r="P98" s="134">
        <v>0.36</v>
      </c>
      <c r="Q98" s="134">
        <v>4.5</v>
      </c>
    </row>
    <row r="99" spans="1:22" customFormat="1">
      <c r="A99" s="112" t="s">
        <v>2823</v>
      </c>
      <c r="B99" s="134">
        <v>11.07</v>
      </c>
      <c r="C99" s="134">
        <v>36.71</v>
      </c>
      <c r="D99" s="134">
        <v>27.01</v>
      </c>
      <c r="E99" s="134">
        <v>5.01</v>
      </c>
      <c r="F99" s="134">
        <v>4.5</v>
      </c>
      <c r="G99" s="134">
        <v>1.8</v>
      </c>
      <c r="H99" s="134">
        <v>0.67</v>
      </c>
      <c r="I99" s="134">
        <v>2.36</v>
      </c>
      <c r="J99" s="134">
        <v>1.1399999999999999</v>
      </c>
      <c r="K99" s="134">
        <v>254.3</v>
      </c>
      <c r="L99" s="134">
        <v>24.89</v>
      </c>
      <c r="M99" s="134">
        <v>93.68</v>
      </c>
      <c r="N99" s="134">
        <v>0</v>
      </c>
      <c r="O99" s="134">
        <v>0</v>
      </c>
      <c r="P99" s="134">
        <v>0.34</v>
      </c>
      <c r="Q99" s="134">
        <v>4.49</v>
      </c>
    </row>
    <row r="100" spans="1:22" customFormat="1">
      <c r="A100" s="112" t="s">
        <v>2824</v>
      </c>
      <c r="B100" s="134">
        <v>10.92</v>
      </c>
      <c r="C100" s="134">
        <v>36.24</v>
      </c>
      <c r="D100" s="134">
        <v>26.64</v>
      </c>
      <c r="E100" s="134">
        <v>4.47</v>
      </c>
      <c r="F100" s="134">
        <v>4.18</v>
      </c>
      <c r="G100" s="134">
        <v>1.79</v>
      </c>
      <c r="H100" s="134">
        <v>0.66</v>
      </c>
      <c r="I100" s="134">
        <v>2.39</v>
      </c>
      <c r="J100" s="134">
        <v>1.01</v>
      </c>
      <c r="K100" s="134">
        <v>252.44</v>
      </c>
      <c r="L100" s="134">
        <v>24.9</v>
      </c>
      <c r="M100" s="134">
        <v>93.57</v>
      </c>
      <c r="N100" s="134">
        <v>0</v>
      </c>
      <c r="O100" s="134">
        <v>0</v>
      </c>
      <c r="P100" s="134">
        <v>0.33</v>
      </c>
      <c r="Q100" s="134">
        <v>4.42</v>
      </c>
    </row>
    <row r="101" spans="1:22" customFormat="1">
      <c r="A101" s="112" t="s">
        <v>2825</v>
      </c>
      <c r="B101" s="134">
        <v>10.95</v>
      </c>
      <c r="C101" s="134">
        <v>38.92</v>
      </c>
      <c r="D101" s="134">
        <v>28.07</v>
      </c>
      <c r="E101" s="134">
        <v>4.9000000000000004</v>
      </c>
      <c r="F101" s="134">
        <v>3.62</v>
      </c>
      <c r="G101" s="134">
        <v>1.79</v>
      </c>
      <c r="H101" s="134">
        <v>0.66</v>
      </c>
      <c r="I101" s="134">
        <v>2.33</v>
      </c>
      <c r="J101" s="134">
        <v>0.86</v>
      </c>
      <c r="K101" s="134">
        <v>259.42</v>
      </c>
      <c r="L101" s="134">
        <v>24.84</v>
      </c>
      <c r="M101" s="134">
        <v>93.9</v>
      </c>
      <c r="N101" s="134">
        <v>0</v>
      </c>
      <c r="O101" s="134">
        <v>0</v>
      </c>
      <c r="P101" s="134">
        <v>0.36</v>
      </c>
      <c r="Q101" s="134">
        <v>4.5</v>
      </c>
    </row>
    <row r="102" spans="1:22" customFormat="1">
      <c r="A102" s="112" t="s">
        <v>2826</v>
      </c>
      <c r="B102" s="134">
        <v>10.94</v>
      </c>
      <c r="C102" s="134">
        <v>34.74</v>
      </c>
      <c r="D102" s="134">
        <v>25.88</v>
      </c>
      <c r="E102" s="134">
        <v>4.6100000000000003</v>
      </c>
      <c r="F102" s="134">
        <v>4.9000000000000004</v>
      </c>
      <c r="G102" s="134">
        <v>1.79</v>
      </c>
      <c r="H102" s="134">
        <v>0.66</v>
      </c>
      <c r="I102" s="134">
        <v>2.34</v>
      </c>
      <c r="J102" s="134">
        <v>1.1100000000000001</v>
      </c>
      <c r="K102" s="134">
        <v>256.58999999999997</v>
      </c>
      <c r="L102" s="134">
        <v>24.94</v>
      </c>
      <c r="M102" s="134">
        <v>93.14</v>
      </c>
      <c r="N102" s="134">
        <v>0</v>
      </c>
      <c r="O102" s="134">
        <v>0</v>
      </c>
      <c r="P102" s="134">
        <v>0.32</v>
      </c>
      <c r="Q102" s="134">
        <v>4.4400000000000004</v>
      </c>
    </row>
    <row r="103" spans="1:22" customFormat="1">
      <c r="A103" s="112" t="s">
        <v>2827</v>
      </c>
      <c r="B103" s="134">
        <v>10.94</v>
      </c>
      <c r="C103" s="134">
        <v>36.31</v>
      </c>
      <c r="D103" s="134">
        <v>26.7</v>
      </c>
      <c r="E103" s="134">
        <v>4.2699999999999996</v>
      </c>
      <c r="F103" s="134">
        <v>4.04</v>
      </c>
      <c r="G103" s="134">
        <v>2.0299999999999998</v>
      </c>
      <c r="H103" s="134">
        <v>0.75</v>
      </c>
      <c r="I103" s="134">
        <v>2.34</v>
      </c>
      <c r="J103" s="134">
        <v>0.91</v>
      </c>
      <c r="K103" s="134">
        <v>254.07</v>
      </c>
      <c r="L103" s="134">
        <v>24.94</v>
      </c>
      <c r="M103" s="134">
        <v>92.99</v>
      </c>
      <c r="N103" s="134">
        <v>0</v>
      </c>
      <c r="O103" s="134">
        <v>0</v>
      </c>
      <c r="P103" s="134">
        <v>0.34</v>
      </c>
      <c r="Q103" s="134">
        <v>4.4000000000000004</v>
      </c>
    </row>
    <row r="104" spans="1:22" customFormat="1">
      <c r="A104" s="112" t="s">
        <v>2828</v>
      </c>
      <c r="B104" s="134">
        <v>10.96</v>
      </c>
      <c r="C104" s="134">
        <v>37.299999999999997</v>
      </c>
      <c r="D104" s="134">
        <v>27.23</v>
      </c>
      <c r="E104" s="134">
        <v>4.91</v>
      </c>
      <c r="F104" s="134">
        <v>4.16</v>
      </c>
      <c r="G104" s="134">
        <v>2.37</v>
      </c>
      <c r="H104" s="134">
        <v>0.83</v>
      </c>
      <c r="I104" s="134">
        <v>2.27</v>
      </c>
      <c r="J104" s="134">
        <v>1.05</v>
      </c>
      <c r="K104" s="134">
        <v>257.05</v>
      </c>
      <c r="L104" s="134">
        <v>24.98</v>
      </c>
      <c r="M104" s="134">
        <v>92.5</v>
      </c>
      <c r="N104" s="134">
        <v>0</v>
      </c>
      <c r="O104" s="134">
        <v>0</v>
      </c>
      <c r="P104" s="134">
        <v>0.34</v>
      </c>
      <c r="Q104" s="134">
        <v>4.47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8.75</v>
      </c>
      <c r="C106" s="183">
        <f>MIN(C9:C104)</f>
        <v>33.92</v>
      </c>
      <c r="D106" s="183">
        <f t="shared" ref="D106:Q106" si="0">MIN(D9:D104)</f>
        <v>24.43</v>
      </c>
      <c r="E106" s="183">
        <f t="shared" si="0"/>
        <v>3.51</v>
      </c>
      <c r="F106" s="183">
        <f t="shared" si="0"/>
        <v>3.27</v>
      </c>
      <c r="G106" s="183">
        <f t="shared" si="0"/>
        <v>0.99</v>
      </c>
      <c r="H106" s="183">
        <f t="shared" si="0"/>
        <v>0.55000000000000004</v>
      </c>
      <c r="I106" s="183">
        <f t="shared" si="0"/>
        <v>2.19</v>
      </c>
      <c r="J106" s="183">
        <f t="shared" si="0"/>
        <v>0.56999999999999995</v>
      </c>
      <c r="K106" s="183">
        <f t="shared" si="0"/>
        <v>246.79</v>
      </c>
      <c r="L106" s="183">
        <f t="shared" si="0"/>
        <v>22.93</v>
      </c>
      <c r="M106" s="183">
        <f t="shared" si="0"/>
        <v>89.12</v>
      </c>
      <c r="N106" s="183">
        <f t="shared" si="0"/>
        <v>0</v>
      </c>
      <c r="O106" s="183">
        <f t="shared" si="0"/>
        <v>0</v>
      </c>
      <c r="P106" s="183">
        <f t="shared" si="0"/>
        <v>0.31</v>
      </c>
      <c r="Q106" s="183">
        <f t="shared" si="0"/>
        <v>4.3099999999999996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11.63</v>
      </c>
      <c r="C107" s="184">
        <f t="shared" ref="C107:Q107" si="1">MAX(C9:C104)</f>
        <v>40.369999999999997</v>
      </c>
      <c r="D107" s="184">
        <f t="shared" si="1"/>
        <v>29.03</v>
      </c>
      <c r="E107" s="184">
        <f t="shared" si="1"/>
        <v>6.17</v>
      </c>
      <c r="F107" s="184">
        <f t="shared" si="1"/>
        <v>4.99</v>
      </c>
      <c r="G107" s="184">
        <f t="shared" si="1"/>
        <v>4.66</v>
      </c>
      <c r="H107" s="184">
        <f t="shared" si="1"/>
        <v>0.83</v>
      </c>
      <c r="I107" s="184">
        <f t="shared" si="1"/>
        <v>3.09</v>
      </c>
      <c r="J107" s="184">
        <f t="shared" si="1"/>
        <v>2.0299999999999998</v>
      </c>
      <c r="K107" s="184">
        <f t="shared" si="1"/>
        <v>267.87</v>
      </c>
      <c r="L107" s="184">
        <f t="shared" si="1"/>
        <v>25.2</v>
      </c>
      <c r="M107" s="184">
        <f t="shared" si="1"/>
        <v>98.48</v>
      </c>
      <c r="N107" s="184">
        <f t="shared" si="1"/>
        <v>122.6</v>
      </c>
      <c r="O107" s="184">
        <f t="shared" si="1"/>
        <v>0</v>
      </c>
      <c r="P107" s="184">
        <f t="shared" si="1"/>
        <v>0.41</v>
      </c>
      <c r="Q107" s="184">
        <f t="shared" si="1"/>
        <v>4.5599999999999996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10.256145833333333</v>
      </c>
      <c r="C108" s="183">
        <f t="shared" ref="C108:Q108" si="2">AVERAGE(C9:C104)</f>
        <v>37.291979166666664</v>
      </c>
      <c r="D108" s="183">
        <f t="shared" si="2"/>
        <v>26.663854166666678</v>
      </c>
      <c r="E108" s="183">
        <f t="shared" si="2"/>
        <v>4.845104166666669</v>
      </c>
      <c r="F108" s="183">
        <f t="shared" si="2"/>
        <v>4.1021874999999994</v>
      </c>
      <c r="G108" s="183">
        <f t="shared" si="2"/>
        <v>1.7376041666666675</v>
      </c>
      <c r="H108" s="183">
        <f t="shared" si="2"/>
        <v>0.64406249999999998</v>
      </c>
      <c r="I108" s="183">
        <f t="shared" si="2"/>
        <v>2.4169791666666671</v>
      </c>
      <c r="J108" s="183">
        <f t="shared" si="2"/>
        <v>1.1855208333333331</v>
      </c>
      <c r="K108" s="183">
        <f t="shared" si="2"/>
        <v>256.87343750000002</v>
      </c>
      <c r="L108" s="183">
        <f t="shared" si="2"/>
        <v>24.249687499999997</v>
      </c>
      <c r="M108" s="183">
        <f t="shared" si="2"/>
        <v>94.129374999999939</v>
      </c>
      <c r="N108" s="183">
        <f t="shared" si="2"/>
        <v>29.338541666666668</v>
      </c>
      <c r="O108" s="183">
        <f t="shared" si="2"/>
        <v>0</v>
      </c>
      <c r="P108" s="183">
        <f t="shared" si="2"/>
        <v>0.34239583333333345</v>
      </c>
      <c r="Q108" s="183">
        <f t="shared" si="2"/>
        <v>4.4212499999999997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0.65433995637493703</v>
      </c>
      <c r="C109" s="183">
        <f t="shared" ref="C109:Q109" si="3">STDEV(C9:C104)</f>
        <v>1.5685223484083477</v>
      </c>
      <c r="D109" s="183">
        <f t="shared" si="3"/>
        <v>1.0175371399313067</v>
      </c>
      <c r="E109" s="183">
        <f t="shared" si="3"/>
        <v>0.5779491778633854</v>
      </c>
      <c r="F109" s="183">
        <f t="shared" si="3"/>
        <v>0.43639721916476121</v>
      </c>
      <c r="G109" s="183">
        <f t="shared" si="3"/>
        <v>0.80553708110495059</v>
      </c>
      <c r="H109" s="183">
        <f t="shared" si="3"/>
        <v>5.8608031154353687E-2</v>
      </c>
      <c r="I109" s="183">
        <f t="shared" si="3"/>
        <v>0.23664817230677268</v>
      </c>
      <c r="J109" s="183">
        <f t="shared" si="3"/>
        <v>0.28812230514019316</v>
      </c>
      <c r="K109" s="183">
        <f t="shared" si="3"/>
        <v>3.9725412330988483</v>
      </c>
      <c r="L109" s="183">
        <f t="shared" si="3"/>
        <v>0.73154839840609598</v>
      </c>
      <c r="M109" s="183">
        <f t="shared" si="3"/>
        <v>3.0408858863327013</v>
      </c>
      <c r="N109" s="183">
        <f t="shared" si="3"/>
        <v>40.651422891628719</v>
      </c>
      <c r="O109" s="183">
        <f t="shared" si="3"/>
        <v>0</v>
      </c>
      <c r="P109" s="183">
        <f t="shared" si="3"/>
        <v>2.2745493095122735E-2</v>
      </c>
      <c r="Q109" s="183">
        <f t="shared" si="3"/>
        <v>5.4275127578700386E-2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28/06/2023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2829</v>
      </c>
      <c r="B9" s="134">
        <v>10.45</v>
      </c>
      <c r="C9" s="134">
        <v>33.47</v>
      </c>
      <c r="D9" s="134">
        <v>24.82</v>
      </c>
      <c r="E9" s="134">
        <v>4.08</v>
      </c>
      <c r="F9" s="134">
        <v>4.9400000000000004</v>
      </c>
      <c r="G9" s="134">
        <v>2.37</v>
      </c>
      <c r="H9" s="134">
        <v>0.83</v>
      </c>
      <c r="I9" s="134">
        <v>2.29</v>
      </c>
      <c r="J9" s="134">
        <v>1.02</v>
      </c>
      <c r="K9" s="134">
        <v>257.92</v>
      </c>
      <c r="L9" s="134">
        <v>24.98</v>
      </c>
      <c r="M9" s="134">
        <v>92.41</v>
      </c>
      <c r="N9" s="134">
        <v>0</v>
      </c>
      <c r="O9" s="134">
        <v>0</v>
      </c>
      <c r="P9" s="134">
        <v>0.31</v>
      </c>
      <c r="Q9" s="134">
        <v>4.4000000000000004</v>
      </c>
    </row>
    <row r="10" spans="1:21" customFormat="1">
      <c r="A10" s="112" t="s">
        <v>2830</v>
      </c>
      <c r="B10" s="134">
        <v>10.42</v>
      </c>
      <c r="C10" s="134">
        <v>38.020000000000003</v>
      </c>
      <c r="D10" s="134">
        <v>27.18</v>
      </c>
      <c r="E10" s="134">
        <v>4.2</v>
      </c>
      <c r="F10" s="134">
        <v>3.58</v>
      </c>
      <c r="G10" s="134">
        <v>2.37</v>
      </c>
      <c r="H10" s="134">
        <v>0.83</v>
      </c>
      <c r="I10" s="134">
        <v>2.2799999999999998</v>
      </c>
      <c r="J10" s="134">
        <v>0.89</v>
      </c>
      <c r="K10" s="134">
        <v>258.36</v>
      </c>
      <c r="L10" s="134">
        <v>24.96</v>
      </c>
      <c r="M10" s="134">
        <v>92.47</v>
      </c>
      <c r="N10" s="134">
        <v>0</v>
      </c>
      <c r="O10" s="134">
        <v>0</v>
      </c>
      <c r="P10" s="134">
        <v>0.35</v>
      </c>
      <c r="Q10" s="134">
        <v>4.47</v>
      </c>
    </row>
    <row r="11" spans="1:21" customFormat="1">
      <c r="A11" s="112" t="s">
        <v>2831</v>
      </c>
      <c r="B11" s="134">
        <v>10.54</v>
      </c>
      <c r="C11" s="134">
        <v>36.04</v>
      </c>
      <c r="D11" s="134">
        <v>26.24</v>
      </c>
      <c r="E11" s="134">
        <v>5.16</v>
      </c>
      <c r="F11" s="134">
        <v>4.62</v>
      </c>
      <c r="G11" s="134">
        <v>2.4</v>
      </c>
      <c r="H11" s="134">
        <v>0.83</v>
      </c>
      <c r="I11" s="134">
        <v>2.27</v>
      </c>
      <c r="J11" s="134">
        <v>1.18</v>
      </c>
      <c r="K11" s="134">
        <v>253.92</v>
      </c>
      <c r="L11" s="134">
        <v>25</v>
      </c>
      <c r="M11" s="134">
        <v>91.99</v>
      </c>
      <c r="N11" s="134">
        <v>0</v>
      </c>
      <c r="O11" s="134">
        <v>0</v>
      </c>
      <c r="P11" s="134">
        <v>0.34</v>
      </c>
      <c r="Q11" s="134">
        <v>4.49</v>
      </c>
    </row>
    <row r="12" spans="1:21" customFormat="1">
      <c r="A12" s="112" t="s">
        <v>2832</v>
      </c>
      <c r="B12" s="134">
        <v>10.59</v>
      </c>
      <c r="C12" s="134">
        <v>37.659999999999997</v>
      </c>
      <c r="D12" s="134">
        <v>27.12</v>
      </c>
      <c r="E12" s="134">
        <v>4.42</v>
      </c>
      <c r="F12" s="134">
        <v>3.65</v>
      </c>
      <c r="G12" s="134">
        <v>2.4300000000000002</v>
      </c>
      <c r="H12" s="134">
        <v>0.83</v>
      </c>
      <c r="I12" s="134">
        <v>2.2799999999999998</v>
      </c>
      <c r="J12" s="134">
        <v>0.93</v>
      </c>
      <c r="K12" s="134">
        <v>255.06</v>
      </c>
      <c r="L12" s="134">
        <v>25.02</v>
      </c>
      <c r="M12" s="134">
        <v>91.73</v>
      </c>
      <c r="N12" s="134">
        <v>0</v>
      </c>
      <c r="O12" s="134">
        <v>0</v>
      </c>
      <c r="P12" s="134">
        <v>0.34</v>
      </c>
      <c r="Q12" s="134">
        <v>4.46</v>
      </c>
    </row>
    <row r="13" spans="1:21" customFormat="1">
      <c r="A13" s="112" t="s">
        <v>2833</v>
      </c>
      <c r="B13" s="134">
        <v>10.69</v>
      </c>
      <c r="C13" s="134">
        <v>37.64</v>
      </c>
      <c r="D13" s="134">
        <v>27.19</v>
      </c>
      <c r="E13" s="134">
        <v>4.66</v>
      </c>
      <c r="F13" s="134">
        <v>3.96</v>
      </c>
      <c r="G13" s="134">
        <v>2.4300000000000002</v>
      </c>
      <c r="H13" s="134">
        <v>0.83</v>
      </c>
      <c r="I13" s="134">
        <v>2.23</v>
      </c>
      <c r="J13" s="134">
        <v>0.89</v>
      </c>
      <c r="K13" s="134">
        <v>257.10000000000002</v>
      </c>
      <c r="L13" s="134">
        <v>25.06</v>
      </c>
      <c r="M13" s="134">
        <v>91.36</v>
      </c>
      <c r="N13" s="134">
        <v>0</v>
      </c>
      <c r="O13" s="134">
        <v>0</v>
      </c>
      <c r="P13" s="134">
        <v>0.34</v>
      </c>
      <c r="Q13" s="134">
        <v>4.49</v>
      </c>
    </row>
    <row r="14" spans="1:21" customFormat="1">
      <c r="A14" s="112" t="s">
        <v>2834</v>
      </c>
      <c r="B14" s="134">
        <v>10.72</v>
      </c>
      <c r="C14" s="134">
        <v>34.1</v>
      </c>
      <c r="D14" s="134">
        <v>25.37</v>
      </c>
      <c r="E14" s="134">
        <v>4.07</v>
      </c>
      <c r="F14" s="134">
        <v>4.91</v>
      </c>
      <c r="G14" s="134">
        <v>2.4300000000000002</v>
      </c>
      <c r="H14" s="134">
        <v>0.83</v>
      </c>
      <c r="I14" s="134">
        <v>2.27</v>
      </c>
      <c r="J14" s="134">
        <v>1.0900000000000001</v>
      </c>
      <c r="K14" s="134">
        <v>253.34</v>
      </c>
      <c r="L14" s="134">
        <v>25.06</v>
      </c>
      <c r="M14" s="134">
        <v>91.03</v>
      </c>
      <c r="N14" s="134">
        <v>0</v>
      </c>
      <c r="O14" s="134">
        <v>0</v>
      </c>
      <c r="P14" s="134">
        <v>0.31</v>
      </c>
      <c r="Q14" s="134">
        <v>4.41</v>
      </c>
    </row>
    <row r="15" spans="1:21" customFormat="1">
      <c r="A15" s="112" t="s">
        <v>2835</v>
      </c>
      <c r="B15" s="134">
        <v>10.58</v>
      </c>
      <c r="C15" s="134">
        <v>37.6</v>
      </c>
      <c r="D15" s="134">
        <v>27.08</v>
      </c>
      <c r="E15" s="134">
        <v>4.1900000000000004</v>
      </c>
      <c r="F15" s="134">
        <v>3.55</v>
      </c>
      <c r="G15" s="134">
        <v>2.95</v>
      </c>
      <c r="H15" s="134">
        <v>0.83</v>
      </c>
      <c r="I15" s="134">
        <v>2.25</v>
      </c>
      <c r="J15" s="134">
        <v>1.1100000000000001</v>
      </c>
      <c r="K15" s="134">
        <v>256.57</v>
      </c>
      <c r="L15" s="134">
        <v>24.99</v>
      </c>
      <c r="M15" s="134">
        <v>90.91</v>
      </c>
      <c r="N15" s="134">
        <v>0</v>
      </c>
      <c r="O15" s="134">
        <v>0</v>
      </c>
      <c r="P15" s="134">
        <v>0.34</v>
      </c>
      <c r="Q15" s="134">
        <v>4.4400000000000004</v>
      </c>
    </row>
    <row r="16" spans="1:21" customFormat="1">
      <c r="A16" s="112" t="s">
        <v>2836</v>
      </c>
      <c r="B16" s="134">
        <v>10.65</v>
      </c>
      <c r="C16" s="134">
        <v>38.200000000000003</v>
      </c>
      <c r="D16" s="134">
        <v>27.46</v>
      </c>
      <c r="E16" s="134">
        <v>4.8600000000000003</v>
      </c>
      <c r="F16" s="134">
        <v>3.91</v>
      </c>
      <c r="G16" s="134">
        <v>3.71</v>
      </c>
      <c r="H16" s="134">
        <v>0.83</v>
      </c>
      <c r="I16" s="134">
        <v>2.21</v>
      </c>
      <c r="J16" s="134">
        <v>1.19</v>
      </c>
      <c r="K16" s="134">
        <v>258.8</v>
      </c>
      <c r="L16" s="134">
        <v>24.95</v>
      </c>
      <c r="M16" s="134">
        <v>90.95</v>
      </c>
      <c r="N16" s="134">
        <v>0</v>
      </c>
      <c r="O16" s="134">
        <v>0</v>
      </c>
      <c r="P16" s="134">
        <v>0.34</v>
      </c>
      <c r="Q16" s="134">
        <v>4.54</v>
      </c>
    </row>
    <row r="17" spans="1:17" customFormat="1">
      <c r="A17" s="112" t="s">
        <v>2837</v>
      </c>
      <c r="B17" s="134">
        <v>10.62</v>
      </c>
      <c r="C17" s="134">
        <v>35.020000000000003</v>
      </c>
      <c r="D17" s="134">
        <v>25.77</v>
      </c>
      <c r="E17" s="134">
        <v>4.87</v>
      </c>
      <c r="F17" s="134">
        <v>4.74</v>
      </c>
      <c r="G17" s="134">
        <v>3.71</v>
      </c>
      <c r="H17" s="134">
        <v>0.83</v>
      </c>
      <c r="I17" s="134">
        <v>2.25</v>
      </c>
      <c r="J17" s="134">
        <v>0.87</v>
      </c>
      <c r="K17" s="134">
        <v>251.62</v>
      </c>
      <c r="L17" s="134">
        <v>24.91</v>
      </c>
      <c r="M17" s="134">
        <v>90.99</v>
      </c>
      <c r="N17" s="134">
        <v>0</v>
      </c>
      <c r="O17" s="134">
        <v>0</v>
      </c>
      <c r="P17" s="134">
        <v>0.3</v>
      </c>
      <c r="Q17" s="134">
        <v>4.45</v>
      </c>
    </row>
    <row r="18" spans="1:17" customFormat="1">
      <c r="A18" s="112" t="s">
        <v>2838</v>
      </c>
      <c r="B18" s="134">
        <v>10.69</v>
      </c>
      <c r="C18" s="134">
        <v>38</v>
      </c>
      <c r="D18" s="134">
        <v>27.38</v>
      </c>
      <c r="E18" s="134">
        <v>6.16</v>
      </c>
      <c r="F18" s="134">
        <v>3.55</v>
      </c>
      <c r="G18" s="134">
        <v>3.71</v>
      </c>
      <c r="H18" s="134">
        <v>0.83</v>
      </c>
      <c r="I18" s="134">
        <v>2.23</v>
      </c>
      <c r="J18" s="134">
        <v>0.76</v>
      </c>
      <c r="K18" s="134">
        <v>252.27</v>
      </c>
      <c r="L18" s="134">
        <v>24.87</v>
      </c>
      <c r="M18" s="134">
        <v>91.22</v>
      </c>
      <c r="N18" s="134">
        <v>0</v>
      </c>
      <c r="O18" s="134">
        <v>0</v>
      </c>
      <c r="P18" s="134">
        <v>0.34</v>
      </c>
      <c r="Q18" s="134">
        <v>4.45</v>
      </c>
    </row>
    <row r="19" spans="1:17" customFormat="1">
      <c r="A19" s="112" t="s">
        <v>2839</v>
      </c>
      <c r="B19" s="134">
        <v>10.82</v>
      </c>
      <c r="C19" s="134">
        <v>37.29</v>
      </c>
      <c r="D19" s="134">
        <v>27.12</v>
      </c>
      <c r="E19" s="134">
        <v>6.12</v>
      </c>
      <c r="F19" s="134">
        <v>4.3600000000000003</v>
      </c>
      <c r="G19" s="134">
        <v>3.94</v>
      </c>
      <c r="H19" s="134">
        <v>0.85</v>
      </c>
      <c r="I19" s="134">
        <v>2.2000000000000002</v>
      </c>
      <c r="J19" s="134">
        <v>0.74</v>
      </c>
      <c r="K19" s="134">
        <v>251.03</v>
      </c>
      <c r="L19" s="134">
        <v>24.88</v>
      </c>
      <c r="M19" s="134">
        <v>91.15</v>
      </c>
      <c r="N19" s="134">
        <v>0</v>
      </c>
      <c r="O19" s="134">
        <v>0</v>
      </c>
      <c r="P19" s="134">
        <v>0.33</v>
      </c>
      <c r="Q19" s="134">
        <v>4.53</v>
      </c>
    </row>
    <row r="20" spans="1:17" customFormat="1">
      <c r="A20" s="112" t="s">
        <v>2840</v>
      </c>
      <c r="B20" s="134">
        <v>10.91</v>
      </c>
      <c r="C20" s="134">
        <v>36.25</v>
      </c>
      <c r="D20" s="134">
        <v>26.64</v>
      </c>
      <c r="E20" s="134">
        <v>6.27</v>
      </c>
      <c r="F20" s="134">
        <v>4.22</v>
      </c>
      <c r="G20" s="134">
        <v>4.28</v>
      </c>
      <c r="H20" s="134">
        <v>0.86</v>
      </c>
      <c r="I20" s="134">
        <v>2.2200000000000002</v>
      </c>
      <c r="J20" s="134">
        <v>0.86</v>
      </c>
      <c r="K20" s="134">
        <v>256.27</v>
      </c>
      <c r="L20" s="134">
        <v>24.88</v>
      </c>
      <c r="M20" s="134">
        <v>91.05</v>
      </c>
      <c r="N20" s="134">
        <v>0</v>
      </c>
      <c r="O20" s="134">
        <v>0</v>
      </c>
      <c r="P20" s="134">
        <v>0.31</v>
      </c>
      <c r="Q20" s="134">
        <v>4.45</v>
      </c>
    </row>
    <row r="21" spans="1:17" customFormat="1">
      <c r="A21" s="112" t="s">
        <v>2841</v>
      </c>
      <c r="B21" s="134">
        <v>10.98</v>
      </c>
      <c r="C21" s="134">
        <v>39.21</v>
      </c>
      <c r="D21" s="134">
        <v>28.25</v>
      </c>
      <c r="E21" s="134">
        <v>6.15</v>
      </c>
      <c r="F21" s="134">
        <v>3.62</v>
      </c>
      <c r="G21" s="134">
        <v>4.28</v>
      </c>
      <c r="H21" s="134">
        <v>0.86</v>
      </c>
      <c r="I21" s="134">
        <v>2.1800000000000002</v>
      </c>
      <c r="J21" s="134">
        <v>0.95</v>
      </c>
      <c r="K21" s="134">
        <v>251.23</v>
      </c>
      <c r="L21" s="134">
        <v>24.89</v>
      </c>
      <c r="M21" s="134">
        <v>91.06</v>
      </c>
      <c r="N21" s="134">
        <v>0</v>
      </c>
      <c r="O21" s="134">
        <v>0</v>
      </c>
      <c r="P21" s="134">
        <v>0.35</v>
      </c>
      <c r="Q21" s="134">
        <v>4.53</v>
      </c>
    </row>
    <row r="22" spans="1:17" customFormat="1">
      <c r="A22" s="112" t="s">
        <v>2842</v>
      </c>
      <c r="B22" s="134">
        <v>11.11</v>
      </c>
      <c r="C22" s="134">
        <v>35.54</v>
      </c>
      <c r="D22" s="134">
        <v>26.43</v>
      </c>
      <c r="E22" s="134">
        <v>5.95</v>
      </c>
      <c r="F22" s="134">
        <v>4.75</v>
      </c>
      <c r="G22" s="134">
        <v>4.28</v>
      </c>
      <c r="H22" s="134">
        <v>0.86</v>
      </c>
      <c r="I22" s="134">
        <v>2.19</v>
      </c>
      <c r="J22" s="134">
        <v>1.1100000000000001</v>
      </c>
      <c r="K22" s="134">
        <v>257.47000000000003</v>
      </c>
      <c r="L22" s="134">
        <v>24.94</v>
      </c>
      <c r="M22" s="134">
        <v>90.7</v>
      </c>
      <c r="N22" s="134">
        <v>0</v>
      </c>
      <c r="O22" s="134">
        <v>0</v>
      </c>
      <c r="P22" s="134">
        <v>0.31</v>
      </c>
      <c r="Q22" s="134">
        <v>4.4800000000000004</v>
      </c>
    </row>
    <row r="23" spans="1:17" customFormat="1">
      <c r="A23" s="112" t="s">
        <v>2843</v>
      </c>
      <c r="B23" s="134">
        <v>11</v>
      </c>
      <c r="C23" s="134">
        <v>36.54</v>
      </c>
      <c r="D23" s="134">
        <v>26.87</v>
      </c>
      <c r="E23" s="134">
        <v>5.66</v>
      </c>
      <c r="F23" s="134">
        <v>3.96</v>
      </c>
      <c r="G23" s="134">
        <v>3.91</v>
      </c>
      <c r="H23" s="134">
        <v>0.85</v>
      </c>
      <c r="I23" s="134">
        <v>2.21</v>
      </c>
      <c r="J23" s="134">
        <v>0.99</v>
      </c>
      <c r="K23" s="134">
        <v>251.74</v>
      </c>
      <c r="L23" s="134">
        <v>24.9</v>
      </c>
      <c r="M23" s="134">
        <v>90.8</v>
      </c>
      <c r="N23" s="134">
        <v>0</v>
      </c>
      <c r="O23" s="134">
        <v>0</v>
      </c>
      <c r="P23" s="134">
        <v>0.32</v>
      </c>
      <c r="Q23" s="134">
        <v>4.4400000000000004</v>
      </c>
    </row>
    <row r="24" spans="1:17" customFormat="1">
      <c r="A24" s="112" t="s">
        <v>2844</v>
      </c>
      <c r="B24" s="134">
        <v>11.16</v>
      </c>
      <c r="C24" s="134">
        <v>38.840000000000003</v>
      </c>
      <c r="D24" s="134">
        <v>28.2</v>
      </c>
      <c r="E24" s="134">
        <v>6.01</v>
      </c>
      <c r="F24" s="134">
        <v>3.48</v>
      </c>
      <c r="G24" s="134">
        <v>3.35</v>
      </c>
      <c r="H24" s="134">
        <v>0.84</v>
      </c>
      <c r="I24" s="134">
        <v>2.15</v>
      </c>
      <c r="J24" s="134">
        <v>0.96</v>
      </c>
      <c r="K24" s="134">
        <v>252.25</v>
      </c>
      <c r="L24" s="134">
        <v>24.79</v>
      </c>
      <c r="M24" s="134">
        <v>91.26</v>
      </c>
      <c r="N24" s="134">
        <v>0</v>
      </c>
      <c r="O24" s="134">
        <v>0</v>
      </c>
      <c r="P24" s="134">
        <v>0.34</v>
      </c>
      <c r="Q24" s="134">
        <v>4.54</v>
      </c>
    </row>
    <row r="25" spans="1:17" customFormat="1">
      <c r="A25" s="112" t="s">
        <v>2845</v>
      </c>
      <c r="B25" s="134">
        <v>11.32</v>
      </c>
      <c r="C25" s="134">
        <v>35.590000000000003</v>
      </c>
      <c r="D25" s="134">
        <v>26.63</v>
      </c>
      <c r="E25" s="134">
        <v>5.68</v>
      </c>
      <c r="F25" s="134">
        <v>4.4400000000000004</v>
      </c>
      <c r="G25" s="134">
        <v>3.35</v>
      </c>
      <c r="H25" s="134">
        <v>0.84</v>
      </c>
      <c r="I25" s="134">
        <v>2.1800000000000002</v>
      </c>
      <c r="J25" s="134">
        <v>1.17</v>
      </c>
      <c r="K25" s="134">
        <v>256.27</v>
      </c>
      <c r="L25" s="134">
        <v>24.73</v>
      </c>
      <c r="M25" s="134">
        <v>91.51</v>
      </c>
      <c r="N25" s="134">
        <v>0</v>
      </c>
      <c r="O25" s="134">
        <v>0</v>
      </c>
      <c r="P25" s="134">
        <v>0.31</v>
      </c>
      <c r="Q25" s="134">
        <v>4.47</v>
      </c>
    </row>
    <row r="26" spans="1:17" customFormat="1">
      <c r="A26" s="112" t="s">
        <v>2846</v>
      </c>
      <c r="B26" s="134">
        <v>11.23</v>
      </c>
      <c r="C26" s="134">
        <v>37.86</v>
      </c>
      <c r="D26" s="134">
        <v>27.74</v>
      </c>
      <c r="E26" s="134">
        <v>6.12</v>
      </c>
      <c r="F26" s="134">
        <v>3.9</v>
      </c>
      <c r="G26" s="134">
        <v>3.35</v>
      </c>
      <c r="H26" s="134">
        <v>0.84</v>
      </c>
      <c r="I26" s="134">
        <v>2.2000000000000002</v>
      </c>
      <c r="J26" s="134">
        <v>1.07</v>
      </c>
      <c r="K26" s="134">
        <v>255</v>
      </c>
      <c r="L26" s="134">
        <v>24.63</v>
      </c>
      <c r="M26" s="134">
        <v>92.11</v>
      </c>
      <c r="N26" s="134">
        <v>0</v>
      </c>
      <c r="O26" s="134">
        <v>0</v>
      </c>
      <c r="P26" s="134">
        <v>0.34</v>
      </c>
      <c r="Q26" s="134">
        <v>4.49</v>
      </c>
    </row>
    <row r="27" spans="1:17" customFormat="1">
      <c r="A27" s="112" t="s">
        <v>2847</v>
      </c>
      <c r="B27" s="134">
        <v>11.19</v>
      </c>
      <c r="C27" s="134">
        <v>36.04</v>
      </c>
      <c r="D27" s="134">
        <v>26.76</v>
      </c>
      <c r="E27" s="134">
        <v>5.91</v>
      </c>
      <c r="F27" s="134">
        <v>4.62</v>
      </c>
      <c r="G27" s="134">
        <v>2.96</v>
      </c>
      <c r="H27" s="134">
        <v>0.85</v>
      </c>
      <c r="I27" s="134">
        <v>2.16</v>
      </c>
      <c r="J27" s="134">
        <v>1</v>
      </c>
      <c r="K27" s="134">
        <v>255.73</v>
      </c>
      <c r="L27" s="134">
        <v>24.58</v>
      </c>
      <c r="M27" s="134">
        <v>92.32</v>
      </c>
      <c r="N27" s="134">
        <v>0</v>
      </c>
      <c r="O27" s="134">
        <v>0</v>
      </c>
      <c r="P27" s="134">
        <v>0.32</v>
      </c>
      <c r="Q27" s="134">
        <v>4.5199999999999996</v>
      </c>
    </row>
    <row r="28" spans="1:17" customFormat="1">
      <c r="A28" s="112" t="s">
        <v>2848</v>
      </c>
      <c r="B28" s="134">
        <v>10.95</v>
      </c>
      <c r="C28" s="134">
        <v>35.42</v>
      </c>
      <c r="D28" s="134">
        <v>26.24</v>
      </c>
      <c r="E28" s="134">
        <v>5.43</v>
      </c>
      <c r="F28" s="134">
        <v>4.4800000000000004</v>
      </c>
      <c r="G28" s="134">
        <v>2.38</v>
      </c>
      <c r="H28" s="134">
        <v>0.86</v>
      </c>
      <c r="I28" s="134">
        <v>2.15</v>
      </c>
      <c r="J28" s="134">
        <v>1.1399999999999999</v>
      </c>
      <c r="K28" s="134">
        <v>258.95999999999998</v>
      </c>
      <c r="L28" s="134">
        <v>24.63</v>
      </c>
      <c r="M28" s="134">
        <v>91.46</v>
      </c>
      <c r="N28" s="134">
        <v>0</v>
      </c>
      <c r="O28" s="134">
        <v>0</v>
      </c>
      <c r="P28" s="134">
        <v>0.3</v>
      </c>
      <c r="Q28" s="134">
        <v>4.43</v>
      </c>
    </row>
    <row r="29" spans="1:17" customFormat="1">
      <c r="A29" s="112" t="s">
        <v>2849</v>
      </c>
      <c r="B29" s="134">
        <v>10.92</v>
      </c>
      <c r="C29" s="134">
        <v>38.93</v>
      </c>
      <c r="D29" s="134">
        <v>28.05</v>
      </c>
      <c r="E29" s="134">
        <v>5.78</v>
      </c>
      <c r="F29" s="134">
        <v>3.39</v>
      </c>
      <c r="G29" s="134">
        <v>2.38</v>
      </c>
      <c r="H29" s="134">
        <v>0.86</v>
      </c>
      <c r="I29" s="134">
        <v>2.0699999999999998</v>
      </c>
      <c r="J29" s="134">
        <v>0.87</v>
      </c>
      <c r="K29" s="134">
        <v>255.63</v>
      </c>
      <c r="L29" s="134">
        <v>24.66</v>
      </c>
      <c r="M29" s="134">
        <v>91.25</v>
      </c>
      <c r="N29" s="134">
        <v>0</v>
      </c>
      <c r="O29" s="134">
        <v>0</v>
      </c>
      <c r="P29" s="134">
        <v>0.34</v>
      </c>
      <c r="Q29" s="134">
        <v>4.5199999999999996</v>
      </c>
    </row>
    <row r="30" spans="1:17" customFormat="1">
      <c r="A30" s="112" t="s">
        <v>2850</v>
      </c>
      <c r="B30" s="134">
        <v>11.01</v>
      </c>
      <c r="C30" s="134">
        <v>35.979999999999997</v>
      </c>
      <c r="D30" s="134">
        <v>26.58</v>
      </c>
      <c r="E30" s="134">
        <v>6.48</v>
      </c>
      <c r="F30" s="134">
        <v>4.45</v>
      </c>
      <c r="G30" s="134">
        <v>2.38</v>
      </c>
      <c r="H30" s="134">
        <v>0.86</v>
      </c>
      <c r="I30" s="134">
        <v>2.1</v>
      </c>
      <c r="J30" s="134">
        <v>1.02</v>
      </c>
      <c r="K30" s="134">
        <v>248.39</v>
      </c>
      <c r="L30" s="134">
        <v>24.68</v>
      </c>
      <c r="M30" s="134">
        <v>91.49</v>
      </c>
      <c r="N30" s="134">
        <v>0</v>
      </c>
      <c r="O30" s="134">
        <v>0</v>
      </c>
      <c r="P30" s="134">
        <v>0.31</v>
      </c>
      <c r="Q30" s="134">
        <v>4.47</v>
      </c>
    </row>
    <row r="31" spans="1:17" customFormat="1">
      <c r="A31" s="112" t="s">
        <v>2851</v>
      </c>
      <c r="B31" s="134">
        <v>10.86</v>
      </c>
      <c r="C31" s="134">
        <v>36.549999999999997</v>
      </c>
      <c r="D31" s="134">
        <v>26.76</v>
      </c>
      <c r="E31" s="134">
        <v>6.46</v>
      </c>
      <c r="F31" s="134">
        <v>3.97</v>
      </c>
      <c r="G31" s="134">
        <v>2.1</v>
      </c>
      <c r="H31" s="134">
        <v>0.86</v>
      </c>
      <c r="I31" s="134">
        <v>2.13</v>
      </c>
      <c r="J31" s="134">
        <v>1</v>
      </c>
      <c r="K31" s="134">
        <v>254.24</v>
      </c>
      <c r="L31" s="134">
        <v>24.66</v>
      </c>
      <c r="M31" s="134">
        <v>91.74</v>
      </c>
      <c r="N31" s="134">
        <v>0</v>
      </c>
      <c r="O31" s="134">
        <v>0</v>
      </c>
      <c r="P31" s="134">
        <v>0.32</v>
      </c>
      <c r="Q31" s="134">
        <v>4.4000000000000004</v>
      </c>
    </row>
    <row r="32" spans="1:17" customFormat="1">
      <c r="A32" s="112" t="s">
        <v>2852</v>
      </c>
      <c r="B32" s="134">
        <v>10.88</v>
      </c>
      <c r="C32" s="134">
        <v>38.299999999999997</v>
      </c>
      <c r="D32" s="134">
        <v>27.69</v>
      </c>
      <c r="E32" s="134">
        <v>6.28</v>
      </c>
      <c r="F32" s="134">
        <v>3.43</v>
      </c>
      <c r="G32" s="134">
        <v>1.68</v>
      </c>
      <c r="H32" s="134">
        <v>0.87</v>
      </c>
      <c r="I32" s="134">
        <v>2.08</v>
      </c>
      <c r="J32" s="134">
        <v>1</v>
      </c>
      <c r="K32" s="134">
        <v>249.71</v>
      </c>
      <c r="L32" s="134">
        <v>24.7</v>
      </c>
      <c r="M32" s="134">
        <v>91.45</v>
      </c>
      <c r="N32" s="134">
        <v>0.2</v>
      </c>
      <c r="O32" s="134">
        <v>0</v>
      </c>
      <c r="P32" s="134">
        <v>0.34</v>
      </c>
      <c r="Q32" s="134">
        <v>4.5199999999999996</v>
      </c>
    </row>
    <row r="33" spans="1:17" customFormat="1">
      <c r="A33" s="112" t="s">
        <v>2853</v>
      </c>
      <c r="B33" s="134">
        <v>10.97</v>
      </c>
      <c r="C33" s="134">
        <v>34.659999999999997</v>
      </c>
      <c r="D33" s="134">
        <v>25.86</v>
      </c>
      <c r="E33" s="134">
        <v>6.42</v>
      </c>
      <c r="F33" s="134">
        <v>4.74</v>
      </c>
      <c r="G33" s="134">
        <v>1.68</v>
      </c>
      <c r="H33" s="134">
        <v>0.87</v>
      </c>
      <c r="I33" s="134">
        <v>2.12</v>
      </c>
      <c r="J33" s="134">
        <v>0.97</v>
      </c>
      <c r="K33" s="134">
        <v>253.67</v>
      </c>
      <c r="L33" s="134">
        <v>24.71</v>
      </c>
      <c r="M33" s="134">
        <v>91.15</v>
      </c>
      <c r="N33" s="134">
        <v>4.2</v>
      </c>
      <c r="O33" s="134">
        <v>0</v>
      </c>
      <c r="P33" s="134">
        <v>0.3</v>
      </c>
      <c r="Q33" s="134">
        <v>4.4400000000000004</v>
      </c>
    </row>
    <row r="34" spans="1:17" customFormat="1">
      <c r="A34" s="112" t="s">
        <v>2854</v>
      </c>
      <c r="B34" s="134">
        <v>10.84</v>
      </c>
      <c r="C34" s="134">
        <v>36.24</v>
      </c>
      <c r="D34" s="134">
        <v>26.58</v>
      </c>
      <c r="E34" s="134">
        <v>5.76</v>
      </c>
      <c r="F34" s="134">
        <v>4.04</v>
      </c>
      <c r="G34" s="134">
        <v>1.68</v>
      </c>
      <c r="H34" s="134">
        <v>0.87</v>
      </c>
      <c r="I34" s="134">
        <v>2.14</v>
      </c>
      <c r="J34" s="134">
        <v>1.06</v>
      </c>
      <c r="K34" s="134">
        <v>253.12</v>
      </c>
      <c r="L34" s="134">
        <v>24.72</v>
      </c>
      <c r="M34" s="134">
        <v>90.89</v>
      </c>
      <c r="N34" s="134">
        <v>7.4</v>
      </c>
      <c r="O34" s="134">
        <v>0</v>
      </c>
      <c r="P34" s="134">
        <v>0.32</v>
      </c>
      <c r="Q34" s="134">
        <v>4.42</v>
      </c>
    </row>
    <row r="35" spans="1:17" customFormat="1">
      <c r="A35" s="112" t="s">
        <v>2855</v>
      </c>
      <c r="B35" s="134">
        <v>10.86</v>
      </c>
      <c r="C35" s="134">
        <v>37.42</v>
      </c>
      <c r="D35" s="134">
        <v>27.22</v>
      </c>
      <c r="E35" s="134">
        <v>6.06</v>
      </c>
      <c r="F35" s="134">
        <v>3.89</v>
      </c>
      <c r="G35" s="134">
        <v>1.71</v>
      </c>
      <c r="H35" s="134">
        <v>0.87</v>
      </c>
      <c r="I35" s="134">
        <v>2.08</v>
      </c>
      <c r="J35" s="134">
        <v>1.29</v>
      </c>
      <c r="K35" s="134">
        <v>254.17</v>
      </c>
      <c r="L35" s="134">
        <v>24.64</v>
      </c>
      <c r="M35" s="134">
        <v>91.12</v>
      </c>
      <c r="N35" s="134">
        <v>7.1</v>
      </c>
      <c r="O35" s="134">
        <v>0</v>
      </c>
      <c r="P35" s="134">
        <v>0.33</v>
      </c>
      <c r="Q35" s="134">
        <v>4.5</v>
      </c>
    </row>
    <row r="36" spans="1:17" customFormat="1">
      <c r="A36" s="112" t="s">
        <v>2856</v>
      </c>
      <c r="B36" s="134">
        <v>10.87</v>
      </c>
      <c r="C36" s="134">
        <v>35.1</v>
      </c>
      <c r="D36" s="134">
        <v>26.01</v>
      </c>
      <c r="E36" s="134">
        <v>5.86</v>
      </c>
      <c r="F36" s="134">
        <v>4.53</v>
      </c>
      <c r="G36" s="134">
        <v>1.77</v>
      </c>
      <c r="H36" s="134">
        <v>0.88</v>
      </c>
      <c r="I36" s="134">
        <v>2.1</v>
      </c>
      <c r="J36" s="134">
        <v>1.1100000000000001</v>
      </c>
      <c r="K36" s="134">
        <v>251.19</v>
      </c>
      <c r="L36" s="134">
        <v>24.49</v>
      </c>
      <c r="M36" s="134">
        <v>91.8</v>
      </c>
      <c r="N36" s="134">
        <v>6.7</v>
      </c>
      <c r="O36" s="134">
        <v>0</v>
      </c>
      <c r="P36" s="134">
        <v>0.3</v>
      </c>
      <c r="Q36" s="134">
        <v>4.41</v>
      </c>
    </row>
    <row r="37" spans="1:17" customFormat="1">
      <c r="A37" s="112" t="s">
        <v>2857</v>
      </c>
      <c r="B37" s="134">
        <v>10.86</v>
      </c>
      <c r="C37" s="134">
        <v>38.369999999999997</v>
      </c>
      <c r="D37" s="134">
        <v>27.71</v>
      </c>
      <c r="E37" s="134">
        <v>6.37</v>
      </c>
      <c r="F37" s="134">
        <v>3.63</v>
      </c>
      <c r="G37" s="134">
        <v>1.77</v>
      </c>
      <c r="H37" s="134">
        <v>0.88</v>
      </c>
      <c r="I37" s="134">
        <v>2.09</v>
      </c>
      <c r="J37" s="134">
        <v>1.1200000000000001</v>
      </c>
      <c r="K37" s="134">
        <v>256.04000000000002</v>
      </c>
      <c r="L37" s="134">
        <v>24.43</v>
      </c>
      <c r="M37" s="134">
        <v>91.89</v>
      </c>
      <c r="N37" s="134">
        <v>11.6</v>
      </c>
      <c r="O37" s="134">
        <v>0</v>
      </c>
      <c r="P37" s="134">
        <v>0.34</v>
      </c>
      <c r="Q37" s="134">
        <v>4.51</v>
      </c>
    </row>
    <row r="38" spans="1:17" customFormat="1">
      <c r="A38" s="112" t="s">
        <v>2858</v>
      </c>
      <c r="B38" s="134">
        <v>10.87</v>
      </c>
      <c r="C38" s="134">
        <v>34.92</v>
      </c>
      <c r="D38" s="134">
        <v>25.92</v>
      </c>
      <c r="E38" s="134">
        <v>5.8</v>
      </c>
      <c r="F38" s="134">
        <v>4.8899999999999997</v>
      </c>
      <c r="G38" s="134">
        <v>1.77</v>
      </c>
      <c r="H38" s="134">
        <v>0.88</v>
      </c>
      <c r="I38" s="134">
        <v>2.1</v>
      </c>
      <c r="J38" s="134">
        <v>1</v>
      </c>
      <c r="K38" s="134">
        <v>253.51</v>
      </c>
      <c r="L38" s="134">
        <v>24.5</v>
      </c>
      <c r="M38" s="134">
        <v>91.82</v>
      </c>
      <c r="N38" s="134">
        <v>24.7</v>
      </c>
      <c r="O38" s="134">
        <v>0</v>
      </c>
      <c r="P38" s="134">
        <v>0.3</v>
      </c>
      <c r="Q38" s="134">
        <v>4.47</v>
      </c>
    </row>
    <row r="39" spans="1:17" customFormat="1">
      <c r="A39" s="112" t="s">
        <v>2859</v>
      </c>
      <c r="B39" s="134">
        <v>10.63</v>
      </c>
      <c r="C39" s="134">
        <v>35.840000000000003</v>
      </c>
      <c r="D39" s="134">
        <v>26.21</v>
      </c>
      <c r="E39" s="134">
        <v>5.52</v>
      </c>
      <c r="F39" s="134">
        <v>4.1900000000000004</v>
      </c>
      <c r="G39" s="134">
        <v>1.63</v>
      </c>
      <c r="H39" s="134">
        <v>0.88</v>
      </c>
      <c r="I39" s="134">
        <v>2.13</v>
      </c>
      <c r="J39" s="134">
        <v>0.99</v>
      </c>
      <c r="K39" s="134">
        <v>251.89</v>
      </c>
      <c r="L39" s="134">
        <v>24.38</v>
      </c>
      <c r="M39" s="134">
        <v>93.15</v>
      </c>
      <c r="N39" s="134">
        <v>30.6</v>
      </c>
      <c r="O39" s="134">
        <v>0</v>
      </c>
      <c r="P39" s="134">
        <v>0.32</v>
      </c>
      <c r="Q39" s="134">
        <v>4.4000000000000004</v>
      </c>
    </row>
    <row r="40" spans="1:17" customFormat="1">
      <c r="A40" s="112" t="s">
        <v>2860</v>
      </c>
      <c r="B40" s="134">
        <v>10.78</v>
      </c>
      <c r="C40" s="134">
        <v>39.380000000000003</v>
      </c>
      <c r="D40" s="134">
        <v>28.17</v>
      </c>
      <c r="E40" s="134">
        <v>6.28</v>
      </c>
      <c r="F40" s="134">
        <v>3.42</v>
      </c>
      <c r="G40" s="134">
        <v>1.41</v>
      </c>
      <c r="H40" s="134">
        <v>0.89</v>
      </c>
      <c r="I40" s="134">
        <v>2.0699999999999998</v>
      </c>
      <c r="J40" s="134">
        <v>0.95</v>
      </c>
      <c r="K40" s="134">
        <v>256.35000000000002</v>
      </c>
      <c r="L40" s="134">
        <v>24.37</v>
      </c>
      <c r="M40" s="134">
        <v>93.88</v>
      </c>
      <c r="N40" s="134">
        <v>39.299999999999997</v>
      </c>
      <c r="O40" s="134">
        <v>0</v>
      </c>
      <c r="P40" s="134">
        <v>0.34</v>
      </c>
      <c r="Q40" s="134">
        <v>4.51</v>
      </c>
    </row>
    <row r="41" spans="1:17" customFormat="1">
      <c r="A41" s="112" t="s">
        <v>2861</v>
      </c>
      <c r="B41" s="134">
        <v>11.05</v>
      </c>
      <c r="C41" s="134">
        <v>35.64</v>
      </c>
      <c r="D41" s="134">
        <v>26.44</v>
      </c>
      <c r="E41" s="134">
        <v>6.01</v>
      </c>
      <c r="F41" s="134">
        <v>4.45</v>
      </c>
      <c r="G41" s="134">
        <v>1.41</v>
      </c>
      <c r="H41" s="134">
        <v>0.89</v>
      </c>
      <c r="I41" s="134">
        <v>2.13</v>
      </c>
      <c r="J41" s="134">
        <v>1.03</v>
      </c>
      <c r="K41" s="134">
        <v>252.73</v>
      </c>
      <c r="L41" s="134">
        <v>24.5</v>
      </c>
      <c r="M41" s="134">
        <v>93.96</v>
      </c>
      <c r="N41" s="134">
        <v>70</v>
      </c>
      <c r="O41" s="134">
        <v>0</v>
      </c>
      <c r="P41" s="134">
        <v>0.31</v>
      </c>
      <c r="Q41" s="134">
        <v>4.46</v>
      </c>
    </row>
    <row r="42" spans="1:17" customFormat="1">
      <c r="A42" s="112" t="s">
        <v>2862</v>
      </c>
      <c r="B42" s="134">
        <v>10.95</v>
      </c>
      <c r="C42" s="134">
        <v>36.619999999999997</v>
      </c>
      <c r="D42" s="134">
        <v>26.87</v>
      </c>
      <c r="E42" s="134">
        <v>5.56</v>
      </c>
      <c r="F42" s="134">
        <v>3.77</v>
      </c>
      <c r="G42" s="134">
        <v>1.41</v>
      </c>
      <c r="H42" s="134">
        <v>0.89</v>
      </c>
      <c r="I42" s="134">
        <v>2.15</v>
      </c>
      <c r="J42" s="134">
        <v>1.1100000000000001</v>
      </c>
      <c r="K42" s="134">
        <v>252.53</v>
      </c>
      <c r="L42" s="134">
        <v>24.62</v>
      </c>
      <c r="M42" s="134">
        <v>93.51</v>
      </c>
      <c r="N42" s="134">
        <v>85.3</v>
      </c>
      <c r="O42" s="134">
        <v>0</v>
      </c>
      <c r="P42" s="134">
        <v>0.32</v>
      </c>
      <c r="Q42" s="134">
        <v>4.42</v>
      </c>
    </row>
    <row r="43" spans="1:17" customFormat="1">
      <c r="A43" s="112" t="s">
        <v>2863</v>
      </c>
      <c r="B43" s="134">
        <v>11.06</v>
      </c>
      <c r="C43" s="134">
        <v>38.119999999999997</v>
      </c>
      <c r="D43" s="134">
        <v>27.74</v>
      </c>
      <c r="E43" s="134">
        <v>6.38</v>
      </c>
      <c r="F43" s="134">
        <v>3.6</v>
      </c>
      <c r="G43" s="134">
        <v>1.34</v>
      </c>
      <c r="H43" s="134">
        <v>0.91</v>
      </c>
      <c r="I43" s="134">
        <v>2.1</v>
      </c>
      <c r="J43" s="134">
        <v>1.1399999999999999</v>
      </c>
      <c r="K43" s="134">
        <v>254.09</v>
      </c>
      <c r="L43" s="134">
        <v>24.8</v>
      </c>
      <c r="M43" s="134">
        <v>92.47</v>
      </c>
      <c r="N43" s="134">
        <v>88.3</v>
      </c>
      <c r="O43" s="134">
        <v>0</v>
      </c>
      <c r="P43" s="134">
        <v>0.34</v>
      </c>
      <c r="Q43" s="134">
        <v>4.5</v>
      </c>
    </row>
    <row r="44" spans="1:17" customFormat="1">
      <c r="A44" s="112" t="s">
        <v>2864</v>
      </c>
      <c r="B44" s="134">
        <v>11.05</v>
      </c>
      <c r="C44" s="134">
        <v>34.17</v>
      </c>
      <c r="D44" s="134">
        <v>25.66</v>
      </c>
      <c r="E44" s="134">
        <v>5.72</v>
      </c>
      <c r="F44" s="134">
        <v>4.5</v>
      </c>
      <c r="G44" s="134">
        <v>1.23</v>
      </c>
      <c r="H44" s="134">
        <v>0.93</v>
      </c>
      <c r="I44" s="134">
        <v>2.15</v>
      </c>
      <c r="J44" s="134">
        <v>1.29</v>
      </c>
      <c r="K44" s="134">
        <v>253.35</v>
      </c>
      <c r="L44" s="134">
        <v>24.94</v>
      </c>
      <c r="M44" s="134">
        <v>91.58</v>
      </c>
      <c r="N44" s="134">
        <v>92.4</v>
      </c>
      <c r="O44" s="134">
        <v>0</v>
      </c>
      <c r="P44" s="134">
        <v>0.31</v>
      </c>
      <c r="Q44" s="134">
        <v>4.45</v>
      </c>
    </row>
    <row r="45" spans="1:17" customFormat="1">
      <c r="A45" s="112" t="s">
        <v>2865</v>
      </c>
      <c r="B45" s="134">
        <v>10.92</v>
      </c>
      <c r="C45" s="134">
        <v>38.78</v>
      </c>
      <c r="D45" s="134">
        <v>27.97</v>
      </c>
      <c r="E45" s="134">
        <v>6.15</v>
      </c>
      <c r="F45" s="134">
        <v>3.48</v>
      </c>
      <c r="G45" s="134">
        <v>1.23</v>
      </c>
      <c r="H45" s="134">
        <v>0.93</v>
      </c>
      <c r="I45" s="134">
        <v>2.15</v>
      </c>
      <c r="J45" s="134">
        <v>1.25</v>
      </c>
      <c r="K45" s="134">
        <v>257.61</v>
      </c>
      <c r="L45" s="134">
        <v>25.08</v>
      </c>
      <c r="M45" s="134">
        <v>90.68</v>
      </c>
      <c r="N45" s="134">
        <v>94.5</v>
      </c>
      <c r="O45" s="134">
        <v>0</v>
      </c>
      <c r="P45" s="134">
        <v>0.35</v>
      </c>
      <c r="Q45" s="134">
        <v>4.49</v>
      </c>
    </row>
    <row r="46" spans="1:17" customFormat="1">
      <c r="A46" s="112" t="s">
        <v>2866</v>
      </c>
      <c r="B46" s="134">
        <v>11.07</v>
      </c>
      <c r="C46" s="134">
        <v>37.840000000000003</v>
      </c>
      <c r="D46" s="134">
        <v>27.6</v>
      </c>
      <c r="E46" s="134">
        <v>6.42</v>
      </c>
      <c r="F46" s="134">
        <v>4.07</v>
      </c>
      <c r="G46" s="134">
        <v>1.23</v>
      </c>
      <c r="H46" s="134">
        <v>0.93</v>
      </c>
      <c r="I46" s="134">
        <v>2.13</v>
      </c>
      <c r="J46" s="134">
        <v>1.1499999999999999</v>
      </c>
      <c r="K46" s="134">
        <v>253.84</v>
      </c>
      <c r="L46" s="134">
        <v>25.24</v>
      </c>
      <c r="M46" s="134">
        <v>90.19</v>
      </c>
      <c r="N46" s="134">
        <v>101.3</v>
      </c>
      <c r="O46" s="134">
        <v>0</v>
      </c>
      <c r="P46" s="134">
        <v>0.34</v>
      </c>
      <c r="Q46" s="134">
        <v>4.5199999999999996</v>
      </c>
    </row>
    <row r="47" spans="1:17" customFormat="1">
      <c r="A47" s="112" t="s">
        <v>2867</v>
      </c>
      <c r="B47" s="134">
        <v>11.08</v>
      </c>
      <c r="C47" s="134">
        <v>34.19</v>
      </c>
      <c r="D47" s="134">
        <v>25.7</v>
      </c>
      <c r="E47" s="134">
        <v>5.75</v>
      </c>
      <c r="F47" s="134">
        <v>4.87</v>
      </c>
      <c r="G47" s="134">
        <v>1.26</v>
      </c>
      <c r="H47" s="134">
        <v>0.92</v>
      </c>
      <c r="I47" s="134">
        <v>2.1800000000000002</v>
      </c>
      <c r="J47" s="134">
        <v>0.99</v>
      </c>
      <c r="K47" s="134">
        <v>250.11</v>
      </c>
      <c r="L47" s="134">
        <v>25.44</v>
      </c>
      <c r="M47" s="134">
        <v>89.34</v>
      </c>
      <c r="N47" s="134">
        <v>125.4</v>
      </c>
      <c r="O47" s="134">
        <v>0</v>
      </c>
      <c r="P47" s="134">
        <v>0.31</v>
      </c>
      <c r="Q47" s="134">
        <v>4.41</v>
      </c>
    </row>
    <row r="48" spans="1:17" customFormat="1">
      <c r="A48" s="112" t="s">
        <v>2868</v>
      </c>
      <c r="B48" s="134">
        <v>11</v>
      </c>
      <c r="C48" s="134">
        <v>36.89</v>
      </c>
      <c r="D48" s="134">
        <v>27.05</v>
      </c>
      <c r="E48" s="134">
        <v>5.71</v>
      </c>
      <c r="F48" s="134">
        <v>3.69</v>
      </c>
      <c r="G48" s="134">
        <v>1.3</v>
      </c>
      <c r="H48" s="134">
        <v>0.91</v>
      </c>
      <c r="I48" s="134">
        <v>2.13</v>
      </c>
      <c r="J48" s="134">
        <v>0.92</v>
      </c>
      <c r="K48" s="134">
        <v>252.96</v>
      </c>
      <c r="L48" s="134">
        <v>25.71</v>
      </c>
      <c r="M48" s="134">
        <v>88.52</v>
      </c>
      <c r="N48" s="134">
        <v>142.9</v>
      </c>
      <c r="O48" s="134">
        <v>0</v>
      </c>
      <c r="P48" s="134">
        <v>0.33</v>
      </c>
      <c r="Q48" s="134">
        <v>4.42</v>
      </c>
    </row>
    <row r="49" spans="1:17" customFormat="1">
      <c r="A49" s="112" t="s">
        <v>2869</v>
      </c>
      <c r="B49" s="134">
        <v>11.2</v>
      </c>
      <c r="C49" s="134">
        <v>36.979999999999997</v>
      </c>
      <c r="D49" s="134">
        <v>27.26</v>
      </c>
      <c r="E49" s="134">
        <v>4.7</v>
      </c>
      <c r="F49" s="134">
        <v>3.99</v>
      </c>
      <c r="G49" s="134">
        <v>1.3</v>
      </c>
      <c r="H49" s="134">
        <v>0.91</v>
      </c>
      <c r="I49" s="134">
        <v>2.11</v>
      </c>
      <c r="J49" s="134">
        <v>0.97</v>
      </c>
      <c r="K49" s="134">
        <v>252.75</v>
      </c>
      <c r="L49" s="134">
        <v>25.74</v>
      </c>
      <c r="M49" s="134">
        <v>88.25</v>
      </c>
      <c r="N49" s="134">
        <v>81</v>
      </c>
      <c r="O49" s="134">
        <v>0</v>
      </c>
      <c r="P49" s="134">
        <v>0.33</v>
      </c>
      <c r="Q49" s="134">
        <v>4.51</v>
      </c>
    </row>
    <row r="50" spans="1:17" customFormat="1">
      <c r="A50" s="112" t="s">
        <v>2870</v>
      </c>
      <c r="B50" s="134">
        <v>11.16</v>
      </c>
      <c r="C50" s="134">
        <v>33.99</v>
      </c>
      <c r="D50" s="134">
        <v>25.67</v>
      </c>
      <c r="E50" s="134">
        <v>5.45</v>
      </c>
      <c r="F50" s="134">
        <v>4.7300000000000004</v>
      </c>
      <c r="G50" s="134">
        <v>1.3</v>
      </c>
      <c r="H50" s="134">
        <v>0.91</v>
      </c>
      <c r="I50" s="134">
        <v>2.16</v>
      </c>
      <c r="J50" s="134">
        <v>0.93</v>
      </c>
      <c r="K50" s="134">
        <v>255.98</v>
      </c>
      <c r="L50" s="134">
        <v>25.8</v>
      </c>
      <c r="M50" s="134">
        <v>88.17</v>
      </c>
      <c r="N50" s="134">
        <v>128.19999999999999</v>
      </c>
      <c r="O50" s="134">
        <v>0</v>
      </c>
      <c r="P50" s="134">
        <v>0.3</v>
      </c>
      <c r="Q50" s="134">
        <v>4.4000000000000004</v>
      </c>
    </row>
    <row r="51" spans="1:17" customFormat="1">
      <c r="A51" s="112" t="s">
        <v>2871</v>
      </c>
      <c r="B51" s="134">
        <v>11.04</v>
      </c>
      <c r="C51" s="134">
        <v>36.94</v>
      </c>
      <c r="D51" s="134">
        <v>27.11</v>
      </c>
      <c r="E51" s="134">
        <v>5.54</v>
      </c>
      <c r="F51" s="134">
        <v>3.76</v>
      </c>
      <c r="G51" s="134">
        <v>1.68</v>
      </c>
      <c r="H51" s="134">
        <v>1.53</v>
      </c>
      <c r="I51" s="134">
        <v>2.15</v>
      </c>
      <c r="J51" s="134">
        <v>0.95</v>
      </c>
      <c r="K51" s="134">
        <v>247.75</v>
      </c>
      <c r="L51" s="134">
        <v>26.11</v>
      </c>
      <c r="M51" s="134">
        <v>86.87</v>
      </c>
      <c r="N51" s="134">
        <v>185</v>
      </c>
      <c r="O51" s="134">
        <v>0</v>
      </c>
      <c r="P51" s="134">
        <v>0.34</v>
      </c>
      <c r="Q51" s="134">
        <v>4.43</v>
      </c>
    </row>
    <row r="52" spans="1:17" customFormat="1">
      <c r="A52" s="112" t="s">
        <v>2872</v>
      </c>
      <c r="B52" s="134">
        <v>10.8</v>
      </c>
      <c r="C52" s="134">
        <v>35.299999999999997</v>
      </c>
      <c r="D52" s="134">
        <v>26.06</v>
      </c>
      <c r="E52" s="134">
        <v>5.73</v>
      </c>
      <c r="F52" s="134">
        <v>4.66</v>
      </c>
      <c r="G52" s="134">
        <v>2.2400000000000002</v>
      </c>
      <c r="H52" s="134">
        <v>2.06</v>
      </c>
      <c r="I52" s="134">
        <v>2.14</v>
      </c>
      <c r="J52" s="134">
        <v>1.03</v>
      </c>
      <c r="K52" s="134">
        <v>252.79</v>
      </c>
      <c r="L52" s="134">
        <v>26.6</v>
      </c>
      <c r="M52" s="134">
        <v>85.27</v>
      </c>
      <c r="N52" s="134">
        <v>282.60000000000002</v>
      </c>
      <c r="O52" s="134">
        <v>0</v>
      </c>
      <c r="P52" s="134">
        <v>0.33</v>
      </c>
      <c r="Q52" s="134">
        <v>4.49</v>
      </c>
    </row>
    <row r="53" spans="1:17" customFormat="1">
      <c r="A53" s="112" t="s">
        <v>2873</v>
      </c>
      <c r="B53" s="134">
        <v>9.67</v>
      </c>
      <c r="C53" s="134">
        <v>31.78</v>
      </c>
      <c r="D53" s="134">
        <v>23.31</v>
      </c>
      <c r="E53" s="134">
        <v>5.21</v>
      </c>
      <c r="F53" s="134">
        <v>5.09</v>
      </c>
      <c r="G53" s="134">
        <v>2.2400000000000002</v>
      </c>
      <c r="H53" s="134">
        <v>2.06</v>
      </c>
      <c r="I53" s="134">
        <v>2.19</v>
      </c>
      <c r="J53" s="134">
        <v>1.1399999999999999</v>
      </c>
      <c r="K53" s="134">
        <v>248.52</v>
      </c>
      <c r="L53" s="134">
        <v>26.77</v>
      </c>
      <c r="M53" s="134">
        <v>84.51</v>
      </c>
      <c r="N53" s="134">
        <v>237.4</v>
      </c>
      <c r="O53" s="134">
        <v>0</v>
      </c>
      <c r="P53" s="134">
        <v>0.31</v>
      </c>
      <c r="Q53" s="134">
        <v>4.34</v>
      </c>
    </row>
    <row r="54" spans="1:17" customFormat="1">
      <c r="A54" s="112" t="s">
        <v>2874</v>
      </c>
      <c r="B54" s="134">
        <v>9.2799999999999994</v>
      </c>
      <c r="C54" s="134">
        <v>32.020000000000003</v>
      </c>
      <c r="D54" s="134">
        <v>23.13</v>
      </c>
      <c r="E54" s="134">
        <v>5.24</v>
      </c>
      <c r="F54" s="134">
        <v>0.63</v>
      </c>
      <c r="G54" s="134">
        <v>2.2400000000000002</v>
      </c>
      <c r="H54" s="134">
        <v>2.06</v>
      </c>
      <c r="I54" s="134">
        <v>2.14</v>
      </c>
      <c r="J54" s="134">
        <v>1.33</v>
      </c>
      <c r="K54" s="134">
        <v>255.22</v>
      </c>
      <c r="L54" s="134">
        <v>26.57</v>
      </c>
      <c r="M54" s="134">
        <v>84.9</v>
      </c>
      <c r="N54" s="134">
        <v>213.4</v>
      </c>
      <c r="O54" s="134">
        <v>0</v>
      </c>
      <c r="P54" s="134">
        <v>0.32</v>
      </c>
      <c r="Q54" s="134">
        <v>4.2699999999999996</v>
      </c>
    </row>
    <row r="55" spans="1:17" customFormat="1">
      <c r="A55" s="112" t="s">
        <v>2875</v>
      </c>
      <c r="B55" s="134">
        <v>9.25</v>
      </c>
      <c r="C55" s="134">
        <v>36.119999999999997</v>
      </c>
      <c r="D55" s="134">
        <v>25.25</v>
      </c>
      <c r="E55" s="134">
        <v>5.79</v>
      </c>
      <c r="F55" s="134">
        <v>232.04</v>
      </c>
      <c r="G55" s="134">
        <v>2.2400000000000002</v>
      </c>
      <c r="H55" s="134">
        <v>2.06</v>
      </c>
      <c r="I55" s="134">
        <v>2.0499999999999998</v>
      </c>
      <c r="J55" s="134">
        <v>1.3</v>
      </c>
      <c r="K55" s="134">
        <v>252.28</v>
      </c>
      <c r="L55" s="134">
        <v>26.68</v>
      </c>
      <c r="M55" s="134">
        <v>84.6</v>
      </c>
      <c r="N55" s="134">
        <v>239.2</v>
      </c>
      <c r="O55" s="134">
        <v>0</v>
      </c>
      <c r="P55" s="134">
        <v>0.37</v>
      </c>
      <c r="Q55" s="134">
        <v>4.42</v>
      </c>
    </row>
    <row r="56" spans="1:17" customFormat="1">
      <c r="A56" s="112" t="s">
        <v>2876</v>
      </c>
      <c r="B56" s="134">
        <v>9.42</v>
      </c>
      <c r="C56" s="134">
        <v>33.75</v>
      </c>
      <c r="D56" s="134">
        <v>24.14</v>
      </c>
      <c r="E56" s="134">
        <v>5.85</v>
      </c>
      <c r="F56" s="134">
        <v>317.14</v>
      </c>
      <c r="G56" s="134">
        <v>2.2400000000000002</v>
      </c>
      <c r="H56" s="134">
        <v>2.06</v>
      </c>
      <c r="I56" s="134">
        <v>2.11</v>
      </c>
      <c r="J56" s="134">
        <v>1.35</v>
      </c>
      <c r="K56" s="134">
        <v>258.22000000000003</v>
      </c>
      <c r="L56" s="134">
        <v>27.1</v>
      </c>
      <c r="M56" s="134">
        <v>83.07</v>
      </c>
      <c r="N56" s="134">
        <v>344.8</v>
      </c>
      <c r="O56" s="134">
        <v>0</v>
      </c>
      <c r="P56" s="134">
        <v>0.34</v>
      </c>
      <c r="Q56" s="134">
        <v>4.4400000000000004</v>
      </c>
    </row>
    <row r="57" spans="1:17" customFormat="1">
      <c r="A57" s="112" t="s">
        <v>2877</v>
      </c>
      <c r="B57" s="134">
        <v>9.4600000000000009</v>
      </c>
      <c r="C57" s="134">
        <v>31.72</v>
      </c>
      <c r="D57" s="134">
        <v>23.12</v>
      </c>
      <c r="E57" s="134">
        <v>5.45</v>
      </c>
      <c r="F57" s="134">
        <v>1.25</v>
      </c>
      <c r="G57" s="151" t="s">
        <v>12</v>
      </c>
      <c r="H57" s="151" t="s">
        <v>12</v>
      </c>
      <c r="I57" s="134">
        <v>2.19</v>
      </c>
      <c r="J57" s="134">
        <v>1.3</v>
      </c>
      <c r="K57" s="134">
        <v>248.47</v>
      </c>
      <c r="L57" s="134">
        <v>27.95</v>
      </c>
      <c r="M57" s="134">
        <v>80.5</v>
      </c>
      <c r="N57" s="134">
        <v>624.6</v>
      </c>
      <c r="O57" s="134">
        <v>0</v>
      </c>
      <c r="P57" s="134">
        <v>0.31</v>
      </c>
      <c r="Q57" s="134">
        <v>4.37</v>
      </c>
    </row>
    <row r="58" spans="1:17" customFormat="1">
      <c r="A58" s="112" t="s">
        <v>2878</v>
      </c>
      <c r="B58" s="134">
        <v>8.91</v>
      </c>
      <c r="C58" s="134">
        <v>34.47</v>
      </c>
      <c r="D58" s="134">
        <v>24.11</v>
      </c>
      <c r="E58" s="134">
        <v>5.71</v>
      </c>
      <c r="F58" s="134">
        <v>4.2699999999999996</v>
      </c>
      <c r="G58" s="151" t="s">
        <v>12</v>
      </c>
      <c r="H58" s="151" t="s">
        <v>12</v>
      </c>
      <c r="I58" s="134">
        <v>2.16</v>
      </c>
      <c r="J58" s="134">
        <v>1.38</v>
      </c>
      <c r="K58" s="134">
        <v>251.46</v>
      </c>
      <c r="L58" s="134">
        <v>27.58</v>
      </c>
      <c r="M58" s="134">
        <v>81.349999999999994</v>
      </c>
      <c r="N58" s="134">
        <v>233.8</v>
      </c>
      <c r="O58" s="134">
        <v>0</v>
      </c>
      <c r="P58" s="134">
        <v>0.34</v>
      </c>
      <c r="Q58" s="134">
        <v>4.38</v>
      </c>
    </row>
    <row r="59" spans="1:17" customFormat="1">
      <c r="A59" s="112" t="s">
        <v>2879</v>
      </c>
      <c r="B59" s="134">
        <v>6.75</v>
      </c>
      <c r="C59" s="134">
        <v>28.13</v>
      </c>
      <c r="D59" s="134">
        <v>19.07</v>
      </c>
      <c r="E59" s="134">
        <v>4.9400000000000004</v>
      </c>
      <c r="F59" s="134">
        <v>6.64</v>
      </c>
      <c r="G59" s="151" t="s">
        <v>12</v>
      </c>
      <c r="H59" s="151" t="s">
        <v>12</v>
      </c>
      <c r="I59" s="134">
        <v>2.19</v>
      </c>
      <c r="J59" s="134">
        <v>1.03</v>
      </c>
      <c r="K59" s="134">
        <v>249.57</v>
      </c>
      <c r="L59" s="134">
        <v>27.55</v>
      </c>
      <c r="M59" s="134">
        <v>82.31</v>
      </c>
      <c r="N59" s="134">
        <v>354.5</v>
      </c>
      <c r="O59" s="134">
        <v>0</v>
      </c>
      <c r="P59" s="134">
        <v>0.32</v>
      </c>
      <c r="Q59" s="134">
        <v>4.3099999999999996</v>
      </c>
    </row>
    <row r="60" spans="1:17" customFormat="1">
      <c r="A60" s="112" t="s">
        <v>2880</v>
      </c>
      <c r="B60" s="134">
        <v>6.42</v>
      </c>
      <c r="C60" s="134">
        <v>29.06</v>
      </c>
      <c r="D60" s="134">
        <v>19.29</v>
      </c>
      <c r="E60" s="134">
        <v>4.6500000000000004</v>
      </c>
      <c r="F60" s="134">
        <v>4.46</v>
      </c>
      <c r="G60" s="151" t="s">
        <v>12</v>
      </c>
      <c r="H60" s="151" t="s">
        <v>12</v>
      </c>
      <c r="I60" s="134">
        <v>2.15</v>
      </c>
      <c r="J60" s="134">
        <v>1.03</v>
      </c>
      <c r="K60" s="134">
        <v>253.43</v>
      </c>
      <c r="L60" s="134">
        <v>27.54</v>
      </c>
      <c r="M60" s="134">
        <v>81.93</v>
      </c>
      <c r="N60" s="134">
        <v>293.7</v>
      </c>
      <c r="O60" s="134">
        <v>0</v>
      </c>
      <c r="P60" s="134">
        <v>0.31</v>
      </c>
      <c r="Q60" s="134">
        <v>4.17</v>
      </c>
    </row>
    <row r="61" spans="1:17" customFormat="1">
      <c r="A61" s="112" t="s">
        <v>2881</v>
      </c>
      <c r="B61" s="134">
        <v>6.38</v>
      </c>
      <c r="C61" s="134">
        <v>33.380000000000003</v>
      </c>
      <c r="D61" s="134">
        <v>21.51</v>
      </c>
      <c r="E61" s="134">
        <v>4.3099999999999996</v>
      </c>
      <c r="F61" s="134">
        <v>2.81</v>
      </c>
      <c r="G61" s="151" t="s">
        <v>12</v>
      </c>
      <c r="H61" s="151" t="s">
        <v>12</v>
      </c>
      <c r="I61" s="134">
        <v>2.02</v>
      </c>
      <c r="J61" s="134">
        <v>1.3</v>
      </c>
      <c r="K61" s="134">
        <v>253.71</v>
      </c>
      <c r="L61" s="134">
        <v>27.49</v>
      </c>
      <c r="M61" s="134">
        <v>81.84</v>
      </c>
      <c r="N61" s="134">
        <v>345.6</v>
      </c>
      <c r="O61" s="134">
        <v>0</v>
      </c>
      <c r="P61" s="134">
        <v>0.34</v>
      </c>
      <c r="Q61" s="134">
        <v>4.21</v>
      </c>
    </row>
    <row r="62" spans="1:17" customFormat="1">
      <c r="A62" s="112" t="s">
        <v>2882</v>
      </c>
      <c r="B62" s="134">
        <v>6.42</v>
      </c>
      <c r="C62" s="134">
        <v>33.36</v>
      </c>
      <c r="D62" s="134">
        <v>21.53</v>
      </c>
      <c r="E62" s="134">
        <v>4.83</v>
      </c>
      <c r="F62" s="134">
        <v>3.04</v>
      </c>
      <c r="G62" s="151" t="s">
        <v>12</v>
      </c>
      <c r="H62" s="151" t="s">
        <v>12</v>
      </c>
      <c r="I62" s="134">
        <v>2.0099999999999998</v>
      </c>
      <c r="J62" s="134">
        <v>1.1599999999999999</v>
      </c>
      <c r="K62" s="134">
        <v>255.12</v>
      </c>
      <c r="L62" s="134">
        <v>27.07</v>
      </c>
      <c r="M62" s="134">
        <v>83.09</v>
      </c>
      <c r="N62" s="134">
        <v>141.4</v>
      </c>
      <c r="O62" s="134">
        <v>0</v>
      </c>
      <c r="P62" s="134">
        <v>0.33</v>
      </c>
      <c r="Q62" s="134">
        <v>4.25</v>
      </c>
    </row>
    <row r="63" spans="1:17" customFormat="1">
      <c r="A63" s="112" t="s">
        <v>2883</v>
      </c>
      <c r="B63" s="134">
        <v>6.29</v>
      </c>
      <c r="C63" s="134">
        <v>30.59</v>
      </c>
      <c r="D63" s="134">
        <v>19.98</v>
      </c>
      <c r="E63" s="134">
        <v>3.71</v>
      </c>
      <c r="F63" s="134">
        <v>4.5199999999999996</v>
      </c>
      <c r="G63" s="151" t="s">
        <v>12</v>
      </c>
      <c r="H63" s="151" t="s">
        <v>12</v>
      </c>
      <c r="I63" s="134">
        <v>2.06</v>
      </c>
      <c r="J63" s="134">
        <v>1.02</v>
      </c>
      <c r="K63" s="134">
        <v>259.57</v>
      </c>
      <c r="L63" s="134">
        <v>26.79</v>
      </c>
      <c r="M63" s="134">
        <v>83.9</v>
      </c>
      <c r="N63" s="134">
        <v>165.2</v>
      </c>
      <c r="O63" s="134">
        <v>0</v>
      </c>
      <c r="P63" s="134">
        <v>0.31</v>
      </c>
      <c r="Q63" s="134">
        <v>4.17</v>
      </c>
    </row>
    <row r="64" spans="1:17" customFormat="1">
      <c r="A64" s="112" t="s">
        <v>2884</v>
      </c>
      <c r="B64" s="134">
        <v>6.18</v>
      </c>
      <c r="C64" s="134">
        <v>30.72</v>
      </c>
      <c r="D64" s="134">
        <v>19.96</v>
      </c>
      <c r="E64" s="134">
        <v>3.88</v>
      </c>
      <c r="F64" s="134">
        <v>4.32</v>
      </c>
      <c r="G64" s="151" t="s">
        <v>12</v>
      </c>
      <c r="H64" s="151" t="s">
        <v>12</v>
      </c>
      <c r="I64" s="134">
        <v>2.04</v>
      </c>
      <c r="J64" s="134">
        <v>1.32</v>
      </c>
      <c r="K64" s="134">
        <v>255.86</v>
      </c>
      <c r="L64" s="134">
        <v>26.99</v>
      </c>
      <c r="M64" s="134">
        <v>82.97</v>
      </c>
      <c r="N64" s="134">
        <v>237.2</v>
      </c>
      <c r="O64" s="134">
        <v>0</v>
      </c>
      <c r="P64" s="134">
        <v>0.3</v>
      </c>
      <c r="Q64" s="134">
        <v>4.12</v>
      </c>
    </row>
    <row r="65" spans="1:17" customFormat="1">
      <c r="A65" s="112" t="s">
        <v>2885</v>
      </c>
      <c r="B65" s="134">
        <v>6.29</v>
      </c>
      <c r="C65" s="134">
        <v>35.090000000000003</v>
      </c>
      <c r="D65" s="134">
        <v>22.34</v>
      </c>
      <c r="E65" s="134">
        <v>4.3</v>
      </c>
      <c r="F65" s="134">
        <v>2.29</v>
      </c>
      <c r="G65" s="134">
        <v>2.8</v>
      </c>
      <c r="H65" s="134">
        <v>1.57</v>
      </c>
      <c r="I65" s="134">
        <v>1.98</v>
      </c>
      <c r="J65" s="134">
        <v>1.1200000000000001</v>
      </c>
      <c r="K65" s="134">
        <v>257</v>
      </c>
      <c r="L65" s="134">
        <v>27.11</v>
      </c>
      <c r="M65" s="134">
        <v>83.01</v>
      </c>
      <c r="N65" s="134">
        <v>192.5</v>
      </c>
      <c r="O65" s="134">
        <v>0</v>
      </c>
      <c r="P65" s="134">
        <v>0.33</v>
      </c>
      <c r="Q65" s="134">
        <v>4.22</v>
      </c>
    </row>
    <row r="66" spans="1:17" customFormat="1">
      <c r="A66" s="112" t="s">
        <v>2886</v>
      </c>
      <c r="B66" s="134">
        <v>6.44</v>
      </c>
      <c r="C66" s="134">
        <v>33.75</v>
      </c>
      <c r="D66" s="134">
        <v>21.75</v>
      </c>
      <c r="E66" s="134">
        <v>5.03</v>
      </c>
      <c r="F66" s="134">
        <v>3.31</v>
      </c>
      <c r="G66" s="134">
        <v>2.8</v>
      </c>
      <c r="H66" s="134">
        <v>1.57</v>
      </c>
      <c r="I66" s="134">
        <v>2.0099999999999998</v>
      </c>
      <c r="J66" s="134">
        <v>1.03</v>
      </c>
      <c r="K66" s="134">
        <v>256.08999999999997</v>
      </c>
      <c r="L66" s="134">
        <v>27.06</v>
      </c>
      <c r="M66" s="134">
        <v>83.34</v>
      </c>
      <c r="N66" s="134">
        <v>176.6</v>
      </c>
      <c r="O66" s="134">
        <v>0</v>
      </c>
      <c r="P66" s="134">
        <v>0.32</v>
      </c>
      <c r="Q66" s="134">
        <v>4.22</v>
      </c>
    </row>
    <row r="67" spans="1:17" customFormat="1">
      <c r="A67" s="112" t="s">
        <v>2887</v>
      </c>
      <c r="B67" s="134">
        <v>6.37</v>
      </c>
      <c r="C67" s="134">
        <v>31.65</v>
      </c>
      <c r="D67" s="134">
        <v>20.6</v>
      </c>
      <c r="E67" s="134">
        <v>4.2300000000000004</v>
      </c>
      <c r="F67" s="134">
        <v>3.62</v>
      </c>
      <c r="G67" s="134">
        <v>2.8</v>
      </c>
      <c r="H67" s="134">
        <v>1.57</v>
      </c>
      <c r="I67" s="134">
        <v>2.08</v>
      </c>
      <c r="J67" s="134">
        <v>1.07</v>
      </c>
      <c r="K67" s="134">
        <v>256.24</v>
      </c>
      <c r="L67" s="134">
        <v>27.08</v>
      </c>
      <c r="M67" s="134">
        <v>82.98</v>
      </c>
      <c r="N67" s="134">
        <v>118.1</v>
      </c>
      <c r="O67" s="134">
        <v>0</v>
      </c>
      <c r="P67" s="134">
        <v>0.28999999999999998</v>
      </c>
      <c r="Q67" s="134">
        <v>4.17</v>
      </c>
    </row>
    <row r="68" spans="1:17" customFormat="1">
      <c r="A68" s="112" t="s">
        <v>2888</v>
      </c>
      <c r="B68" s="134">
        <v>6.32</v>
      </c>
      <c r="C68" s="134">
        <v>32.01</v>
      </c>
      <c r="D68" s="134">
        <v>20.75</v>
      </c>
      <c r="E68" s="134">
        <v>4.76</v>
      </c>
      <c r="F68" s="134">
        <v>3.48</v>
      </c>
      <c r="G68" s="134">
        <v>3.69</v>
      </c>
      <c r="H68" s="134">
        <v>2.14</v>
      </c>
      <c r="I68" s="134">
        <v>2.0499999999999998</v>
      </c>
      <c r="J68" s="134">
        <v>0.97</v>
      </c>
      <c r="K68" s="134">
        <v>251.61</v>
      </c>
      <c r="L68" s="134">
        <v>27.18</v>
      </c>
      <c r="M68" s="134">
        <v>83.13</v>
      </c>
      <c r="N68" s="134">
        <v>240.7</v>
      </c>
      <c r="O68" s="134">
        <v>0</v>
      </c>
      <c r="P68" s="134">
        <v>0.28999999999999998</v>
      </c>
      <c r="Q68" s="134">
        <v>4.13</v>
      </c>
    </row>
    <row r="69" spans="1:17" customFormat="1">
      <c r="A69" s="112" t="s">
        <v>2889</v>
      </c>
      <c r="B69" s="134">
        <v>6.47</v>
      </c>
      <c r="C69" s="134">
        <v>36.75</v>
      </c>
      <c r="D69" s="134">
        <v>23.34</v>
      </c>
      <c r="E69" s="134">
        <v>4.96</v>
      </c>
      <c r="F69" s="134">
        <v>1.72</v>
      </c>
      <c r="G69" s="134">
        <v>5.0999999999999996</v>
      </c>
      <c r="H69" s="134">
        <v>3.07</v>
      </c>
      <c r="I69" s="134">
        <v>2.0099999999999998</v>
      </c>
      <c r="J69" s="134">
        <v>1.01</v>
      </c>
      <c r="K69" s="134">
        <v>254.37</v>
      </c>
      <c r="L69" s="134">
        <v>27.8</v>
      </c>
      <c r="M69" s="134">
        <v>81.040000000000006</v>
      </c>
      <c r="N69" s="134">
        <v>293.3</v>
      </c>
      <c r="O69" s="134">
        <v>0</v>
      </c>
      <c r="P69" s="134">
        <v>0.34</v>
      </c>
      <c r="Q69" s="134">
        <v>4.26</v>
      </c>
    </row>
    <row r="70" spans="1:17" customFormat="1">
      <c r="A70" s="112" t="s">
        <v>2890</v>
      </c>
      <c r="B70" s="134">
        <v>6.74</v>
      </c>
      <c r="C70" s="134">
        <v>34.17</v>
      </c>
      <c r="D70" s="134">
        <v>22.21</v>
      </c>
      <c r="E70" s="134">
        <v>5.2</v>
      </c>
      <c r="F70" s="134">
        <v>2.97</v>
      </c>
      <c r="G70" s="134">
        <v>5.0999999999999996</v>
      </c>
      <c r="H70" s="134">
        <v>3.07</v>
      </c>
      <c r="I70" s="134">
        <v>2.06</v>
      </c>
      <c r="J70" s="134">
        <v>0.73</v>
      </c>
      <c r="K70" s="134">
        <v>240.41</v>
      </c>
      <c r="L70" s="134">
        <v>27.51</v>
      </c>
      <c r="M70" s="134">
        <v>82.14</v>
      </c>
      <c r="N70" s="134">
        <v>85.3</v>
      </c>
      <c r="O70" s="134">
        <v>0</v>
      </c>
      <c r="P70" s="134">
        <v>0.33</v>
      </c>
      <c r="Q70" s="134">
        <v>4.28</v>
      </c>
    </row>
    <row r="71" spans="1:17" customFormat="1">
      <c r="A71" s="112" t="s">
        <v>2891</v>
      </c>
      <c r="B71" s="134">
        <v>6.75</v>
      </c>
      <c r="C71" s="134">
        <v>30.99</v>
      </c>
      <c r="D71" s="134">
        <v>20.56</v>
      </c>
      <c r="E71" s="134">
        <v>4.82</v>
      </c>
      <c r="F71" s="134">
        <v>4.26</v>
      </c>
      <c r="G71" s="134">
        <v>5.0999999999999996</v>
      </c>
      <c r="H71" s="134">
        <v>3.07</v>
      </c>
      <c r="I71" s="134">
        <v>2.13</v>
      </c>
      <c r="J71" s="134">
        <v>0.93</v>
      </c>
      <c r="K71" s="134">
        <v>247.79</v>
      </c>
      <c r="L71" s="134">
        <v>27.85</v>
      </c>
      <c r="M71" s="134">
        <v>80.88</v>
      </c>
      <c r="N71" s="134">
        <v>368</v>
      </c>
      <c r="O71" s="134">
        <v>0</v>
      </c>
      <c r="P71" s="134">
        <v>0.3</v>
      </c>
      <c r="Q71" s="134">
        <v>4.22</v>
      </c>
    </row>
    <row r="72" spans="1:17" customFormat="1">
      <c r="A72" s="112" t="s">
        <v>2892</v>
      </c>
      <c r="B72" s="134">
        <v>6.56</v>
      </c>
      <c r="C72" s="134">
        <v>32.07</v>
      </c>
      <c r="D72" s="134">
        <v>20.97</v>
      </c>
      <c r="E72" s="134">
        <v>4.63</v>
      </c>
      <c r="F72" s="134">
        <v>3.88</v>
      </c>
      <c r="G72" s="134">
        <v>6.38</v>
      </c>
      <c r="H72" s="134">
        <v>3.28</v>
      </c>
      <c r="I72" s="134">
        <v>2.0699999999999998</v>
      </c>
      <c r="J72" s="134">
        <v>0.97</v>
      </c>
      <c r="K72" s="134">
        <v>251.05</v>
      </c>
      <c r="L72" s="134">
        <v>27.87</v>
      </c>
      <c r="M72" s="134">
        <v>80.16</v>
      </c>
      <c r="N72" s="134">
        <v>200</v>
      </c>
      <c r="O72" s="134">
        <v>0</v>
      </c>
      <c r="P72" s="134">
        <v>0.3</v>
      </c>
      <c r="Q72" s="134">
        <v>4.2</v>
      </c>
    </row>
    <row r="73" spans="1:17" customFormat="1">
      <c r="A73" s="112" t="s">
        <v>2893</v>
      </c>
      <c r="B73" s="134">
        <v>6.78</v>
      </c>
      <c r="C73" s="134">
        <v>36.51</v>
      </c>
      <c r="D73" s="134">
        <v>23.47</v>
      </c>
      <c r="E73" s="134">
        <v>4.87</v>
      </c>
      <c r="F73" s="134">
        <v>2.14</v>
      </c>
      <c r="G73" s="134">
        <v>8.4</v>
      </c>
      <c r="H73" s="134">
        <v>3.62</v>
      </c>
      <c r="I73" s="134">
        <v>2.0299999999999998</v>
      </c>
      <c r="J73" s="134">
        <v>0.99</v>
      </c>
      <c r="K73" s="134">
        <v>252.68</v>
      </c>
      <c r="L73" s="134">
        <v>27.74</v>
      </c>
      <c r="M73" s="134">
        <v>80.36</v>
      </c>
      <c r="N73" s="134">
        <v>117.1</v>
      </c>
      <c r="O73" s="134">
        <v>0</v>
      </c>
      <c r="P73" s="134">
        <v>0.35</v>
      </c>
      <c r="Q73" s="134">
        <v>4.3</v>
      </c>
    </row>
    <row r="74" spans="1:17" customFormat="1">
      <c r="A74" s="112" t="s">
        <v>2894</v>
      </c>
      <c r="B74" s="134">
        <v>6.94</v>
      </c>
      <c r="C74" s="134">
        <v>34.020000000000003</v>
      </c>
      <c r="D74" s="134">
        <v>22.3</v>
      </c>
      <c r="E74" s="134">
        <v>4.91</v>
      </c>
      <c r="F74" s="134">
        <v>3.31</v>
      </c>
      <c r="G74" s="134">
        <v>8.4</v>
      </c>
      <c r="H74" s="134">
        <v>3.62</v>
      </c>
      <c r="I74" s="134">
        <v>2.09</v>
      </c>
      <c r="J74" s="134">
        <v>1.04</v>
      </c>
      <c r="K74" s="134">
        <v>259.26</v>
      </c>
      <c r="L74" s="134">
        <v>27.56</v>
      </c>
      <c r="M74" s="134">
        <v>80.69</v>
      </c>
      <c r="N74" s="134">
        <v>63.3</v>
      </c>
      <c r="O74" s="134">
        <v>0</v>
      </c>
      <c r="P74" s="134">
        <v>0.33</v>
      </c>
      <c r="Q74" s="134">
        <v>4.29</v>
      </c>
    </row>
    <row r="75" spans="1:17" customFormat="1">
      <c r="A75" s="112" t="s">
        <v>2895</v>
      </c>
      <c r="B75" s="134">
        <v>6.5</v>
      </c>
      <c r="C75" s="134">
        <v>30.54</v>
      </c>
      <c r="D75" s="134">
        <v>20.12</v>
      </c>
      <c r="E75" s="134">
        <v>4.82</v>
      </c>
      <c r="F75" s="134">
        <v>6.48</v>
      </c>
      <c r="G75" s="134">
        <v>8.4</v>
      </c>
      <c r="H75" s="134">
        <v>3.62</v>
      </c>
      <c r="I75" s="134">
        <v>2.16</v>
      </c>
      <c r="J75" s="134">
        <v>0.68</v>
      </c>
      <c r="K75" s="134">
        <v>249.88</v>
      </c>
      <c r="L75" s="134">
        <v>27.43</v>
      </c>
      <c r="M75" s="134">
        <v>81.849999999999994</v>
      </c>
      <c r="N75" s="134">
        <v>41.2</v>
      </c>
      <c r="O75" s="134">
        <v>0</v>
      </c>
      <c r="P75" s="134">
        <v>0.31</v>
      </c>
      <c r="Q75" s="134">
        <v>4.2</v>
      </c>
    </row>
    <row r="76" spans="1:17" customFormat="1">
      <c r="A76" s="112" t="s">
        <v>2896</v>
      </c>
      <c r="B76" s="134">
        <v>6.45</v>
      </c>
      <c r="C76" s="134">
        <v>31.31</v>
      </c>
      <c r="D76" s="134">
        <v>20.49</v>
      </c>
      <c r="E76" s="134">
        <v>4.82</v>
      </c>
      <c r="F76" s="134">
        <v>4.9800000000000004</v>
      </c>
      <c r="G76" s="134">
        <v>9.7100000000000009</v>
      </c>
      <c r="H76" s="134">
        <v>4.75</v>
      </c>
      <c r="I76" s="134">
        <v>2.0699999999999998</v>
      </c>
      <c r="J76" s="134">
        <v>0.83</v>
      </c>
      <c r="K76" s="134">
        <v>256.66000000000003</v>
      </c>
      <c r="L76" s="134">
        <v>27.38</v>
      </c>
      <c r="M76" s="134">
        <v>81.67</v>
      </c>
      <c r="N76" s="134">
        <v>44.1</v>
      </c>
      <c r="O76" s="134">
        <v>0</v>
      </c>
      <c r="P76" s="134">
        <v>0.3</v>
      </c>
      <c r="Q76" s="134">
        <v>4.17</v>
      </c>
    </row>
    <row r="77" spans="1:17" customFormat="1">
      <c r="A77" s="112" t="s">
        <v>2897</v>
      </c>
      <c r="B77" s="134">
        <v>6.92</v>
      </c>
      <c r="C77" s="134">
        <v>36.74</v>
      </c>
      <c r="D77" s="134">
        <v>23.7</v>
      </c>
      <c r="E77" s="134">
        <v>5.34</v>
      </c>
      <c r="F77" s="134">
        <v>2.08</v>
      </c>
      <c r="G77" s="134">
        <v>11.77</v>
      </c>
      <c r="H77" s="134">
        <v>6.53</v>
      </c>
      <c r="I77" s="134">
        <v>2.0099999999999998</v>
      </c>
      <c r="J77" s="134">
        <v>0.75</v>
      </c>
      <c r="K77" s="134">
        <v>246.13</v>
      </c>
      <c r="L77" s="134">
        <v>27.34</v>
      </c>
      <c r="M77" s="134">
        <v>82.02</v>
      </c>
      <c r="N77" s="134">
        <v>36.1</v>
      </c>
      <c r="O77" s="134">
        <v>0</v>
      </c>
      <c r="P77" s="134">
        <v>0.35</v>
      </c>
      <c r="Q77" s="134">
        <v>4.3</v>
      </c>
    </row>
    <row r="78" spans="1:17" customFormat="1">
      <c r="A78" s="112" t="s">
        <v>2898</v>
      </c>
      <c r="B78" s="134">
        <v>7.16</v>
      </c>
      <c r="C78" s="134">
        <v>34.380000000000003</v>
      </c>
      <c r="D78" s="134">
        <v>22.66</v>
      </c>
      <c r="E78" s="134">
        <v>5.49</v>
      </c>
      <c r="F78" s="134">
        <v>3.48</v>
      </c>
      <c r="G78" s="134">
        <v>11.77</v>
      </c>
      <c r="H78" s="134">
        <v>6.53</v>
      </c>
      <c r="I78" s="134">
        <v>2.09</v>
      </c>
      <c r="J78" s="134">
        <v>0.72</v>
      </c>
      <c r="K78" s="134">
        <v>255.5</v>
      </c>
      <c r="L78" s="134">
        <v>27.27</v>
      </c>
      <c r="M78" s="134">
        <v>82.32</v>
      </c>
      <c r="N78" s="134">
        <v>37</v>
      </c>
      <c r="O78" s="134">
        <v>0</v>
      </c>
      <c r="P78" s="134">
        <v>0.34</v>
      </c>
      <c r="Q78" s="134">
        <v>4.3</v>
      </c>
    </row>
    <row r="79" spans="1:17" customFormat="1">
      <c r="A79" s="112" t="s">
        <v>2899</v>
      </c>
      <c r="B79" s="134">
        <v>6.63</v>
      </c>
      <c r="C79" s="134">
        <v>29.49</v>
      </c>
      <c r="D79" s="134">
        <v>19.68</v>
      </c>
      <c r="E79" s="134">
        <v>5.17</v>
      </c>
      <c r="F79" s="134">
        <v>7.02</v>
      </c>
      <c r="G79" s="134">
        <v>11.77</v>
      </c>
      <c r="H79" s="134">
        <v>6.53</v>
      </c>
      <c r="I79" s="134">
        <v>2.19</v>
      </c>
      <c r="J79" s="134">
        <v>0.49</v>
      </c>
      <c r="K79" s="134">
        <v>254.77</v>
      </c>
      <c r="L79" s="134">
        <v>27.21</v>
      </c>
      <c r="M79" s="134">
        <v>83.08</v>
      </c>
      <c r="N79" s="134">
        <v>7.5</v>
      </c>
      <c r="O79" s="134">
        <v>0</v>
      </c>
      <c r="P79" s="134">
        <v>0.31</v>
      </c>
      <c r="Q79" s="134">
        <v>4.2300000000000004</v>
      </c>
    </row>
    <row r="80" spans="1:17" customFormat="1">
      <c r="A80" s="112" t="s">
        <v>2900</v>
      </c>
      <c r="B80" s="134">
        <v>7.03</v>
      </c>
      <c r="C80" s="134">
        <v>33.270000000000003</v>
      </c>
      <c r="D80" s="134">
        <v>21.98</v>
      </c>
      <c r="E80" s="134">
        <v>4.92</v>
      </c>
      <c r="F80" s="134">
        <v>3.74</v>
      </c>
      <c r="G80" s="134">
        <v>11.84</v>
      </c>
      <c r="H80" s="134">
        <v>5.91</v>
      </c>
      <c r="I80" s="134">
        <v>2.09</v>
      </c>
      <c r="J80" s="134">
        <v>0.47</v>
      </c>
      <c r="K80" s="134">
        <v>253.69</v>
      </c>
      <c r="L80" s="134">
        <v>27.12</v>
      </c>
      <c r="M80" s="134">
        <v>83.82</v>
      </c>
      <c r="N80" s="134">
        <v>4.4000000000000004</v>
      </c>
      <c r="O80" s="134">
        <v>0</v>
      </c>
      <c r="P80" s="134">
        <v>0.33</v>
      </c>
      <c r="Q80" s="134">
        <v>4.25</v>
      </c>
    </row>
    <row r="81" spans="1:17" customFormat="1">
      <c r="A81" s="112" t="s">
        <v>2901</v>
      </c>
      <c r="B81" s="134">
        <v>7.74</v>
      </c>
      <c r="C81" s="134">
        <v>37.49</v>
      </c>
      <c r="D81" s="134">
        <v>24.75</v>
      </c>
      <c r="E81" s="134">
        <v>4.3499999999999996</v>
      </c>
      <c r="F81" s="134">
        <v>2.2799999999999998</v>
      </c>
      <c r="G81" s="134">
        <v>11.95</v>
      </c>
      <c r="H81" s="134">
        <v>4.9400000000000004</v>
      </c>
      <c r="I81" s="134">
        <v>2.06</v>
      </c>
      <c r="J81" s="134">
        <v>0.51</v>
      </c>
      <c r="K81" s="134">
        <v>249.66</v>
      </c>
      <c r="L81" s="134">
        <v>27.07</v>
      </c>
      <c r="M81" s="134">
        <v>84.04</v>
      </c>
      <c r="N81" s="134">
        <v>0</v>
      </c>
      <c r="O81" s="134">
        <v>0</v>
      </c>
      <c r="P81" s="134">
        <v>0.37</v>
      </c>
      <c r="Q81" s="134">
        <v>4.38</v>
      </c>
    </row>
    <row r="82" spans="1:17" customFormat="1">
      <c r="A82" s="112" t="s">
        <v>2902</v>
      </c>
      <c r="B82" s="134">
        <v>7.88</v>
      </c>
      <c r="C82" s="134">
        <v>33.33</v>
      </c>
      <c r="D82" s="134">
        <v>22.69</v>
      </c>
      <c r="E82" s="134">
        <v>5.08</v>
      </c>
      <c r="F82" s="134">
        <v>5.0999999999999996</v>
      </c>
      <c r="G82" s="134">
        <v>11.95</v>
      </c>
      <c r="H82" s="134">
        <v>4.9400000000000004</v>
      </c>
      <c r="I82" s="134">
        <v>2.1800000000000002</v>
      </c>
      <c r="J82" s="134">
        <v>0.54</v>
      </c>
      <c r="K82" s="134">
        <v>250.62</v>
      </c>
      <c r="L82" s="134">
        <v>27.02</v>
      </c>
      <c r="M82" s="134">
        <v>84.03</v>
      </c>
      <c r="N82" s="134">
        <v>0</v>
      </c>
      <c r="O82" s="134">
        <v>0</v>
      </c>
      <c r="P82" s="134">
        <v>0.34</v>
      </c>
      <c r="Q82" s="134">
        <v>4.3600000000000003</v>
      </c>
    </row>
    <row r="83" spans="1:17" customFormat="1">
      <c r="A83" s="112" t="s">
        <v>2903</v>
      </c>
      <c r="B83" s="134">
        <v>7.55</v>
      </c>
      <c r="C83" s="134">
        <v>29.88</v>
      </c>
      <c r="D83" s="134">
        <v>20.62</v>
      </c>
      <c r="E83" s="134">
        <v>5.07</v>
      </c>
      <c r="F83" s="134">
        <v>7.06</v>
      </c>
      <c r="G83" s="134">
        <v>11.95</v>
      </c>
      <c r="H83" s="134">
        <v>4.9400000000000004</v>
      </c>
      <c r="I83" s="134">
        <v>2.25</v>
      </c>
      <c r="J83" s="134">
        <v>0.43</v>
      </c>
      <c r="K83" s="134">
        <v>247.8</v>
      </c>
      <c r="L83" s="134">
        <v>26.91</v>
      </c>
      <c r="M83" s="134">
        <v>84.64</v>
      </c>
      <c r="N83" s="134">
        <v>0</v>
      </c>
      <c r="O83" s="134">
        <v>0</v>
      </c>
      <c r="P83" s="134">
        <v>0.32</v>
      </c>
      <c r="Q83" s="134">
        <v>4.29</v>
      </c>
    </row>
    <row r="84" spans="1:17" customFormat="1">
      <c r="A84" s="112" t="s">
        <v>2904</v>
      </c>
      <c r="B84" s="134">
        <v>8.2200000000000006</v>
      </c>
      <c r="C84" s="134">
        <v>33.549999999999997</v>
      </c>
      <c r="D84" s="134">
        <v>23.08</v>
      </c>
      <c r="E84" s="134">
        <v>5.3</v>
      </c>
      <c r="F84" s="134">
        <v>3.59</v>
      </c>
      <c r="G84" s="134">
        <v>10.6</v>
      </c>
      <c r="H84" s="134">
        <v>4.43</v>
      </c>
      <c r="I84" s="134">
        <v>2.16</v>
      </c>
      <c r="J84" s="134">
        <v>0.35</v>
      </c>
      <c r="K84" s="134">
        <v>231.74</v>
      </c>
      <c r="L84" s="134">
        <v>26.75</v>
      </c>
      <c r="M84" s="134">
        <v>86.42</v>
      </c>
      <c r="N84" s="134">
        <v>0</v>
      </c>
      <c r="O84" s="134">
        <v>0</v>
      </c>
      <c r="P84" s="134">
        <v>0.35</v>
      </c>
      <c r="Q84" s="134">
        <v>4.28</v>
      </c>
    </row>
    <row r="85" spans="1:17" customFormat="1">
      <c r="A85" s="112" t="s">
        <v>2905</v>
      </c>
      <c r="B85" s="134">
        <v>8.7200000000000006</v>
      </c>
      <c r="C85" s="134">
        <v>36.61</v>
      </c>
      <c r="D85" s="134">
        <v>25.08</v>
      </c>
      <c r="E85" s="134">
        <v>5.9</v>
      </c>
      <c r="F85" s="134">
        <v>2.88</v>
      </c>
      <c r="G85" s="134">
        <v>8.4700000000000006</v>
      </c>
      <c r="H85" s="134">
        <v>3.63</v>
      </c>
      <c r="I85" s="134">
        <v>2.1800000000000002</v>
      </c>
      <c r="J85" s="134">
        <v>0.7</v>
      </c>
      <c r="K85" s="134">
        <v>255.32</v>
      </c>
      <c r="L85" s="134">
        <v>26.84</v>
      </c>
      <c r="M85" s="134">
        <v>84.55</v>
      </c>
      <c r="N85" s="134">
        <v>0</v>
      </c>
      <c r="O85" s="134">
        <v>0</v>
      </c>
      <c r="P85" s="134">
        <v>0.36</v>
      </c>
      <c r="Q85" s="134">
        <v>4.4000000000000004</v>
      </c>
    </row>
    <row r="86" spans="1:17" customFormat="1">
      <c r="A86" s="112" t="s">
        <v>2906</v>
      </c>
      <c r="B86" s="134">
        <v>8.1999999999999993</v>
      </c>
      <c r="C86" s="134">
        <v>31.4</v>
      </c>
      <c r="D86" s="134">
        <v>21.93</v>
      </c>
      <c r="E86" s="134">
        <v>5.27</v>
      </c>
      <c r="F86" s="134">
        <v>6.49</v>
      </c>
      <c r="G86" s="134">
        <v>8.4700000000000006</v>
      </c>
      <c r="H86" s="134">
        <v>3.63</v>
      </c>
      <c r="I86" s="134">
        <v>2.2999999999999998</v>
      </c>
      <c r="J86" s="134">
        <v>0.27</v>
      </c>
      <c r="K86" s="134">
        <v>234.82</v>
      </c>
      <c r="L86" s="134">
        <v>26.72</v>
      </c>
      <c r="M86" s="134">
        <v>85.79</v>
      </c>
      <c r="N86" s="134">
        <v>0</v>
      </c>
      <c r="O86" s="134">
        <v>0</v>
      </c>
      <c r="P86" s="134">
        <v>0.34</v>
      </c>
      <c r="Q86" s="134">
        <v>4.3600000000000003</v>
      </c>
    </row>
    <row r="87" spans="1:17" customFormat="1">
      <c r="A87" s="112" t="s">
        <v>2907</v>
      </c>
      <c r="B87" s="134">
        <v>8.11</v>
      </c>
      <c r="C87" s="134">
        <v>31.04</v>
      </c>
      <c r="D87" s="134">
        <v>21.68</v>
      </c>
      <c r="E87" s="134">
        <v>5.23</v>
      </c>
      <c r="F87" s="134">
        <v>5.19</v>
      </c>
      <c r="G87" s="134">
        <v>8.4700000000000006</v>
      </c>
      <c r="H87" s="134">
        <v>3.63</v>
      </c>
      <c r="I87" s="134">
        <v>2.31</v>
      </c>
      <c r="J87" s="134">
        <v>0.25</v>
      </c>
      <c r="K87" s="134">
        <v>227.72</v>
      </c>
      <c r="L87" s="134">
        <v>26.48</v>
      </c>
      <c r="M87" s="134">
        <v>88.38</v>
      </c>
      <c r="N87" s="134">
        <v>0</v>
      </c>
      <c r="O87" s="134">
        <v>0</v>
      </c>
      <c r="P87" s="134">
        <v>0.33</v>
      </c>
      <c r="Q87" s="134">
        <v>4.32</v>
      </c>
    </row>
    <row r="88" spans="1:17" customFormat="1">
      <c r="A88" s="112" t="s">
        <v>2908</v>
      </c>
      <c r="B88" s="134">
        <v>8.7799999999999994</v>
      </c>
      <c r="C88" s="134">
        <v>35.58</v>
      </c>
      <c r="D88" s="134">
        <v>24.58</v>
      </c>
      <c r="E88" s="134">
        <v>6.08</v>
      </c>
      <c r="F88" s="134">
        <v>4.24</v>
      </c>
      <c r="G88" s="134">
        <v>10.3</v>
      </c>
      <c r="H88" s="134">
        <v>4.67</v>
      </c>
      <c r="I88" s="134">
        <v>2.2200000000000002</v>
      </c>
      <c r="J88" s="134">
        <v>0.32</v>
      </c>
      <c r="K88" s="134">
        <v>240.39</v>
      </c>
      <c r="L88" s="134">
        <v>26.32</v>
      </c>
      <c r="M88" s="134">
        <v>89.94</v>
      </c>
      <c r="N88" s="134">
        <v>0</v>
      </c>
      <c r="O88" s="134">
        <v>0</v>
      </c>
      <c r="P88" s="134">
        <v>0.38</v>
      </c>
      <c r="Q88" s="134">
        <v>4.45</v>
      </c>
    </row>
    <row r="89" spans="1:17" customFormat="1">
      <c r="A89" s="112" t="s">
        <v>2909</v>
      </c>
      <c r="B89" s="134">
        <v>8.5</v>
      </c>
      <c r="C89" s="134">
        <v>31.47</v>
      </c>
      <c r="D89" s="134">
        <v>22.21</v>
      </c>
      <c r="E89" s="134">
        <v>5.99</v>
      </c>
      <c r="F89" s="134">
        <v>6.98</v>
      </c>
      <c r="G89" s="134">
        <v>13.33</v>
      </c>
      <c r="H89" s="134">
        <v>6.29</v>
      </c>
      <c r="I89" s="134">
        <v>2.31</v>
      </c>
      <c r="J89" s="134">
        <v>0.31</v>
      </c>
      <c r="K89" s="134">
        <v>239.14</v>
      </c>
      <c r="L89" s="134">
        <v>26.28</v>
      </c>
      <c r="M89" s="134">
        <v>90.06</v>
      </c>
      <c r="N89" s="134">
        <v>0</v>
      </c>
      <c r="O89" s="134">
        <v>0</v>
      </c>
      <c r="P89" s="134">
        <v>0.36</v>
      </c>
      <c r="Q89" s="134">
        <v>4.4400000000000004</v>
      </c>
    </row>
    <row r="90" spans="1:17" customFormat="1">
      <c r="A90" s="112" t="s">
        <v>2910</v>
      </c>
      <c r="B90" s="134">
        <v>8.59</v>
      </c>
      <c r="C90" s="134">
        <v>29.62</v>
      </c>
      <c r="D90" s="134">
        <v>21.32</v>
      </c>
      <c r="E90" s="134">
        <v>5.63</v>
      </c>
      <c r="F90" s="134">
        <v>6.03</v>
      </c>
      <c r="G90" s="134">
        <v>13.33</v>
      </c>
      <c r="H90" s="134">
        <v>6.29</v>
      </c>
      <c r="I90" s="134">
        <v>2.38</v>
      </c>
      <c r="J90" s="134">
        <v>0.28000000000000003</v>
      </c>
      <c r="K90" s="134">
        <v>237.98</v>
      </c>
      <c r="L90" s="134">
        <v>26.19</v>
      </c>
      <c r="M90" s="134">
        <v>90.83</v>
      </c>
      <c r="N90" s="134">
        <v>0</v>
      </c>
      <c r="O90" s="134">
        <v>0</v>
      </c>
      <c r="P90" s="134">
        <v>0.33</v>
      </c>
      <c r="Q90" s="134">
        <v>4.37</v>
      </c>
    </row>
    <row r="91" spans="1:17" customFormat="1">
      <c r="A91" s="112" t="s">
        <v>2911</v>
      </c>
      <c r="B91" s="134">
        <v>9.89</v>
      </c>
      <c r="C91" s="134">
        <v>36.96</v>
      </c>
      <c r="D91" s="134">
        <v>26.2</v>
      </c>
      <c r="E91" s="134">
        <v>5.96</v>
      </c>
      <c r="F91" s="134">
        <v>2.61</v>
      </c>
      <c r="G91" s="134">
        <v>13.33</v>
      </c>
      <c r="H91" s="134">
        <v>6.29</v>
      </c>
      <c r="I91" s="134">
        <v>2.27</v>
      </c>
      <c r="J91" s="134">
        <v>0.28000000000000003</v>
      </c>
      <c r="K91" s="134">
        <v>254.8</v>
      </c>
      <c r="L91" s="134">
        <v>26.17</v>
      </c>
      <c r="M91" s="134">
        <v>90.77</v>
      </c>
      <c r="N91" s="134">
        <v>0</v>
      </c>
      <c r="O91" s="134">
        <v>0</v>
      </c>
      <c r="P91" s="134">
        <v>0.37</v>
      </c>
      <c r="Q91" s="134">
        <v>4.45</v>
      </c>
    </row>
    <row r="92" spans="1:17" customFormat="1">
      <c r="A92" s="112" t="s">
        <v>2912</v>
      </c>
      <c r="B92" s="134">
        <v>9.4</v>
      </c>
      <c r="C92" s="134">
        <v>32.01</v>
      </c>
      <c r="D92" s="134">
        <v>23.21</v>
      </c>
      <c r="E92" s="134">
        <v>6.09</v>
      </c>
      <c r="F92" s="134">
        <v>6.17</v>
      </c>
      <c r="G92" s="134">
        <v>12.48</v>
      </c>
      <c r="H92" s="134">
        <v>5.85</v>
      </c>
      <c r="I92" s="134">
        <v>2.37</v>
      </c>
      <c r="J92" s="134">
        <v>0.32</v>
      </c>
      <c r="K92" s="134">
        <v>248.31</v>
      </c>
      <c r="L92" s="134">
        <v>26.23</v>
      </c>
      <c r="M92" s="134">
        <v>90.1</v>
      </c>
      <c r="N92" s="134">
        <v>0</v>
      </c>
      <c r="O92" s="134">
        <v>0</v>
      </c>
      <c r="P92" s="134">
        <v>0.36</v>
      </c>
      <c r="Q92" s="134">
        <v>4.47</v>
      </c>
    </row>
    <row r="93" spans="1:17" customFormat="1">
      <c r="A93" s="112" t="s">
        <v>2913</v>
      </c>
      <c r="B93" s="134">
        <v>9.26</v>
      </c>
      <c r="C93" s="134">
        <v>28.92</v>
      </c>
      <c r="D93" s="134">
        <v>21.49</v>
      </c>
      <c r="E93" s="134">
        <v>6.02</v>
      </c>
      <c r="F93" s="134">
        <v>7.07</v>
      </c>
      <c r="G93" s="134">
        <v>11.15</v>
      </c>
      <c r="H93" s="134">
        <v>5.15</v>
      </c>
      <c r="I93" s="134">
        <v>2.4500000000000002</v>
      </c>
      <c r="J93" s="134">
        <v>0.36</v>
      </c>
      <c r="K93" s="134">
        <v>243.17</v>
      </c>
      <c r="L93" s="134">
        <v>26.25</v>
      </c>
      <c r="M93" s="134">
        <v>89.69</v>
      </c>
      <c r="N93" s="134">
        <v>0</v>
      </c>
      <c r="O93" s="134">
        <v>0</v>
      </c>
      <c r="P93" s="134">
        <v>0.33</v>
      </c>
      <c r="Q93" s="134">
        <v>4.41</v>
      </c>
    </row>
    <row r="94" spans="1:17" customFormat="1">
      <c r="A94" s="112" t="s">
        <v>2914</v>
      </c>
      <c r="B94" s="134">
        <v>10.66</v>
      </c>
      <c r="C94" s="134">
        <v>35.71</v>
      </c>
      <c r="D94" s="134">
        <v>26.16</v>
      </c>
      <c r="E94" s="134">
        <v>6.15</v>
      </c>
      <c r="F94" s="134">
        <v>3.13</v>
      </c>
      <c r="G94" s="134">
        <v>11.15</v>
      </c>
      <c r="H94" s="134">
        <v>5.15</v>
      </c>
      <c r="I94" s="134">
        <v>2.2799999999999998</v>
      </c>
      <c r="J94" s="134">
        <v>0.35</v>
      </c>
      <c r="K94" s="134">
        <v>239.72</v>
      </c>
      <c r="L94" s="134">
        <v>26.23</v>
      </c>
      <c r="M94" s="134">
        <v>89.76</v>
      </c>
      <c r="N94" s="134">
        <v>0</v>
      </c>
      <c r="O94" s="134">
        <v>0</v>
      </c>
      <c r="P94" s="134">
        <v>0.37</v>
      </c>
      <c r="Q94" s="134">
        <v>4.4800000000000004</v>
      </c>
    </row>
    <row r="95" spans="1:17" customFormat="1">
      <c r="A95" s="112" t="s">
        <v>2915</v>
      </c>
      <c r="B95" s="134">
        <v>10.73</v>
      </c>
      <c r="C95" s="134">
        <v>34.9</v>
      </c>
      <c r="D95" s="134">
        <v>25.8</v>
      </c>
      <c r="E95" s="134">
        <v>6.51</v>
      </c>
      <c r="F95" s="134">
        <v>4.1399999999999997</v>
      </c>
      <c r="G95" s="134">
        <v>11.15</v>
      </c>
      <c r="H95" s="134">
        <v>5.15</v>
      </c>
      <c r="I95" s="134">
        <v>2.36</v>
      </c>
      <c r="J95" s="134">
        <v>0.35</v>
      </c>
      <c r="K95" s="134">
        <v>240.67</v>
      </c>
      <c r="L95" s="134">
        <v>26.2</v>
      </c>
      <c r="M95" s="134">
        <v>89.81</v>
      </c>
      <c r="N95" s="134">
        <v>0</v>
      </c>
      <c r="O95" s="134">
        <v>0</v>
      </c>
      <c r="P95" s="134">
        <v>0.37</v>
      </c>
      <c r="Q95" s="134">
        <v>4.55</v>
      </c>
    </row>
    <row r="96" spans="1:17" customFormat="1">
      <c r="A96" s="112" t="s">
        <v>2916</v>
      </c>
      <c r="B96" s="134">
        <v>10.32</v>
      </c>
      <c r="C96" s="134">
        <v>30.57</v>
      </c>
      <c r="D96" s="134">
        <v>23.2</v>
      </c>
      <c r="E96" s="134">
        <v>6.2</v>
      </c>
      <c r="F96" s="134">
        <v>5.98</v>
      </c>
      <c r="G96" s="134">
        <v>10.97</v>
      </c>
      <c r="H96" s="134">
        <v>6.47</v>
      </c>
      <c r="I96" s="134">
        <v>2.5299999999999998</v>
      </c>
      <c r="J96" s="134">
        <v>0.37</v>
      </c>
      <c r="K96" s="134">
        <v>226.4</v>
      </c>
      <c r="L96" s="134">
        <v>26.14</v>
      </c>
      <c r="M96" s="134">
        <v>90.2</v>
      </c>
      <c r="N96" s="134">
        <v>0</v>
      </c>
      <c r="O96" s="134">
        <v>0</v>
      </c>
      <c r="P96" s="134">
        <v>0.34</v>
      </c>
      <c r="Q96" s="134">
        <v>4.47</v>
      </c>
    </row>
    <row r="97" spans="1:22" customFormat="1">
      <c r="A97" s="112" t="s">
        <v>2917</v>
      </c>
      <c r="B97" s="134">
        <v>11.41</v>
      </c>
      <c r="C97" s="134">
        <v>36.659999999999997</v>
      </c>
      <c r="D97" s="134">
        <v>27.26</v>
      </c>
      <c r="E97" s="134">
        <v>6.62</v>
      </c>
      <c r="F97" s="134">
        <v>2.98</v>
      </c>
      <c r="G97" s="134">
        <v>10.69</v>
      </c>
      <c r="H97" s="134">
        <v>7.71</v>
      </c>
      <c r="I97" s="134">
        <v>2.41</v>
      </c>
      <c r="J97" s="134">
        <v>0.45</v>
      </c>
      <c r="K97" s="134">
        <v>244.51</v>
      </c>
      <c r="L97" s="134">
        <v>26.06</v>
      </c>
      <c r="M97" s="134">
        <v>90.38</v>
      </c>
      <c r="N97" s="134">
        <v>0</v>
      </c>
      <c r="O97" s="134">
        <v>0</v>
      </c>
      <c r="P97" s="134">
        <v>0.37</v>
      </c>
      <c r="Q97" s="134">
        <v>4.5199999999999996</v>
      </c>
    </row>
    <row r="98" spans="1:22" customFormat="1">
      <c r="A98" s="112" t="s">
        <v>2918</v>
      </c>
      <c r="B98" s="134">
        <v>11.64</v>
      </c>
      <c r="C98" s="134">
        <v>35.47</v>
      </c>
      <c r="D98" s="134">
        <v>26.82</v>
      </c>
      <c r="E98" s="134">
        <v>6.54</v>
      </c>
      <c r="F98" s="134">
        <v>3.76</v>
      </c>
      <c r="G98" s="134">
        <v>10.69</v>
      </c>
      <c r="H98" s="134">
        <v>7.71</v>
      </c>
      <c r="I98" s="134">
        <v>2.42</v>
      </c>
      <c r="J98" s="134">
        <v>0.55000000000000004</v>
      </c>
      <c r="K98" s="134">
        <v>245.71</v>
      </c>
      <c r="L98" s="134">
        <v>26.04</v>
      </c>
      <c r="M98" s="134">
        <v>89.98</v>
      </c>
      <c r="N98" s="134">
        <v>0</v>
      </c>
      <c r="O98" s="134">
        <v>0</v>
      </c>
      <c r="P98" s="134">
        <v>0.37</v>
      </c>
      <c r="Q98" s="134">
        <v>4.55</v>
      </c>
    </row>
    <row r="99" spans="1:22" customFormat="1">
      <c r="A99" s="112" t="s">
        <v>2919</v>
      </c>
      <c r="B99" s="134">
        <v>11.44</v>
      </c>
      <c r="C99" s="134">
        <v>30.58</v>
      </c>
      <c r="D99" s="134">
        <v>24.11</v>
      </c>
      <c r="E99" s="134">
        <v>6.34</v>
      </c>
      <c r="F99" s="134">
        <v>4.71</v>
      </c>
      <c r="G99" s="134">
        <v>10.69</v>
      </c>
      <c r="H99" s="134">
        <v>7.71</v>
      </c>
      <c r="I99" s="134">
        <v>2.56</v>
      </c>
      <c r="J99" s="134">
        <v>0.61</v>
      </c>
      <c r="K99" s="134">
        <v>249.06</v>
      </c>
      <c r="L99" s="134">
        <v>26.08</v>
      </c>
      <c r="M99" s="134">
        <v>89.34</v>
      </c>
      <c r="N99" s="134">
        <v>0</v>
      </c>
      <c r="O99" s="134">
        <v>0</v>
      </c>
      <c r="P99" s="134">
        <v>0.33</v>
      </c>
      <c r="Q99" s="134">
        <v>4.4800000000000004</v>
      </c>
    </row>
    <row r="100" spans="1:22" customFormat="1">
      <c r="A100" s="112" t="s">
        <v>2920</v>
      </c>
      <c r="B100" s="134">
        <v>11.93</v>
      </c>
      <c r="C100" s="134">
        <v>35.200000000000003</v>
      </c>
      <c r="D100" s="134">
        <v>26.91</v>
      </c>
      <c r="E100" s="134">
        <v>6.54</v>
      </c>
      <c r="F100" s="134">
        <v>2.63</v>
      </c>
      <c r="G100" s="134">
        <v>11.1</v>
      </c>
      <c r="H100" s="134">
        <v>6.6</v>
      </c>
      <c r="I100" s="134">
        <v>2.4700000000000002</v>
      </c>
      <c r="J100" s="134">
        <v>0.57999999999999996</v>
      </c>
      <c r="K100" s="134">
        <v>249.26</v>
      </c>
      <c r="L100" s="134">
        <v>26.13</v>
      </c>
      <c r="M100" s="134">
        <v>88.8</v>
      </c>
      <c r="N100" s="134">
        <v>0</v>
      </c>
      <c r="O100" s="134">
        <v>0</v>
      </c>
      <c r="P100" s="134">
        <v>0.36</v>
      </c>
      <c r="Q100" s="134">
        <v>4.4800000000000004</v>
      </c>
    </row>
    <row r="101" spans="1:22" customFormat="1">
      <c r="A101" s="112" t="s">
        <v>2921</v>
      </c>
      <c r="B101" s="134">
        <v>12.36</v>
      </c>
      <c r="C101" s="134">
        <v>37.020000000000003</v>
      </c>
      <c r="D101" s="134">
        <v>28.21</v>
      </c>
      <c r="E101" s="134">
        <v>6.75</v>
      </c>
      <c r="F101" s="134">
        <v>2.19</v>
      </c>
      <c r="G101" s="134">
        <v>11.73</v>
      </c>
      <c r="H101" s="134">
        <v>5.55</v>
      </c>
      <c r="I101" s="134">
        <v>2.4300000000000002</v>
      </c>
      <c r="J101" s="134">
        <v>0.54</v>
      </c>
      <c r="K101" s="134">
        <v>242.6</v>
      </c>
      <c r="L101" s="134">
        <v>26.06</v>
      </c>
      <c r="M101" s="134">
        <v>89.21</v>
      </c>
      <c r="N101" s="134">
        <v>0</v>
      </c>
      <c r="O101" s="134">
        <v>0</v>
      </c>
      <c r="P101" s="134">
        <v>0.38</v>
      </c>
      <c r="Q101" s="134">
        <v>4.6100000000000003</v>
      </c>
    </row>
    <row r="102" spans="1:22" customFormat="1">
      <c r="A102" s="112" t="s">
        <v>2922</v>
      </c>
      <c r="B102" s="134">
        <v>12.12</v>
      </c>
      <c r="C102" s="134">
        <v>31.7</v>
      </c>
      <c r="D102" s="134">
        <v>25.23</v>
      </c>
      <c r="E102" s="134">
        <v>6.27</v>
      </c>
      <c r="F102" s="134">
        <v>4.7</v>
      </c>
      <c r="G102" s="134">
        <v>11.73</v>
      </c>
      <c r="H102" s="134">
        <v>5.55</v>
      </c>
      <c r="I102" s="134">
        <v>2.5499999999999998</v>
      </c>
      <c r="J102" s="134">
        <v>0.57999999999999996</v>
      </c>
      <c r="K102" s="134">
        <v>243.83</v>
      </c>
      <c r="L102" s="134">
        <v>26.04</v>
      </c>
      <c r="M102" s="134">
        <v>88.95</v>
      </c>
      <c r="N102" s="134">
        <v>0</v>
      </c>
      <c r="O102" s="134">
        <v>0</v>
      </c>
      <c r="P102" s="134">
        <v>0.34</v>
      </c>
      <c r="Q102" s="134">
        <v>4.55</v>
      </c>
    </row>
    <row r="103" spans="1:22" customFormat="1">
      <c r="A103" s="112" t="s">
        <v>2923</v>
      </c>
      <c r="B103" s="134">
        <v>12.21</v>
      </c>
      <c r="C103" s="134">
        <v>33.340000000000003</v>
      </c>
      <c r="D103" s="134">
        <v>26.16</v>
      </c>
      <c r="E103" s="134">
        <v>6.11</v>
      </c>
      <c r="F103" s="134">
        <v>3.88</v>
      </c>
      <c r="G103" s="134">
        <v>11.73</v>
      </c>
      <c r="H103" s="134">
        <v>5.55</v>
      </c>
      <c r="I103" s="134">
        <v>2.52</v>
      </c>
      <c r="J103" s="134">
        <v>0.51</v>
      </c>
      <c r="K103" s="134">
        <v>244.28</v>
      </c>
      <c r="L103" s="134">
        <v>25.93</v>
      </c>
      <c r="M103" s="134">
        <v>89.76</v>
      </c>
      <c r="N103" s="134">
        <v>0</v>
      </c>
      <c r="O103" s="134">
        <v>0</v>
      </c>
      <c r="P103" s="134">
        <v>0.34</v>
      </c>
      <c r="Q103" s="134">
        <v>4.51</v>
      </c>
    </row>
    <row r="104" spans="1:22" customFormat="1">
      <c r="A104" s="112" t="s">
        <v>2924</v>
      </c>
      <c r="B104" s="134">
        <v>12.11</v>
      </c>
      <c r="C104" s="134">
        <v>35.619999999999997</v>
      </c>
      <c r="D104" s="134">
        <v>27.28</v>
      </c>
      <c r="E104" s="134">
        <v>6.95</v>
      </c>
      <c r="F104" s="134">
        <v>3.06</v>
      </c>
      <c r="G104" s="134">
        <v>12.29</v>
      </c>
      <c r="H104" s="134">
        <v>5.62</v>
      </c>
      <c r="I104" s="134">
        <v>2.4</v>
      </c>
      <c r="J104" s="134">
        <v>0.45</v>
      </c>
      <c r="K104" s="134">
        <v>235.69</v>
      </c>
      <c r="L104" s="134">
        <v>25.87</v>
      </c>
      <c r="M104" s="134">
        <v>90.14</v>
      </c>
      <c r="N104" s="134">
        <v>0</v>
      </c>
      <c r="O104" s="134">
        <v>0</v>
      </c>
      <c r="P104" s="134">
        <v>0.37</v>
      </c>
      <c r="Q104" s="134">
        <v>4.5999999999999996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6.18</v>
      </c>
      <c r="C106" s="183">
        <f>MIN(C9:C104)</f>
        <v>28.13</v>
      </c>
      <c r="D106" s="183">
        <f t="shared" ref="D106:Q106" si="0">MIN(D9:D104)</f>
        <v>19.07</v>
      </c>
      <c r="E106" s="183">
        <f t="shared" si="0"/>
        <v>3.71</v>
      </c>
      <c r="F106" s="183">
        <f t="shared" si="0"/>
        <v>0.63</v>
      </c>
      <c r="G106" s="183">
        <f t="shared" si="0"/>
        <v>1.23</v>
      </c>
      <c r="H106" s="183">
        <f t="shared" si="0"/>
        <v>0.83</v>
      </c>
      <c r="I106" s="183">
        <f t="shared" si="0"/>
        <v>1.98</v>
      </c>
      <c r="J106" s="183">
        <f t="shared" si="0"/>
        <v>0.25</v>
      </c>
      <c r="K106" s="183">
        <f t="shared" si="0"/>
        <v>226.4</v>
      </c>
      <c r="L106" s="183">
        <f t="shared" si="0"/>
        <v>24.37</v>
      </c>
      <c r="M106" s="183">
        <f t="shared" si="0"/>
        <v>80.16</v>
      </c>
      <c r="N106" s="183">
        <f t="shared" si="0"/>
        <v>0</v>
      </c>
      <c r="O106" s="183">
        <f t="shared" si="0"/>
        <v>0</v>
      </c>
      <c r="P106" s="183">
        <f t="shared" si="0"/>
        <v>0.28999999999999998</v>
      </c>
      <c r="Q106" s="183">
        <f t="shared" si="0"/>
        <v>4.12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12.36</v>
      </c>
      <c r="C107" s="184">
        <f t="shared" ref="C107:Q107" si="1">MAX(C9:C104)</f>
        <v>39.380000000000003</v>
      </c>
      <c r="D107" s="184">
        <f t="shared" si="1"/>
        <v>28.25</v>
      </c>
      <c r="E107" s="184">
        <f t="shared" si="1"/>
        <v>6.95</v>
      </c>
      <c r="F107" s="184">
        <f t="shared" si="1"/>
        <v>317.14</v>
      </c>
      <c r="G107" s="184">
        <f t="shared" si="1"/>
        <v>13.33</v>
      </c>
      <c r="H107" s="184">
        <f t="shared" si="1"/>
        <v>7.71</v>
      </c>
      <c r="I107" s="184">
        <f t="shared" si="1"/>
        <v>2.56</v>
      </c>
      <c r="J107" s="184">
        <f t="shared" si="1"/>
        <v>1.38</v>
      </c>
      <c r="K107" s="184">
        <f t="shared" si="1"/>
        <v>259.57</v>
      </c>
      <c r="L107" s="184">
        <f t="shared" si="1"/>
        <v>27.95</v>
      </c>
      <c r="M107" s="184">
        <f t="shared" si="1"/>
        <v>93.96</v>
      </c>
      <c r="N107" s="184">
        <f t="shared" si="1"/>
        <v>624.6</v>
      </c>
      <c r="O107" s="184">
        <f t="shared" si="1"/>
        <v>0</v>
      </c>
      <c r="P107" s="184">
        <f t="shared" si="1"/>
        <v>0.38</v>
      </c>
      <c r="Q107" s="184">
        <f t="shared" si="1"/>
        <v>4.6100000000000003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9.5614583333333325</v>
      </c>
      <c r="C108" s="183">
        <f t="shared" ref="C108:Q108" si="2">AVERAGE(C9:C104)</f>
        <v>34.728645833333324</v>
      </c>
      <c r="D108" s="183">
        <f t="shared" si="2"/>
        <v>24.767499999999998</v>
      </c>
      <c r="E108" s="183">
        <f t="shared" si="2"/>
        <v>5.5098958333333323</v>
      </c>
      <c r="F108" s="183">
        <f t="shared" si="2"/>
        <v>9.7208333333333332</v>
      </c>
      <c r="G108" s="183">
        <f t="shared" si="2"/>
        <v>5.6587500000000013</v>
      </c>
      <c r="H108" s="183">
        <f t="shared" si="2"/>
        <v>2.7515909090909094</v>
      </c>
      <c r="I108" s="183">
        <f t="shared" si="2"/>
        <v>2.1884375000000005</v>
      </c>
      <c r="J108" s="183">
        <f t="shared" si="2"/>
        <v>0.87270833333333331</v>
      </c>
      <c r="K108" s="183">
        <f t="shared" si="2"/>
        <v>250.86531249999993</v>
      </c>
      <c r="L108" s="183">
        <f t="shared" si="2"/>
        <v>25.976770833333319</v>
      </c>
      <c r="M108" s="183">
        <f t="shared" si="2"/>
        <v>87.936979166666688</v>
      </c>
      <c r="N108" s="183">
        <f t="shared" si="2"/>
        <v>73.590625000000017</v>
      </c>
      <c r="O108" s="183">
        <f t="shared" si="2"/>
        <v>0</v>
      </c>
      <c r="P108" s="183">
        <f t="shared" si="2"/>
        <v>0.33135416666666656</v>
      </c>
      <c r="Q108" s="183">
        <f t="shared" si="2"/>
        <v>4.4012500000000019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1.9060529507013126</v>
      </c>
      <c r="C109" s="183">
        <f t="shared" ref="C109:Q109" si="3">STDEV(C9:C104)</f>
        <v>2.750157361925309</v>
      </c>
      <c r="D109" s="183">
        <f t="shared" si="3"/>
        <v>2.610994567512313</v>
      </c>
      <c r="E109" s="183">
        <f t="shared" si="3"/>
        <v>0.74355263119088788</v>
      </c>
      <c r="F109" s="183">
        <f t="shared" si="3"/>
        <v>39.34425275134101</v>
      </c>
      <c r="G109" s="183">
        <f t="shared" si="3"/>
        <v>4.2594235788587547</v>
      </c>
      <c r="H109" s="183">
        <f t="shared" si="3"/>
        <v>2.246403964840193</v>
      </c>
      <c r="I109" s="183">
        <f t="shared" si="3"/>
        <v>0.1305158036407803</v>
      </c>
      <c r="J109" s="183">
        <f t="shared" si="3"/>
        <v>0.30940853309318578</v>
      </c>
      <c r="K109" s="183">
        <f t="shared" si="3"/>
        <v>6.7594909420842209</v>
      </c>
      <c r="L109" s="183">
        <f t="shared" si="3"/>
        <v>1.1043545338360681</v>
      </c>
      <c r="M109" s="183">
        <f t="shared" si="3"/>
        <v>4.0926751307518696</v>
      </c>
      <c r="N109" s="183">
        <f t="shared" si="3"/>
        <v>116.75885187056087</v>
      </c>
      <c r="O109" s="183">
        <f t="shared" si="3"/>
        <v>0</v>
      </c>
      <c r="P109" s="183">
        <f t="shared" si="3"/>
        <v>2.1842488371192931E-2</v>
      </c>
      <c r="Q109" s="183">
        <f t="shared" si="3"/>
        <v>0.11643159274638921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A9" sqref="A9:XFD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29/06/2023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112" t="s">
        <v>2925</v>
      </c>
      <c r="B9" s="134">
        <v>13.15</v>
      </c>
      <c r="C9" s="134">
        <v>27.9</v>
      </c>
      <c r="D9" s="134">
        <v>24.08</v>
      </c>
      <c r="E9" s="134">
        <v>6.17</v>
      </c>
      <c r="F9" s="134">
        <v>5.52</v>
      </c>
      <c r="G9" s="134">
        <v>13.16</v>
      </c>
      <c r="H9" s="134">
        <v>5.85</v>
      </c>
      <c r="I9" s="134">
        <v>2.4500000000000002</v>
      </c>
      <c r="J9" s="134">
        <v>0.45</v>
      </c>
      <c r="K9" s="134">
        <v>241.29</v>
      </c>
      <c r="L9" s="134">
        <v>25.81</v>
      </c>
      <c r="M9" s="134">
        <v>90.37</v>
      </c>
      <c r="N9" s="134">
        <v>0</v>
      </c>
      <c r="O9" s="134">
        <v>0</v>
      </c>
      <c r="P9" s="134">
        <v>0.33</v>
      </c>
      <c r="Q9" s="134">
        <v>4.55</v>
      </c>
    </row>
    <row r="10" spans="1:21">
      <c r="A10" s="112" t="s">
        <v>2926</v>
      </c>
      <c r="B10" s="134">
        <v>13.34</v>
      </c>
      <c r="C10" s="134">
        <v>33.42</v>
      </c>
      <c r="D10" s="134">
        <v>27.11</v>
      </c>
      <c r="E10" s="134">
        <v>6.16</v>
      </c>
      <c r="F10" s="134">
        <v>3.41</v>
      </c>
      <c r="G10" s="134">
        <v>13.16</v>
      </c>
      <c r="H10" s="134">
        <v>5.85</v>
      </c>
      <c r="I10" s="134">
        <v>2.41</v>
      </c>
      <c r="J10" s="134">
        <v>0.53</v>
      </c>
      <c r="K10" s="134">
        <v>241.57</v>
      </c>
      <c r="L10" s="134">
        <v>25.81</v>
      </c>
      <c r="M10" s="134">
        <v>90.07</v>
      </c>
      <c r="N10" s="134">
        <v>0</v>
      </c>
      <c r="O10" s="134">
        <v>0</v>
      </c>
      <c r="P10" s="134">
        <v>0.34</v>
      </c>
      <c r="Q10" s="134">
        <v>4.5199999999999996</v>
      </c>
    </row>
    <row r="11" spans="1:21">
      <c r="A11" s="112" t="s">
        <v>2927</v>
      </c>
      <c r="B11" s="134">
        <v>13.62</v>
      </c>
      <c r="C11" s="134">
        <v>38.159999999999997</v>
      </c>
      <c r="D11" s="134">
        <v>29.81</v>
      </c>
      <c r="E11" s="134">
        <v>7.13</v>
      </c>
      <c r="F11" s="134">
        <v>1.86</v>
      </c>
      <c r="G11" s="134">
        <v>13.16</v>
      </c>
      <c r="H11" s="134">
        <v>5.85</v>
      </c>
      <c r="I11" s="134">
        <v>2.31</v>
      </c>
      <c r="J11" s="134">
        <v>0.55000000000000004</v>
      </c>
      <c r="K11" s="134">
        <v>249.33</v>
      </c>
      <c r="L11" s="134">
        <v>25.83</v>
      </c>
      <c r="M11" s="134">
        <v>89.53</v>
      </c>
      <c r="N11" s="134">
        <v>0</v>
      </c>
      <c r="O11" s="134">
        <v>0</v>
      </c>
      <c r="P11" s="134">
        <v>0.38</v>
      </c>
      <c r="Q11" s="134">
        <v>4.6500000000000004</v>
      </c>
    </row>
    <row r="12" spans="1:21">
      <c r="A12" s="112" t="s">
        <v>2928</v>
      </c>
      <c r="B12" s="134">
        <v>13.2</v>
      </c>
      <c r="C12" s="134">
        <v>30.73</v>
      </c>
      <c r="D12" s="134">
        <v>25.59</v>
      </c>
      <c r="E12" s="134">
        <v>6.08</v>
      </c>
      <c r="F12" s="134">
        <v>4.58</v>
      </c>
      <c r="G12" s="134">
        <v>11.75</v>
      </c>
      <c r="H12" s="134">
        <v>5.1100000000000003</v>
      </c>
      <c r="I12" s="134">
        <v>2.4700000000000002</v>
      </c>
      <c r="J12" s="134">
        <v>0.48</v>
      </c>
      <c r="K12" s="134">
        <v>243.35</v>
      </c>
      <c r="L12" s="134">
        <v>25.82</v>
      </c>
      <c r="M12" s="134">
        <v>89.38</v>
      </c>
      <c r="N12" s="134">
        <v>0</v>
      </c>
      <c r="O12" s="134">
        <v>0</v>
      </c>
      <c r="P12" s="134">
        <v>0.34</v>
      </c>
      <c r="Q12" s="134">
        <v>4.5999999999999996</v>
      </c>
    </row>
    <row r="13" spans="1:21">
      <c r="A13" s="112" t="s">
        <v>2929</v>
      </c>
      <c r="B13" s="134">
        <v>13.77</v>
      </c>
      <c r="C13" s="134">
        <v>33.17</v>
      </c>
      <c r="D13" s="134">
        <v>27.33</v>
      </c>
      <c r="E13" s="134">
        <v>6.44</v>
      </c>
      <c r="F13" s="134">
        <v>3.5</v>
      </c>
      <c r="G13" s="134">
        <v>9.43</v>
      </c>
      <c r="H13" s="134">
        <v>4.4000000000000004</v>
      </c>
      <c r="I13" s="134">
        <v>2.46</v>
      </c>
      <c r="J13" s="134">
        <v>0.43</v>
      </c>
      <c r="K13" s="134">
        <v>243.84</v>
      </c>
      <c r="L13" s="134">
        <v>25.78</v>
      </c>
      <c r="M13" s="134">
        <v>89.43</v>
      </c>
      <c r="N13" s="134">
        <v>0</v>
      </c>
      <c r="O13" s="134">
        <v>0</v>
      </c>
      <c r="P13" s="134">
        <v>0.34</v>
      </c>
      <c r="Q13" s="134">
        <v>4.55</v>
      </c>
    </row>
    <row r="14" spans="1:21">
      <c r="A14" s="112" t="s">
        <v>2930</v>
      </c>
      <c r="B14" s="134">
        <v>14.12</v>
      </c>
      <c r="C14" s="134">
        <v>38.01</v>
      </c>
      <c r="D14" s="134">
        <v>30.14</v>
      </c>
      <c r="E14" s="134">
        <v>6.76</v>
      </c>
      <c r="F14" s="134">
        <v>2.0299999999999998</v>
      </c>
      <c r="G14" s="134">
        <v>9.43</v>
      </c>
      <c r="H14" s="134">
        <v>4.4000000000000004</v>
      </c>
      <c r="I14" s="134">
        <v>2.34</v>
      </c>
      <c r="J14" s="134">
        <v>0.39</v>
      </c>
      <c r="K14" s="134">
        <v>239.9</v>
      </c>
      <c r="L14" s="134">
        <v>25.71</v>
      </c>
      <c r="M14" s="134">
        <v>89.66</v>
      </c>
      <c r="N14" s="134">
        <v>0</v>
      </c>
      <c r="O14" s="134">
        <v>0</v>
      </c>
      <c r="P14" s="134">
        <v>0.37</v>
      </c>
      <c r="Q14" s="134">
        <v>4.66</v>
      </c>
    </row>
    <row r="15" spans="1:21">
      <c r="A15" s="112" t="s">
        <v>2931</v>
      </c>
      <c r="B15" s="134">
        <v>13.68</v>
      </c>
      <c r="C15" s="134">
        <v>32.76</v>
      </c>
      <c r="D15" s="134">
        <v>27.04</v>
      </c>
      <c r="E15" s="134">
        <v>6.77</v>
      </c>
      <c r="F15" s="134">
        <v>4.01</v>
      </c>
      <c r="G15" s="134">
        <v>9.43</v>
      </c>
      <c r="H15" s="134">
        <v>4.4000000000000004</v>
      </c>
      <c r="I15" s="134">
        <v>2.44</v>
      </c>
      <c r="J15" s="134">
        <v>0.34</v>
      </c>
      <c r="K15" s="134">
        <v>239.89</v>
      </c>
      <c r="L15" s="134">
        <v>25.6</v>
      </c>
      <c r="M15" s="134">
        <v>90.19</v>
      </c>
      <c r="N15" s="134">
        <v>0</v>
      </c>
      <c r="O15" s="134">
        <v>0</v>
      </c>
      <c r="P15" s="134">
        <v>0.34</v>
      </c>
      <c r="Q15" s="134">
        <v>4.62</v>
      </c>
    </row>
    <row r="16" spans="1:21">
      <c r="A16" s="112" t="s">
        <v>2932</v>
      </c>
      <c r="B16" s="134">
        <v>12.94</v>
      </c>
      <c r="C16" s="134">
        <v>30.19</v>
      </c>
      <c r="D16" s="134">
        <v>25.1</v>
      </c>
      <c r="E16" s="134">
        <v>5.79</v>
      </c>
      <c r="F16" s="134">
        <v>4.82</v>
      </c>
      <c r="G16" s="134">
        <v>9.19</v>
      </c>
      <c r="H16" s="134">
        <v>3.9</v>
      </c>
      <c r="I16" s="134">
        <v>2.44</v>
      </c>
      <c r="J16" s="134">
        <v>0.31</v>
      </c>
      <c r="K16" s="134">
        <v>234.07</v>
      </c>
      <c r="L16" s="134">
        <v>25.52</v>
      </c>
      <c r="M16" s="134">
        <v>90.6</v>
      </c>
      <c r="N16" s="134">
        <v>0</v>
      </c>
      <c r="O16" s="134">
        <v>0</v>
      </c>
      <c r="P16" s="134">
        <v>0.32</v>
      </c>
      <c r="Q16" s="134">
        <v>4.54</v>
      </c>
    </row>
    <row r="17" spans="1:17">
      <c r="A17" s="112" t="s">
        <v>2933</v>
      </c>
      <c r="B17" s="134">
        <v>14.55</v>
      </c>
      <c r="C17" s="134">
        <v>38.090000000000003</v>
      </c>
      <c r="D17" s="134">
        <v>30.53</v>
      </c>
      <c r="E17" s="134">
        <v>5.01</v>
      </c>
      <c r="F17" s="134">
        <v>1.93</v>
      </c>
      <c r="G17" s="134">
        <v>8.7899999999999991</v>
      </c>
      <c r="H17" s="134">
        <v>3.4</v>
      </c>
      <c r="I17" s="134">
        <v>2.2599999999999998</v>
      </c>
      <c r="J17" s="134">
        <v>0.35</v>
      </c>
      <c r="K17" s="134">
        <v>232.99</v>
      </c>
      <c r="L17" s="134">
        <v>25.52</v>
      </c>
      <c r="M17" s="134">
        <v>90.38</v>
      </c>
      <c r="N17" s="134">
        <v>0</v>
      </c>
      <c r="O17" s="134">
        <v>0</v>
      </c>
      <c r="P17" s="134">
        <v>0.37</v>
      </c>
      <c r="Q17" s="134">
        <v>4.6399999999999997</v>
      </c>
    </row>
    <row r="18" spans="1:17">
      <c r="A18" s="112" t="s">
        <v>2934</v>
      </c>
      <c r="B18" s="134">
        <v>14.96</v>
      </c>
      <c r="C18" s="134">
        <v>35.75</v>
      </c>
      <c r="D18" s="134">
        <v>29.63</v>
      </c>
      <c r="E18" s="134">
        <v>5.74</v>
      </c>
      <c r="F18" s="134">
        <v>2.83</v>
      </c>
      <c r="G18" s="134">
        <v>8.7899999999999991</v>
      </c>
      <c r="H18" s="134">
        <v>3.4</v>
      </c>
      <c r="I18" s="134">
        <v>2.33</v>
      </c>
      <c r="J18" s="134">
        <v>0.4</v>
      </c>
      <c r="K18" s="134">
        <v>231.51</v>
      </c>
      <c r="L18" s="134">
        <v>25.48</v>
      </c>
      <c r="M18" s="134">
        <v>90.25</v>
      </c>
      <c r="N18" s="134">
        <v>0</v>
      </c>
      <c r="O18" s="134">
        <v>0</v>
      </c>
      <c r="P18" s="134">
        <v>0.35</v>
      </c>
      <c r="Q18" s="134">
        <v>4.68</v>
      </c>
    </row>
    <row r="19" spans="1:17">
      <c r="A19" s="112" t="s">
        <v>2935</v>
      </c>
      <c r="B19" s="134">
        <v>14.92</v>
      </c>
      <c r="C19" s="134">
        <v>33.630000000000003</v>
      </c>
      <c r="D19" s="134">
        <v>28.49</v>
      </c>
      <c r="E19" s="134">
        <v>6.12</v>
      </c>
      <c r="F19" s="134">
        <v>2.83</v>
      </c>
      <c r="G19" s="134">
        <v>8.7899999999999991</v>
      </c>
      <c r="H19" s="134">
        <v>3.4</v>
      </c>
      <c r="I19" s="134">
        <v>2.46</v>
      </c>
      <c r="J19" s="134">
        <v>0.42</v>
      </c>
      <c r="K19" s="134">
        <v>230.43</v>
      </c>
      <c r="L19" s="134">
        <v>25.47</v>
      </c>
      <c r="M19" s="134">
        <v>89.82</v>
      </c>
      <c r="N19" s="134">
        <v>0</v>
      </c>
      <c r="O19" s="134">
        <v>0</v>
      </c>
      <c r="P19" s="134">
        <v>0.33</v>
      </c>
      <c r="Q19" s="134">
        <v>4.6100000000000003</v>
      </c>
    </row>
    <row r="20" spans="1:17">
      <c r="A20" s="112" t="s">
        <v>2936</v>
      </c>
      <c r="B20" s="134">
        <v>15.3</v>
      </c>
      <c r="C20" s="134">
        <v>38.049999999999997</v>
      </c>
      <c r="D20" s="134">
        <v>31.1</v>
      </c>
      <c r="E20" s="134">
        <v>6.23</v>
      </c>
      <c r="F20" s="134">
        <v>1.96</v>
      </c>
      <c r="G20" s="134">
        <v>7.94</v>
      </c>
      <c r="H20" s="134">
        <v>3.32</v>
      </c>
      <c r="I20" s="134">
        <v>2.38</v>
      </c>
      <c r="J20" s="134">
        <v>0.44</v>
      </c>
      <c r="K20" s="134">
        <v>235.57</v>
      </c>
      <c r="L20" s="134">
        <v>25.43</v>
      </c>
      <c r="M20" s="134">
        <v>89.25</v>
      </c>
      <c r="N20" s="134">
        <v>0</v>
      </c>
      <c r="O20" s="134">
        <v>0</v>
      </c>
      <c r="P20" s="134">
        <v>0.36</v>
      </c>
      <c r="Q20" s="134">
        <v>4.7</v>
      </c>
    </row>
    <row r="21" spans="1:17">
      <c r="A21" s="112" t="s">
        <v>2937</v>
      </c>
      <c r="B21" s="134">
        <v>15.44</v>
      </c>
      <c r="C21" s="134">
        <v>34.21</v>
      </c>
      <c r="D21" s="134">
        <v>29.21</v>
      </c>
      <c r="E21" s="134">
        <v>6.13</v>
      </c>
      <c r="F21" s="134">
        <v>3.33</v>
      </c>
      <c r="G21" s="134">
        <v>6.54</v>
      </c>
      <c r="H21" s="134">
        <v>3.22</v>
      </c>
      <c r="I21" s="134">
        <v>2.41</v>
      </c>
      <c r="J21" s="134">
        <v>0.49</v>
      </c>
      <c r="K21" s="134">
        <v>235.95</v>
      </c>
      <c r="L21" s="134">
        <v>25.37</v>
      </c>
      <c r="M21" s="134">
        <v>89.1</v>
      </c>
      <c r="N21" s="134">
        <v>0</v>
      </c>
      <c r="O21" s="134">
        <v>0</v>
      </c>
      <c r="P21" s="134">
        <v>0.33</v>
      </c>
      <c r="Q21" s="134">
        <v>4.6500000000000004</v>
      </c>
    </row>
    <row r="22" spans="1:17">
      <c r="A22" s="112" t="s">
        <v>2938</v>
      </c>
      <c r="B22" s="134">
        <v>15.76</v>
      </c>
      <c r="C22" s="134">
        <v>36</v>
      </c>
      <c r="D22" s="134">
        <v>30.41</v>
      </c>
      <c r="E22" s="134">
        <v>5.67</v>
      </c>
      <c r="F22" s="134">
        <v>2.31</v>
      </c>
      <c r="G22" s="134">
        <v>6.54</v>
      </c>
      <c r="H22" s="134">
        <v>3.22</v>
      </c>
      <c r="I22" s="134">
        <v>2.42</v>
      </c>
      <c r="J22" s="134">
        <v>0.53</v>
      </c>
      <c r="K22" s="134">
        <v>248.88</v>
      </c>
      <c r="L22" s="134">
        <v>25.38</v>
      </c>
      <c r="M22" s="134">
        <v>88.45</v>
      </c>
      <c r="N22" s="134">
        <v>0</v>
      </c>
      <c r="O22" s="134">
        <v>0</v>
      </c>
      <c r="P22" s="134">
        <v>0.34</v>
      </c>
      <c r="Q22" s="134">
        <v>4.63</v>
      </c>
    </row>
    <row r="23" spans="1:17">
      <c r="A23" s="112" t="s">
        <v>2939</v>
      </c>
      <c r="B23" s="134">
        <v>15.96</v>
      </c>
      <c r="C23" s="134">
        <v>38.04</v>
      </c>
      <c r="D23" s="134">
        <v>31.63</v>
      </c>
      <c r="E23" s="134">
        <v>6.05</v>
      </c>
      <c r="F23" s="134">
        <v>1.99</v>
      </c>
      <c r="G23" s="134">
        <v>6.54</v>
      </c>
      <c r="H23" s="134">
        <v>3.22</v>
      </c>
      <c r="I23" s="134">
        <v>2.33</v>
      </c>
      <c r="J23" s="134">
        <v>0.31</v>
      </c>
      <c r="K23" s="134">
        <v>228.22</v>
      </c>
      <c r="L23" s="134">
        <v>25.25</v>
      </c>
      <c r="M23" s="134">
        <v>89.42</v>
      </c>
      <c r="N23" s="134">
        <v>0</v>
      </c>
      <c r="O23" s="134">
        <v>0</v>
      </c>
      <c r="P23" s="134">
        <v>0.36</v>
      </c>
      <c r="Q23" s="134">
        <v>4.75</v>
      </c>
    </row>
    <row r="24" spans="1:17">
      <c r="A24" s="112" t="s">
        <v>2940</v>
      </c>
      <c r="B24" s="134">
        <v>15.45</v>
      </c>
      <c r="C24" s="134">
        <v>31.96</v>
      </c>
      <c r="D24" s="134">
        <v>28.04</v>
      </c>
      <c r="E24" s="134">
        <v>5.97</v>
      </c>
      <c r="F24" s="134">
        <v>3.86</v>
      </c>
      <c r="G24" s="134">
        <v>7.14</v>
      </c>
      <c r="H24" s="134">
        <v>2.79</v>
      </c>
      <c r="I24" s="134">
        <v>2.39</v>
      </c>
      <c r="J24" s="134">
        <v>0.33</v>
      </c>
      <c r="K24" s="134">
        <v>236.02</v>
      </c>
      <c r="L24" s="134">
        <v>25.09</v>
      </c>
      <c r="M24" s="134">
        <v>90.16</v>
      </c>
      <c r="N24" s="134">
        <v>0</v>
      </c>
      <c r="O24" s="134">
        <v>0</v>
      </c>
      <c r="P24" s="134">
        <v>0.32</v>
      </c>
      <c r="Q24" s="134">
        <v>4.6900000000000004</v>
      </c>
    </row>
    <row r="25" spans="1:17">
      <c r="A25" s="112" t="s">
        <v>2941</v>
      </c>
      <c r="B25" s="134">
        <v>16.190000000000001</v>
      </c>
      <c r="C25" s="134">
        <v>36.49</v>
      </c>
      <c r="D25" s="134">
        <v>31.01</v>
      </c>
      <c r="E25" s="134">
        <v>6.2</v>
      </c>
      <c r="F25" s="134">
        <v>2.13</v>
      </c>
      <c r="G25" s="134">
        <v>8.11</v>
      </c>
      <c r="H25" s="134">
        <v>2.38</v>
      </c>
      <c r="I25" s="134">
        <v>2.34</v>
      </c>
      <c r="J25" s="134">
        <v>0.32</v>
      </c>
      <c r="K25" s="134">
        <v>239.39</v>
      </c>
      <c r="L25" s="134">
        <v>25.06</v>
      </c>
      <c r="M25" s="134">
        <v>90.2</v>
      </c>
      <c r="N25" s="134">
        <v>0</v>
      </c>
      <c r="O25" s="134">
        <v>0</v>
      </c>
      <c r="P25" s="134">
        <v>0.35</v>
      </c>
      <c r="Q25" s="134">
        <v>4.7</v>
      </c>
    </row>
    <row r="26" spans="1:17">
      <c r="A26" s="112" t="s">
        <v>2942</v>
      </c>
      <c r="B26" s="134">
        <v>16.63</v>
      </c>
      <c r="C26" s="134">
        <v>38.71</v>
      </c>
      <c r="D26" s="134">
        <v>32.51</v>
      </c>
      <c r="E26" s="134">
        <v>6.75</v>
      </c>
      <c r="F26" s="134">
        <v>1.7</v>
      </c>
      <c r="G26" s="134">
        <v>8.11</v>
      </c>
      <c r="H26" s="134">
        <v>2.38</v>
      </c>
      <c r="I26" s="134">
        <v>2.27</v>
      </c>
      <c r="J26" s="134">
        <v>0.26</v>
      </c>
      <c r="K26" s="134">
        <v>245.51</v>
      </c>
      <c r="L26" s="134">
        <v>25.12</v>
      </c>
      <c r="M26" s="134">
        <v>90.09</v>
      </c>
      <c r="N26" s="134">
        <v>0</v>
      </c>
      <c r="O26" s="134">
        <v>0</v>
      </c>
      <c r="P26" s="134">
        <v>0.35</v>
      </c>
      <c r="Q26" s="134">
        <v>4.78</v>
      </c>
    </row>
    <row r="27" spans="1:17">
      <c r="A27" s="112" t="s">
        <v>2943</v>
      </c>
      <c r="B27" s="134">
        <v>16.8</v>
      </c>
      <c r="C27" s="134">
        <v>36.6</v>
      </c>
      <c r="D27" s="134">
        <v>31.55</v>
      </c>
      <c r="E27" s="134">
        <v>5.76</v>
      </c>
      <c r="F27" s="134">
        <v>2.44</v>
      </c>
      <c r="G27" s="134">
        <v>8.11</v>
      </c>
      <c r="H27" s="134">
        <v>2.38</v>
      </c>
      <c r="I27" s="134">
        <v>2.4</v>
      </c>
      <c r="J27" s="134">
        <v>0.34</v>
      </c>
      <c r="K27" s="134">
        <v>232.66</v>
      </c>
      <c r="L27" s="134">
        <v>25.15</v>
      </c>
      <c r="M27" s="134">
        <v>90.01</v>
      </c>
      <c r="N27" s="134">
        <v>0</v>
      </c>
      <c r="O27" s="134">
        <v>0</v>
      </c>
      <c r="P27" s="134">
        <v>0.34</v>
      </c>
      <c r="Q27" s="134">
        <v>4.7699999999999996</v>
      </c>
    </row>
    <row r="28" spans="1:17">
      <c r="A28" s="112" t="s">
        <v>2944</v>
      </c>
      <c r="B28" s="134">
        <v>16.23</v>
      </c>
      <c r="C28" s="134">
        <v>31.62</v>
      </c>
      <c r="D28" s="134">
        <v>28.49</v>
      </c>
      <c r="E28" s="134">
        <v>5.0999999999999996</v>
      </c>
      <c r="F28" s="134">
        <v>3.48</v>
      </c>
      <c r="G28" s="134">
        <v>8.1300000000000008</v>
      </c>
      <c r="H28" s="134">
        <v>3.16</v>
      </c>
      <c r="I28" s="134">
        <v>2.42</v>
      </c>
      <c r="J28" s="134">
        <v>0.32</v>
      </c>
      <c r="K28" s="134">
        <v>233.74</v>
      </c>
      <c r="L28" s="134">
        <v>25.13</v>
      </c>
      <c r="M28" s="134">
        <v>90.32</v>
      </c>
      <c r="N28" s="134">
        <v>0</v>
      </c>
      <c r="O28" s="134">
        <v>0</v>
      </c>
      <c r="P28" s="134">
        <v>0.31</v>
      </c>
      <c r="Q28" s="134">
        <v>4.66</v>
      </c>
    </row>
    <row r="29" spans="1:17">
      <c r="A29" s="112" t="s">
        <v>2945</v>
      </c>
      <c r="B29" s="134">
        <v>16.88</v>
      </c>
      <c r="C29" s="134">
        <v>36.909999999999997</v>
      </c>
      <c r="D29" s="134">
        <v>31.77</v>
      </c>
      <c r="E29" s="134">
        <v>5.79</v>
      </c>
      <c r="F29" s="134">
        <v>1.47</v>
      </c>
      <c r="G29" s="134">
        <v>8.16</v>
      </c>
      <c r="H29" s="134">
        <v>3.93</v>
      </c>
      <c r="I29" s="134">
        <v>2.31</v>
      </c>
      <c r="J29" s="134">
        <v>0.37</v>
      </c>
      <c r="K29" s="134">
        <v>231.54</v>
      </c>
      <c r="L29" s="134">
        <v>25.12</v>
      </c>
      <c r="M29" s="134">
        <v>90.41</v>
      </c>
      <c r="N29" s="134">
        <v>0</v>
      </c>
      <c r="O29" s="134">
        <v>0</v>
      </c>
      <c r="P29" s="134">
        <v>0.34</v>
      </c>
      <c r="Q29" s="134">
        <v>4.72</v>
      </c>
    </row>
    <row r="30" spans="1:17">
      <c r="A30" s="112" t="s">
        <v>2946</v>
      </c>
      <c r="B30" s="134">
        <v>17.07</v>
      </c>
      <c r="C30" s="134">
        <v>37.31</v>
      </c>
      <c r="D30" s="134">
        <v>32.14</v>
      </c>
      <c r="E30" s="134">
        <v>6.5</v>
      </c>
      <c r="F30" s="134">
        <v>2.08</v>
      </c>
      <c r="G30" s="134">
        <v>8.16</v>
      </c>
      <c r="H30" s="134">
        <v>3.93</v>
      </c>
      <c r="I30" s="134">
        <v>2.2799999999999998</v>
      </c>
      <c r="J30" s="134">
        <v>0.46</v>
      </c>
      <c r="K30" s="134">
        <v>237.27</v>
      </c>
      <c r="L30" s="134">
        <v>25.16</v>
      </c>
      <c r="M30" s="134">
        <v>90.02</v>
      </c>
      <c r="N30" s="134">
        <v>0</v>
      </c>
      <c r="O30" s="134">
        <v>0</v>
      </c>
      <c r="P30" s="134">
        <v>0.34</v>
      </c>
      <c r="Q30" s="134">
        <v>4.79</v>
      </c>
    </row>
    <row r="31" spans="1:17">
      <c r="A31" s="112" t="s">
        <v>2947</v>
      </c>
      <c r="B31" s="134">
        <v>16.84</v>
      </c>
      <c r="C31" s="134">
        <v>32.58</v>
      </c>
      <c r="D31" s="134">
        <v>29.48</v>
      </c>
      <c r="E31" s="134">
        <v>5.71</v>
      </c>
      <c r="F31" s="134">
        <v>3.43</v>
      </c>
      <c r="G31" s="134">
        <v>8.16</v>
      </c>
      <c r="H31" s="134">
        <v>3.93</v>
      </c>
      <c r="I31" s="134">
        <v>2.39</v>
      </c>
      <c r="J31" s="134">
        <v>0.63</v>
      </c>
      <c r="K31" s="134">
        <v>251.05</v>
      </c>
      <c r="L31" s="134">
        <v>25.39</v>
      </c>
      <c r="M31" s="134">
        <v>88.06</v>
      </c>
      <c r="N31" s="134">
        <v>2.2000000000000002</v>
      </c>
      <c r="O31" s="134">
        <v>0</v>
      </c>
      <c r="P31" s="134">
        <v>0.3</v>
      </c>
      <c r="Q31" s="134">
        <v>4.6900000000000004</v>
      </c>
    </row>
    <row r="32" spans="1:17">
      <c r="A32" s="112" t="s">
        <v>2948</v>
      </c>
      <c r="B32" s="134">
        <v>17.18</v>
      </c>
      <c r="C32" s="134">
        <v>36.93</v>
      </c>
      <c r="D32" s="134">
        <v>32.03</v>
      </c>
      <c r="E32" s="134">
        <v>6.21</v>
      </c>
      <c r="F32" s="134">
        <v>2.1</v>
      </c>
      <c r="G32" s="134">
        <v>8.15</v>
      </c>
      <c r="H32" s="134">
        <v>4</v>
      </c>
      <c r="I32" s="134">
        <v>2.3199999999999998</v>
      </c>
      <c r="J32" s="134">
        <v>0.6</v>
      </c>
      <c r="K32" s="134">
        <v>252.31</v>
      </c>
      <c r="L32" s="134">
        <v>25.6</v>
      </c>
      <c r="M32" s="134">
        <v>86.78</v>
      </c>
      <c r="N32" s="134">
        <v>18.8</v>
      </c>
      <c r="O32" s="134">
        <v>0</v>
      </c>
      <c r="P32" s="134">
        <v>0.33</v>
      </c>
      <c r="Q32" s="134">
        <v>4.7</v>
      </c>
    </row>
    <row r="33" spans="1:17">
      <c r="A33" s="112" t="s">
        <v>2949</v>
      </c>
      <c r="B33" s="134">
        <v>17.54</v>
      </c>
      <c r="C33" s="134">
        <v>40.380000000000003</v>
      </c>
      <c r="D33" s="134">
        <v>34.119999999999997</v>
      </c>
      <c r="E33" s="134">
        <v>6.25</v>
      </c>
      <c r="F33" s="134">
        <v>1.47</v>
      </c>
      <c r="G33" s="134">
        <v>8.14</v>
      </c>
      <c r="H33" s="134">
        <v>4.24</v>
      </c>
      <c r="I33" s="134">
        <v>2.2799999999999998</v>
      </c>
      <c r="J33" s="134">
        <v>0.84</v>
      </c>
      <c r="K33" s="134">
        <v>257.05</v>
      </c>
      <c r="L33" s="134">
        <v>25.88</v>
      </c>
      <c r="M33" s="134">
        <v>85.21</v>
      </c>
      <c r="N33" s="134">
        <v>35.1</v>
      </c>
      <c r="O33" s="134">
        <v>0</v>
      </c>
      <c r="P33" s="134">
        <v>0.37</v>
      </c>
      <c r="Q33" s="134">
        <v>4.87</v>
      </c>
    </row>
    <row r="34" spans="1:17">
      <c r="A34" s="112" t="s">
        <v>2950</v>
      </c>
      <c r="B34" s="134">
        <v>17.62</v>
      </c>
      <c r="C34" s="134">
        <v>35.869999999999997</v>
      </c>
      <c r="D34" s="134">
        <v>31.83</v>
      </c>
      <c r="E34" s="134">
        <v>6.3</v>
      </c>
      <c r="F34" s="134">
        <v>2.82</v>
      </c>
      <c r="G34" s="134">
        <v>8.14</v>
      </c>
      <c r="H34" s="134">
        <v>4.24</v>
      </c>
      <c r="I34" s="134">
        <v>2.4</v>
      </c>
      <c r="J34" s="134">
        <v>0.75</v>
      </c>
      <c r="K34" s="134">
        <v>252.76</v>
      </c>
      <c r="L34" s="134">
        <v>26.03</v>
      </c>
      <c r="M34" s="134">
        <v>84.97</v>
      </c>
      <c r="N34" s="134">
        <v>56.9</v>
      </c>
      <c r="O34" s="134">
        <v>0</v>
      </c>
      <c r="P34" s="134">
        <v>0.33</v>
      </c>
      <c r="Q34" s="134">
        <v>4.82</v>
      </c>
    </row>
    <row r="35" spans="1:17">
      <c r="A35" s="112" t="s">
        <v>2951</v>
      </c>
      <c r="B35" s="134">
        <v>17.7</v>
      </c>
      <c r="C35" s="134">
        <v>36.11</v>
      </c>
      <c r="D35" s="134">
        <v>32.020000000000003</v>
      </c>
      <c r="E35" s="134">
        <v>6.05</v>
      </c>
      <c r="F35" s="134">
        <v>2.41</v>
      </c>
      <c r="G35" s="134">
        <v>8.14</v>
      </c>
      <c r="H35" s="134">
        <v>4.24</v>
      </c>
      <c r="I35" s="134">
        <v>2.42</v>
      </c>
      <c r="J35" s="134">
        <v>0.61</v>
      </c>
      <c r="K35" s="134">
        <v>249.93</v>
      </c>
      <c r="L35" s="134">
        <v>26.14</v>
      </c>
      <c r="M35" s="134">
        <v>85.13</v>
      </c>
      <c r="N35" s="134">
        <v>71.099999999999994</v>
      </c>
      <c r="O35" s="134">
        <v>0</v>
      </c>
      <c r="P35" s="134">
        <v>0.33</v>
      </c>
      <c r="Q35" s="134">
        <v>4.74</v>
      </c>
    </row>
    <row r="36" spans="1:17">
      <c r="A36" s="112" t="s">
        <v>2952</v>
      </c>
      <c r="B36" s="134">
        <v>17.55</v>
      </c>
      <c r="C36" s="134">
        <v>36.81</v>
      </c>
      <c r="D36" s="134">
        <v>32.26</v>
      </c>
      <c r="E36" s="134">
        <v>6.1</v>
      </c>
      <c r="F36" s="134">
        <v>1.86</v>
      </c>
      <c r="G36" s="134">
        <v>7.32</v>
      </c>
      <c r="H36" s="134">
        <v>4.3099999999999996</v>
      </c>
      <c r="I36" s="134">
        <v>2.35</v>
      </c>
      <c r="J36" s="134">
        <v>0.61</v>
      </c>
      <c r="K36" s="134">
        <v>246.29</v>
      </c>
      <c r="L36" s="134">
        <v>26.3</v>
      </c>
      <c r="M36" s="134">
        <v>85.1</v>
      </c>
      <c r="N36" s="134">
        <v>91.9</v>
      </c>
      <c r="O36" s="134">
        <v>0</v>
      </c>
      <c r="P36" s="134">
        <v>0.36</v>
      </c>
      <c r="Q36" s="134">
        <v>4.8499999999999996</v>
      </c>
    </row>
    <row r="37" spans="1:17">
      <c r="A37" s="112" t="s">
        <v>2953</v>
      </c>
      <c r="B37" s="134">
        <v>17.52</v>
      </c>
      <c r="C37" s="134">
        <v>32.01</v>
      </c>
      <c r="D37" s="134">
        <v>29.73</v>
      </c>
      <c r="E37" s="134">
        <v>6.18</v>
      </c>
      <c r="F37" s="134">
        <v>3.33</v>
      </c>
      <c r="G37" s="134">
        <v>5.98</v>
      </c>
      <c r="H37" s="134">
        <v>4.38</v>
      </c>
      <c r="I37" s="134">
        <v>2.41</v>
      </c>
      <c r="J37" s="134">
        <v>0.63</v>
      </c>
      <c r="K37" s="134">
        <v>249.17</v>
      </c>
      <c r="L37" s="134">
        <v>26.48</v>
      </c>
      <c r="M37" s="134">
        <v>84.45</v>
      </c>
      <c r="N37" s="134">
        <v>98.2</v>
      </c>
      <c r="O37" s="134">
        <v>0</v>
      </c>
      <c r="P37" s="134">
        <v>0.32</v>
      </c>
      <c r="Q37" s="134">
        <v>4.7699999999999996</v>
      </c>
    </row>
    <row r="38" spans="1:17">
      <c r="A38" s="112" t="s">
        <v>2954</v>
      </c>
      <c r="B38" s="134">
        <v>17.440000000000001</v>
      </c>
      <c r="C38" s="134">
        <v>33.42</v>
      </c>
      <c r="D38" s="134">
        <v>30.4</v>
      </c>
      <c r="E38" s="134">
        <v>5.66</v>
      </c>
      <c r="F38" s="134">
        <v>2.8</v>
      </c>
      <c r="G38" s="134">
        <v>5.98</v>
      </c>
      <c r="H38" s="134">
        <v>4.38</v>
      </c>
      <c r="I38" s="134">
        <v>2.41</v>
      </c>
      <c r="J38" s="134">
        <v>0.74</v>
      </c>
      <c r="K38" s="134">
        <v>250.33</v>
      </c>
      <c r="L38" s="134">
        <v>26.69</v>
      </c>
      <c r="M38" s="134">
        <v>83.63</v>
      </c>
      <c r="N38" s="134">
        <v>123.4</v>
      </c>
      <c r="O38" s="134">
        <v>0</v>
      </c>
      <c r="P38" s="134">
        <v>0.31</v>
      </c>
      <c r="Q38" s="134">
        <v>4.7</v>
      </c>
    </row>
    <row r="39" spans="1:17">
      <c r="A39" s="112" t="s">
        <v>2955</v>
      </c>
      <c r="B39" s="134">
        <v>17.43</v>
      </c>
      <c r="C39" s="134">
        <v>38.869999999999997</v>
      </c>
      <c r="D39" s="134">
        <v>33.24</v>
      </c>
      <c r="E39" s="134">
        <v>6.33</v>
      </c>
      <c r="F39" s="134">
        <v>1.36</v>
      </c>
      <c r="G39" s="134">
        <v>5.98</v>
      </c>
      <c r="H39" s="134">
        <v>4.38</v>
      </c>
      <c r="I39" s="134">
        <v>2.3199999999999998</v>
      </c>
      <c r="J39" s="134">
        <v>0.84</v>
      </c>
      <c r="K39" s="134">
        <v>245.11</v>
      </c>
      <c r="L39" s="134">
        <v>27.07</v>
      </c>
      <c r="M39" s="134">
        <v>82.24</v>
      </c>
      <c r="N39" s="134">
        <v>148.19999999999999</v>
      </c>
      <c r="O39" s="134">
        <v>0</v>
      </c>
      <c r="P39" s="134">
        <v>0.36</v>
      </c>
      <c r="Q39" s="134">
        <v>4.82</v>
      </c>
    </row>
    <row r="40" spans="1:17">
      <c r="A40" s="112" t="s">
        <v>2956</v>
      </c>
      <c r="B40" s="134">
        <v>16.97</v>
      </c>
      <c r="C40" s="134">
        <v>35.270000000000003</v>
      </c>
      <c r="D40" s="134">
        <v>30.99</v>
      </c>
      <c r="E40" s="134">
        <v>6.19</v>
      </c>
      <c r="F40" s="134">
        <v>2.69</v>
      </c>
      <c r="G40" s="134">
        <v>6.54</v>
      </c>
      <c r="H40" s="134">
        <v>3.79</v>
      </c>
      <c r="I40" s="134">
        <v>2.41</v>
      </c>
      <c r="J40" s="134">
        <v>0.96</v>
      </c>
      <c r="K40" s="134">
        <v>253.47</v>
      </c>
      <c r="L40" s="134">
        <v>27.73</v>
      </c>
      <c r="M40" s="134">
        <v>79.959999999999994</v>
      </c>
      <c r="N40" s="134">
        <v>128.6</v>
      </c>
      <c r="O40" s="134">
        <v>0</v>
      </c>
      <c r="P40" s="134">
        <v>0.34</v>
      </c>
      <c r="Q40" s="134">
        <v>4.83</v>
      </c>
    </row>
    <row r="41" spans="1:17">
      <c r="A41" s="112" t="s">
        <v>2957</v>
      </c>
      <c r="B41" s="134">
        <v>16.79</v>
      </c>
      <c r="C41" s="134">
        <v>33.229999999999997</v>
      </c>
      <c r="D41" s="134">
        <v>29.78</v>
      </c>
      <c r="E41" s="134">
        <v>6.13</v>
      </c>
      <c r="F41" s="134">
        <v>3.19</v>
      </c>
      <c r="G41" s="134">
        <v>7.43</v>
      </c>
      <c r="H41" s="134">
        <v>3.22</v>
      </c>
      <c r="I41" s="134">
        <v>2.46</v>
      </c>
      <c r="J41" s="134">
        <v>1.02</v>
      </c>
      <c r="K41" s="134">
        <v>255.75</v>
      </c>
      <c r="L41" s="134">
        <v>28.06</v>
      </c>
      <c r="M41" s="134">
        <v>78.989999999999995</v>
      </c>
      <c r="N41" s="134">
        <v>139.19999999999999</v>
      </c>
      <c r="O41" s="134">
        <v>0</v>
      </c>
      <c r="P41" s="134">
        <v>0.32</v>
      </c>
      <c r="Q41" s="134">
        <v>4.6900000000000004</v>
      </c>
    </row>
    <row r="42" spans="1:17">
      <c r="A42" s="112" t="s">
        <v>2958</v>
      </c>
      <c r="B42" s="134">
        <v>16.670000000000002</v>
      </c>
      <c r="C42" s="134">
        <v>38.06</v>
      </c>
      <c r="D42" s="134">
        <v>32.200000000000003</v>
      </c>
      <c r="E42" s="134">
        <v>6.02</v>
      </c>
      <c r="F42" s="134">
        <v>1.67</v>
      </c>
      <c r="G42" s="134">
        <v>7.43</v>
      </c>
      <c r="H42" s="134">
        <v>3.22</v>
      </c>
      <c r="I42" s="134">
        <v>2.37</v>
      </c>
      <c r="J42" s="134">
        <v>1.04</v>
      </c>
      <c r="K42" s="134">
        <v>251.65</v>
      </c>
      <c r="L42" s="134">
        <v>28.15</v>
      </c>
      <c r="M42" s="134">
        <v>77.94</v>
      </c>
      <c r="N42" s="134">
        <v>215.6</v>
      </c>
      <c r="O42" s="134">
        <v>0</v>
      </c>
      <c r="P42" s="134">
        <v>0.35</v>
      </c>
      <c r="Q42" s="134">
        <v>4.72</v>
      </c>
    </row>
    <row r="43" spans="1:17">
      <c r="A43" s="112" t="s">
        <v>2959</v>
      </c>
      <c r="B43" s="134">
        <v>16.34</v>
      </c>
      <c r="C43" s="134">
        <v>36.58</v>
      </c>
      <c r="D43" s="134">
        <v>31.17</v>
      </c>
      <c r="E43" s="134">
        <v>6.19</v>
      </c>
      <c r="F43" s="134">
        <v>2.57</v>
      </c>
      <c r="G43" s="134">
        <v>7.43</v>
      </c>
      <c r="H43" s="134">
        <v>3.22</v>
      </c>
      <c r="I43" s="134">
        <v>2.42</v>
      </c>
      <c r="J43" s="134">
        <v>1.03</v>
      </c>
      <c r="K43" s="134">
        <v>265.73</v>
      </c>
      <c r="L43" s="134">
        <v>28.42</v>
      </c>
      <c r="M43" s="134">
        <v>77.319999999999993</v>
      </c>
      <c r="N43" s="134">
        <v>231.1</v>
      </c>
      <c r="O43" s="134">
        <v>0</v>
      </c>
      <c r="P43" s="134">
        <v>0.35</v>
      </c>
      <c r="Q43" s="134">
        <v>4.7300000000000004</v>
      </c>
    </row>
    <row r="44" spans="1:17">
      <c r="A44" s="112" t="s">
        <v>2960</v>
      </c>
      <c r="B44" s="134">
        <v>15.32</v>
      </c>
      <c r="C44" s="134">
        <v>31.68</v>
      </c>
      <c r="D44" s="134">
        <v>27.79</v>
      </c>
      <c r="E44" s="134">
        <v>5.89</v>
      </c>
      <c r="F44" s="134">
        <v>4.0199999999999996</v>
      </c>
      <c r="G44" s="134">
        <v>8.4600000000000009</v>
      </c>
      <c r="H44" s="134">
        <v>2.92</v>
      </c>
      <c r="I44" s="134">
        <v>2.4700000000000002</v>
      </c>
      <c r="J44" s="134">
        <v>0.93</v>
      </c>
      <c r="K44" s="134">
        <v>255.64</v>
      </c>
      <c r="L44" s="134">
        <v>28.38</v>
      </c>
      <c r="M44" s="134">
        <v>77.03</v>
      </c>
      <c r="N44" s="134">
        <v>223.3</v>
      </c>
      <c r="O44" s="134">
        <v>0</v>
      </c>
      <c r="P44" s="134">
        <v>0.32</v>
      </c>
      <c r="Q44" s="134">
        <v>4.63</v>
      </c>
    </row>
    <row r="45" spans="1:17">
      <c r="A45" s="112" t="s">
        <v>2961</v>
      </c>
      <c r="B45" s="134">
        <v>14.79</v>
      </c>
      <c r="C45" s="134">
        <v>31.63</v>
      </c>
      <c r="D45" s="134">
        <v>27.35</v>
      </c>
      <c r="E45" s="134">
        <v>5.63</v>
      </c>
      <c r="F45" s="134">
        <v>4.0599999999999996</v>
      </c>
      <c r="G45" s="134">
        <v>10.17</v>
      </c>
      <c r="H45" s="134">
        <v>2.62</v>
      </c>
      <c r="I45" s="134">
        <v>2.38</v>
      </c>
      <c r="J45" s="134">
        <v>1.1399999999999999</v>
      </c>
      <c r="K45" s="134">
        <v>253.07</v>
      </c>
      <c r="L45" s="134">
        <v>28.4</v>
      </c>
      <c r="M45" s="134">
        <v>76.63</v>
      </c>
      <c r="N45" s="134">
        <v>246</v>
      </c>
      <c r="O45" s="134">
        <v>0</v>
      </c>
      <c r="P45" s="134">
        <v>0.3</v>
      </c>
      <c r="Q45" s="134">
        <v>4.55</v>
      </c>
    </row>
    <row r="46" spans="1:17">
      <c r="A46" s="112" t="s">
        <v>2962</v>
      </c>
      <c r="B46" s="134">
        <v>14.31</v>
      </c>
      <c r="C46" s="134">
        <v>35.729999999999997</v>
      </c>
      <c r="D46" s="134">
        <v>29.1</v>
      </c>
      <c r="E46" s="134">
        <v>5.28</v>
      </c>
      <c r="F46" s="134">
        <v>2.31</v>
      </c>
      <c r="G46" s="134">
        <v>10.17</v>
      </c>
      <c r="H46" s="134">
        <v>2.62</v>
      </c>
      <c r="I46" s="134">
        <v>2.3199999999999998</v>
      </c>
      <c r="J46" s="134">
        <v>1.01</v>
      </c>
      <c r="K46" s="134">
        <v>254.93</v>
      </c>
      <c r="L46" s="134">
        <v>28.57</v>
      </c>
      <c r="M46" s="134">
        <v>75.7</v>
      </c>
      <c r="N46" s="134">
        <v>290.10000000000002</v>
      </c>
      <c r="O46" s="134">
        <v>0</v>
      </c>
      <c r="P46" s="134">
        <v>0.36</v>
      </c>
      <c r="Q46" s="134">
        <v>4.58</v>
      </c>
    </row>
    <row r="47" spans="1:17">
      <c r="A47" s="112" t="s">
        <v>2963</v>
      </c>
      <c r="B47" s="134">
        <v>13.74</v>
      </c>
      <c r="C47" s="134">
        <v>35.270000000000003</v>
      </c>
      <c r="D47" s="134">
        <v>28.4</v>
      </c>
      <c r="E47" s="134">
        <v>5.56</v>
      </c>
      <c r="F47" s="134">
        <v>3.15</v>
      </c>
      <c r="G47" s="134">
        <v>10.17</v>
      </c>
      <c r="H47" s="134">
        <v>2.62</v>
      </c>
      <c r="I47" s="134">
        <v>2.36</v>
      </c>
      <c r="J47" s="134">
        <v>1</v>
      </c>
      <c r="K47" s="134">
        <v>259.82</v>
      </c>
      <c r="L47" s="134">
        <v>29.28</v>
      </c>
      <c r="M47" s="134">
        <v>73.17</v>
      </c>
      <c r="N47" s="134">
        <v>277</v>
      </c>
      <c r="O47" s="134">
        <v>0</v>
      </c>
      <c r="P47" s="134">
        <v>0.35</v>
      </c>
      <c r="Q47" s="134">
        <v>4.5999999999999996</v>
      </c>
    </row>
    <row r="48" spans="1:17">
      <c r="A48" s="112" t="s">
        <v>2964</v>
      </c>
      <c r="B48" s="134">
        <v>13.05</v>
      </c>
      <c r="C48" s="134">
        <v>31.48</v>
      </c>
      <c r="D48" s="134">
        <v>25.87</v>
      </c>
      <c r="E48" s="134">
        <v>5.24</v>
      </c>
      <c r="F48" s="134">
        <v>4.6500000000000004</v>
      </c>
      <c r="G48" s="134">
        <v>9.7799999999999994</v>
      </c>
      <c r="H48" s="134">
        <v>3.28</v>
      </c>
      <c r="I48" s="134">
        <v>2.4</v>
      </c>
      <c r="J48" s="134">
        <v>0.94</v>
      </c>
      <c r="K48" s="134">
        <v>248.7</v>
      </c>
      <c r="L48" s="134">
        <v>29.09</v>
      </c>
      <c r="M48" s="134">
        <v>74.099999999999994</v>
      </c>
      <c r="N48" s="134">
        <v>235.8</v>
      </c>
      <c r="O48" s="134">
        <v>0</v>
      </c>
      <c r="P48" s="134">
        <v>0.33</v>
      </c>
      <c r="Q48" s="134">
        <v>4.51</v>
      </c>
    </row>
    <row r="49" spans="1:17">
      <c r="A49" s="112" t="s">
        <v>2965</v>
      </c>
      <c r="B49" s="134">
        <v>12.62</v>
      </c>
      <c r="C49" s="134">
        <v>30.06</v>
      </c>
      <c r="D49" s="134">
        <v>24.79</v>
      </c>
      <c r="E49" s="134">
        <v>4.62</v>
      </c>
      <c r="F49" s="134">
        <v>5</v>
      </c>
      <c r="G49" s="134">
        <v>9.14</v>
      </c>
      <c r="H49" s="134">
        <v>3.92</v>
      </c>
      <c r="I49" s="134">
        <v>2.35</v>
      </c>
      <c r="J49" s="134">
        <v>0.93</v>
      </c>
      <c r="K49" s="134">
        <v>247.97</v>
      </c>
      <c r="L49" s="134">
        <v>29.55</v>
      </c>
      <c r="M49" s="134">
        <v>73.11</v>
      </c>
      <c r="N49" s="134">
        <v>290.2</v>
      </c>
      <c r="O49" s="134">
        <v>0</v>
      </c>
      <c r="P49" s="134">
        <v>0.3</v>
      </c>
      <c r="Q49" s="134">
        <v>4.4400000000000004</v>
      </c>
    </row>
    <row r="50" spans="1:17">
      <c r="A50" s="112" t="s">
        <v>2966</v>
      </c>
      <c r="B50" s="134">
        <v>12.04</v>
      </c>
      <c r="C50" s="134">
        <v>30.46</v>
      </c>
      <c r="D50" s="134">
        <v>24.52</v>
      </c>
      <c r="E50" s="134">
        <v>5.37</v>
      </c>
      <c r="F50" s="134">
        <v>4.8</v>
      </c>
      <c r="G50" s="134">
        <v>9.14</v>
      </c>
      <c r="H50" s="134">
        <v>3.92</v>
      </c>
      <c r="I50" s="134">
        <v>2.31</v>
      </c>
      <c r="J50" s="134">
        <v>1.27</v>
      </c>
      <c r="K50" s="134">
        <v>256.95999999999998</v>
      </c>
      <c r="L50" s="134">
        <v>29.53</v>
      </c>
      <c r="M50" s="134">
        <v>72.349999999999994</v>
      </c>
      <c r="N50" s="134">
        <v>301.39999999999998</v>
      </c>
      <c r="O50" s="134">
        <v>0</v>
      </c>
      <c r="P50" s="134">
        <v>0.28999999999999998</v>
      </c>
      <c r="Q50" s="134">
        <v>4.38</v>
      </c>
    </row>
    <row r="51" spans="1:17">
      <c r="A51" s="112" t="s">
        <v>2967</v>
      </c>
      <c r="B51" s="134">
        <v>11.61</v>
      </c>
      <c r="C51" s="134">
        <v>32.89</v>
      </c>
      <c r="D51" s="134">
        <v>25.45</v>
      </c>
      <c r="E51" s="134">
        <v>5.55</v>
      </c>
      <c r="F51" s="134">
        <v>3.54</v>
      </c>
      <c r="G51" s="134">
        <v>9.14</v>
      </c>
      <c r="H51" s="134">
        <v>3.92</v>
      </c>
      <c r="I51" s="134">
        <v>2.29</v>
      </c>
      <c r="J51" s="134">
        <v>0.86</v>
      </c>
      <c r="K51" s="134">
        <v>247.7</v>
      </c>
      <c r="L51" s="134">
        <v>30.01</v>
      </c>
      <c r="M51" s="134">
        <v>71.91</v>
      </c>
      <c r="N51" s="134">
        <v>348.9</v>
      </c>
      <c r="O51" s="134">
        <v>0</v>
      </c>
      <c r="P51" s="134">
        <v>0.31</v>
      </c>
      <c r="Q51" s="134">
        <v>4.3499999999999996</v>
      </c>
    </row>
    <row r="52" spans="1:17">
      <c r="A52" s="112" t="s">
        <v>2968</v>
      </c>
      <c r="B52" s="134">
        <v>11.19</v>
      </c>
      <c r="C52" s="134">
        <v>36.11</v>
      </c>
      <c r="D52" s="134">
        <v>26.79</v>
      </c>
      <c r="E52" s="134">
        <v>6.15</v>
      </c>
      <c r="F52" s="134">
        <v>2.61</v>
      </c>
      <c r="G52" s="134">
        <v>8.8000000000000007</v>
      </c>
      <c r="H52" s="134">
        <v>3.97</v>
      </c>
      <c r="I52" s="134">
        <v>2.29</v>
      </c>
      <c r="J52" s="134">
        <v>1.06</v>
      </c>
      <c r="K52" s="134">
        <v>257.02</v>
      </c>
      <c r="L52" s="134">
        <v>30.11</v>
      </c>
      <c r="M52" s="134">
        <v>71.34</v>
      </c>
      <c r="N52" s="134">
        <v>347.6</v>
      </c>
      <c r="O52" s="134">
        <v>0</v>
      </c>
      <c r="P52" s="134">
        <v>0.35</v>
      </c>
      <c r="Q52" s="134">
        <v>4.46</v>
      </c>
    </row>
    <row r="53" spans="1:17">
      <c r="A53" s="112" t="s">
        <v>2969</v>
      </c>
      <c r="B53" s="134">
        <v>10.97</v>
      </c>
      <c r="C53" s="134">
        <v>30.71</v>
      </c>
      <c r="D53" s="134">
        <v>23.8</v>
      </c>
      <c r="E53" s="134">
        <v>6.19</v>
      </c>
      <c r="F53" s="134">
        <v>4.95</v>
      </c>
      <c r="G53" s="134">
        <v>8.2200000000000006</v>
      </c>
      <c r="H53" s="134">
        <v>4.01</v>
      </c>
      <c r="I53" s="134">
        <v>2.38</v>
      </c>
      <c r="J53" s="134">
        <v>0.73</v>
      </c>
      <c r="K53" s="134">
        <v>246.86</v>
      </c>
      <c r="L53" s="134">
        <v>29.99</v>
      </c>
      <c r="M53" s="134">
        <v>71.5</v>
      </c>
      <c r="N53" s="134">
        <v>259.5</v>
      </c>
      <c r="O53" s="134">
        <v>0</v>
      </c>
      <c r="P53" s="134">
        <v>0.33</v>
      </c>
      <c r="Q53" s="134">
        <v>4.4400000000000004</v>
      </c>
    </row>
    <row r="54" spans="1:17">
      <c r="A54" s="112" t="s">
        <v>2970</v>
      </c>
      <c r="B54" s="134">
        <v>10.31</v>
      </c>
      <c r="C54" s="134">
        <v>29.49</v>
      </c>
      <c r="D54" s="134">
        <v>22.63</v>
      </c>
      <c r="E54" s="134">
        <v>6.42</v>
      </c>
      <c r="F54" s="134">
        <v>7.01</v>
      </c>
      <c r="G54" s="134">
        <v>8.2200000000000006</v>
      </c>
      <c r="H54" s="134">
        <v>4.01</v>
      </c>
      <c r="I54" s="134">
        <v>2.4300000000000002</v>
      </c>
      <c r="J54" s="134">
        <v>0.6</v>
      </c>
      <c r="K54" s="134">
        <v>241.36</v>
      </c>
      <c r="L54" s="134">
        <v>29.66</v>
      </c>
      <c r="M54" s="134">
        <v>73.510000000000005</v>
      </c>
      <c r="N54" s="134">
        <v>174.1</v>
      </c>
      <c r="O54" s="134">
        <v>0</v>
      </c>
      <c r="P54" s="134">
        <v>0.31</v>
      </c>
      <c r="Q54" s="134">
        <v>4.34</v>
      </c>
    </row>
    <row r="55" spans="1:17">
      <c r="A55" s="112" t="s">
        <v>2971</v>
      </c>
      <c r="B55" s="134">
        <v>9.9600000000000009</v>
      </c>
      <c r="C55" s="134">
        <v>28.77</v>
      </c>
      <c r="D55" s="134">
        <v>21.97</v>
      </c>
      <c r="E55" s="134">
        <v>5.67</v>
      </c>
      <c r="F55" s="134">
        <v>6.49</v>
      </c>
      <c r="G55" s="134">
        <v>8.2200000000000006</v>
      </c>
      <c r="H55" s="134">
        <v>4.01</v>
      </c>
      <c r="I55" s="134">
        <v>2.34</v>
      </c>
      <c r="J55" s="134">
        <v>0.88</v>
      </c>
      <c r="K55" s="134">
        <v>251.95</v>
      </c>
      <c r="L55" s="134">
        <v>29.45</v>
      </c>
      <c r="M55" s="134">
        <v>73.33</v>
      </c>
      <c r="N55" s="134">
        <v>246.8</v>
      </c>
      <c r="O55" s="134">
        <v>0</v>
      </c>
      <c r="P55" s="134">
        <v>0.3</v>
      </c>
      <c r="Q55" s="134">
        <v>4.2699999999999996</v>
      </c>
    </row>
    <row r="56" spans="1:17">
      <c r="A56" s="112" t="s">
        <v>2972</v>
      </c>
      <c r="B56" s="134">
        <v>9.61</v>
      </c>
      <c r="C56" s="134">
        <v>29.69</v>
      </c>
      <c r="D56" s="134">
        <v>22.18</v>
      </c>
      <c r="E56" s="134">
        <v>5.36</v>
      </c>
      <c r="F56" s="134">
        <v>5.94</v>
      </c>
      <c r="G56" s="134">
        <v>9.3699999999999992</v>
      </c>
      <c r="H56" s="134">
        <v>3.73</v>
      </c>
      <c r="I56" s="134">
        <v>2.2599999999999998</v>
      </c>
      <c r="J56" s="134">
        <v>0.71</v>
      </c>
      <c r="K56" s="134">
        <v>246.24</v>
      </c>
      <c r="L56" s="134">
        <v>29.82</v>
      </c>
      <c r="M56" s="134">
        <v>72.819999999999993</v>
      </c>
      <c r="N56" s="134">
        <v>300.5</v>
      </c>
      <c r="O56" s="134">
        <v>0</v>
      </c>
      <c r="P56" s="134">
        <v>0.31</v>
      </c>
      <c r="Q56" s="134">
        <v>4.24</v>
      </c>
    </row>
    <row r="57" spans="1:17">
      <c r="A57" s="112" t="s">
        <v>2973</v>
      </c>
      <c r="B57" s="134">
        <v>9.82</v>
      </c>
      <c r="C57" s="134">
        <v>35.71</v>
      </c>
      <c r="D57" s="134">
        <v>25.49</v>
      </c>
      <c r="E57" s="134">
        <v>6.17</v>
      </c>
      <c r="F57" s="134">
        <v>3.1</v>
      </c>
      <c r="G57" s="134">
        <v>11.25</v>
      </c>
      <c r="H57" s="134">
        <v>2.9</v>
      </c>
      <c r="I57" s="134">
        <v>2.2599999999999998</v>
      </c>
      <c r="J57" s="134">
        <v>0.86</v>
      </c>
      <c r="K57" s="134">
        <v>253.19</v>
      </c>
      <c r="L57" s="134">
        <v>29.73</v>
      </c>
      <c r="M57" s="134">
        <v>72.150000000000006</v>
      </c>
      <c r="N57" s="134">
        <v>220.1</v>
      </c>
      <c r="O57" s="134">
        <v>0</v>
      </c>
      <c r="P57" s="134">
        <v>0.35</v>
      </c>
      <c r="Q57" s="134">
        <v>4.3600000000000003</v>
      </c>
    </row>
    <row r="58" spans="1:17">
      <c r="A58" s="112" t="s">
        <v>2974</v>
      </c>
      <c r="B58" s="134">
        <v>9.89</v>
      </c>
      <c r="C58" s="134">
        <v>34.6</v>
      </c>
      <c r="D58" s="134">
        <v>24.96</v>
      </c>
      <c r="E58" s="134">
        <v>5.74</v>
      </c>
      <c r="F58" s="134">
        <v>3.87</v>
      </c>
      <c r="G58" s="134">
        <v>11.25</v>
      </c>
      <c r="H58" s="134">
        <v>2.9</v>
      </c>
      <c r="I58" s="134">
        <v>2.38</v>
      </c>
      <c r="J58" s="134">
        <v>0.79</v>
      </c>
      <c r="K58" s="134">
        <v>252.62</v>
      </c>
      <c r="L58" s="134">
        <v>29.62</v>
      </c>
      <c r="M58" s="134">
        <v>73.349999999999994</v>
      </c>
      <c r="N58" s="134">
        <v>367.7</v>
      </c>
      <c r="O58" s="134">
        <v>0</v>
      </c>
      <c r="P58" s="134">
        <v>0.34</v>
      </c>
      <c r="Q58" s="134">
        <v>4.4000000000000004</v>
      </c>
    </row>
    <row r="59" spans="1:17">
      <c r="A59" s="112" t="s">
        <v>2975</v>
      </c>
      <c r="B59" s="134">
        <v>9.64</v>
      </c>
      <c r="C59" s="134">
        <v>32.5</v>
      </c>
      <c r="D59" s="134">
        <v>23.67</v>
      </c>
      <c r="E59" s="134">
        <v>5.73</v>
      </c>
      <c r="F59" s="134">
        <v>4.2699999999999996</v>
      </c>
      <c r="G59" s="134">
        <v>11.25</v>
      </c>
      <c r="H59" s="134">
        <v>2.9</v>
      </c>
      <c r="I59" s="134">
        <v>2.46</v>
      </c>
      <c r="J59" s="134">
        <v>1.02</v>
      </c>
      <c r="K59" s="134">
        <v>247.88</v>
      </c>
      <c r="L59" s="134">
        <v>29.85</v>
      </c>
      <c r="M59" s="134">
        <v>72.14</v>
      </c>
      <c r="N59" s="134">
        <v>465.7</v>
      </c>
      <c r="O59" s="134">
        <v>0</v>
      </c>
      <c r="P59" s="134">
        <v>0.32</v>
      </c>
      <c r="Q59" s="134">
        <v>4.32</v>
      </c>
    </row>
    <row r="60" spans="1:17">
      <c r="A60" s="112" t="s">
        <v>2976</v>
      </c>
      <c r="B60" s="134">
        <v>9.06</v>
      </c>
      <c r="C60" s="134">
        <v>28.05</v>
      </c>
      <c r="D60" s="134">
        <v>20.88</v>
      </c>
      <c r="E60" s="134">
        <v>5.67</v>
      </c>
      <c r="F60" s="134">
        <v>6.71</v>
      </c>
      <c r="G60" s="134">
        <v>11.5</v>
      </c>
      <c r="H60" s="134">
        <v>2.5299999999999998</v>
      </c>
      <c r="I60" s="134">
        <v>2.37</v>
      </c>
      <c r="J60" s="134">
        <v>1.21</v>
      </c>
      <c r="K60" s="134">
        <v>268.79000000000002</v>
      </c>
      <c r="L60" s="134">
        <v>30.8</v>
      </c>
      <c r="M60" s="134">
        <v>69.11</v>
      </c>
      <c r="N60" s="134">
        <v>822.7</v>
      </c>
      <c r="O60" s="134">
        <v>0</v>
      </c>
      <c r="P60" s="134">
        <v>0.3</v>
      </c>
      <c r="Q60" s="134">
        <v>4.25</v>
      </c>
    </row>
    <row r="61" spans="1:17">
      <c r="A61" s="112" t="s">
        <v>2977</v>
      </c>
      <c r="B61" s="134">
        <v>8.5399999999999991</v>
      </c>
      <c r="C61" s="134">
        <v>28.01</v>
      </c>
      <c r="D61" s="134">
        <v>20.440000000000001</v>
      </c>
      <c r="E61" s="134">
        <v>5.93</v>
      </c>
      <c r="F61" s="134">
        <v>5.89</v>
      </c>
      <c r="G61" s="134">
        <v>11.9</v>
      </c>
      <c r="H61" s="134">
        <v>2.1800000000000002</v>
      </c>
      <c r="I61" s="134">
        <v>2.31</v>
      </c>
      <c r="J61" s="134">
        <v>1.2</v>
      </c>
      <c r="K61" s="134">
        <v>256.14</v>
      </c>
      <c r="L61" s="134">
        <v>31.4</v>
      </c>
      <c r="M61" s="134">
        <v>66.400000000000006</v>
      </c>
      <c r="N61" s="134">
        <v>857.4</v>
      </c>
      <c r="O61" s="134">
        <v>0</v>
      </c>
      <c r="P61" s="134">
        <v>0.28999999999999998</v>
      </c>
      <c r="Q61" s="134">
        <v>4.21</v>
      </c>
    </row>
    <row r="62" spans="1:17">
      <c r="A62" s="112" t="s">
        <v>2978</v>
      </c>
      <c r="B62" s="134">
        <v>8.08</v>
      </c>
      <c r="C62" s="134">
        <v>29.66</v>
      </c>
      <c r="D62" s="134">
        <v>20.93</v>
      </c>
      <c r="E62" s="134">
        <v>5.13</v>
      </c>
      <c r="F62" s="134">
        <v>5.73</v>
      </c>
      <c r="G62" s="134">
        <v>11.9</v>
      </c>
      <c r="H62" s="134">
        <v>2.1800000000000002</v>
      </c>
      <c r="I62" s="134">
        <v>2.2799999999999998</v>
      </c>
      <c r="J62" s="134">
        <v>1.03</v>
      </c>
      <c r="K62" s="134">
        <v>251.82</v>
      </c>
      <c r="L62" s="134">
        <v>31.47</v>
      </c>
      <c r="M62" s="134">
        <v>66.86</v>
      </c>
      <c r="N62" s="134">
        <v>703.1</v>
      </c>
      <c r="O62" s="134">
        <v>0</v>
      </c>
      <c r="P62" s="134">
        <v>0.28999999999999998</v>
      </c>
      <c r="Q62" s="134">
        <v>4.1399999999999997</v>
      </c>
    </row>
    <row r="63" spans="1:17">
      <c r="A63" s="112" t="s">
        <v>2979</v>
      </c>
      <c r="B63" s="134">
        <v>7.85</v>
      </c>
      <c r="C63" s="134">
        <v>30.83</v>
      </c>
      <c r="D63" s="134">
        <v>21.36</v>
      </c>
      <c r="E63" s="134">
        <v>5.36</v>
      </c>
      <c r="F63" s="134">
        <v>4.82</v>
      </c>
      <c r="G63" s="134">
        <v>11.9</v>
      </c>
      <c r="H63" s="134">
        <v>2.1800000000000002</v>
      </c>
      <c r="I63" s="134">
        <v>2.29</v>
      </c>
      <c r="J63" s="134">
        <v>1.1100000000000001</v>
      </c>
      <c r="K63" s="134">
        <v>244.83</v>
      </c>
      <c r="L63" s="134">
        <v>31.13</v>
      </c>
      <c r="M63" s="134">
        <v>67.290000000000006</v>
      </c>
      <c r="N63" s="134">
        <v>547.70000000000005</v>
      </c>
      <c r="O63" s="134">
        <v>0</v>
      </c>
      <c r="P63" s="134">
        <v>0.3</v>
      </c>
      <c r="Q63" s="134">
        <v>4.1399999999999997</v>
      </c>
    </row>
    <row r="64" spans="1:17">
      <c r="A64" s="112" t="s">
        <v>2980</v>
      </c>
      <c r="B64" s="134">
        <v>7.75</v>
      </c>
      <c r="C64" s="134">
        <v>35.659999999999997</v>
      </c>
      <c r="D64" s="134">
        <v>23.8</v>
      </c>
      <c r="E64" s="134">
        <v>5.94</v>
      </c>
      <c r="F64" s="134">
        <v>2.76</v>
      </c>
      <c r="G64" s="134">
        <v>11.91</v>
      </c>
      <c r="H64" s="134">
        <v>2.57</v>
      </c>
      <c r="I64" s="134">
        <v>2.33</v>
      </c>
      <c r="J64" s="134">
        <v>0.98</v>
      </c>
      <c r="K64" s="134">
        <v>250.5</v>
      </c>
      <c r="L64" s="134">
        <v>30.91</v>
      </c>
      <c r="M64" s="134">
        <v>67.53</v>
      </c>
      <c r="N64" s="134">
        <v>304.8</v>
      </c>
      <c r="O64" s="134">
        <v>0</v>
      </c>
      <c r="P64" s="134">
        <v>0.35</v>
      </c>
      <c r="Q64" s="134">
        <v>4.22</v>
      </c>
    </row>
    <row r="65" spans="1:17">
      <c r="A65" s="112" t="s">
        <v>2981</v>
      </c>
      <c r="B65" s="134">
        <v>7.58</v>
      </c>
      <c r="C65" s="134">
        <v>34.93</v>
      </c>
      <c r="D65" s="134">
        <v>23.29</v>
      </c>
      <c r="E65" s="134">
        <v>6.09</v>
      </c>
      <c r="F65" s="134">
        <v>4.12</v>
      </c>
      <c r="G65" s="134">
        <v>11.92</v>
      </c>
      <c r="H65" s="134">
        <v>2.94</v>
      </c>
      <c r="I65" s="134">
        <v>2.44</v>
      </c>
      <c r="J65" s="134">
        <v>1.1399999999999999</v>
      </c>
      <c r="K65" s="134">
        <v>262.27</v>
      </c>
      <c r="L65" s="134">
        <v>31.49</v>
      </c>
      <c r="M65" s="134">
        <v>65.099999999999994</v>
      </c>
      <c r="N65" s="134">
        <v>849.1</v>
      </c>
      <c r="O65" s="134">
        <v>0</v>
      </c>
      <c r="P65" s="134">
        <v>0.36</v>
      </c>
      <c r="Q65" s="134">
        <v>4.3</v>
      </c>
    </row>
    <row r="66" spans="1:17">
      <c r="A66" s="112" t="s">
        <v>2982</v>
      </c>
      <c r="B66" s="134">
        <v>7.7</v>
      </c>
      <c r="C66" s="134">
        <v>31.48</v>
      </c>
      <c r="D66" s="134">
        <v>21.58</v>
      </c>
      <c r="E66" s="134">
        <v>5.9</v>
      </c>
      <c r="F66" s="134">
        <v>5.32</v>
      </c>
      <c r="G66" s="134">
        <v>11.92</v>
      </c>
      <c r="H66" s="134">
        <v>2.94</v>
      </c>
      <c r="I66" s="134">
        <v>2.54</v>
      </c>
      <c r="J66" s="134">
        <v>1.1200000000000001</v>
      </c>
      <c r="K66" s="134">
        <v>256.89</v>
      </c>
      <c r="L66" s="134">
        <v>31.69</v>
      </c>
      <c r="M66" s="134">
        <v>65.73</v>
      </c>
      <c r="N66" s="134">
        <v>409.1</v>
      </c>
      <c r="O66" s="134">
        <v>0</v>
      </c>
      <c r="P66" s="134">
        <v>0.34</v>
      </c>
      <c r="Q66" s="134">
        <v>4.2300000000000004</v>
      </c>
    </row>
    <row r="67" spans="1:17">
      <c r="A67" s="112" t="s">
        <v>2983</v>
      </c>
      <c r="B67" s="134">
        <v>7.64</v>
      </c>
      <c r="C67" s="134">
        <v>30.06</v>
      </c>
      <c r="D67" s="134">
        <v>20.79</v>
      </c>
      <c r="E67" s="134">
        <v>5.58</v>
      </c>
      <c r="F67" s="134">
        <v>6.11</v>
      </c>
      <c r="G67" s="134">
        <v>11.92</v>
      </c>
      <c r="H67" s="134">
        <v>2.94</v>
      </c>
      <c r="I67" s="134">
        <v>2.52</v>
      </c>
      <c r="J67" s="134">
        <v>0.99</v>
      </c>
      <c r="K67" s="134">
        <v>257.60000000000002</v>
      </c>
      <c r="L67" s="134">
        <v>31.73</v>
      </c>
      <c r="M67" s="134">
        <v>65.260000000000005</v>
      </c>
      <c r="N67" s="134">
        <v>642.4</v>
      </c>
      <c r="O67" s="134">
        <v>0</v>
      </c>
      <c r="P67" s="134">
        <v>0.32</v>
      </c>
      <c r="Q67" s="134">
        <v>4.1500000000000004</v>
      </c>
    </row>
    <row r="68" spans="1:17">
      <c r="A68" s="112" t="s">
        <v>2984</v>
      </c>
      <c r="B68" s="134">
        <v>7.23</v>
      </c>
      <c r="C68" s="134">
        <v>28.71</v>
      </c>
      <c r="D68" s="134">
        <v>19.760000000000002</v>
      </c>
      <c r="E68" s="134">
        <v>5.71</v>
      </c>
      <c r="F68" s="134">
        <v>6.23</v>
      </c>
      <c r="G68" s="134">
        <v>11.51</v>
      </c>
      <c r="H68" s="134">
        <v>3.68</v>
      </c>
      <c r="I68" s="134">
        <v>2.4700000000000002</v>
      </c>
      <c r="J68" s="134">
        <v>1</v>
      </c>
      <c r="K68" s="134">
        <v>250.41</v>
      </c>
      <c r="L68" s="134">
        <v>32.119999999999997</v>
      </c>
      <c r="M68" s="134">
        <v>63.93</v>
      </c>
      <c r="N68" s="134">
        <v>564.4</v>
      </c>
      <c r="O68" s="134">
        <v>0</v>
      </c>
      <c r="P68" s="134">
        <v>0.31</v>
      </c>
      <c r="Q68" s="134">
        <v>4.1100000000000003</v>
      </c>
    </row>
    <row r="69" spans="1:17">
      <c r="A69" s="112" t="s">
        <v>2985</v>
      </c>
      <c r="B69" s="134">
        <v>6.76</v>
      </c>
      <c r="C69" s="134">
        <v>28.4</v>
      </c>
      <c r="D69" s="134">
        <v>19.21</v>
      </c>
      <c r="E69" s="134">
        <v>5.82</v>
      </c>
      <c r="F69" s="134">
        <v>7.2</v>
      </c>
      <c r="G69" s="134">
        <v>10.88</v>
      </c>
      <c r="H69" s="134">
        <v>4.37</v>
      </c>
      <c r="I69" s="134">
        <v>2.4300000000000002</v>
      </c>
      <c r="J69" s="134">
        <v>1.1000000000000001</v>
      </c>
      <c r="K69" s="134">
        <v>256.42</v>
      </c>
      <c r="L69" s="134">
        <v>31.9</v>
      </c>
      <c r="M69" s="134">
        <v>64.44</v>
      </c>
      <c r="N69" s="134">
        <v>594.79999999999995</v>
      </c>
      <c r="O69" s="134">
        <v>0</v>
      </c>
      <c r="P69" s="134">
        <v>0.31</v>
      </c>
      <c r="Q69" s="134">
        <v>4.0999999999999996</v>
      </c>
    </row>
    <row r="70" spans="1:17">
      <c r="A70" s="112" t="s">
        <v>2986</v>
      </c>
      <c r="B70" s="134">
        <v>6.6</v>
      </c>
      <c r="C70" s="134">
        <v>28.97</v>
      </c>
      <c r="D70" s="134">
        <v>19.38</v>
      </c>
      <c r="E70" s="134">
        <v>5.26</v>
      </c>
      <c r="F70" s="134">
        <v>5.52</v>
      </c>
      <c r="G70" s="134">
        <v>10.88</v>
      </c>
      <c r="H70" s="134">
        <v>4.37</v>
      </c>
      <c r="I70" s="134">
        <v>2.39</v>
      </c>
      <c r="J70" s="134">
        <v>1.06</v>
      </c>
      <c r="K70" s="134">
        <v>254.51</v>
      </c>
      <c r="L70" s="134">
        <v>32.14</v>
      </c>
      <c r="M70" s="134">
        <v>62.72</v>
      </c>
      <c r="N70" s="134">
        <v>584.6</v>
      </c>
      <c r="O70" s="134">
        <v>0</v>
      </c>
      <c r="P70" s="134">
        <v>0.3</v>
      </c>
      <c r="Q70" s="134">
        <v>4.0599999999999996</v>
      </c>
    </row>
    <row r="71" spans="1:17">
      <c r="A71" s="112" t="s">
        <v>2987</v>
      </c>
      <c r="B71" s="134">
        <v>6.44</v>
      </c>
      <c r="C71" s="134">
        <v>27.21</v>
      </c>
      <c r="D71" s="134">
        <v>18.34</v>
      </c>
      <c r="E71" s="134">
        <v>5.61</v>
      </c>
      <c r="F71" s="134">
        <v>6.56</v>
      </c>
      <c r="G71" s="134">
        <v>10.88</v>
      </c>
      <c r="H71" s="134">
        <v>4.37</v>
      </c>
      <c r="I71" s="134">
        <v>2.36</v>
      </c>
      <c r="J71" s="134">
        <v>0.92</v>
      </c>
      <c r="K71" s="134">
        <v>249.12</v>
      </c>
      <c r="L71" s="134">
        <v>32.119999999999997</v>
      </c>
      <c r="M71" s="134">
        <v>62.47</v>
      </c>
      <c r="N71" s="134">
        <v>371.3</v>
      </c>
      <c r="O71" s="134">
        <v>0</v>
      </c>
      <c r="P71" s="134">
        <v>0.3</v>
      </c>
      <c r="Q71" s="134">
        <v>4.0599999999999996</v>
      </c>
    </row>
    <row r="72" spans="1:17">
      <c r="A72" s="112" t="s">
        <v>2988</v>
      </c>
      <c r="B72" s="134">
        <v>6.24</v>
      </c>
      <c r="C72" s="134">
        <v>27.36</v>
      </c>
      <c r="D72" s="134">
        <v>18.260000000000002</v>
      </c>
      <c r="E72" s="134">
        <v>5.51</v>
      </c>
      <c r="F72" s="134">
        <v>7.02</v>
      </c>
      <c r="G72" s="134">
        <v>9.7200000000000006</v>
      </c>
      <c r="H72" s="134">
        <v>4.9400000000000004</v>
      </c>
      <c r="I72" s="134">
        <v>2.39</v>
      </c>
      <c r="J72" s="134">
        <v>1.18</v>
      </c>
      <c r="K72" s="134">
        <v>254.07</v>
      </c>
      <c r="L72" s="134">
        <v>31.42</v>
      </c>
      <c r="M72" s="134">
        <v>63.88</v>
      </c>
      <c r="N72" s="134">
        <v>233.5</v>
      </c>
      <c r="O72" s="134">
        <v>0</v>
      </c>
      <c r="P72" s="134">
        <v>0.28999999999999998</v>
      </c>
      <c r="Q72" s="134">
        <v>4.03</v>
      </c>
    </row>
    <row r="73" spans="1:17">
      <c r="A73" s="112" t="s">
        <v>2989</v>
      </c>
      <c r="B73" s="134">
        <v>6.25</v>
      </c>
      <c r="C73" s="134">
        <v>31.24</v>
      </c>
      <c r="D73" s="134">
        <v>20.29</v>
      </c>
      <c r="E73" s="134">
        <v>5.44</v>
      </c>
      <c r="F73" s="134">
        <v>4.3099999999999996</v>
      </c>
      <c r="G73" s="134">
        <v>7.8</v>
      </c>
      <c r="H73" s="134">
        <v>5.48</v>
      </c>
      <c r="I73" s="134">
        <v>2.36</v>
      </c>
      <c r="J73" s="134">
        <v>0.95</v>
      </c>
      <c r="K73" s="134">
        <v>247</v>
      </c>
      <c r="L73" s="134">
        <v>31.58</v>
      </c>
      <c r="M73" s="134">
        <v>64.33</v>
      </c>
      <c r="N73" s="134">
        <v>326</v>
      </c>
      <c r="O73" s="134">
        <v>0</v>
      </c>
      <c r="P73" s="134">
        <v>0.33</v>
      </c>
      <c r="Q73" s="134">
        <v>4.04</v>
      </c>
    </row>
    <row r="74" spans="1:17">
      <c r="A74" s="112" t="s">
        <v>2990</v>
      </c>
      <c r="B74" s="134">
        <v>6.45</v>
      </c>
      <c r="C74" s="134">
        <v>31.74</v>
      </c>
      <c r="D74" s="134">
        <v>20.71</v>
      </c>
      <c r="E74" s="134">
        <v>5.92</v>
      </c>
      <c r="F74" s="134">
        <v>4.5199999999999996</v>
      </c>
      <c r="G74" s="134">
        <v>7.8</v>
      </c>
      <c r="H74" s="134">
        <v>5.48</v>
      </c>
      <c r="I74" s="134">
        <v>2.37</v>
      </c>
      <c r="J74" s="134">
        <v>1.1100000000000001</v>
      </c>
      <c r="K74" s="134">
        <v>257.06</v>
      </c>
      <c r="L74" s="134">
        <v>31.92</v>
      </c>
      <c r="M74" s="134">
        <v>61.85</v>
      </c>
      <c r="N74" s="134">
        <v>410.2</v>
      </c>
      <c r="O74" s="134">
        <v>0</v>
      </c>
      <c r="P74" s="134">
        <v>0.35</v>
      </c>
      <c r="Q74" s="134">
        <v>4.1399999999999997</v>
      </c>
    </row>
    <row r="75" spans="1:17">
      <c r="A75" s="112" t="s">
        <v>2991</v>
      </c>
      <c r="B75" s="134">
        <v>6.44</v>
      </c>
      <c r="C75" s="134">
        <v>29.05</v>
      </c>
      <c r="D75" s="134">
        <v>19.3</v>
      </c>
      <c r="E75" s="134">
        <v>5.88</v>
      </c>
      <c r="F75" s="134">
        <v>5.77</v>
      </c>
      <c r="G75" s="134">
        <v>7.8</v>
      </c>
      <c r="H75" s="134">
        <v>5.48</v>
      </c>
      <c r="I75" s="134">
        <v>2.4900000000000002</v>
      </c>
      <c r="J75" s="134">
        <v>1.01</v>
      </c>
      <c r="K75" s="134">
        <v>251.73</v>
      </c>
      <c r="L75" s="134">
        <v>31.67</v>
      </c>
      <c r="M75" s="134">
        <v>62.23</v>
      </c>
      <c r="N75" s="134">
        <v>240.5</v>
      </c>
      <c r="O75" s="134">
        <v>0</v>
      </c>
      <c r="P75" s="134">
        <v>0.34</v>
      </c>
      <c r="Q75" s="134">
        <v>4.07</v>
      </c>
    </row>
    <row r="76" spans="1:17">
      <c r="A76" s="112" t="s">
        <v>2992</v>
      </c>
      <c r="B76" s="134">
        <v>6.34</v>
      </c>
      <c r="C76" s="134">
        <v>27.77</v>
      </c>
      <c r="D76" s="134">
        <v>18.55</v>
      </c>
      <c r="E76" s="134">
        <v>5.62</v>
      </c>
      <c r="F76" s="134">
        <v>6.65</v>
      </c>
      <c r="G76" s="134">
        <v>9.3800000000000008</v>
      </c>
      <c r="H76" s="134">
        <v>4.6900000000000004</v>
      </c>
      <c r="I76" s="134">
        <v>2.58</v>
      </c>
      <c r="J76" s="134">
        <v>1.06</v>
      </c>
      <c r="K76" s="134">
        <v>259.14</v>
      </c>
      <c r="L76" s="134">
        <v>31.54</v>
      </c>
      <c r="M76" s="134">
        <v>62.73</v>
      </c>
      <c r="N76" s="134">
        <v>227.6</v>
      </c>
      <c r="O76" s="134">
        <v>0</v>
      </c>
      <c r="P76" s="134">
        <v>0.35</v>
      </c>
      <c r="Q76" s="134">
        <v>4.05</v>
      </c>
    </row>
    <row r="77" spans="1:17">
      <c r="A77" s="112" t="s">
        <v>2993</v>
      </c>
      <c r="B77" s="134">
        <v>6.1</v>
      </c>
      <c r="C77" s="134">
        <v>26.22</v>
      </c>
      <c r="D77" s="134">
        <v>17.55</v>
      </c>
      <c r="E77" s="134">
        <v>5.27</v>
      </c>
      <c r="F77" s="134">
        <v>6.54</v>
      </c>
      <c r="G77" s="134">
        <v>11.87</v>
      </c>
      <c r="H77" s="134">
        <v>3.95</v>
      </c>
      <c r="I77" s="134">
        <v>2.64</v>
      </c>
      <c r="J77" s="134">
        <v>0.83</v>
      </c>
      <c r="K77" s="134">
        <v>249.66</v>
      </c>
      <c r="L77" s="134">
        <v>31.37</v>
      </c>
      <c r="M77" s="134">
        <v>64.78</v>
      </c>
      <c r="N77" s="134">
        <v>119.1</v>
      </c>
      <c r="O77" s="134">
        <v>0</v>
      </c>
      <c r="P77" s="134">
        <v>0.34</v>
      </c>
      <c r="Q77" s="134">
        <v>4.04</v>
      </c>
    </row>
    <row r="78" spans="1:17">
      <c r="A78" s="112" t="s">
        <v>2994</v>
      </c>
      <c r="B78" s="134">
        <v>5.75</v>
      </c>
      <c r="C78" s="134">
        <v>24.91</v>
      </c>
      <c r="D78" s="134">
        <v>16.579999999999998</v>
      </c>
      <c r="E78" s="134">
        <v>5.81</v>
      </c>
      <c r="F78" s="134">
        <v>9</v>
      </c>
      <c r="G78" s="134">
        <v>11.87</v>
      </c>
      <c r="H78" s="134">
        <v>3.95</v>
      </c>
      <c r="I78" s="134">
        <v>2.72</v>
      </c>
      <c r="J78" s="134">
        <v>0.89</v>
      </c>
      <c r="K78" s="134">
        <v>253.74</v>
      </c>
      <c r="L78" s="134">
        <v>31.17</v>
      </c>
      <c r="M78" s="134">
        <v>65.489999999999995</v>
      </c>
      <c r="N78" s="134">
        <v>165.6</v>
      </c>
      <c r="O78" s="134">
        <v>0</v>
      </c>
      <c r="P78" s="134">
        <v>0.33</v>
      </c>
      <c r="Q78" s="134">
        <v>4</v>
      </c>
    </row>
    <row r="79" spans="1:17">
      <c r="A79" s="112" t="s">
        <v>2995</v>
      </c>
      <c r="B79" s="134">
        <v>5.66</v>
      </c>
      <c r="C79" s="134">
        <v>25.82</v>
      </c>
      <c r="D79" s="134">
        <v>16.989999999999998</v>
      </c>
      <c r="E79" s="134">
        <v>5.57</v>
      </c>
      <c r="F79" s="134">
        <v>7.96</v>
      </c>
      <c r="G79" s="134">
        <v>11.87</v>
      </c>
      <c r="H79" s="134">
        <v>3.95</v>
      </c>
      <c r="I79" s="134">
        <v>2.67</v>
      </c>
      <c r="J79" s="134">
        <v>0.92</v>
      </c>
      <c r="K79" s="134">
        <v>255.19</v>
      </c>
      <c r="L79" s="134">
        <v>31.17</v>
      </c>
      <c r="M79" s="134">
        <v>64.510000000000005</v>
      </c>
      <c r="N79" s="134">
        <v>112.1</v>
      </c>
      <c r="O79" s="134">
        <v>0</v>
      </c>
      <c r="P79" s="134">
        <v>0.33</v>
      </c>
      <c r="Q79" s="134">
        <v>3.99</v>
      </c>
    </row>
    <row r="80" spans="1:17">
      <c r="A80" s="112" t="s">
        <v>2996</v>
      </c>
      <c r="B80" s="134">
        <v>5.64</v>
      </c>
      <c r="C80" s="134">
        <v>26.86</v>
      </c>
      <c r="D80" s="134">
        <v>17.510000000000002</v>
      </c>
      <c r="E80" s="134">
        <v>5.39</v>
      </c>
      <c r="F80" s="134">
        <v>7.18</v>
      </c>
      <c r="G80" s="134">
        <v>11.67</v>
      </c>
      <c r="H80" s="134">
        <v>4.84</v>
      </c>
      <c r="I80" s="134">
        <v>2.5299999999999998</v>
      </c>
      <c r="J80" s="134">
        <v>0.7</v>
      </c>
      <c r="K80" s="134">
        <v>250.76</v>
      </c>
      <c r="L80" s="134">
        <v>30.69</v>
      </c>
      <c r="M80" s="134">
        <v>66.12</v>
      </c>
      <c r="N80" s="134">
        <v>48.6</v>
      </c>
      <c r="O80" s="134">
        <v>0</v>
      </c>
      <c r="P80" s="134">
        <v>0.35</v>
      </c>
      <c r="Q80" s="134">
        <v>3.98</v>
      </c>
    </row>
    <row r="81" spans="1:17">
      <c r="A81" s="112" t="s">
        <v>2997</v>
      </c>
      <c r="B81" s="134">
        <v>6.2</v>
      </c>
      <c r="C81" s="134">
        <v>31.82</v>
      </c>
      <c r="D81" s="134">
        <v>20.55</v>
      </c>
      <c r="E81" s="134">
        <v>4.2</v>
      </c>
      <c r="F81" s="134">
        <v>5.62</v>
      </c>
      <c r="G81" s="134">
        <v>11.36</v>
      </c>
      <c r="H81" s="134">
        <v>7.66</v>
      </c>
      <c r="I81" s="134">
        <v>2.63</v>
      </c>
      <c r="J81" s="134">
        <v>0.82</v>
      </c>
      <c r="K81" s="134">
        <v>251.72</v>
      </c>
      <c r="L81" s="134">
        <v>30.37</v>
      </c>
      <c r="M81" s="134">
        <v>66.77</v>
      </c>
      <c r="N81" s="134">
        <v>31.3</v>
      </c>
      <c r="O81" s="134">
        <v>0</v>
      </c>
      <c r="P81" s="134">
        <v>0.4</v>
      </c>
      <c r="Q81" s="134">
        <v>4.0999999999999996</v>
      </c>
    </row>
    <row r="82" spans="1:17">
      <c r="A82" s="112" t="s">
        <v>2998</v>
      </c>
      <c r="B82" s="134">
        <v>6.15</v>
      </c>
      <c r="C82" s="134">
        <v>27.77</v>
      </c>
      <c r="D82" s="134">
        <v>18.399999999999999</v>
      </c>
      <c r="E82" s="134">
        <v>4.8099999999999996</v>
      </c>
      <c r="F82" s="134">
        <v>10.97</v>
      </c>
      <c r="G82" s="134">
        <v>11.36</v>
      </c>
      <c r="H82" s="134">
        <v>7.66</v>
      </c>
      <c r="I82" s="134">
        <v>2.86</v>
      </c>
      <c r="J82" s="134">
        <v>0.53</v>
      </c>
      <c r="K82" s="134">
        <v>252.93</v>
      </c>
      <c r="L82" s="134">
        <v>30.04</v>
      </c>
      <c r="M82" s="134">
        <v>68.489999999999995</v>
      </c>
      <c r="N82" s="134">
        <v>6.6</v>
      </c>
      <c r="O82" s="134">
        <v>0</v>
      </c>
      <c r="P82" s="134">
        <v>0.41</v>
      </c>
      <c r="Q82" s="134">
        <v>4.16</v>
      </c>
    </row>
    <row r="83" spans="1:17">
      <c r="A83" s="112" t="s">
        <v>2999</v>
      </c>
      <c r="B83" s="134">
        <v>5.75</v>
      </c>
      <c r="C83" s="134">
        <v>24.57</v>
      </c>
      <c r="D83" s="134">
        <v>16.399999999999999</v>
      </c>
      <c r="E83" s="134">
        <v>5.0199999999999996</v>
      </c>
      <c r="F83" s="134">
        <v>12.27</v>
      </c>
      <c r="G83" s="134">
        <v>11.36</v>
      </c>
      <c r="H83" s="134">
        <v>7.66</v>
      </c>
      <c r="I83" s="134">
        <v>2.99</v>
      </c>
      <c r="J83" s="134">
        <v>0.37</v>
      </c>
      <c r="K83" s="134">
        <v>230.14</v>
      </c>
      <c r="L83" s="134">
        <v>29.61</v>
      </c>
      <c r="M83" s="134">
        <v>70.900000000000006</v>
      </c>
      <c r="N83" s="134">
        <v>0</v>
      </c>
      <c r="O83" s="134">
        <v>0</v>
      </c>
      <c r="P83" s="134">
        <v>0.36</v>
      </c>
      <c r="Q83" s="134">
        <v>4.07</v>
      </c>
    </row>
    <row r="84" spans="1:17">
      <c r="A84" s="112" t="s">
        <v>3000</v>
      </c>
      <c r="B84" s="134">
        <v>6.26</v>
      </c>
      <c r="C84" s="134">
        <v>27.5</v>
      </c>
      <c r="D84" s="134">
        <v>18.34</v>
      </c>
      <c r="E84" s="134">
        <v>5.22</v>
      </c>
      <c r="F84" s="134">
        <v>8.09</v>
      </c>
      <c r="G84" s="134">
        <v>11.15</v>
      </c>
      <c r="H84" s="134">
        <v>7.65</v>
      </c>
      <c r="I84" s="134">
        <v>2.81</v>
      </c>
      <c r="J84" s="134">
        <v>0.31</v>
      </c>
      <c r="K84" s="134">
        <v>241.09</v>
      </c>
      <c r="L84" s="134">
        <v>29.25</v>
      </c>
      <c r="M84" s="134">
        <v>73.510000000000005</v>
      </c>
      <c r="N84" s="134">
        <v>0</v>
      </c>
      <c r="O84" s="134">
        <v>0</v>
      </c>
      <c r="P84" s="134">
        <v>0.39</v>
      </c>
      <c r="Q84" s="134">
        <v>4.0599999999999996</v>
      </c>
    </row>
    <row r="85" spans="1:17">
      <c r="A85" s="112" t="s">
        <v>3001</v>
      </c>
      <c r="B85" s="134">
        <v>6.24</v>
      </c>
      <c r="C85" s="134">
        <v>27.3</v>
      </c>
      <c r="D85" s="134">
        <v>18.22</v>
      </c>
      <c r="E85" s="134">
        <v>5.05</v>
      </c>
      <c r="F85" s="134">
        <v>10.81</v>
      </c>
      <c r="G85" s="134">
        <v>10.83</v>
      </c>
      <c r="H85" s="134">
        <v>7.64</v>
      </c>
      <c r="I85" s="134">
        <v>2.64</v>
      </c>
      <c r="J85" s="134">
        <v>0.41</v>
      </c>
      <c r="K85" s="134">
        <v>244.15</v>
      </c>
      <c r="L85" s="134">
        <v>29.12</v>
      </c>
      <c r="M85" s="134">
        <v>73.790000000000006</v>
      </c>
      <c r="N85" s="134">
        <v>0</v>
      </c>
      <c r="O85" s="134">
        <v>0</v>
      </c>
      <c r="P85" s="134">
        <v>0.4</v>
      </c>
      <c r="Q85" s="134">
        <v>4.16</v>
      </c>
    </row>
    <row r="86" spans="1:17">
      <c r="A86" s="112" t="s">
        <v>3002</v>
      </c>
      <c r="B86" s="134">
        <v>6.09</v>
      </c>
      <c r="C86" s="134">
        <v>25.06</v>
      </c>
      <c r="D86" s="134">
        <v>16.93</v>
      </c>
      <c r="E86" s="134">
        <v>4.8099999999999996</v>
      </c>
      <c r="F86" s="134">
        <v>13.81</v>
      </c>
      <c r="G86" s="134">
        <v>10.83</v>
      </c>
      <c r="H86" s="134">
        <v>7.64</v>
      </c>
      <c r="I86" s="134">
        <v>2.66</v>
      </c>
      <c r="J86" s="134">
        <v>0.47</v>
      </c>
      <c r="K86" s="134">
        <v>249.91</v>
      </c>
      <c r="L86" s="134">
        <v>29.15</v>
      </c>
      <c r="M86" s="134">
        <v>72.67</v>
      </c>
      <c r="N86" s="134">
        <v>0</v>
      </c>
      <c r="O86" s="134">
        <v>0</v>
      </c>
      <c r="P86" s="134">
        <v>0.39</v>
      </c>
      <c r="Q86" s="134">
        <v>4.13</v>
      </c>
    </row>
    <row r="87" spans="1:17">
      <c r="A87" s="112" t="s">
        <v>3003</v>
      </c>
      <c r="B87" s="134">
        <v>5.91</v>
      </c>
      <c r="C87" s="134">
        <v>23.03</v>
      </c>
      <c r="D87" s="134">
        <v>15.72</v>
      </c>
      <c r="E87" s="134">
        <v>5.43</v>
      </c>
      <c r="F87" s="134">
        <v>15.19</v>
      </c>
      <c r="G87" s="134">
        <v>10.83</v>
      </c>
      <c r="H87" s="134">
        <v>7.64</v>
      </c>
      <c r="I87" s="134">
        <v>2.67</v>
      </c>
      <c r="J87" s="134">
        <v>0.46</v>
      </c>
      <c r="K87" s="134">
        <v>246.41</v>
      </c>
      <c r="L87" s="134">
        <v>29.08</v>
      </c>
      <c r="M87" s="134">
        <v>72.150000000000006</v>
      </c>
      <c r="N87" s="134">
        <v>0</v>
      </c>
      <c r="O87" s="134">
        <v>0</v>
      </c>
      <c r="P87" s="134">
        <v>0.37</v>
      </c>
      <c r="Q87" s="134">
        <v>4.08</v>
      </c>
    </row>
    <row r="88" spans="1:17">
      <c r="A88" s="112" t="s">
        <v>3004</v>
      </c>
      <c r="B88" s="134">
        <v>5.69</v>
      </c>
      <c r="C88" s="134">
        <v>22.94</v>
      </c>
      <c r="D88" s="134">
        <v>15.5</v>
      </c>
      <c r="E88" s="134">
        <v>5.56</v>
      </c>
      <c r="F88" s="134">
        <v>13.02</v>
      </c>
      <c r="G88" s="134">
        <v>11.01</v>
      </c>
      <c r="H88" s="134">
        <v>6.76</v>
      </c>
      <c r="I88" s="134">
        <v>2.69</v>
      </c>
      <c r="J88" s="134">
        <v>0.37</v>
      </c>
      <c r="K88" s="134">
        <v>249.86</v>
      </c>
      <c r="L88" s="134">
        <v>28.97</v>
      </c>
      <c r="M88" s="134">
        <v>72.94</v>
      </c>
      <c r="N88" s="134">
        <v>0</v>
      </c>
      <c r="O88" s="134">
        <v>0</v>
      </c>
      <c r="P88" s="134">
        <v>0.37</v>
      </c>
      <c r="Q88" s="134">
        <v>4.0999999999999996</v>
      </c>
    </row>
    <row r="89" spans="1:17">
      <c r="A89" s="112" t="s">
        <v>3005</v>
      </c>
      <c r="B89" s="134">
        <v>6.6</v>
      </c>
      <c r="C89" s="134">
        <v>30.09</v>
      </c>
      <c r="D89" s="134">
        <v>19.97</v>
      </c>
      <c r="E89" s="134">
        <v>6.13</v>
      </c>
      <c r="F89" s="134">
        <v>6.94</v>
      </c>
      <c r="G89" s="134">
        <v>11.28</v>
      </c>
      <c r="H89" s="134">
        <v>5.94</v>
      </c>
      <c r="I89" s="134">
        <v>2.69</v>
      </c>
      <c r="J89" s="134">
        <v>0.31</v>
      </c>
      <c r="K89" s="134">
        <v>253.33</v>
      </c>
      <c r="L89" s="134">
        <v>28.88</v>
      </c>
      <c r="M89" s="134">
        <v>73.97</v>
      </c>
      <c r="N89" s="134">
        <v>0</v>
      </c>
      <c r="O89" s="134">
        <v>0</v>
      </c>
      <c r="P89" s="134">
        <v>0.42</v>
      </c>
      <c r="Q89" s="134">
        <v>4.17</v>
      </c>
    </row>
    <row r="90" spans="1:17">
      <c r="A90" s="112" t="s">
        <v>3006</v>
      </c>
      <c r="B90" s="134">
        <v>6.44</v>
      </c>
      <c r="C90" s="134">
        <v>27.51</v>
      </c>
      <c r="D90" s="134">
        <v>18.489999999999998</v>
      </c>
      <c r="E90" s="134">
        <v>5.97</v>
      </c>
      <c r="F90" s="134">
        <v>13.23</v>
      </c>
      <c r="G90" s="134">
        <v>11.28</v>
      </c>
      <c r="H90" s="134">
        <v>5.94</v>
      </c>
      <c r="I90" s="134">
        <v>2.98</v>
      </c>
      <c r="J90" s="134">
        <v>0.35</v>
      </c>
      <c r="K90" s="134">
        <v>254.41</v>
      </c>
      <c r="L90" s="134">
        <v>28.9</v>
      </c>
      <c r="M90" s="134">
        <v>74.099999999999994</v>
      </c>
      <c r="N90" s="134">
        <v>0</v>
      </c>
      <c r="O90" s="134">
        <v>0</v>
      </c>
      <c r="P90" s="134">
        <v>0.49</v>
      </c>
      <c r="Q90" s="134">
        <v>4.24</v>
      </c>
    </row>
    <row r="91" spans="1:17">
      <c r="A91" s="112" t="s">
        <v>3007</v>
      </c>
      <c r="B91" s="134">
        <v>6.33</v>
      </c>
      <c r="C91" s="134">
        <v>24.29</v>
      </c>
      <c r="D91" s="134">
        <v>16.73</v>
      </c>
      <c r="E91" s="134">
        <v>6.22</v>
      </c>
      <c r="F91" s="134">
        <v>13.86</v>
      </c>
      <c r="G91" s="134">
        <v>11.28</v>
      </c>
      <c r="H91" s="134">
        <v>5.94</v>
      </c>
      <c r="I91" s="134">
        <v>3.58</v>
      </c>
      <c r="J91" s="134">
        <v>0.44</v>
      </c>
      <c r="K91" s="134">
        <v>252.07</v>
      </c>
      <c r="L91" s="134">
        <v>28.92</v>
      </c>
      <c r="M91" s="134">
        <v>74.040000000000006</v>
      </c>
      <c r="N91" s="134">
        <v>0</v>
      </c>
      <c r="O91" s="134">
        <v>0</v>
      </c>
      <c r="P91" s="134">
        <v>0.47</v>
      </c>
      <c r="Q91" s="134">
        <v>4.1900000000000004</v>
      </c>
    </row>
    <row r="92" spans="1:17">
      <c r="A92" s="112" t="s">
        <v>3008</v>
      </c>
      <c r="B92" s="134">
        <v>5.95</v>
      </c>
      <c r="C92" s="134">
        <v>22.61</v>
      </c>
      <c r="D92" s="134">
        <v>15.54</v>
      </c>
      <c r="E92" s="134">
        <v>5.39</v>
      </c>
      <c r="F92" s="134">
        <v>12.72</v>
      </c>
      <c r="G92" s="134">
        <v>12.68</v>
      </c>
      <c r="H92" s="134">
        <v>5.89</v>
      </c>
      <c r="I92" s="134">
        <v>3.96</v>
      </c>
      <c r="J92" s="134">
        <v>0.3</v>
      </c>
      <c r="K92" s="134">
        <v>245.81</v>
      </c>
      <c r="L92" s="134">
        <v>28.83</v>
      </c>
      <c r="M92" s="134">
        <v>75</v>
      </c>
      <c r="N92" s="134">
        <v>0</v>
      </c>
      <c r="O92" s="134">
        <v>0</v>
      </c>
      <c r="P92" s="134">
        <v>0.45</v>
      </c>
      <c r="Q92" s="134">
        <v>4.13</v>
      </c>
    </row>
    <row r="93" spans="1:17">
      <c r="A93" s="112" t="s">
        <v>3009</v>
      </c>
      <c r="B93" s="134">
        <v>6.94</v>
      </c>
      <c r="C93" s="134">
        <v>30.61</v>
      </c>
      <c r="D93" s="134">
        <v>20.51</v>
      </c>
      <c r="E93" s="134">
        <v>6.45</v>
      </c>
      <c r="F93" s="134">
        <v>5.43</v>
      </c>
      <c r="G93" s="134">
        <v>14.88</v>
      </c>
      <c r="H93" s="134">
        <v>5.84</v>
      </c>
      <c r="I93" s="134">
        <v>3.92</v>
      </c>
      <c r="J93" s="134">
        <v>0.3</v>
      </c>
      <c r="K93" s="134">
        <v>229.58</v>
      </c>
      <c r="L93" s="134">
        <v>28.72</v>
      </c>
      <c r="M93" s="134">
        <v>75.97</v>
      </c>
      <c r="N93" s="134">
        <v>0</v>
      </c>
      <c r="O93" s="134">
        <v>0</v>
      </c>
      <c r="P93" s="134">
        <v>0.44</v>
      </c>
      <c r="Q93" s="134">
        <v>4.22</v>
      </c>
    </row>
    <row r="94" spans="1:17">
      <c r="A94" s="112" t="s">
        <v>3010</v>
      </c>
      <c r="B94" s="134">
        <v>6.89</v>
      </c>
      <c r="C94" s="134">
        <v>28.31</v>
      </c>
      <c r="D94" s="134">
        <v>19.27</v>
      </c>
      <c r="E94" s="134">
        <v>6.21</v>
      </c>
      <c r="F94" s="134">
        <v>10.37</v>
      </c>
      <c r="G94" s="134">
        <v>14.88</v>
      </c>
      <c r="H94" s="134">
        <v>5.84</v>
      </c>
      <c r="I94" s="134">
        <v>3.91</v>
      </c>
      <c r="J94" s="134">
        <v>0.25</v>
      </c>
      <c r="K94" s="134">
        <v>224.29</v>
      </c>
      <c r="L94" s="134">
        <v>28.63</v>
      </c>
      <c r="M94" s="134">
        <v>77.2</v>
      </c>
      <c r="N94" s="134">
        <v>0</v>
      </c>
      <c r="O94" s="134">
        <v>0</v>
      </c>
      <c r="P94" s="134">
        <v>0.44</v>
      </c>
      <c r="Q94" s="134">
        <v>4.28</v>
      </c>
    </row>
    <row r="95" spans="1:17">
      <c r="A95" s="112" t="s">
        <v>3011</v>
      </c>
      <c r="B95" s="134">
        <v>6.51</v>
      </c>
      <c r="C95" s="134">
        <v>23.41</v>
      </c>
      <c r="D95" s="134">
        <v>16.41</v>
      </c>
      <c r="E95" s="134">
        <v>5.96</v>
      </c>
      <c r="F95" s="134">
        <v>13.07</v>
      </c>
      <c r="G95" s="134">
        <v>14.88</v>
      </c>
      <c r="H95" s="134">
        <v>5.84</v>
      </c>
      <c r="I95" s="134">
        <v>3.5</v>
      </c>
      <c r="J95" s="134">
        <v>0.21</v>
      </c>
      <c r="K95" s="134">
        <v>220.06</v>
      </c>
      <c r="L95" s="134">
        <v>28.49</v>
      </c>
      <c r="M95" s="134">
        <v>79.03</v>
      </c>
      <c r="N95" s="134">
        <v>0</v>
      </c>
      <c r="O95" s="134">
        <v>0</v>
      </c>
      <c r="P95" s="134">
        <v>0.4</v>
      </c>
      <c r="Q95" s="134">
        <v>4.2300000000000004</v>
      </c>
    </row>
    <row r="96" spans="1:17">
      <c r="A96" s="112" t="s">
        <v>3012</v>
      </c>
      <c r="B96" s="134">
        <v>6.31</v>
      </c>
      <c r="C96" s="134">
        <v>21.78</v>
      </c>
      <c r="D96" s="134">
        <v>15.39</v>
      </c>
      <c r="E96" s="134">
        <v>6.11</v>
      </c>
      <c r="F96" s="134">
        <v>13.25</v>
      </c>
      <c r="G96" s="134">
        <v>14.38</v>
      </c>
      <c r="H96" s="134">
        <v>6.04</v>
      </c>
      <c r="I96" s="134">
        <v>3.05</v>
      </c>
      <c r="J96" s="134">
        <v>0.21</v>
      </c>
      <c r="K96" s="134">
        <v>225.7</v>
      </c>
      <c r="L96" s="134">
        <v>28.42</v>
      </c>
      <c r="M96" s="134">
        <v>79.45</v>
      </c>
      <c r="N96" s="134">
        <v>0</v>
      </c>
      <c r="O96" s="134">
        <v>0</v>
      </c>
      <c r="P96" s="134">
        <v>0.38</v>
      </c>
      <c r="Q96" s="134">
        <v>4.17</v>
      </c>
    </row>
    <row r="97" spans="1:21">
      <c r="A97" s="112" t="s">
        <v>3013</v>
      </c>
      <c r="B97" s="134">
        <v>7.69</v>
      </c>
      <c r="C97" s="134">
        <v>30.52</v>
      </c>
      <c r="D97" s="134">
        <v>21.07</v>
      </c>
      <c r="E97" s="134">
        <v>6.02</v>
      </c>
      <c r="F97" s="134">
        <v>5.6</v>
      </c>
      <c r="G97" s="134">
        <v>13.61</v>
      </c>
      <c r="H97" s="134">
        <v>6.23</v>
      </c>
      <c r="I97" s="134">
        <v>2.81</v>
      </c>
      <c r="J97" s="134">
        <v>0.28999999999999998</v>
      </c>
      <c r="K97" s="134">
        <v>235.29</v>
      </c>
      <c r="L97" s="134">
        <v>28.42</v>
      </c>
      <c r="M97" s="134">
        <v>78.92</v>
      </c>
      <c r="N97" s="134">
        <v>0</v>
      </c>
      <c r="O97" s="134">
        <v>0</v>
      </c>
      <c r="P97" s="134">
        <v>0.43</v>
      </c>
      <c r="Q97" s="134">
        <v>4.25</v>
      </c>
    </row>
    <row r="98" spans="1:21">
      <c r="A98" s="112" t="s">
        <v>3014</v>
      </c>
      <c r="B98" s="134">
        <v>7.67</v>
      </c>
      <c r="C98" s="134">
        <v>28.39</v>
      </c>
      <c r="D98" s="134">
        <v>19.940000000000001</v>
      </c>
      <c r="E98" s="134">
        <v>6.36</v>
      </c>
      <c r="F98" s="134">
        <v>9.1199999999999992</v>
      </c>
      <c r="G98" s="134">
        <v>13.61</v>
      </c>
      <c r="H98" s="134">
        <v>6.23</v>
      </c>
      <c r="I98" s="134">
        <v>2.97</v>
      </c>
      <c r="J98" s="134">
        <v>0.31</v>
      </c>
      <c r="K98" s="134">
        <v>233.11</v>
      </c>
      <c r="L98" s="134">
        <v>28.48</v>
      </c>
      <c r="M98" s="134">
        <v>78.03</v>
      </c>
      <c r="N98" s="134">
        <v>0</v>
      </c>
      <c r="O98" s="134">
        <v>0</v>
      </c>
      <c r="P98" s="134">
        <v>0.42</v>
      </c>
      <c r="Q98" s="134">
        <v>4.32</v>
      </c>
    </row>
    <row r="99" spans="1:21">
      <c r="A99" s="112" t="s">
        <v>3015</v>
      </c>
      <c r="B99" s="134">
        <v>7.43</v>
      </c>
      <c r="C99" s="134">
        <v>24.12</v>
      </c>
      <c r="D99" s="134">
        <v>17.52</v>
      </c>
      <c r="E99" s="134">
        <v>5.78</v>
      </c>
      <c r="F99" s="134">
        <v>11.17</v>
      </c>
      <c r="G99" s="134">
        <v>13.61</v>
      </c>
      <c r="H99" s="134">
        <v>6.23</v>
      </c>
      <c r="I99" s="134">
        <v>3.19</v>
      </c>
      <c r="J99" s="134">
        <v>0.28999999999999998</v>
      </c>
      <c r="K99" s="134">
        <v>232.45</v>
      </c>
      <c r="L99" s="134">
        <v>28.39</v>
      </c>
      <c r="M99" s="134">
        <v>78.33</v>
      </c>
      <c r="N99" s="134">
        <v>0</v>
      </c>
      <c r="O99" s="134">
        <v>0</v>
      </c>
      <c r="P99" s="134">
        <v>0.39</v>
      </c>
      <c r="Q99" s="134">
        <v>4.24</v>
      </c>
    </row>
    <row r="100" spans="1:21">
      <c r="A100" s="112" t="s">
        <v>3016</v>
      </c>
      <c r="B100" s="134">
        <v>7.35</v>
      </c>
      <c r="C100" s="134">
        <v>23.64</v>
      </c>
      <c r="D100" s="134">
        <v>17.2</v>
      </c>
      <c r="E100" s="134">
        <v>5.7</v>
      </c>
      <c r="F100" s="134">
        <v>10.31</v>
      </c>
      <c r="G100" s="134">
        <v>12.49</v>
      </c>
      <c r="H100" s="134">
        <v>7.19</v>
      </c>
      <c r="I100" s="134">
        <v>2.91</v>
      </c>
      <c r="J100" s="134">
        <v>0.3</v>
      </c>
      <c r="K100" s="134">
        <v>223.51</v>
      </c>
      <c r="L100" s="134">
        <v>28.21</v>
      </c>
      <c r="M100" s="134">
        <v>79.08</v>
      </c>
      <c r="N100" s="134">
        <v>0</v>
      </c>
      <c r="O100" s="134">
        <v>0</v>
      </c>
      <c r="P100" s="134">
        <v>0.37</v>
      </c>
      <c r="Q100" s="134">
        <v>4.21</v>
      </c>
    </row>
    <row r="101" spans="1:21">
      <c r="A101" s="112" t="s">
        <v>3017</v>
      </c>
      <c r="B101" s="134">
        <v>8.61</v>
      </c>
      <c r="C101" s="134">
        <v>32.06</v>
      </c>
      <c r="D101" s="134">
        <v>22.61</v>
      </c>
      <c r="E101" s="134">
        <v>6.4</v>
      </c>
      <c r="F101" s="134">
        <v>5.35</v>
      </c>
      <c r="G101" s="134">
        <v>10.73</v>
      </c>
      <c r="H101" s="134">
        <v>8.09</v>
      </c>
      <c r="I101" s="134">
        <v>2.68</v>
      </c>
      <c r="J101" s="134">
        <v>0.24</v>
      </c>
      <c r="K101" s="134">
        <v>226.87</v>
      </c>
      <c r="L101" s="134">
        <v>28.06</v>
      </c>
      <c r="M101" s="134">
        <v>80.19</v>
      </c>
      <c r="N101" s="134">
        <v>0</v>
      </c>
      <c r="O101" s="134">
        <v>0</v>
      </c>
      <c r="P101" s="134">
        <v>0.42</v>
      </c>
      <c r="Q101" s="134">
        <v>4.28</v>
      </c>
    </row>
    <row r="102" spans="1:21">
      <c r="A102" s="112" t="s">
        <v>3018</v>
      </c>
      <c r="B102" s="134">
        <v>8.3800000000000008</v>
      </c>
      <c r="C102" s="134">
        <v>28.08</v>
      </c>
      <c r="D102" s="134">
        <v>20.350000000000001</v>
      </c>
      <c r="E102" s="134">
        <v>6.56</v>
      </c>
      <c r="F102" s="134">
        <v>8.77</v>
      </c>
      <c r="G102" s="134">
        <v>10.73</v>
      </c>
      <c r="H102" s="134">
        <v>8.09</v>
      </c>
      <c r="I102" s="134">
        <v>2.88</v>
      </c>
      <c r="J102" s="134">
        <v>0.3</v>
      </c>
      <c r="K102" s="134">
        <v>229.14</v>
      </c>
      <c r="L102" s="134">
        <v>27.96</v>
      </c>
      <c r="M102" s="134">
        <v>79.760000000000005</v>
      </c>
      <c r="N102" s="134">
        <v>0</v>
      </c>
      <c r="O102" s="134">
        <v>0</v>
      </c>
      <c r="P102" s="134">
        <v>0.39</v>
      </c>
      <c r="Q102" s="134">
        <v>4.37</v>
      </c>
    </row>
    <row r="103" spans="1:21">
      <c r="A103" s="112" t="s">
        <v>3019</v>
      </c>
      <c r="B103" s="134">
        <v>9.16</v>
      </c>
      <c r="C103" s="134">
        <v>29.39</v>
      </c>
      <c r="D103" s="134">
        <v>21.66</v>
      </c>
      <c r="E103" s="134">
        <v>6.25</v>
      </c>
      <c r="F103" s="134">
        <v>5.42</v>
      </c>
      <c r="G103" s="134">
        <v>10.73</v>
      </c>
      <c r="H103" s="134">
        <v>8.09</v>
      </c>
      <c r="I103" s="134">
        <v>3.05</v>
      </c>
      <c r="J103" s="134">
        <v>0.28000000000000003</v>
      </c>
      <c r="K103" s="134">
        <v>239.19</v>
      </c>
      <c r="L103" s="134">
        <v>27.94</v>
      </c>
      <c r="M103" s="134">
        <v>79.38</v>
      </c>
      <c r="N103" s="134">
        <v>0</v>
      </c>
      <c r="O103" s="134">
        <v>0</v>
      </c>
      <c r="P103" s="134">
        <v>0.4</v>
      </c>
      <c r="Q103" s="134">
        <v>4.3</v>
      </c>
    </row>
    <row r="104" spans="1:21">
      <c r="A104" s="112" t="s">
        <v>3020</v>
      </c>
      <c r="B104" s="134">
        <v>8.6199999999999992</v>
      </c>
      <c r="C104" s="134">
        <v>26.95</v>
      </c>
      <c r="D104" s="134">
        <v>19.940000000000001</v>
      </c>
      <c r="E104" s="134">
        <v>6.29</v>
      </c>
      <c r="F104" s="134">
        <v>10.69</v>
      </c>
      <c r="G104" s="134">
        <v>10.87</v>
      </c>
      <c r="H104" s="134">
        <v>7.33</v>
      </c>
      <c r="I104" s="134">
        <v>2.84</v>
      </c>
      <c r="J104" s="134">
        <v>0.32</v>
      </c>
      <c r="K104" s="134">
        <v>240.51</v>
      </c>
      <c r="L104" s="134">
        <v>27.99</v>
      </c>
      <c r="M104" s="134">
        <v>78.81</v>
      </c>
      <c r="N104" s="134">
        <v>0</v>
      </c>
      <c r="O104" s="134">
        <v>0</v>
      </c>
      <c r="P104" s="134">
        <v>0.39</v>
      </c>
      <c r="Q104" s="134">
        <v>4.38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5.64</v>
      </c>
      <c r="C106" s="183">
        <f>MIN(C9:C104)</f>
        <v>21.78</v>
      </c>
      <c r="D106" s="183">
        <f t="shared" ref="D106:Q106" si="0">MIN(D9:D104)</f>
        <v>15.39</v>
      </c>
      <c r="E106" s="183">
        <f t="shared" si="0"/>
        <v>4.2</v>
      </c>
      <c r="F106" s="183">
        <f t="shared" si="0"/>
        <v>1.36</v>
      </c>
      <c r="G106" s="183">
        <f t="shared" si="0"/>
        <v>5.98</v>
      </c>
      <c r="H106" s="183">
        <f t="shared" si="0"/>
        <v>2.1800000000000002</v>
      </c>
      <c r="I106" s="183">
        <f t="shared" si="0"/>
        <v>2.2599999999999998</v>
      </c>
      <c r="J106" s="183">
        <f t="shared" si="0"/>
        <v>0.21</v>
      </c>
      <c r="K106" s="183">
        <f t="shared" si="0"/>
        <v>220.06</v>
      </c>
      <c r="L106" s="183">
        <f t="shared" si="0"/>
        <v>25.06</v>
      </c>
      <c r="M106" s="183">
        <f t="shared" si="0"/>
        <v>61.85</v>
      </c>
      <c r="N106" s="183">
        <f t="shared" si="0"/>
        <v>0</v>
      </c>
      <c r="O106" s="183">
        <f t="shared" si="0"/>
        <v>0</v>
      </c>
      <c r="P106" s="183">
        <f t="shared" si="0"/>
        <v>0.28999999999999998</v>
      </c>
      <c r="Q106" s="183">
        <f t="shared" si="0"/>
        <v>3.98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17.7</v>
      </c>
      <c r="C107" s="184">
        <f t="shared" ref="C107:Q107" si="1">MAX(C9:C104)</f>
        <v>40.380000000000003</v>
      </c>
      <c r="D107" s="184">
        <f t="shared" si="1"/>
        <v>34.119999999999997</v>
      </c>
      <c r="E107" s="184">
        <f t="shared" si="1"/>
        <v>7.13</v>
      </c>
      <c r="F107" s="184">
        <f t="shared" si="1"/>
        <v>15.19</v>
      </c>
      <c r="G107" s="184">
        <f t="shared" si="1"/>
        <v>14.88</v>
      </c>
      <c r="H107" s="184">
        <f t="shared" si="1"/>
        <v>8.09</v>
      </c>
      <c r="I107" s="184">
        <f t="shared" si="1"/>
        <v>3.96</v>
      </c>
      <c r="J107" s="184">
        <f t="shared" si="1"/>
        <v>1.27</v>
      </c>
      <c r="K107" s="184">
        <f t="shared" si="1"/>
        <v>268.79000000000002</v>
      </c>
      <c r="L107" s="184">
        <f t="shared" si="1"/>
        <v>32.14</v>
      </c>
      <c r="M107" s="184">
        <f t="shared" si="1"/>
        <v>90.6</v>
      </c>
      <c r="N107" s="184">
        <f t="shared" si="1"/>
        <v>857.4</v>
      </c>
      <c r="O107" s="184">
        <f t="shared" si="1"/>
        <v>0</v>
      </c>
      <c r="P107" s="184">
        <f t="shared" si="1"/>
        <v>0.49</v>
      </c>
      <c r="Q107" s="184">
        <f t="shared" si="1"/>
        <v>4.87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10.975937500000006</v>
      </c>
      <c r="C108" s="183">
        <f t="shared" ref="C108:Q108" si="2">AVERAGE(C9:C104)</f>
        <v>31.305208333333336</v>
      </c>
      <c r="D108" s="183">
        <f t="shared" si="2"/>
        <v>24.11333333333333</v>
      </c>
      <c r="E108" s="183">
        <f t="shared" si="2"/>
        <v>5.8387500000000001</v>
      </c>
      <c r="F108" s="183">
        <f t="shared" si="2"/>
        <v>5.5889583333333341</v>
      </c>
      <c r="G108" s="183">
        <f t="shared" si="2"/>
        <v>10.058124999999999</v>
      </c>
      <c r="H108" s="183">
        <f t="shared" si="2"/>
        <v>4.5287499999999978</v>
      </c>
      <c r="I108" s="183">
        <f t="shared" si="2"/>
        <v>2.5553125000000003</v>
      </c>
      <c r="J108" s="183">
        <f t="shared" si="2"/>
        <v>0.66458333333333341</v>
      </c>
      <c r="K108" s="183">
        <f t="shared" si="2"/>
        <v>245.88135416666674</v>
      </c>
      <c r="L108" s="183">
        <f t="shared" si="2"/>
        <v>28.446354166666662</v>
      </c>
      <c r="M108" s="183">
        <f t="shared" si="2"/>
        <v>77.148645833333319</v>
      </c>
      <c r="N108" s="183">
        <f t="shared" si="2"/>
        <v>157.57812500000003</v>
      </c>
      <c r="O108" s="183">
        <f t="shared" si="2"/>
        <v>0</v>
      </c>
      <c r="P108" s="183">
        <f t="shared" si="2"/>
        <v>0.35062499999999996</v>
      </c>
      <c r="Q108" s="183">
        <f t="shared" si="2"/>
        <v>4.4001041666666687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4.2946384145631962</v>
      </c>
      <c r="C109" s="183">
        <f t="shared" ref="C109:Q109" si="3">STDEV(C9:C104)</f>
        <v>4.4792095118310007</v>
      </c>
      <c r="D109" s="183">
        <f t="shared" si="3"/>
        <v>5.4847702377951775</v>
      </c>
      <c r="E109" s="183">
        <f t="shared" si="3"/>
        <v>0.49790984176486613</v>
      </c>
      <c r="F109" s="183">
        <f t="shared" si="3"/>
        <v>3.4852765439372653</v>
      </c>
      <c r="G109" s="183">
        <f t="shared" si="3"/>
        <v>2.1870929094889564</v>
      </c>
      <c r="H109" s="183">
        <f t="shared" si="3"/>
        <v>1.639525123802307</v>
      </c>
      <c r="I109" s="183">
        <f t="shared" si="3"/>
        <v>0.35733208239012276</v>
      </c>
      <c r="J109" s="183">
        <f t="shared" si="3"/>
        <v>0.31618088316214366</v>
      </c>
      <c r="K109" s="183">
        <f t="shared" si="3"/>
        <v>10.220681985667612</v>
      </c>
      <c r="L109" s="183">
        <f t="shared" si="3"/>
        <v>2.2507921972832681</v>
      </c>
      <c r="M109" s="183">
        <f t="shared" si="3"/>
        <v>9.2041083069398102</v>
      </c>
      <c r="N109" s="183">
        <f t="shared" si="3"/>
        <v>216.66130259638697</v>
      </c>
      <c r="O109" s="183">
        <f t="shared" si="3"/>
        <v>0</v>
      </c>
      <c r="P109" s="183">
        <f t="shared" si="3"/>
        <v>4.1721192393517514E-2</v>
      </c>
      <c r="Q109" s="183">
        <f t="shared" si="3"/>
        <v>0.2645293528301752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2" t="s">
        <v>56</v>
      </c>
      <c r="C115" s="192"/>
      <c r="D115" s="19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2" activePane="bottomLeft" state="frozen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30/06/2023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3021</v>
      </c>
      <c r="B9" s="134">
        <v>7.86</v>
      </c>
      <c r="C9" s="134">
        <v>23.31</v>
      </c>
      <c r="D9" s="134">
        <v>17.440000000000001</v>
      </c>
      <c r="E9" s="134">
        <v>5.89</v>
      </c>
      <c r="F9" s="134">
        <v>11.85</v>
      </c>
      <c r="G9" s="134">
        <v>11.1</v>
      </c>
      <c r="H9" s="134">
        <v>5.82</v>
      </c>
      <c r="I9" s="134">
        <v>2.9</v>
      </c>
      <c r="J9" s="134">
        <v>0.28000000000000003</v>
      </c>
      <c r="K9" s="134">
        <v>229.62</v>
      </c>
      <c r="L9" s="134">
        <v>27.97</v>
      </c>
      <c r="M9" s="134">
        <v>78.92</v>
      </c>
      <c r="N9" s="134">
        <v>0</v>
      </c>
      <c r="O9" s="134">
        <v>0</v>
      </c>
      <c r="P9" s="134">
        <v>0.35</v>
      </c>
      <c r="Q9" s="134">
        <v>4.33</v>
      </c>
    </row>
    <row r="10" spans="1:21" customFormat="1">
      <c r="A10" s="112" t="s">
        <v>3022</v>
      </c>
      <c r="B10" s="134">
        <v>9.0399999999999991</v>
      </c>
      <c r="C10" s="134">
        <v>30.18</v>
      </c>
      <c r="D10" s="134">
        <v>21.97</v>
      </c>
      <c r="E10" s="134">
        <v>6.75</v>
      </c>
      <c r="F10" s="134">
        <v>4.63</v>
      </c>
      <c r="G10" s="134">
        <v>11.1</v>
      </c>
      <c r="H10" s="134">
        <v>5.82</v>
      </c>
      <c r="I10" s="134">
        <v>2.65</v>
      </c>
      <c r="J10" s="134">
        <v>0.3</v>
      </c>
      <c r="K10" s="134">
        <v>232.12</v>
      </c>
      <c r="L10" s="134">
        <v>27.84</v>
      </c>
      <c r="M10" s="134">
        <v>79.430000000000007</v>
      </c>
      <c r="N10" s="134">
        <v>0</v>
      </c>
      <c r="O10" s="134">
        <v>0</v>
      </c>
      <c r="P10" s="134">
        <v>0.39</v>
      </c>
      <c r="Q10" s="134">
        <v>4.3</v>
      </c>
    </row>
    <row r="11" spans="1:21" customFormat="1">
      <c r="A11" s="112" t="s">
        <v>3023</v>
      </c>
      <c r="B11" s="134">
        <v>8.93</v>
      </c>
      <c r="C11" s="134">
        <v>30.65</v>
      </c>
      <c r="D11" s="134">
        <v>22.13</v>
      </c>
      <c r="E11" s="134">
        <v>6.96</v>
      </c>
      <c r="F11" s="134">
        <v>7.47</v>
      </c>
      <c r="G11" s="134">
        <v>11.1</v>
      </c>
      <c r="H11" s="134">
        <v>5.82</v>
      </c>
      <c r="I11" s="134">
        <v>2.57</v>
      </c>
      <c r="J11" s="134">
        <v>0.21</v>
      </c>
      <c r="K11" s="134">
        <v>223.12</v>
      </c>
      <c r="L11" s="134">
        <v>27.71</v>
      </c>
      <c r="M11" s="134">
        <v>80.44</v>
      </c>
      <c r="N11" s="134">
        <v>0</v>
      </c>
      <c r="O11" s="134">
        <v>0</v>
      </c>
      <c r="P11" s="134">
        <v>0.39</v>
      </c>
      <c r="Q11" s="134">
        <v>4.4000000000000004</v>
      </c>
    </row>
    <row r="12" spans="1:21" customFormat="1">
      <c r="A12" s="112" t="s">
        <v>3024</v>
      </c>
      <c r="B12" s="134">
        <v>8.25</v>
      </c>
      <c r="C12" s="134">
        <v>25.46</v>
      </c>
      <c r="D12" s="134">
        <v>18.87</v>
      </c>
      <c r="E12" s="134">
        <v>6.5</v>
      </c>
      <c r="F12" s="134">
        <v>10.1</v>
      </c>
      <c r="G12" s="134">
        <v>10.15</v>
      </c>
      <c r="H12" s="134">
        <v>5.73</v>
      </c>
      <c r="I12" s="134">
        <v>2.84</v>
      </c>
      <c r="J12" s="134">
        <v>0.3</v>
      </c>
      <c r="K12" s="134">
        <v>242.27</v>
      </c>
      <c r="L12" s="134">
        <v>27.63</v>
      </c>
      <c r="M12" s="134">
        <v>80.42</v>
      </c>
      <c r="N12" s="134">
        <v>0</v>
      </c>
      <c r="O12" s="134">
        <v>0</v>
      </c>
      <c r="P12" s="134">
        <v>0.37</v>
      </c>
      <c r="Q12" s="134">
        <v>4.34</v>
      </c>
    </row>
    <row r="13" spans="1:21" customFormat="1">
      <c r="A13" s="112" t="s">
        <v>3025</v>
      </c>
      <c r="B13" s="134">
        <v>9.6300000000000008</v>
      </c>
      <c r="C13" s="134">
        <v>30.15</v>
      </c>
      <c r="D13" s="134">
        <v>22.43</v>
      </c>
      <c r="E13" s="134">
        <v>6.88</v>
      </c>
      <c r="F13" s="134">
        <v>4.6100000000000003</v>
      </c>
      <c r="G13" s="134">
        <v>8.68</v>
      </c>
      <c r="H13" s="134">
        <v>5.64</v>
      </c>
      <c r="I13" s="134">
        <v>2.68</v>
      </c>
      <c r="J13" s="134">
        <v>0.43</v>
      </c>
      <c r="K13" s="134">
        <v>245.73</v>
      </c>
      <c r="L13" s="134">
        <v>27.64</v>
      </c>
      <c r="M13" s="134">
        <v>79.88</v>
      </c>
      <c r="N13" s="134">
        <v>0</v>
      </c>
      <c r="O13" s="134">
        <v>0</v>
      </c>
      <c r="P13" s="134">
        <v>0.37</v>
      </c>
      <c r="Q13" s="134">
        <v>4.33</v>
      </c>
    </row>
    <row r="14" spans="1:21" customFormat="1">
      <c r="A14" s="112" t="s">
        <v>3026</v>
      </c>
      <c r="B14" s="134">
        <v>9.94</v>
      </c>
      <c r="C14" s="134">
        <v>32.17</v>
      </c>
      <c r="D14" s="134">
        <v>23.74</v>
      </c>
      <c r="E14" s="134">
        <v>6.8</v>
      </c>
      <c r="F14" s="134">
        <v>5.79</v>
      </c>
      <c r="G14" s="134">
        <v>8.68</v>
      </c>
      <c r="H14" s="134">
        <v>5.64</v>
      </c>
      <c r="I14" s="134">
        <v>2.54</v>
      </c>
      <c r="J14" s="134">
        <v>0.34</v>
      </c>
      <c r="K14" s="134">
        <v>237.96</v>
      </c>
      <c r="L14" s="134">
        <v>27.65</v>
      </c>
      <c r="M14" s="134">
        <v>80.2</v>
      </c>
      <c r="N14" s="134">
        <v>0</v>
      </c>
      <c r="O14" s="134">
        <v>0</v>
      </c>
      <c r="P14" s="134">
        <v>0.4</v>
      </c>
      <c r="Q14" s="134">
        <v>4.43</v>
      </c>
    </row>
    <row r="15" spans="1:21" customFormat="1">
      <c r="A15" s="112" t="s">
        <v>3027</v>
      </c>
      <c r="B15" s="134">
        <v>9.7100000000000009</v>
      </c>
      <c r="C15" s="134">
        <v>28.06</v>
      </c>
      <c r="D15" s="134">
        <v>21.4</v>
      </c>
      <c r="E15" s="134">
        <v>6.85</v>
      </c>
      <c r="F15" s="134">
        <v>7.92</v>
      </c>
      <c r="G15" s="134">
        <v>8.68</v>
      </c>
      <c r="H15" s="134">
        <v>5.64</v>
      </c>
      <c r="I15" s="134">
        <v>2.77</v>
      </c>
      <c r="J15" s="134">
        <v>0.43</v>
      </c>
      <c r="K15" s="134">
        <v>236.71</v>
      </c>
      <c r="L15" s="134">
        <v>27.62</v>
      </c>
      <c r="M15" s="134">
        <v>80.05</v>
      </c>
      <c r="N15" s="134">
        <v>0</v>
      </c>
      <c r="O15" s="134">
        <v>0</v>
      </c>
      <c r="P15" s="134">
        <v>0.37</v>
      </c>
      <c r="Q15" s="134">
        <v>4.3899999999999997</v>
      </c>
    </row>
    <row r="16" spans="1:21" customFormat="1">
      <c r="A16" s="112" t="s">
        <v>3028</v>
      </c>
      <c r="B16" s="134">
        <v>9.59</v>
      </c>
      <c r="C16" s="134">
        <v>26.78</v>
      </c>
      <c r="D16" s="134">
        <v>20.63</v>
      </c>
      <c r="E16" s="134">
        <v>6.36</v>
      </c>
      <c r="F16" s="134">
        <v>7.48</v>
      </c>
      <c r="G16" s="134">
        <v>8.5</v>
      </c>
      <c r="H16" s="134">
        <v>4.83</v>
      </c>
      <c r="I16" s="134">
        <v>2.82</v>
      </c>
      <c r="J16" s="134">
        <v>0.44</v>
      </c>
      <c r="K16" s="134">
        <v>243.04</v>
      </c>
      <c r="L16" s="134">
        <v>27.64</v>
      </c>
      <c r="M16" s="134">
        <v>79.52</v>
      </c>
      <c r="N16" s="134">
        <v>0</v>
      </c>
      <c r="O16" s="134">
        <v>0</v>
      </c>
      <c r="P16" s="134">
        <v>0.36</v>
      </c>
      <c r="Q16" s="134">
        <v>4.3499999999999996</v>
      </c>
    </row>
    <row r="17" spans="1:17" customFormat="1">
      <c r="A17" s="112" t="s">
        <v>3029</v>
      </c>
      <c r="B17" s="134">
        <v>10.72</v>
      </c>
      <c r="C17" s="134">
        <v>34.64</v>
      </c>
      <c r="D17" s="134">
        <v>25.65</v>
      </c>
      <c r="E17" s="134">
        <v>4.8</v>
      </c>
      <c r="F17" s="134">
        <v>3.49</v>
      </c>
      <c r="G17" s="134">
        <v>8.2200000000000006</v>
      </c>
      <c r="H17" s="134">
        <v>4.05</v>
      </c>
      <c r="I17" s="134">
        <v>2.62</v>
      </c>
      <c r="J17" s="134">
        <v>0.43</v>
      </c>
      <c r="K17" s="134">
        <v>248.5</v>
      </c>
      <c r="L17" s="134">
        <v>27.59</v>
      </c>
      <c r="M17" s="134">
        <v>79.400000000000006</v>
      </c>
      <c r="N17" s="134">
        <v>0</v>
      </c>
      <c r="O17" s="134">
        <v>0</v>
      </c>
      <c r="P17" s="134">
        <v>0.4</v>
      </c>
      <c r="Q17" s="134">
        <v>4.4400000000000004</v>
      </c>
    </row>
    <row r="18" spans="1:17" customFormat="1">
      <c r="A18" s="112" t="s">
        <v>3030</v>
      </c>
      <c r="B18" s="134">
        <v>10.57</v>
      </c>
      <c r="C18" s="134">
        <v>31.9</v>
      </c>
      <c r="D18" s="134">
        <v>24.1</v>
      </c>
      <c r="E18" s="134">
        <v>5.6</v>
      </c>
      <c r="F18" s="134">
        <v>6.18</v>
      </c>
      <c r="G18" s="134">
        <v>8.2200000000000006</v>
      </c>
      <c r="H18" s="134">
        <v>4.05</v>
      </c>
      <c r="I18" s="134">
        <v>2.73</v>
      </c>
      <c r="J18" s="134">
        <v>0.55000000000000004</v>
      </c>
      <c r="K18" s="134">
        <v>245.91</v>
      </c>
      <c r="L18" s="134">
        <v>27.56</v>
      </c>
      <c r="M18" s="134">
        <v>78.83</v>
      </c>
      <c r="N18" s="134">
        <v>0</v>
      </c>
      <c r="O18" s="134">
        <v>0</v>
      </c>
      <c r="P18" s="134">
        <v>0.38</v>
      </c>
      <c r="Q18" s="134">
        <v>4.47</v>
      </c>
    </row>
    <row r="19" spans="1:17" customFormat="1">
      <c r="A19" s="112" t="s">
        <v>3031</v>
      </c>
      <c r="B19" s="134">
        <v>10.36</v>
      </c>
      <c r="C19" s="134">
        <v>27.88</v>
      </c>
      <c r="D19" s="134">
        <v>21.83</v>
      </c>
      <c r="E19" s="134">
        <v>5.47</v>
      </c>
      <c r="F19" s="134">
        <v>7.47</v>
      </c>
      <c r="G19" s="134">
        <v>8.2200000000000006</v>
      </c>
      <c r="H19" s="134">
        <v>4.05</v>
      </c>
      <c r="I19" s="134">
        <v>2.89</v>
      </c>
      <c r="J19" s="134">
        <v>0.68</v>
      </c>
      <c r="K19" s="134">
        <v>255.56</v>
      </c>
      <c r="L19" s="134">
        <v>27.55</v>
      </c>
      <c r="M19" s="134">
        <v>78.28</v>
      </c>
      <c r="N19" s="134">
        <v>0</v>
      </c>
      <c r="O19" s="134">
        <v>0</v>
      </c>
      <c r="P19" s="134">
        <v>0.35</v>
      </c>
      <c r="Q19" s="134">
        <v>4.38</v>
      </c>
    </row>
    <row r="20" spans="1:17" customFormat="1">
      <c r="A20" s="112" t="s">
        <v>3032</v>
      </c>
      <c r="B20" s="134">
        <v>11.02</v>
      </c>
      <c r="C20" s="134">
        <v>32.380000000000003</v>
      </c>
      <c r="D20" s="134">
        <v>24.71</v>
      </c>
      <c r="E20" s="134">
        <v>5.2</v>
      </c>
      <c r="F20" s="134">
        <v>3.54</v>
      </c>
      <c r="G20" s="134">
        <v>8.24</v>
      </c>
      <c r="H20" s="134">
        <v>3.57</v>
      </c>
      <c r="I20" s="134">
        <v>2.67</v>
      </c>
      <c r="J20" s="134">
        <v>0.52</v>
      </c>
      <c r="K20" s="134">
        <v>281.16000000000003</v>
      </c>
      <c r="L20" s="134">
        <v>27.52</v>
      </c>
      <c r="M20" s="134">
        <v>78.39</v>
      </c>
      <c r="N20" s="134">
        <v>0</v>
      </c>
      <c r="O20" s="134">
        <v>0</v>
      </c>
      <c r="P20" s="134">
        <v>0.38</v>
      </c>
      <c r="Q20" s="134">
        <v>4.41</v>
      </c>
    </row>
    <row r="21" spans="1:17" customFormat="1">
      <c r="A21" s="112" t="s">
        <v>3033</v>
      </c>
      <c r="B21" s="134">
        <v>11.38</v>
      </c>
      <c r="C21" s="134">
        <v>34.61</v>
      </c>
      <c r="D21" s="134">
        <v>26.16</v>
      </c>
      <c r="E21" s="134">
        <v>5.76</v>
      </c>
      <c r="F21" s="134">
        <v>3.56</v>
      </c>
      <c r="G21" s="134">
        <v>8.26</v>
      </c>
      <c r="H21" s="134">
        <v>3.09</v>
      </c>
      <c r="I21" s="134">
        <v>2.69</v>
      </c>
      <c r="J21" s="134">
        <v>0.55000000000000004</v>
      </c>
      <c r="K21" s="134">
        <v>257.72000000000003</v>
      </c>
      <c r="L21" s="134">
        <v>27.56</v>
      </c>
      <c r="M21" s="134">
        <v>77.959999999999994</v>
      </c>
      <c r="N21" s="134">
        <v>0</v>
      </c>
      <c r="O21" s="134">
        <v>0</v>
      </c>
      <c r="P21" s="134">
        <v>0.4</v>
      </c>
      <c r="Q21" s="134">
        <v>4.5199999999999996</v>
      </c>
    </row>
    <row r="22" spans="1:17" customFormat="1">
      <c r="A22" s="112" t="s">
        <v>3034</v>
      </c>
      <c r="B22" s="134">
        <v>10.73</v>
      </c>
      <c r="C22" s="134">
        <v>29.7</v>
      </c>
      <c r="D22" s="134">
        <v>23.07</v>
      </c>
      <c r="E22" s="134">
        <v>5.36</v>
      </c>
      <c r="F22" s="134">
        <v>7.32</v>
      </c>
      <c r="G22" s="134">
        <v>8.26</v>
      </c>
      <c r="H22" s="134">
        <v>3.09</v>
      </c>
      <c r="I22" s="134">
        <v>2.91</v>
      </c>
      <c r="J22" s="134">
        <v>0.49</v>
      </c>
      <c r="K22" s="134">
        <v>252.37</v>
      </c>
      <c r="L22" s="134">
        <v>27.42</v>
      </c>
      <c r="M22" s="134">
        <v>79.430000000000007</v>
      </c>
      <c r="N22" s="134">
        <v>0</v>
      </c>
      <c r="O22" s="134">
        <v>0</v>
      </c>
      <c r="P22" s="134">
        <v>0.38</v>
      </c>
      <c r="Q22" s="134">
        <v>4.46</v>
      </c>
    </row>
    <row r="23" spans="1:17" customFormat="1">
      <c r="A23" s="112" t="s">
        <v>3035</v>
      </c>
      <c r="B23" s="134">
        <v>10.54</v>
      </c>
      <c r="C23" s="134">
        <v>28.82</v>
      </c>
      <c r="D23" s="134">
        <v>22.47</v>
      </c>
      <c r="E23" s="134">
        <v>5.15</v>
      </c>
      <c r="F23" s="134">
        <v>4.6500000000000004</v>
      </c>
      <c r="G23" s="134">
        <v>8.26</v>
      </c>
      <c r="H23" s="134">
        <v>3.09</v>
      </c>
      <c r="I23" s="134">
        <v>2.97</v>
      </c>
      <c r="J23" s="134">
        <v>0.47</v>
      </c>
      <c r="K23" s="134">
        <v>252.12</v>
      </c>
      <c r="L23" s="134">
        <v>27.14</v>
      </c>
      <c r="M23" s="134">
        <v>81.099999999999994</v>
      </c>
      <c r="N23" s="134">
        <v>0</v>
      </c>
      <c r="O23" s="134">
        <v>0</v>
      </c>
      <c r="P23" s="134">
        <v>0.37</v>
      </c>
      <c r="Q23" s="134">
        <v>4.38</v>
      </c>
    </row>
    <row r="24" spans="1:17" customFormat="1">
      <c r="A24" s="112" t="s">
        <v>3036</v>
      </c>
      <c r="B24" s="134">
        <v>11.21</v>
      </c>
      <c r="C24" s="134">
        <v>34.67</v>
      </c>
      <c r="D24" s="134">
        <v>26.06</v>
      </c>
      <c r="E24" s="134">
        <v>5.78</v>
      </c>
      <c r="F24" s="134">
        <v>3.7</v>
      </c>
      <c r="G24" s="134">
        <v>7.87</v>
      </c>
      <c r="H24" s="134">
        <v>4.47</v>
      </c>
      <c r="I24" s="134">
        <v>2.96</v>
      </c>
      <c r="J24" s="134">
        <v>0.39</v>
      </c>
      <c r="K24" s="134">
        <v>249.61</v>
      </c>
      <c r="L24" s="134">
        <v>26.93</v>
      </c>
      <c r="M24" s="134">
        <v>82.06</v>
      </c>
      <c r="N24" s="134">
        <v>0</v>
      </c>
      <c r="O24" s="134">
        <v>0</v>
      </c>
      <c r="P24" s="134">
        <v>0.41</v>
      </c>
      <c r="Q24" s="134">
        <v>4.49</v>
      </c>
    </row>
    <row r="25" spans="1:17" customFormat="1">
      <c r="A25" s="112" t="s">
        <v>3037</v>
      </c>
      <c r="B25" s="134">
        <v>10.77</v>
      </c>
      <c r="C25" s="134">
        <v>30.66</v>
      </c>
      <c r="D25" s="134">
        <v>23.61</v>
      </c>
      <c r="E25" s="134">
        <v>5.48</v>
      </c>
      <c r="F25" s="134">
        <v>7.01</v>
      </c>
      <c r="G25" s="134">
        <v>7.23</v>
      </c>
      <c r="H25" s="134">
        <v>5.8</v>
      </c>
      <c r="I25" s="134">
        <v>3.08</v>
      </c>
      <c r="J25" s="134">
        <v>0.39</v>
      </c>
      <c r="K25" s="134">
        <v>258.18</v>
      </c>
      <c r="L25" s="134">
        <v>26.79</v>
      </c>
      <c r="M25" s="134">
        <v>82.92</v>
      </c>
      <c r="N25" s="134">
        <v>0</v>
      </c>
      <c r="O25" s="134">
        <v>0</v>
      </c>
      <c r="P25" s="134">
        <v>0.38</v>
      </c>
      <c r="Q25" s="134">
        <v>4.49</v>
      </c>
    </row>
    <row r="26" spans="1:17" customFormat="1">
      <c r="A26" s="112" t="s">
        <v>3038</v>
      </c>
      <c r="B26" s="134">
        <v>11.09</v>
      </c>
      <c r="C26" s="134">
        <v>29.93</v>
      </c>
      <c r="D26" s="134">
        <v>23.48</v>
      </c>
      <c r="E26" s="134">
        <v>5.28</v>
      </c>
      <c r="F26" s="134">
        <v>5</v>
      </c>
      <c r="G26" s="134">
        <v>7.23</v>
      </c>
      <c r="H26" s="134">
        <v>5.8</v>
      </c>
      <c r="I26" s="134">
        <v>3.07</v>
      </c>
      <c r="J26" s="134">
        <v>0.43</v>
      </c>
      <c r="K26" s="134">
        <v>252.95</v>
      </c>
      <c r="L26" s="134">
        <v>26.75</v>
      </c>
      <c r="M26" s="134">
        <v>82.97</v>
      </c>
      <c r="N26" s="134">
        <v>0</v>
      </c>
      <c r="O26" s="134">
        <v>0</v>
      </c>
      <c r="P26" s="134">
        <v>0.38</v>
      </c>
      <c r="Q26" s="134">
        <v>4.4000000000000004</v>
      </c>
    </row>
    <row r="27" spans="1:17" customFormat="1">
      <c r="A27" s="112" t="s">
        <v>3039</v>
      </c>
      <c r="B27" s="134">
        <v>11.87</v>
      </c>
      <c r="C27" s="134">
        <v>35.43</v>
      </c>
      <c r="D27" s="134">
        <v>26.98</v>
      </c>
      <c r="E27" s="134">
        <v>5.29</v>
      </c>
      <c r="F27" s="134">
        <v>2.7</v>
      </c>
      <c r="G27" s="134">
        <v>7.23</v>
      </c>
      <c r="H27" s="134">
        <v>5.8</v>
      </c>
      <c r="I27" s="134">
        <v>3.04</v>
      </c>
      <c r="J27" s="134">
        <v>0.18</v>
      </c>
      <c r="K27" s="134">
        <v>233.31</v>
      </c>
      <c r="L27" s="134">
        <v>26.55</v>
      </c>
      <c r="M27" s="134">
        <v>84.69</v>
      </c>
      <c r="N27" s="134">
        <v>0</v>
      </c>
      <c r="O27" s="134">
        <v>0</v>
      </c>
      <c r="P27" s="134">
        <v>0.42</v>
      </c>
      <c r="Q27" s="134">
        <v>4.5</v>
      </c>
    </row>
    <row r="28" spans="1:17" customFormat="1">
      <c r="A28" s="112" t="s">
        <v>3040</v>
      </c>
      <c r="B28" s="134">
        <v>10.58</v>
      </c>
      <c r="C28" s="134">
        <v>29.45</v>
      </c>
      <c r="D28" s="134">
        <v>22.83</v>
      </c>
      <c r="E28" s="134">
        <v>5.17</v>
      </c>
      <c r="F28" s="134">
        <v>8.19</v>
      </c>
      <c r="G28" s="134">
        <v>8</v>
      </c>
      <c r="H28" s="134">
        <v>5.0999999999999996</v>
      </c>
      <c r="I28" s="134">
        <v>3.21</v>
      </c>
      <c r="J28" s="134">
        <v>0.13</v>
      </c>
      <c r="K28" s="134">
        <v>199.1</v>
      </c>
      <c r="L28" s="134">
        <v>26.33</v>
      </c>
      <c r="M28" s="134">
        <v>85.98</v>
      </c>
      <c r="N28" s="134">
        <v>0</v>
      </c>
      <c r="O28" s="134">
        <v>0</v>
      </c>
      <c r="P28" s="134">
        <v>0.39</v>
      </c>
      <c r="Q28" s="134">
        <v>4.5199999999999996</v>
      </c>
    </row>
    <row r="29" spans="1:17" customFormat="1">
      <c r="A29" s="112" t="s">
        <v>3041</v>
      </c>
      <c r="B29" s="134">
        <v>10.66</v>
      </c>
      <c r="C29" s="134">
        <v>27.81</v>
      </c>
      <c r="D29" s="134">
        <v>22.03</v>
      </c>
      <c r="E29" s="134">
        <v>5.01</v>
      </c>
      <c r="F29" s="134">
        <v>6.49</v>
      </c>
      <c r="G29" s="134">
        <v>9.26</v>
      </c>
      <c r="H29" s="134">
        <v>4.42</v>
      </c>
      <c r="I29" s="134">
        <v>3.15</v>
      </c>
      <c r="J29" s="134">
        <v>0.13</v>
      </c>
      <c r="K29" s="134">
        <v>230.84</v>
      </c>
      <c r="L29" s="134">
        <v>26.19</v>
      </c>
      <c r="M29" s="134">
        <v>87.02</v>
      </c>
      <c r="N29" s="134">
        <v>0</v>
      </c>
      <c r="O29" s="134">
        <v>0</v>
      </c>
      <c r="P29" s="134">
        <v>0.37</v>
      </c>
      <c r="Q29" s="134">
        <v>4.45</v>
      </c>
    </row>
    <row r="30" spans="1:17" customFormat="1">
      <c r="A30" s="112" t="s">
        <v>3042</v>
      </c>
      <c r="B30" s="134">
        <v>12.23</v>
      </c>
      <c r="C30" s="134">
        <v>36.130000000000003</v>
      </c>
      <c r="D30" s="134">
        <v>27.64</v>
      </c>
      <c r="E30" s="134">
        <v>5.94</v>
      </c>
      <c r="F30" s="134">
        <v>2.78</v>
      </c>
      <c r="G30" s="134">
        <v>9.26</v>
      </c>
      <c r="H30" s="134">
        <v>4.42</v>
      </c>
      <c r="I30" s="134">
        <v>2.94</v>
      </c>
      <c r="J30" s="134">
        <v>0.11</v>
      </c>
      <c r="K30" s="134">
        <v>221.43</v>
      </c>
      <c r="L30" s="134">
        <v>26.07</v>
      </c>
      <c r="M30" s="134">
        <v>87.65</v>
      </c>
      <c r="N30" s="134">
        <v>0.1</v>
      </c>
      <c r="O30" s="134">
        <v>0</v>
      </c>
      <c r="P30" s="134">
        <v>0.43</v>
      </c>
      <c r="Q30" s="134">
        <v>4.53</v>
      </c>
    </row>
    <row r="31" spans="1:17" customFormat="1">
      <c r="A31" s="112" t="s">
        <v>3043</v>
      </c>
      <c r="B31" s="134">
        <v>11.76</v>
      </c>
      <c r="C31" s="134">
        <v>32.32</v>
      </c>
      <c r="D31" s="134">
        <v>25.27</v>
      </c>
      <c r="E31" s="134">
        <v>5.48</v>
      </c>
      <c r="F31" s="134">
        <v>4.7</v>
      </c>
      <c r="G31" s="134">
        <v>9.26</v>
      </c>
      <c r="H31" s="134">
        <v>4.42</v>
      </c>
      <c r="I31" s="134">
        <v>3.1</v>
      </c>
      <c r="J31" s="134">
        <v>0.16</v>
      </c>
      <c r="K31" s="134">
        <v>181.41</v>
      </c>
      <c r="L31" s="134">
        <v>26.04</v>
      </c>
      <c r="M31" s="134">
        <v>88.4</v>
      </c>
      <c r="N31" s="134">
        <v>8.1999999999999993</v>
      </c>
      <c r="O31" s="134">
        <v>0</v>
      </c>
      <c r="P31" s="134">
        <v>0.41</v>
      </c>
      <c r="Q31" s="134">
        <v>4.5599999999999996</v>
      </c>
    </row>
    <row r="32" spans="1:17" customFormat="1">
      <c r="A32" s="112" t="s">
        <v>3044</v>
      </c>
      <c r="B32" s="134">
        <v>11.09</v>
      </c>
      <c r="C32" s="134">
        <v>27.26</v>
      </c>
      <c r="D32" s="134">
        <v>22.09</v>
      </c>
      <c r="E32" s="134">
        <v>4.75</v>
      </c>
      <c r="F32" s="134">
        <v>6.07</v>
      </c>
      <c r="G32" s="134">
        <v>9.8699999999999992</v>
      </c>
      <c r="H32" s="134">
        <v>4.25</v>
      </c>
      <c r="I32" s="134">
        <v>3.4</v>
      </c>
      <c r="J32" s="134">
        <v>0.14000000000000001</v>
      </c>
      <c r="K32" s="134">
        <v>196.4</v>
      </c>
      <c r="L32" s="134">
        <v>26.19</v>
      </c>
      <c r="M32" s="134">
        <v>88.73</v>
      </c>
      <c r="N32" s="134">
        <v>23.9</v>
      </c>
      <c r="O32" s="134">
        <v>0</v>
      </c>
      <c r="P32" s="134">
        <v>0.37</v>
      </c>
      <c r="Q32" s="134">
        <v>4.4800000000000004</v>
      </c>
    </row>
    <row r="33" spans="1:17" customFormat="1">
      <c r="A33" s="112" t="s">
        <v>3045</v>
      </c>
      <c r="B33" s="134">
        <v>12.95</v>
      </c>
      <c r="C33" s="134">
        <v>34.64</v>
      </c>
      <c r="D33" s="134">
        <v>27.44</v>
      </c>
      <c r="E33" s="134">
        <v>5.41</v>
      </c>
      <c r="F33" s="134">
        <v>2.86</v>
      </c>
      <c r="G33" s="134">
        <v>10.86</v>
      </c>
      <c r="H33" s="134">
        <v>3.7</v>
      </c>
      <c r="I33" s="134">
        <v>3.22</v>
      </c>
      <c r="J33" s="134">
        <v>0.23</v>
      </c>
      <c r="K33" s="134">
        <v>226.3</v>
      </c>
      <c r="L33" s="134">
        <v>26.47</v>
      </c>
      <c r="M33" s="134">
        <v>88.12</v>
      </c>
      <c r="N33" s="134">
        <v>38.200000000000003</v>
      </c>
      <c r="O33" s="134">
        <v>0</v>
      </c>
      <c r="P33" s="134">
        <v>0.41</v>
      </c>
      <c r="Q33" s="134">
        <v>4.53</v>
      </c>
    </row>
    <row r="34" spans="1:17" customFormat="1">
      <c r="A34" s="112" t="s">
        <v>3046</v>
      </c>
      <c r="B34" s="134">
        <v>13.1</v>
      </c>
      <c r="C34" s="134">
        <v>34.25</v>
      </c>
      <c r="D34" s="134">
        <v>27.35</v>
      </c>
      <c r="E34" s="134">
        <v>6.01</v>
      </c>
      <c r="F34" s="134">
        <v>3.66</v>
      </c>
      <c r="G34" s="134">
        <v>10.86</v>
      </c>
      <c r="H34" s="134">
        <v>3.7</v>
      </c>
      <c r="I34" s="134">
        <v>3.08</v>
      </c>
      <c r="J34" s="134">
        <v>0.27</v>
      </c>
      <c r="K34" s="134">
        <v>247.99</v>
      </c>
      <c r="L34" s="134">
        <v>27.04</v>
      </c>
      <c r="M34" s="134">
        <v>85.24</v>
      </c>
      <c r="N34" s="134">
        <v>58</v>
      </c>
      <c r="O34" s="134">
        <v>0</v>
      </c>
      <c r="P34" s="134">
        <v>0.41</v>
      </c>
      <c r="Q34" s="134">
        <v>4.62</v>
      </c>
    </row>
    <row r="35" spans="1:17" customFormat="1">
      <c r="A35" s="112" t="s">
        <v>3047</v>
      </c>
      <c r="B35" s="134">
        <v>12.82</v>
      </c>
      <c r="C35" s="134">
        <v>30.95</v>
      </c>
      <c r="D35" s="134">
        <v>25.41</v>
      </c>
      <c r="E35" s="134">
        <v>5.26</v>
      </c>
      <c r="F35" s="134">
        <v>5.08</v>
      </c>
      <c r="G35" s="134">
        <v>10.86</v>
      </c>
      <c r="H35" s="134">
        <v>3.7</v>
      </c>
      <c r="I35" s="134">
        <v>3.37</v>
      </c>
      <c r="J35" s="134">
        <v>0.51</v>
      </c>
      <c r="K35" s="134">
        <v>246.56</v>
      </c>
      <c r="L35" s="134">
        <v>27.47</v>
      </c>
      <c r="M35" s="134">
        <v>81.91</v>
      </c>
      <c r="N35" s="134">
        <v>69.2</v>
      </c>
      <c r="O35" s="134">
        <v>0</v>
      </c>
      <c r="P35" s="134">
        <v>0.39</v>
      </c>
      <c r="Q35" s="134">
        <v>4.5599999999999996</v>
      </c>
    </row>
    <row r="36" spans="1:17" customFormat="1">
      <c r="A36" s="112" t="s">
        <v>3048</v>
      </c>
      <c r="B36" s="134">
        <v>13.54</v>
      </c>
      <c r="C36" s="134">
        <v>33.380000000000003</v>
      </c>
      <c r="D36" s="134">
        <v>27.26</v>
      </c>
      <c r="E36" s="134">
        <v>5.41</v>
      </c>
      <c r="F36" s="134">
        <v>3.69</v>
      </c>
      <c r="G36" s="134">
        <v>10.19</v>
      </c>
      <c r="H36" s="134">
        <v>4.4000000000000004</v>
      </c>
      <c r="I36" s="134">
        <v>3.31</v>
      </c>
      <c r="J36" s="134">
        <v>0.66</v>
      </c>
      <c r="K36" s="134">
        <v>247.02</v>
      </c>
      <c r="L36" s="134">
        <v>27.51</v>
      </c>
      <c r="M36" s="134">
        <v>80.7</v>
      </c>
      <c r="N36" s="134">
        <v>78.2</v>
      </c>
      <c r="O36" s="134">
        <v>0</v>
      </c>
      <c r="P36" s="134">
        <v>0.39</v>
      </c>
      <c r="Q36" s="134">
        <v>4.53</v>
      </c>
    </row>
    <row r="37" spans="1:17" customFormat="1">
      <c r="A37" s="112" t="s">
        <v>3049</v>
      </c>
      <c r="B37" s="134">
        <v>13.89</v>
      </c>
      <c r="C37" s="134">
        <v>37.75</v>
      </c>
      <c r="D37" s="134">
        <v>29.82</v>
      </c>
      <c r="E37" s="134">
        <v>6.19</v>
      </c>
      <c r="F37" s="134">
        <v>2.4500000000000002</v>
      </c>
      <c r="G37" s="134">
        <v>9.08</v>
      </c>
      <c r="H37" s="134">
        <v>5.08</v>
      </c>
      <c r="I37" s="134">
        <v>3.26</v>
      </c>
      <c r="J37" s="134">
        <v>0.61</v>
      </c>
      <c r="K37" s="134">
        <v>254.36</v>
      </c>
      <c r="L37" s="134">
        <v>27.49</v>
      </c>
      <c r="M37" s="134">
        <v>80.72</v>
      </c>
      <c r="N37" s="134">
        <v>83.1</v>
      </c>
      <c r="O37" s="134">
        <v>0</v>
      </c>
      <c r="P37" s="134">
        <v>0.43</v>
      </c>
      <c r="Q37" s="134">
        <v>4.68</v>
      </c>
    </row>
    <row r="38" spans="1:17" customFormat="1">
      <c r="A38" s="112" t="s">
        <v>3050</v>
      </c>
      <c r="B38" s="134">
        <v>13.68</v>
      </c>
      <c r="C38" s="134">
        <v>33.57</v>
      </c>
      <c r="D38" s="134">
        <v>27.47</v>
      </c>
      <c r="E38" s="134">
        <v>5.85</v>
      </c>
      <c r="F38" s="134">
        <v>4.3</v>
      </c>
      <c r="G38" s="134">
        <v>9.08</v>
      </c>
      <c r="H38" s="134">
        <v>5.08</v>
      </c>
      <c r="I38" s="134">
        <v>3.41</v>
      </c>
      <c r="J38" s="134">
        <v>0.54</v>
      </c>
      <c r="K38" s="134">
        <v>247.61</v>
      </c>
      <c r="L38" s="134">
        <v>27.63</v>
      </c>
      <c r="M38" s="134">
        <v>80.19</v>
      </c>
      <c r="N38" s="134">
        <v>104</v>
      </c>
      <c r="O38" s="134">
        <v>0</v>
      </c>
      <c r="P38" s="134">
        <v>0.41</v>
      </c>
      <c r="Q38" s="134">
        <v>4.5999999999999996</v>
      </c>
    </row>
    <row r="39" spans="1:17" customFormat="1">
      <c r="A39" s="112" t="s">
        <v>3051</v>
      </c>
      <c r="B39" s="134">
        <v>13.4</v>
      </c>
      <c r="C39" s="134">
        <v>29.2</v>
      </c>
      <c r="D39" s="134">
        <v>24.96</v>
      </c>
      <c r="E39" s="134">
        <v>5.71</v>
      </c>
      <c r="F39" s="134">
        <v>5.0599999999999996</v>
      </c>
      <c r="G39" s="134">
        <v>9.08</v>
      </c>
      <c r="H39" s="134">
        <v>5.08</v>
      </c>
      <c r="I39" s="134">
        <v>3.47</v>
      </c>
      <c r="J39" s="134">
        <v>0.86</v>
      </c>
      <c r="K39" s="134">
        <v>263.35000000000002</v>
      </c>
      <c r="L39" s="134">
        <v>27.94</v>
      </c>
      <c r="M39" s="134">
        <v>77.53</v>
      </c>
      <c r="N39" s="134">
        <v>145.1</v>
      </c>
      <c r="O39" s="134">
        <v>0</v>
      </c>
      <c r="P39" s="134">
        <v>0.38</v>
      </c>
      <c r="Q39" s="134">
        <v>4.51</v>
      </c>
    </row>
    <row r="40" spans="1:17" customFormat="1">
      <c r="A40" s="112" t="s">
        <v>3052</v>
      </c>
      <c r="B40" s="134">
        <v>13.52</v>
      </c>
      <c r="C40" s="134">
        <v>35.53</v>
      </c>
      <c r="D40" s="134">
        <v>28.36</v>
      </c>
      <c r="E40" s="134">
        <v>5.26</v>
      </c>
      <c r="F40" s="134">
        <v>2.57</v>
      </c>
      <c r="G40" s="134">
        <v>9.4600000000000009</v>
      </c>
      <c r="H40" s="134">
        <v>4.41</v>
      </c>
      <c r="I40" s="134">
        <v>3.37</v>
      </c>
      <c r="J40" s="134">
        <v>1.06</v>
      </c>
      <c r="K40" s="134">
        <v>263.68</v>
      </c>
      <c r="L40" s="134">
        <v>28.42</v>
      </c>
      <c r="M40" s="134">
        <v>74.53</v>
      </c>
      <c r="N40" s="134">
        <v>179.8</v>
      </c>
      <c r="O40" s="134">
        <v>0</v>
      </c>
      <c r="P40" s="134">
        <v>0.42</v>
      </c>
      <c r="Q40" s="134">
        <v>4.54</v>
      </c>
    </row>
    <row r="41" spans="1:17" customFormat="1">
      <c r="A41" s="112" t="s">
        <v>3053</v>
      </c>
      <c r="B41" s="134">
        <v>13.25</v>
      </c>
      <c r="C41" s="134">
        <v>35.94</v>
      </c>
      <c r="D41" s="134">
        <v>28.36</v>
      </c>
      <c r="E41" s="134">
        <v>5.85</v>
      </c>
      <c r="F41" s="134">
        <v>2.86</v>
      </c>
      <c r="G41" s="134">
        <v>10.1</v>
      </c>
      <c r="H41" s="134">
        <v>3.77</v>
      </c>
      <c r="I41" s="134">
        <v>3.4</v>
      </c>
      <c r="J41" s="134">
        <v>1.2</v>
      </c>
      <c r="K41" s="134">
        <v>259.02999999999997</v>
      </c>
      <c r="L41" s="134">
        <v>28.67</v>
      </c>
      <c r="M41" s="134">
        <v>72.150000000000006</v>
      </c>
      <c r="N41" s="134">
        <v>194.1</v>
      </c>
      <c r="O41" s="134">
        <v>0</v>
      </c>
      <c r="P41" s="134">
        <v>0.43</v>
      </c>
      <c r="Q41" s="134">
        <v>4.6100000000000003</v>
      </c>
    </row>
    <row r="42" spans="1:17" customFormat="1">
      <c r="A42" s="112" t="s">
        <v>3054</v>
      </c>
      <c r="B42" s="134">
        <v>12.76</v>
      </c>
      <c r="C42" s="134">
        <v>32.26</v>
      </c>
      <c r="D42" s="134">
        <v>26.04</v>
      </c>
      <c r="E42" s="134">
        <v>5.6</v>
      </c>
      <c r="F42" s="134">
        <v>4.01</v>
      </c>
      <c r="G42" s="134">
        <v>10.1</v>
      </c>
      <c r="H42" s="134">
        <v>3.77</v>
      </c>
      <c r="I42" s="134">
        <v>3.51</v>
      </c>
      <c r="J42" s="134">
        <v>1.37</v>
      </c>
      <c r="K42" s="134">
        <v>263.37</v>
      </c>
      <c r="L42" s="134">
        <v>28.59</v>
      </c>
      <c r="M42" s="134">
        <v>71.45</v>
      </c>
      <c r="N42" s="134">
        <v>188.7</v>
      </c>
      <c r="O42" s="134">
        <v>0</v>
      </c>
      <c r="P42" s="134">
        <v>0.4</v>
      </c>
      <c r="Q42" s="134">
        <v>4.5199999999999996</v>
      </c>
    </row>
    <row r="43" spans="1:17" customFormat="1">
      <c r="A43" s="112" t="s">
        <v>3055</v>
      </c>
      <c r="B43" s="134">
        <v>11.99</v>
      </c>
      <c r="C43" s="134">
        <v>29.8</v>
      </c>
      <c r="D43" s="134">
        <v>24.14</v>
      </c>
      <c r="E43" s="134">
        <v>5.5</v>
      </c>
      <c r="F43" s="134">
        <v>4.54</v>
      </c>
      <c r="G43" s="134">
        <v>10.1</v>
      </c>
      <c r="H43" s="134">
        <v>3.77</v>
      </c>
      <c r="I43" s="134">
        <v>3.48</v>
      </c>
      <c r="J43" s="134">
        <v>1.04</v>
      </c>
      <c r="K43" s="134">
        <v>256.01</v>
      </c>
      <c r="L43" s="134">
        <v>28.64</v>
      </c>
      <c r="M43" s="134">
        <v>72</v>
      </c>
      <c r="N43" s="134">
        <v>183.7</v>
      </c>
      <c r="O43" s="134">
        <v>0</v>
      </c>
      <c r="P43" s="134">
        <v>0.38</v>
      </c>
      <c r="Q43" s="134">
        <v>4.45</v>
      </c>
    </row>
    <row r="44" spans="1:17" customFormat="1">
      <c r="A44" s="112" t="s">
        <v>3056</v>
      </c>
      <c r="B44" s="134">
        <v>11.82</v>
      </c>
      <c r="C44" s="134">
        <v>35.450000000000003</v>
      </c>
      <c r="D44" s="134">
        <v>26.96</v>
      </c>
      <c r="E44" s="134">
        <v>5.36</v>
      </c>
      <c r="F44" s="134">
        <v>2.48</v>
      </c>
      <c r="G44" s="134">
        <v>10.96</v>
      </c>
      <c r="H44" s="134">
        <v>3.94</v>
      </c>
      <c r="I44" s="134">
        <v>3.37</v>
      </c>
      <c r="J44" s="134">
        <v>1.1000000000000001</v>
      </c>
      <c r="K44" s="134">
        <v>256.89999999999998</v>
      </c>
      <c r="L44" s="134">
        <v>28.62</v>
      </c>
      <c r="M44" s="134">
        <v>71.819999999999993</v>
      </c>
      <c r="N44" s="134">
        <v>181.1</v>
      </c>
      <c r="O44" s="134">
        <v>0</v>
      </c>
      <c r="P44" s="134">
        <v>0.43</v>
      </c>
      <c r="Q44" s="134">
        <v>4.47</v>
      </c>
    </row>
    <row r="45" spans="1:17" customFormat="1">
      <c r="A45" s="112" t="s">
        <v>3057</v>
      </c>
      <c r="B45" s="134">
        <v>11.65</v>
      </c>
      <c r="C45" s="134">
        <v>34.74</v>
      </c>
      <c r="D45" s="134">
        <v>26.45</v>
      </c>
      <c r="E45" s="134">
        <v>5.75</v>
      </c>
      <c r="F45" s="134">
        <v>3.1</v>
      </c>
      <c r="G45" s="134">
        <v>12.38</v>
      </c>
      <c r="H45" s="134">
        <v>4.1100000000000003</v>
      </c>
      <c r="I45" s="134">
        <v>3.38</v>
      </c>
      <c r="J45" s="134">
        <v>1.02</v>
      </c>
      <c r="K45" s="134">
        <v>266.12</v>
      </c>
      <c r="L45" s="134">
        <v>28.65</v>
      </c>
      <c r="M45" s="134">
        <v>71.36</v>
      </c>
      <c r="N45" s="134">
        <v>174.9</v>
      </c>
      <c r="O45" s="134">
        <v>0</v>
      </c>
      <c r="P45" s="134">
        <v>0.42</v>
      </c>
      <c r="Q45" s="134">
        <v>4.51</v>
      </c>
    </row>
    <row r="46" spans="1:17" customFormat="1">
      <c r="A46" s="112" t="s">
        <v>3058</v>
      </c>
      <c r="B46" s="134">
        <v>11.31</v>
      </c>
      <c r="C46" s="134">
        <v>34.5</v>
      </c>
      <c r="D46" s="134">
        <v>26.05</v>
      </c>
      <c r="E46" s="134">
        <v>5.51</v>
      </c>
      <c r="F46" s="134">
        <v>3.04</v>
      </c>
      <c r="G46" s="134">
        <v>12.38</v>
      </c>
      <c r="H46" s="134">
        <v>4.1100000000000003</v>
      </c>
      <c r="I46" s="134">
        <v>3.43</v>
      </c>
      <c r="J46" s="134">
        <v>0.9</v>
      </c>
      <c r="K46" s="134">
        <v>263.33</v>
      </c>
      <c r="L46" s="134">
        <v>28.97</v>
      </c>
      <c r="M46" s="134">
        <v>71.040000000000006</v>
      </c>
      <c r="N46" s="134">
        <v>260.2</v>
      </c>
      <c r="O46" s="134">
        <v>0</v>
      </c>
      <c r="P46" s="134">
        <v>0.43</v>
      </c>
      <c r="Q46" s="134">
        <v>4.46</v>
      </c>
    </row>
    <row r="47" spans="1:17" customFormat="1">
      <c r="A47" s="112" t="s">
        <v>3059</v>
      </c>
      <c r="B47" s="134">
        <v>10.97</v>
      </c>
      <c r="C47" s="134">
        <v>32.619999999999997</v>
      </c>
      <c r="D47" s="134">
        <v>24.8</v>
      </c>
      <c r="E47" s="134">
        <v>5.14</v>
      </c>
      <c r="F47" s="134">
        <v>3.58</v>
      </c>
      <c r="G47" s="134">
        <v>12.38</v>
      </c>
      <c r="H47" s="134">
        <v>4.1100000000000003</v>
      </c>
      <c r="I47" s="134">
        <v>3.39</v>
      </c>
      <c r="J47" s="134">
        <v>1.1299999999999999</v>
      </c>
      <c r="K47" s="134">
        <v>259.62</v>
      </c>
      <c r="L47" s="134">
        <v>29.17</v>
      </c>
      <c r="M47" s="134">
        <v>68.959999999999994</v>
      </c>
      <c r="N47" s="134">
        <v>263.2</v>
      </c>
      <c r="O47" s="134">
        <v>0</v>
      </c>
      <c r="P47" s="134">
        <v>0.41</v>
      </c>
      <c r="Q47" s="134">
        <v>4.42</v>
      </c>
    </row>
    <row r="48" spans="1:17" customFormat="1">
      <c r="A48" s="112" t="s">
        <v>3060</v>
      </c>
      <c r="B48" s="134">
        <v>9.69</v>
      </c>
      <c r="C48" s="134">
        <v>28.87</v>
      </c>
      <c r="D48" s="134">
        <v>21.81</v>
      </c>
      <c r="E48" s="134">
        <v>5.32</v>
      </c>
      <c r="F48" s="134">
        <v>5.28</v>
      </c>
      <c r="G48" s="134">
        <v>12.4</v>
      </c>
      <c r="H48" s="134">
        <v>4.03</v>
      </c>
      <c r="I48" s="134">
        <v>3.38</v>
      </c>
      <c r="J48" s="134">
        <v>1.06</v>
      </c>
      <c r="K48" s="134">
        <v>259.73</v>
      </c>
      <c r="L48" s="134">
        <v>29.29</v>
      </c>
      <c r="M48" s="134">
        <v>68.739999999999995</v>
      </c>
      <c r="N48" s="134">
        <v>259.2</v>
      </c>
      <c r="O48" s="134">
        <v>0</v>
      </c>
      <c r="P48" s="134">
        <v>0.38</v>
      </c>
      <c r="Q48" s="134">
        <v>4.33</v>
      </c>
    </row>
    <row r="49" spans="1:17" customFormat="1">
      <c r="A49" s="112" t="s">
        <v>3061</v>
      </c>
      <c r="B49" s="134">
        <v>9.41</v>
      </c>
      <c r="C49" s="134">
        <v>29.96</v>
      </c>
      <c r="D49" s="134">
        <v>22.15</v>
      </c>
      <c r="E49" s="134">
        <v>4.24</v>
      </c>
      <c r="F49" s="134">
        <v>5.58</v>
      </c>
      <c r="G49" s="134">
        <v>12.43</v>
      </c>
      <c r="H49" s="134">
        <v>3.96</v>
      </c>
      <c r="I49" s="134">
        <v>3.27</v>
      </c>
      <c r="J49" s="134">
        <v>0.68</v>
      </c>
      <c r="K49" s="134">
        <v>251.24</v>
      </c>
      <c r="L49" s="134">
        <v>29.35</v>
      </c>
      <c r="M49" s="134">
        <v>70.010000000000005</v>
      </c>
      <c r="N49" s="134">
        <v>226.8</v>
      </c>
      <c r="O49" s="134">
        <v>0</v>
      </c>
      <c r="P49" s="134">
        <v>0.36</v>
      </c>
      <c r="Q49" s="134">
        <v>4.29</v>
      </c>
    </row>
    <row r="50" spans="1:17" customFormat="1">
      <c r="A50" s="112" t="s">
        <v>3062</v>
      </c>
      <c r="B50" s="134">
        <v>9.06</v>
      </c>
      <c r="C50" s="134">
        <v>30.94</v>
      </c>
      <c r="D50" s="134">
        <v>22.38</v>
      </c>
      <c r="E50" s="134">
        <v>4.96</v>
      </c>
      <c r="F50" s="134">
        <v>4.2</v>
      </c>
      <c r="G50" s="134">
        <v>12.43</v>
      </c>
      <c r="H50" s="134">
        <v>3.96</v>
      </c>
      <c r="I50" s="134">
        <v>3.19</v>
      </c>
      <c r="J50" s="134">
        <v>0.77</v>
      </c>
      <c r="K50" s="134">
        <v>246.14</v>
      </c>
      <c r="L50" s="134">
        <v>29.42</v>
      </c>
      <c r="M50" s="134">
        <v>69.92</v>
      </c>
      <c r="N50" s="134">
        <v>300.7</v>
      </c>
      <c r="O50" s="134">
        <v>0</v>
      </c>
      <c r="P50" s="134">
        <v>0.37</v>
      </c>
      <c r="Q50" s="134">
        <v>4.26</v>
      </c>
    </row>
    <row r="51" spans="1:17" customFormat="1">
      <c r="A51" s="112" t="s">
        <v>3063</v>
      </c>
      <c r="B51" s="134">
        <v>9.2200000000000006</v>
      </c>
      <c r="C51" s="134">
        <v>34.61</v>
      </c>
      <c r="D51" s="134">
        <v>24.43</v>
      </c>
      <c r="E51" s="134">
        <v>5.32</v>
      </c>
      <c r="F51" s="134">
        <v>3.22</v>
      </c>
      <c r="G51" s="134">
        <v>12.43</v>
      </c>
      <c r="H51" s="134">
        <v>3.96</v>
      </c>
      <c r="I51" s="134">
        <v>3.18</v>
      </c>
      <c r="J51" s="134">
        <v>0.88</v>
      </c>
      <c r="K51" s="134">
        <v>253.05</v>
      </c>
      <c r="L51" s="134">
        <v>29.59</v>
      </c>
      <c r="M51" s="134">
        <v>68.8</v>
      </c>
      <c r="N51" s="134">
        <v>277.2</v>
      </c>
      <c r="O51" s="134">
        <v>0</v>
      </c>
      <c r="P51" s="134">
        <v>0.41</v>
      </c>
      <c r="Q51" s="134">
        <v>4.3499999999999996</v>
      </c>
    </row>
    <row r="52" spans="1:17" customFormat="1">
      <c r="A52" s="112" t="s">
        <v>3064</v>
      </c>
      <c r="B52" s="134">
        <v>9.1300000000000008</v>
      </c>
      <c r="C52" s="134">
        <v>32.69</v>
      </c>
      <c r="D52" s="134">
        <v>23.35</v>
      </c>
      <c r="E52" s="134">
        <v>5.25</v>
      </c>
      <c r="F52" s="134">
        <v>3.94</v>
      </c>
      <c r="G52" s="134">
        <v>12.08</v>
      </c>
      <c r="H52" s="134">
        <v>4.0599999999999996</v>
      </c>
      <c r="I52" s="134">
        <v>3.24</v>
      </c>
      <c r="J52" s="134">
        <v>1.19</v>
      </c>
      <c r="K52" s="134">
        <v>253.77</v>
      </c>
      <c r="L52" s="134">
        <v>29.46</v>
      </c>
      <c r="M52" s="134">
        <v>68.34</v>
      </c>
      <c r="N52" s="134">
        <v>322.39999999999998</v>
      </c>
      <c r="O52" s="134">
        <v>0</v>
      </c>
      <c r="P52" s="134">
        <v>0.4</v>
      </c>
      <c r="Q52" s="134">
        <v>4.34</v>
      </c>
    </row>
    <row r="53" spans="1:17" customFormat="1">
      <c r="A53" s="112" t="s">
        <v>3065</v>
      </c>
      <c r="B53" s="134">
        <v>8.7100000000000009</v>
      </c>
      <c r="C53" s="134">
        <v>30.35</v>
      </c>
      <c r="D53" s="134">
        <v>21.8</v>
      </c>
      <c r="E53" s="134">
        <v>5.03</v>
      </c>
      <c r="F53" s="134">
        <v>5.09</v>
      </c>
      <c r="G53" s="134">
        <v>11.5</v>
      </c>
      <c r="H53" s="134">
        <v>4.16</v>
      </c>
      <c r="I53" s="134">
        <v>3.31</v>
      </c>
      <c r="J53" s="134">
        <v>1.04</v>
      </c>
      <c r="K53" s="134">
        <v>261.7</v>
      </c>
      <c r="L53" s="134">
        <v>29.72</v>
      </c>
      <c r="M53" s="134">
        <v>67.19</v>
      </c>
      <c r="N53" s="134">
        <v>322.60000000000002</v>
      </c>
      <c r="O53" s="134">
        <v>0</v>
      </c>
      <c r="P53" s="134">
        <v>0.37</v>
      </c>
      <c r="Q53" s="134">
        <v>4.26</v>
      </c>
    </row>
    <row r="54" spans="1:17" customFormat="1">
      <c r="A54" s="112" t="s">
        <v>3066</v>
      </c>
      <c r="B54" s="134">
        <v>8.23</v>
      </c>
      <c r="C54" s="134">
        <v>29.92</v>
      </c>
      <c r="D54" s="134">
        <v>21.19</v>
      </c>
      <c r="E54" s="134">
        <v>4.55</v>
      </c>
      <c r="F54" s="134">
        <v>4.8899999999999997</v>
      </c>
      <c r="G54" s="134">
        <v>11.5</v>
      </c>
      <c r="H54" s="134">
        <v>4.16</v>
      </c>
      <c r="I54" s="134">
        <v>3.22</v>
      </c>
      <c r="J54" s="134">
        <v>0.89</v>
      </c>
      <c r="K54" s="134">
        <v>260.13</v>
      </c>
      <c r="L54" s="134">
        <v>29.74</v>
      </c>
      <c r="M54" s="134">
        <v>66.930000000000007</v>
      </c>
      <c r="N54" s="134">
        <v>282.3</v>
      </c>
      <c r="O54" s="134">
        <v>0</v>
      </c>
      <c r="P54" s="134">
        <v>0.36</v>
      </c>
      <c r="Q54" s="134">
        <v>4.2</v>
      </c>
    </row>
    <row r="55" spans="1:17" customFormat="1">
      <c r="A55" s="112" t="s">
        <v>3067</v>
      </c>
      <c r="B55" s="134">
        <v>7.8</v>
      </c>
      <c r="C55" s="134">
        <v>30.31</v>
      </c>
      <c r="D55" s="134">
        <v>21.05</v>
      </c>
      <c r="E55" s="134">
        <v>4.7300000000000004</v>
      </c>
      <c r="F55" s="134">
        <v>5.09</v>
      </c>
      <c r="G55" s="134">
        <v>11.5</v>
      </c>
      <c r="H55" s="134">
        <v>4.16</v>
      </c>
      <c r="I55" s="134">
        <v>3.15</v>
      </c>
      <c r="J55" s="134">
        <v>0.77</v>
      </c>
      <c r="K55" s="134">
        <v>250.15</v>
      </c>
      <c r="L55" s="134">
        <v>29.73</v>
      </c>
      <c r="M55" s="134">
        <v>67.319999999999993</v>
      </c>
      <c r="N55" s="134">
        <v>224.9</v>
      </c>
      <c r="O55" s="134">
        <v>0</v>
      </c>
      <c r="P55" s="134">
        <v>0.36</v>
      </c>
      <c r="Q55" s="134">
        <v>4.16</v>
      </c>
    </row>
    <row r="56" spans="1:17" customFormat="1">
      <c r="A56" s="112" t="s">
        <v>3068</v>
      </c>
      <c r="B56" s="134">
        <v>7.58</v>
      </c>
      <c r="C56" s="134">
        <v>34.119999999999997</v>
      </c>
      <c r="D56" s="134">
        <v>22.86</v>
      </c>
      <c r="E56" s="134">
        <v>5.0199999999999996</v>
      </c>
      <c r="F56" s="134">
        <v>5.85</v>
      </c>
      <c r="G56" s="134">
        <v>11.69</v>
      </c>
      <c r="H56" s="134">
        <v>3.92</v>
      </c>
      <c r="I56" s="134">
        <v>3.09</v>
      </c>
      <c r="J56" s="134">
        <v>0.86</v>
      </c>
      <c r="K56" s="134">
        <v>261.23</v>
      </c>
      <c r="L56" s="134">
        <v>29.78</v>
      </c>
      <c r="M56" s="134">
        <v>67.14</v>
      </c>
      <c r="N56" s="134">
        <v>324.89999999999998</v>
      </c>
      <c r="O56" s="134">
        <v>0</v>
      </c>
      <c r="P56" s="134">
        <v>0.41</v>
      </c>
      <c r="Q56" s="134">
        <v>4.24</v>
      </c>
    </row>
    <row r="57" spans="1:17" customFormat="1">
      <c r="A57" s="112" t="s">
        <v>3069</v>
      </c>
      <c r="B57" s="134">
        <v>7.53</v>
      </c>
      <c r="C57" s="134">
        <v>31</v>
      </c>
      <c r="D57" s="134">
        <v>21.19</v>
      </c>
      <c r="E57" s="134">
        <v>5.74</v>
      </c>
      <c r="F57" s="134">
        <v>6.49</v>
      </c>
      <c r="G57" s="134">
        <v>11.99</v>
      </c>
      <c r="H57" s="134">
        <v>3.15</v>
      </c>
      <c r="I57" s="134">
        <v>3.14</v>
      </c>
      <c r="J57" s="134">
        <v>0.65</v>
      </c>
      <c r="K57" s="134">
        <v>246.61</v>
      </c>
      <c r="L57" s="134">
        <v>30.3</v>
      </c>
      <c r="M57" s="134">
        <v>66.31</v>
      </c>
      <c r="N57" s="134">
        <v>391</v>
      </c>
      <c r="O57" s="134">
        <v>0</v>
      </c>
      <c r="P57" s="134">
        <v>0.39</v>
      </c>
      <c r="Q57" s="134">
        <v>4.2699999999999996</v>
      </c>
    </row>
    <row r="58" spans="1:17" customFormat="1">
      <c r="A58" s="112" t="s">
        <v>3070</v>
      </c>
      <c r="B58" s="134">
        <v>7.53</v>
      </c>
      <c r="C58" s="134">
        <v>29.16</v>
      </c>
      <c r="D58" s="134">
        <v>20.23</v>
      </c>
      <c r="E58" s="134">
        <v>5.2</v>
      </c>
      <c r="F58" s="134">
        <v>5.97</v>
      </c>
      <c r="G58" s="134">
        <v>11.99</v>
      </c>
      <c r="H58" s="134">
        <v>3.15</v>
      </c>
      <c r="I58" s="134">
        <v>3.18</v>
      </c>
      <c r="J58" s="134">
        <v>0.81</v>
      </c>
      <c r="K58" s="134">
        <v>262.60000000000002</v>
      </c>
      <c r="L58" s="134">
        <v>30.43</v>
      </c>
      <c r="M58" s="134">
        <v>64.78</v>
      </c>
      <c r="N58" s="134">
        <v>390.5</v>
      </c>
      <c r="O58" s="134">
        <v>0</v>
      </c>
      <c r="P58" s="134">
        <v>0.37</v>
      </c>
      <c r="Q58" s="134">
        <v>4.2</v>
      </c>
    </row>
    <row r="59" spans="1:17" customFormat="1">
      <c r="A59" s="112" t="s">
        <v>3071</v>
      </c>
      <c r="B59" s="134">
        <v>7.4</v>
      </c>
      <c r="C59" s="134">
        <v>28.9</v>
      </c>
      <c r="D59" s="134">
        <v>19.989999999999998</v>
      </c>
      <c r="E59" s="134">
        <v>4.51</v>
      </c>
      <c r="F59" s="134">
        <v>5.72</v>
      </c>
      <c r="G59" s="134">
        <v>11.99</v>
      </c>
      <c r="H59" s="134">
        <v>3.15</v>
      </c>
      <c r="I59" s="134">
        <v>3.06</v>
      </c>
      <c r="J59" s="134">
        <v>0.93</v>
      </c>
      <c r="K59" s="134">
        <v>269.58999999999997</v>
      </c>
      <c r="L59" s="134">
        <v>30.48</v>
      </c>
      <c r="M59" s="134">
        <v>64.47</v>
      </c>
      <c r="N59" s="134">
        <v>400.5</v>
      </c>
      <c r="O59" s="134">
        <v>0</v>
      </c>
      <c r="P59" s="134">
        <v>0.36</v>
      </c>
      <c r="Q59" s="134">
        <v>4.13</v>
      </c>
    </row>
    <row r="60" spans="1:17" customFormat="1">
      <c r="A60" s="112" t="s">
        <v>3072</v>
      </c>
      <c r="B60" s="134">
        <v>6.73</v>
      </c>
      <c r="C60" s="134">
        <v>27.29</v>
      </c>
      <c r="D60" s="134">
        <v>18.61</v>
      </c>
      <c r="E60" s="134">
        <v>4.9800000000000004</v>
      </c>
      <c r="F60" s="134">
        <v>7.98</v>
      </c>
      <c r="G60" s="134">
        <v>12.1</v>
      </c>
      <c r="H60" s="134">
        <v>3.41</v>
      </c>
      <c r="I60" s="134">
        <v>3.03</v>
      </c>
      <c r="J60" s="134">
        <v>0.84</v>
      </c>
      <c r="K60" s="134">
        <v>259.63</v>
      </c>
      <c r="L60" s="134">
        <v>30.69</v>
      </c>
      <c r="M60" s="134">
        <v>64.930000000000007</v>
      </c>
      <c r="N60" s="134">
        <v>418.8</v>
      </c>
      <c r="O60" s="134">
        <v>0</v>
      </c>
      <c r="P60" s="134">
        <v>0.35</v>
      </c>
      <c r="Q60" s="134">
        <v>4.0999999999999996</v>
      </c>
    </row>
    <row r="61" spans="1:17" customFormat="1">
      <c r="A61" s="112" t="s">
        <v>3073</v>
      </c>
      <c r="B61" s="134">
        <v>6.64</v>
      </c>
      <c r="C61" s="134">
        <v>29.78</v>
      </c>
      <c r="D61" s="134">
        <v>19.84</v>
      </c>
      <c r="E61" s="134">
        <v>4.5199999999999996</v>
      </c>
      <c r="F61" s="134">
        <v>4.88</v>
      </c>
      <c r="G61" s="134">
        <v>12.28</v>
      </c>
      <c r="H61" s="134">
        <v>3.64</v>
      </c>
      <c r="I61" s="134">
        <v>3</v>
      </c>
      <c r="J61" s="134">
        <v>0.77</v>
      </c>
      <c r="K61" s="134">
        <v>249.97</v>
      </c>
      <c r="L61" s="134">
        <v>30.95</v>
      </c>
      <c r="M61" s="134">
        <v>64.19</v>
      </c>
      <c r="N61" s="134">
        <v>470.1</v>
      </c>
      <c r="O61" s="134">
        <v>0</v>
      </c>
      <c r="P61" s="134">
        <v>0.35</v>
      </c>
      <c r="Q61" s="134">
        <v>4.08</v>
      </c>
    </row>
    <row r="62" spans="1:17" customFormat="1">
      <c r="A62" s="112" t="s">
        <v>3074</v>
      </c>
      <c r="B62" s="134">
        <v>6.96</v>
      </c>
      <c r="C62" s="134">
        <v>34.81</v>
      </c>
      <c r="D62" s="134">
        <v>22.72</v>
      </c>
      <c r="E62" s="134">
        <v>5.34</v>
      </c>
      <c r="F62" s="134">
        <v>2.94</v>
      </c>
      <c r="G62" s="134">
        <v>12.28</v>
      </c>
      <c r="H62" s="134">
        <v>3.64</v>
      </c>
      <c r="I62" s="134">
        <v>2.97</v>
      </c>
      <c r="J62" s="134">
        <v>0.7</v>
      </c>
      <c r="K62" s="134">
        <v>246.61</v>
      </c>
      <c r="L62" s="134">
        <v>31.02</v>
      </c>
      <c r="M62" s="134">
        <v>63.97</v>
      </c>
      <c r="N62" s="134">
        <v>417</v>
      </c>
      <c r="O62" s="134">
        <v>0</v>
      </c>
      <c r="P62" s="134">
        <v>0.4</v>
      </c>
      <c r="Q62" s="134">
        <v>4.1900000000000004</v>
      </c>
    </row>
    <row r="63" spans="1:17" customFormat="1">
      <c r="A63" s="112" t="s">
        <v>3075</v>
      </c>
      <c r="B63" s="134">
        <v>6.94</v>
      </c>
      <c r="C63" s="134">
        <v>31.29</v>
      </c>
      <c r="D63" s="134">
        <v>20.86</v>
      </c>
      <c r="E63" s="134">
        <v>4.82</v>
      </c>
      <c r="F63" s="134">
        <v>6.22</v>
      </c>
      <c r="G63" s="134">
        <v>12.28</v>
      </c>
      <c r="H63" s="134">
        <v>3.64</v>
      </c>
      <c r="I63" s="134">
        <v>3.11</v>
      </c>
      <c r="J63" s="134">
        <v>0.95</v>
      </c>
      <c r="K63" s="134">
        <v>256.88</v>
      </c>
      <c r="L63" s="134">
        <v>31.02</v>
      </c>
      <c r="M63" s="134">
        <v>63.59</v>
      </c>
      <c r="N63" s="134">
        <v>407.4</v>
      </c>
      <c r="O63" s="134">
        <v>0</v>
      </c>
      <c r="P63" s="134">
        <v>0.39</v>
      </c>
      <c r="Q63" s="134">
        <v>4.18</v>
      </c>
    </row>
    <row r="64" spans="1:17" customFormat="1">
      <c r="A64" s="112" t="s">
        <v>3076</v>
      </c>
      <c r="B64" s="134">
        <v>6.79</v>
      </c>
      <c r="C64" s="134">
        <v>29.36</v>
      </c>
      <c r="D64" s="134">
        <v>19.739999999999998</v>
      </c>
      <c r="E64" s="134">
        <v>4.92</v>
      </c>
      <c r="F64" s="134">
        <v>6.16</v>
      </c>
      <c r="G64" s="134">
        <v>12.03</v>
      </c>
      <c r="H64" s="134">
        <v>4.2699999999999996</v>
      </c>
      <c r="I64" s="134">
        <v>3.15</v>
      </c>
      <c r="J64" s="134">
        <v>0.74</v>
      </c>
      <c r="K64" s="134">
        <v>245.98</v>
      </c>
      <c r="L64" s="134">
        <v>31.13</v>
      </c>
      <c r="M64" s="134">
        <v>63.53</v>
      </c>
      <c r="N64" s="134">
        <v>433.5</v>
      </c>
      <c r="O64" s="134">
        <v>0</v>
      </c>
      <c r="P64" s="134">
        <v>0.37</v>
      </c>
      <c r="Q64" s="134">
        <v>4.1100000000000003</v>
      </c>
    </row>
    <row r="65" spans="1:17" customFormat="1">
      <c r="A65" s="112" t="s">
        <v>3077</v>
      </c>
      <c r="B65" s="134">
        <v>6.8</v>
      </c>
      <c r="C65" s="134">
        <v>31.89</v>
      </c>
      <c r="D65" s="134">
        <v>21.07</v>
      </c>
      <c r="E65" s="134">
        <v>4.71</v>
      </c>
      <c r="F65" s="134">
        <v>4.07</v>
      </c>
      <c r="G65" s="134">
        <v>11.63</v>
      </c>
      <c r="H65" s="134">
        <v>4.8499999999999996</v>
      </c>
      <c r="I65" s="134">
        <v>3.02</v>
      </c>
      <c r="J65" s="134">
        <v>0.8</v>
      </c>
      <c r="K65" s="134">
        <v>244.96</v>
      </c>
      <c r="L65" s="134">
        <v>31.44</v>
      </c>
      <c r="M65" s="134">
        <v>62.55</v>
      </c>
      <c r="N65" s="134">
        <v>510.2</v>
      </c>
      <c r="O65" s="134">
        <v>0</v>
      </c>
      <c r="P65" s="134">
        <v>0.36</v>
      </c>
      <c r="Q65" s="134">
        <v>4.09</v>
      </c>
    </row>
    <row r="66" spans="1:17" customFormat="1">
      <c r="A66" s="112" t="s">
        <v>3078</v>
      </c>
      <c r="B66" s="134">
        <v>6.58</v>
      </c>
      <c r="C66" s="134">
        <v>31.99</v>
      </c>
      <c r="D66" s="134">
        <v>20.95</v>
      </c>
      <c r="E66" s="134">
        <v>4.42</v>
      </c>
      <c r="F66" s="134">
        <v>5.14</v>
      </c>
      <c r="G66" s="134">
        <v>11.63</v>
      </c>
      <c r="H66" s="134">
        <v>4.8499999999999996</v>
      </c>
      <c r="I66" s="134">
        <v>3.01</v>
      </c>
      <c r="J66" s="134">
        <v>0.73</v>
      </c>
      <c r="K66" s="134">
        <v>251.26</v>
      </c>
      <c r="L66" s="134">
        <v>31.89</v>
      </c>
      <c r="M66" s="134">
        <v>60.61</v>
      </c>
      <c r="N66" s="134">
        <v>587.6</v>
      </c>
      <c r="O66" s="134">
        <v>0</v>
      </c>
      <c r="P66" s="134">
        <v>0.37</v>
      </c>
      <c r="Q66" s="134">
        <v>4.16</v>
      </c>
    </row>
    <row r="67" spans="1:17" customFormat="1">
      <c r="A67" s="112" t="s">
        <v>3079</v>
      </c>
      <c r="B67" s="134">
        <v>6.37</v>
      </c>
      <c r="C67" s="134">
        <v>30.27</v>
      </c>
      <c r="D67" s="134">
        <v>19.87</v>
      </c>
      <c r="E67" s="134">
        <v>4.58</v>
      </c>
      <c r="F67" s="134">
        <v>6.14</v>
      </c>
      <c r="G67" s="134">
        <v>11.63</v>
      </c>
      <c r="H67" s="134">
        <v>4.8499999999999996</v>
      </c>
      <c r="I67" s="134">
        <v>3.06</v>
      </c>
      <c r="J67" s="134">
        <v>0.8</v>
      </c>
      <c r="K67" s="134">
        <v>249.17</v>
      </c>
      <c r="L67" s="134">
        <v>31.84</v>
      </c>
      <c r="M67" s="134">
        <v>60.41</v>
      </c>
      <c r="N67" s="134">
        <v>456.6</v>
      </c>
      <c r="O67" s="134">
        <v>0</v>
      </c>
      <c r="P67" s="134">
        <v>0.35</v>
      </c>
      <c r="Q67" s="134">
        <v>4.1100000000000003</v>
      </c>
    </row>
    <row r="68" spans="1:17" customFormat="1">
      <c r="A68" s="112" t="s">
        <v>3080</v>
      </c>
      <c r="B68" s="134">
        <v>6.01</v>
      </c>
      <c r="C68" s="134">
        <v>28.46</v>
      </c>
      <c r="D68" s="134">
        <v>18.649999999999999</v>
      </c>
      <c r="E68" s="134">
        <v>4.84</v>
      </c>
      <c r="F68" s="134">
        <v>7.9</v>
      </c>
      <c r="G68" s="134">
        <v>11.36</v>
      </c>
      <c r="H68" s="134">
        <v>5.19</v>
      </c>
      <c r="I68" s="134">
        <v>3.02</v>
      </c>
      <c r="J68" s="134">
        <v>0.86</v>
      </c>
      <c r="K68" s="134">
        <v>265.58999999999997</v>
      </c>
      <c r="L68" s="134">
        <v>32.07</v>
      </c>
      <c r="M68" s="134">
        <v>59.62</v>
      </c>
      <c r="N68" s="134">
        <v>468.8</v>
      </c>
      <c r="O68" s="134">
        <v>0</v>
      </c>
      <c r="P68" s="134">
        <v>0.33</v>
      </c>
      <c r="Q68" s="134">
        <v>4.07</v>
      </c>
    </row>
    <row r="69" spans="1:17" customFormat="1">
      <c r="A69" s="112" t="s">
        <v>3081</v>
      </c>
      <c r="B69" s="134">
        <v>5.82</v>
      </c>
      <c r="C69" s="134">
        <v>28.27</v>
      </c>
      <c r="D69" s="134">
        <v>18.39</v>
      </c>
      <c r="E69" s="134">
        <v>4.47</v>
      </c>
      <c r="F69" s="134">
        <v>6.73</v>
      </c>
      <c r="G69" s="134">
        <v>10.93</v>
      </c>
      <c r="H69" s="134">
        <v>5.51</v>
      </c>
      <c r="I69" s="134">
        <v>2.96</v>
      </c>
      <c r="J69" s="134">
        <v>1.02</v>
      </c>
      <c r="K69" s="134">
        <v>257.08</v>
      </c>
      <c r="L69" s="134">
        <v>32</v>
      </c>
      <c r="M69" s="134">
        <v>58.32</v>
      </c>
      <c r="N69" s="134">
        <v>445.6</v>
      </c>
      <c r="O69" s="134">
        <v>0</v>
      </c>
      <c r="P69" s="134">
        <v>0.33</v>
      </c>
      <c r="Q69" s="134">
        <v>4.0599999999999996</v>
      </c>
    </row>
    <row r="70" spans="1:17" customFormat="1">
      <c r="A70" s="112" t="s">
        <v>3082</v>
      </c>
      <c r="B70" s="134">
        <v>5.57</v>
      </c>
      <c r="C70" s="134">
        <v>28.92</v>
      </c>
      <c r="D70" s="134">
        <v>18.53</v>
      </c>
      <c r="E70" s="134">
        <v>4.03</v>
      </c>
      <c r="F70" s="134">
        <v>6.19</v>
      </c>
      <c r="G70" s="134">
        <v>10.93</v>
      </c>
      <c r="H70" s="134">
        <v>5.51</v>
      </c>
      <c r="I70" s="134">
        <v>2.94</v>
      </c>
      <c r="J70" s="134">
        <v>1.32</v>
      </c>
      <c r="K70" s="134">
        <v>261.12</v>
      </c>
      <c r="L70" s="134">
        <v>31.73</v>
      </c>
      <c r="M70" s="134">
        <v>58.2</v>
      </c>
      <c r="N70" s="134">
        <v>378.7</v>
      </c>
      <c r="O70" s="134">
        <v>0</v>
      </c>
      <c r="P70" s="134">
        <v>0.32</v>
      </c>
      <c r="Q70" s="134">
        <v>4.0199999999999996</v>
      </c>
    </row>
    <row r="71" spans="1:17" customFormat="1">
      <c r="A71" s="112" t="s">
        <v>3083</v>
      </c>
      <c r="B71" s="134">
        <v>5.24</v>
      </c>
      <c r="C71" s="134">
        <v>27.8</v>
      </c>
      <c r="D71" s="134">
        <v>17.68</v>
      </c>
      <c r="E71" s="134">
        <v>3.97</v>
      </c>
      <c r="F71" s="134">
        <v>8.43</v>
      </c>
      <c r="G71" s="134">
        <v>10.93</v>
      </c>
      <c r="H71" s="134">
        <v>5.51</v>
      </c>
      <c r="I71" s="134">
        <v>2.94</v>
      </c>
      <c r="J71" s="134">
        <v>0.86</v>
      </c>
      <c r="K71" s="134">
        <v>256.91000000000003</v>
      </c>
      <c r="L71" s="134">
        <v>31.45</v>
      </c>
      <c r="M71" s="134">
        <v>58.57</v>
      </c>
      <c r="N71" s="134">
        <v>238.8</v>
      </c>
      <c r="O71" s="134">
        <v>0</v>
      </c>
      <c r="P71" s="134">
        <v>0.32</v>
      </c>
      <c r="Q71" s="134">
        <v>3.99</v>
      </c>
    </row>
    <row r="72" spans="1:17" customFormat="1">
      <c r="A72" s="112" t="s">
        <v>3084</v>
      </c>
      <c r="B72" s="134">
        <v>4.78</v>
      </c>
      <c r="C72" s="134">
        <v>26.34</v>
      </c>
      <c r="D72" s="134">
        <v>16.55</v>
      </c>
      <c r="E72" s="134">
        <v>4.03</v>
      </c>
      <c r="F72" s="134">
        <v>8.9499999999999993</v>
      </c>
      <c r="G72" s="134">
        <v>12.28</v>
      </c>
      <c r="H72" s="134">
        <v>5.7</v>
      </c>
      <c r="I72" s="134">
        <v>2.93</v>
      </c>
      <c r="J72" s="134">
        <v>0.59</v>
      </c>
      <c r="K72" s="134">
        <v>248.93</v>
      </c>
      <c r="L72" s="134">
        <v>31.31</v>
      </c>
      <c r="M72" s="134">
        <v>60.39</v>
      </c>
      <c r="N72" s="134">
        <v>188.3</v>
      </c>
      <c r="O72" s="134">
        <v>0</v>
      </c>
      <c r="P72" s="134">
        <v>0.31</v>
      </c>
      <c r="Q72" s="134">
        <v>3.95</v>
      </c>
    </row>
    <row r="73" spans="1:17" customFormat="1">
      <c r="A73" s="112" t="s">
        <v>3085</v>
      </c>
      <c r="B73" s="134">
        <v>4.72</v>
      </c>
      <c r="C73" s="134">
        <v>28.24</v>
      </c>
      <c r="D73" s="134">
        <v>17.5</v>
      </c>
      <c r="E73" s="134">
        <v>4.09</v>
      </c>
      <c r="F73" s="134">
        <v>5.75</v>
      </c>
      <c r="G73" s="134">
        <v>14.4</v>
      </c>
      <c r="H73" s="134">
        <v>5.88</v>
      </c>
      <c r="I73" s="134">
        <v>2.82</v>
      </c>
      <c r="J73" s="134">
        <v>1.1000000000000001</v>
      </c>
      <c r="K73" s="134">
        <v>260.85000000000002</v>
      </c>
      <c r="L73" s="134">
        <v>31.05</v>
      </c>
      <c r="M73" s="134">
        <v>60.07</v>
      </c>
      <c r="N73" s="134">
        <v>162.69999999999999</v>
      </c>
      <c r="O73" s="134">
        <v>0</v>
      </c>
      <c r="P73" s="134">
        <v>0.32</v>
      </c>
      <c r="Q73" s="134">
        <v>3.96</v>
      </c>
    </row>
    <row r="74" spans="1:17" customFormat="1">
      <c r="A74" s="112" t="s">
        <v>3086</v>
      </c>
      <c r="B74" s="134">
        <v>5.2</v>
      </c>
      <c r="C74" s="134">
        <v>32.119999999999997</v>
      </c>
      <c r="D74" s="134">
        <v>19.899999999999999</v>
      </c>
      <c r="E74" s="134">
        <v>5.05</v>
      </c>
      <c r="F74" s="134">
        <v>5.4</v>
      </c>
      <c r="G74" s="134">
        <v>14.4</v>
      </c>
      <c r="H74" s="134">
        <v>5.88</v>
      </c>
      <c r="I74" s="134">
        <v>2.71</v>
      </c>
      <c r="J74" s="134">
        <v>1.02</v>
      </c>
      <c r="K74" s="134">
        <v>256.52</v>
      </c>
      <c r="L74" s="134">
        <v>30.87</v>
      </c>
      <c r="M74" s="134">
        <v>60.17</v>
      </c>
      <c r="N74" s="134">
        <v>141.1</v>
      </c>
      <c r="O74" s="134">
        <v>0</v>
      </c>
      <c r="P74" s="134">
        <v>0.36</v>
      </c>
      <c r="Q74" s="134">
        <v>4.08</v>
      </c>
    </row>
    <row r="75" spans="1:17" customFormat="1">
      <c r="A75" s="112" t="s">
        <v>3087</v>
      </c>
      <c r="B75" s="134">
        <v>5.27</v>
      </c>
      <c r="C75" s="134">
        <v>30.08</v>
      </c>
      <c r="D75" s="134">
        <v>18.899999999999999</v>
      </c>
      <c r="E75" s="134">
        <v>4.75</v>
      </c>
      <c r="F75" s="134">
        <v>6.86</v>
      </c>
      <c r="G75" s="134">
        <v>14.4</v>
      </c>
      <c r="H75" s="134">
        <v>5.88</v>
      </c>
      <c r="I75" s="134">
        <v>2.86</v>
      </c>
      <c r="J75" s="134">
        <v>1.1499999999999999</v>
      </c>
      <c r="K75" s="134">
        <v>261.01</v>
      </c>
      <c r="L75" s="134">
        <v>30.7</v>
      </c>
      <c r="M75" s="134">
        <v>60.99</v>
      </c>
      <c r="N75" s="134">
        <v>115.6</v>
      </c>
      <c r="O75" s="134">
        <v>0</v>
      </c>
      <c r="P75" s="134">
        <v>0.35</v>
      </c>
      <c r="Q75" s="134">
        <v>4.0599999999999996</v>
      </c>
    </row>
    <row r="76" spans="1:17" customFormat="1">
      <c r="A76" s="112" t="s">
        <v>3088</v>
      </c>
      <c r="B76" s="134">
        <v>4.9000000000000004</v>
      </c>
      <c r="C76" s="134">
        <v>25.74</v>
      </c>
      <c r="D76" s="134">
        <v>16.329999999999998</v>
      </c>
      <c r="E76" s="134">
        <v>4.57</v>
      </c>
      <c r="F76" s="134">
        <v>13.27</v>
      </c>
      <c r="G76" s="134">
        <v>13.96</v>
      </c>
      <c r="H76" s="134">
        <v>5.14</v>
      </c>
      <c r="I76" s="134">
        <v>2.95</v>
      </c>
      <c r="J76" s="134">
        <v>0.66</v>
      </c>
      <c r="K76" s="134">
        <v>258.13</v>
      </c>
      <c r="L76" s="134">
        <v>30.56</v>
      </c>
      <c r="M76" s="134">
        <v>63.38</v>
      </c>
      <c r="N76" s="134">
        <v>95.4</v>
      </c>
      <c r="O76" s="134">
        <v>0</v>
      </c>
      <c r="P76" s="134">
        <v>0.33</v>
      </c>
      <c r="Q76" s="134">
        <v>4</v>
      </c>
    </row>
    <row r="77" spans="1:17" customFormat="1">
      <c r="A77" s="112" t="s">
        <v>3089</v>
      </c>
      <c r="B77" s="134">
        <v>4.5999999999999996</v>
      </c>
      <c r="C77" s="134">
        <v>24.36</v>
      </c>
      <c r="D77" s="134">
        <v>15.37</v>
      </c>
      <c r="E77" s="134">
        <v>4.8499999999999996</v>
      </c>
      <c r="F77" s="134">
        <v>13.11</v>
      </c>
      <c r="G77" s="134">
        <v>13.24</v>
      </c>
      <c r="H77" s="134">
        <v>4.43</v>
      </c>
      <c r="I77" s="134">
        <v>2.8</v>
      </c>
      <c r="J77" s="134">
        <v>0.74</v>
      </c>
      <c r="K77" s="134">
        <v>255.72</v>
      </c>
      <c r="L77" s="134">
        <v>30.46</v>
      </c>
      <c r="M77" s="134">
        <v>63.79</v>
      </c>
      <c r="N77" s="134">
        <v>87.1</v>
      </c>
      <c r="O77" s="134">
        <v>0</v>
      </c>
      <c r="P77" s="134">
        <v>0.32</v>
      </c>
      <c r="Q77" s="134">
        <v>3.98</v>
      </c>
    </row>
    <row r="78" spans="1:17" customFormat="1">
      <c r="A78" s="112" t="s">
        <v>3090</v>
      </c>
      <c r="B78" s="134">
        <v>4.3499999999999996</v>
      </c>
      <c r="C78" s="134">
        <v>24.67</v>
      </c>
      <c r="D78" s="134">
        <v>15.34</v>
      </c>
      <c r="E78" s="134">
        <v>4.58</v>
      </c>
      <c r="F78" s="134">
        <v>11.86</v>
      </c>
      <c r="G78" s="134">
        <v>13.24</v>
      </c>
      <c r="H78" s="134">
        <v>4.43</v>
      </c>
      <c r="I78" s="134">
        <v>2.63</v>
      </c>
      <c r="J78" s="134">
        <v>0.55000000000000004</v>
      </c>
      <c r="K78" s="134">
        <v>248.41</v>
      </c>
      <c r="L78" s="134">
        <v>30.41</v>
      </c>
      <c r="M78" s="134">
        <v>64.48</v>
      </c>
      <c r="N78" s="134">
        <v>74.2</v>
      </c>
      <c r="O78" s="134">
        <v>0</v>
      </c>
      <c r="P78" s="134">
        <v>0.32</v>
      </c>
      <c r="Q78" s="134">
        <v>3.96</v>
      </c>
    </row>
    <row r="79" spans="1:17" customFormat="1">
      <c r="A79" s="112" t="s">
        <v>3091</v>
      </c>
      <c r="B79" s="134">
        <v>4.17</v>
      </c>
      <c r="C79" s="134">
        <v>24.63</v>
      </c>
      <c r="D79" s="134">
        <v>15.17</v>
      </c>
      <c r="E79" s="134">
        <v>4.97</v>
      </c>
      <c r="F79" s="134">
        <v>13.89</v>
      </c>
      <c r="G79" s="134">
        <v>13.24</v>
      </c>
      <c r="H79" s="134">
        <v>4.43</v>
      </c>
      <c r="I79" s="134">
        <v>2.56</v>
      </c>
      <c r="J79" s="134">
        <v>0.5</v>
      </c>
      <c r="K79" s="134">
        <v>255.24</v>
      </c>
      <c r="L79" s="134">
        <v>30.33</v>
      </c>
      <c r="M79" s="134">
        <v>64.63</v>
      </c>
      <c r="N79" s="134">
        <v>72</v>
      </c>
      <c r="O79" s="134">
        <v>0</v>
      </c>
      <c r="P79" s="134">
        <v>0.31</v>
      </c>
      <c r="Q79" s="134">
        <v>3.93</v>
      </c>
    </row>
    <row r="80" spans="1:17" customFormat="1">
      <c r="A80" s="112" t="s">
        <v>3092</v>
      </c>
      <c r="B80" s="134">
        <v>4.5199999999999996</v>
      </c>
      <c r="C80" s="134">
        <v>27.16</v>
      </c>
      <c r="D80" s="134">
        <v>16.77</v>
      </c>
      <c r="E80" s="134">
        <v>4.92</v>
      </c>
      <c r="F80" s="134">
        <v>7.88</v>
      </c>
      <c r="G80" s="134">
        <v>13.68</v>
      </c>
      <c r="H80" s="134">
        <v>4.28</v>
      </c>
      <c r="I80" s="134">
        <v>2.57</v>
      </c>
      <c r="J80" s="134">
        <v>0.4</v>
      </c>
      <c r="K80" s="134">
        <v>249.96</v>
      </c>
      <c r="L80" s="134">
        <v>30.44</v>
      </c>
      <c r="M80" s="134">
        <v>65.13</v>
      </c>
      <c r="N80" s="134">
        <v>67.5</v>
      </c>
      <c r="O80" s="134">
        <v>0</v>
      </c>
      <c r="P80" s="134">
        <v>0.34</v>
      </c>
      <c r="Q80" s="134">
        <v>3.95</v>
      </c>
    </row>
    <row r="81" spans="1:17" customFormat="1">
      <c r="A81" s="112" t="s">
        <v>3093</v>
      </c>
      <c r="B81" s="134">
        <v>4.9800000000000004</v>
      </c>
      <c r="C81" s="134">
        <v>31.52</v>
      </c>
      <c r="D81" s="134">
        <v>19.420000000000002</v>
      </c>
      <c r="E81" s="134">
        <v>5.04</v>
      </c>
      <c r="F81" s="134">
        <v>8.9</v>
      </c>
      <c r="G81" s="134">
        <v>14.36</v>
      </c>
      <c r="H81" s="134">
        <v>3.83</v>
      </c>
      <c r="I81" s="134">
        <v>2.61</v>
      </c>
      <c r="J81" s="134">
        <v>0.37</v>
      </c>
      <c r="K81" s="134">
        <v>232.27</v>
      </c>
      <c r="L81" s="134">
        <v>30.23</v>
      </c>
      <c r="M81" s="134">
        <v>65.87</v>
      </c>
      <c r="N81" s="134">
        <v>53.8</v>
      </c>
      <c r="O81" s="134">
        <v>0</v>
      </c>
      <c r="P81" s="134">
        <v>0.38</v>
      </c>
      <c r="Q81" s="134">
        <v>4.09</v>
      </c>
    </row>
    <row r="82" spans="1:17" customFormat="1">
      <c r="A82" s="112" t="s">
        <v>3094</v>
      </c>
      <c r="B82" s="134">
        <v>4.96</v>
      </c>
      <c r="C82" s="134">
        <v>27.76</v>
      </c>
      <c r="D82" s="134">
        <v>17.440000000000001</v>
      </c>
      <c r="E82" s="134">
        <v>5.62</v>
      </c>
      <c r="F82" s="134">
        <v>12.96</v>
      </c>
      <c r="G82" s="134">
        <v>14.36</v>
      </c>
      <c r="H82" s="134">
        <v>3.83</v>
      </c>
      <c r="I82" s="134">
        <v>2.74</v>
      </c>
      <c r="J82" s="134">
        <v>0.47</v>
      </c>
      <c r="K82" s="134">
        <v>254.95</v>
      </c>
      <c r="L82" s="134">
        <v>29.99</v>
      </c>
      <c r="M82" s="134">
        <v>66.72</v>
      </c>
      <c r="N82" s="134">
        <v>15.9</v>
      </c>
      <c r="O82" s="134">
        <v>0</v>
      </c>
      <c r="P82" s="134">
        <v>0.37</v>
      </c>
      <c r="Q82" s="134">
        <v>4.1100000000000003</v>
      </c>
    </row>
    <row r="83" spans="1:17" customFormat="1">
      <c r="A83" s="112" t="s">
        <v>3095</v>
      </c>
      <c r="B83" s="134">
        <v>4.74</v>
      </c>
      <c r="C83" s="134">
        <v>24.38</v>
      </c>
      <c r="D83" s="134">
        <v>15.49</v>
      </c>
      <c r="E83" s="134">
        <v>6.18</v>
      </c>
      <c r="F83" s="134">
        <v>16.079999999999998</v>
      </c>
      <c r="G83" s="134">
        <v>14.36</v>
      </c>
      <c r="H83" s="134">
        <v>3.83</v>
      </c>
      <c r="I83" s="134">
        <v>2.78</v>
      </c>
      <c r="J83" s="134">
        <v>0.32</v>
      </c>
      <c r="K83" s="134">
        <v>238.97</v>
      </c>
      <c r="L83" s="134">
        <v>29.55</v>
      </c>
      <c r="M83" s="134">
        <v>68.89</v>
      </c>
      <c r="N83" s="134">
        <v>0.6</v>
      </c>
      <c r="O83" s="134">
        <v>0</v>
      </c>
      <c r="P83" s="134">
        <v>0.35</v>
      </c>
      <c r="Q83" s="134">
        <v>4.04</v>
      </c>
    </row>
    <row r="84" spans="1:17" customFormat="1">
      <c r="A84" s="112" t="s">
        <v>3096</v>
      </c>
      <c r="B84" s="134">
        <v>5.04</v>
      </c>
      <c r="C84" s="134">
        <v>27.45</v>
      </c>
      <c r="D84" s="134">
        <v>17.34</v>
      </c>
      <c r="E84" s="134">
        <v>5.84</v>
      </c>
      <c r="F84" s="134">
        <v>8.07</v>
      </c>
      <c r="G84" s="134">
        <v>12.82</v>
      </c>
      <c r="H84" s="134">
        <v>5.32</v>
      </c>
      <c r="I84" s="134">
        <v>2.69</v>
      </c>
      <c r="J84" s="134">
        <v>0.22</v>
      </c>
      <c r="K84" s="134">
        <v>241.74</v>
      </c>
      <c r="L84" s="134">
        <v>29.21</v>
      </c>
      <c r="M84" s="134">
        <v>70.319999999999993</v>
      </c>
      <c r="N84" s="134">
        <v>0</v>
      </c>
      <c r="O84" s="134">
        <v>0</v>
      </c>
      <c r="P84" s="134">
        <v>0.35</v>
      </c>
      <c r="Q84" s="134">
        <v>4.01</v>
      </c>
    </row>
    <row r="85" spans="1:17" customFormat="1">
      <c r="A85" s="112" t="s">
        <v>3097</v>
      </c>
      <c r="B85" s="134">
        <v>4.9000000000000004</v>
      </c>
      <c r="C85" s="134">
        <v>27.64</v>
      </c>
      <c r="D85" s="134">
        <v>17.329999999999998</v>
      </c>
      <c r="E85" s="134">
        <v>6.39</v>
      </c>
      <c r="F85" s="134">
        <v>14.67</v>
      </c>
      <c r="G85" s="134">
        <v>10.41</v>
      </c>
      <c r="H85" s="134">
        <v>6.71</v>
      </c>
      <c r="I85" s="134">
        <v>2.7</v>
      </c>
      <c r="J85" s="134">
        <v>0.2</v>
      </c>
      <c r="K85" s="134">
        <v>224.17</v>
      </c>
      <c r="L85" s="134">
        <v>29.02</v>
      </c>
      <c r="M85" s="134">
        <v>71.540000000000006</v>
      </c>
      <c r="N85" s="134">
        <v>0</v>
      </c>
      <c r="O85" s="134">
        <v>0</v>
      </c>
      <c r="P85" s="134">
        <v>0.39</v>
      </c>
      <c r="Q85" s="134">
        <v>4.12</v>
      </c>
    </row>
    <row r="86" spans="1:17" customFormat="1">
      <c r="A86" s="112" t="s">
        <v>3098</v>
      </c>
      <c r="B86" s="134">
        <v>4.76</v>
      </c>
      <c r="C86" s="134">
        <v>24.05</v>
      </c>
      <c r="D86" s="134">
        <v>15.34</v>
      </c>
      <c r="E86" s="134">
        <v>6.46</v>
      </c>
      <c r="F86" s="134">
        <v>16.75</v>
      </c>
      <c r="G86" s="134">
        <v>10.41</v>
      </c>
      <c r="H86" s="134">
        <v>6.71</v>
      </c>
      <c r="I86" s="134">
        <v>2.73</v>
      </c>
      <c r="J86" s="134">
        <v>0.17</v>
      </c>
      <c r="K86" s="134">
        <v>217.46</v>
      </c>
      <c r="L86" s="134">
        <v>28.8</v>
      </c>
      <c r="M86" s="134">
        <v>72.98</v>
      </c>
      <c r="N86" s="134">
        <v>0</v>
      </c>
      <c r="O86" s="134">
        <v>0</v>
      </c>
      <c r="P86" s="134">
        <v>0.39</v>
      </c>
      <c r="Q86" s="134">
        <v>4.0999999999999996</v>
      </c>
    </row>
    <row r="87" spans="1:17" customFormat="1">
      <c r="A87" s="112" t="s">
        <v>3099</v>
      </c>
      <c r="B87" s="134">
        <v>4.4400000000000004</v>
      </c>
      <c r="C87" s="134">
        <v>21.82</v>
      </c>
      <c r="D87" s="134">
        <v>13.92</v>
      </c>
      <c r="E87" s="134">
        <v>6.71</v>
      </c>
      <c r="F87" s="134">
        <v>19.690000000000001</v>
      </c>
      <c r="G87" s="134">
        <v>10.41</v>
      </c>
      <c r="H87" s="134">
        <v>6.71</v>
      </c>
      <c r="I87" s="134">
        <v>2.76</v>
      </c>
      <c r="J87" s="134">
        <v>0.14000000000000001</v>
      </c>
      <c r="K87" s="134">
        <v>239.29</v>
      </c>
      <c r="L87" s="134">
        <v>28.57</v>
      </c>
      <c r="M87" s="134">
        <v>74.06</v>
      </c>
      <c r="N87" s="134">
        <v>0</v>
      </c>
      <c r="O87" s="134">
        <v>0</v>
      </c>
      <c r="P87" s="134">
        <v>0.38</v>
      </c>
      <c r="Q87" s="134">
        <v>4.05</v>
      </c>
    </row>
    <row r="88" spans="1:17" customFormat="1">
      <c r="A88" s="112" t="s">
        <v>3100</v>
      </c>
      <c r="B88" s="134">
        <v>4.49</v>
      </c>
      <c r="C88" s="134">
        <v>22.36</v>
      </c>
      <c r="D88" s="134">
        <v>14.24</v>
      </c>
      <c r="E88" s="134">
        <v>6.82</v>
      </c>
      <c r="F88" s="134">
        <v>15.07</v>
      </c>
      <c r="G88" s="134">
        <v>14</v>
      </c>
      <c r="H88" s="134">
        <v>6.8</v>
      </c>
      <c r="I88" s="134">
        <v>2.73</v>
      </c>
      <c r="J88" s="134">
        <v>0.17</v>
      </c>
      <c r="K88" s="134">
        <v>226.1</v>
      </c>
      <c r="L88" s="134">
        <v>28.46</v>
      </c>
      <c r="M88" s="134">
        <v>74.62</v>
      </c>
      <c r="N88" s="134">
        <v>0</v>
      </c>
      <c r="O88" s="134">
        <v>0</v>
      </c>
      <c r="P88" s="134">
        <v>0.38</v>
      </c>
      <c r="Q88" s="134">
        <v>4.03</v>
      </c>
    </row>
    <row r="89" spans="1:17" customFormat="1">
      <c r="A89" s="112" t="s">
        <v>3101</v>
      </c>
      <c r="B89" s="134">
        <v>5.44</v>
      </c>
      <c r="C89" s="134">
        <v>31.18</v>
      </c>
      <c r="D89" s="134">
        <v>19.600000000000001</v>
      </c>
      <c r="E89" s="134">
        <v>6.69</v>
      </c>
      <c r="F89" s="134">
        <v>7.55</v>
      </c>
      <c r="G89" s="134">
        <v>19.63</v>
      </c>
      <c r="H89" s="134">
        <v>6.88</v>
      </c>
      <c r="I89" s="134">
        <v>2.89</v>
      </c>
      <c r="J89" s="134">
        <v>0.12</v>
      </c>
      <c r="K89" s="134">
        <v>197.9</v>
      </c>
      <c r="L89" s="134">
        <v>28.23</v>
      </c>
      <c r="M89" s="134">
        <v>76.17</v>
      </c>
      <c r="N89" s="134">
        <v>0</v>
      </c>
      <c r="O89" s="134">
        <v>0</v>
      </c>
      <c r="P89" s="134">
        <v>0.39</v>
      </c>
      <c r="Q89" s="134">
        <v>4.1399999999999997</v>
      </c>
    </row>
    <row r="90" spans="1:17" customFormat="1">
      <c r="A90" s="112" t="s">
        <v>3102</v>
      </c>
      <c r="B90" s="134">
        <v>5.14</v>
      </c>
      <c r="C90" s="134">
        <v>26.82</v>
      </c>
      <c r="D90" s="134">
        <v>17.09</v>
      </c>
      <c r="E90" s="134">
        <v>6.89</v>
      </c>
      <c r="F90" s="134">
        <v>14.78</v>
      </c>
      <c r="G90" s="134">
        <v>19.63</v>
      </c>
      <c r="H90" s="134">
        <v>6.88</v>
      </c>
      <c r="I90" s="134">
        <v>3.08</v>
      </c>
      <c r="J90" s="134">
        <v>0.13</v>
      </c>
      <c r="K90" s="134">
        <v>213.74</v>
      </c>
      <c r="L90" s="134">
        <v>28.18</v>
      </c>
      <c r="M90" s="134">
        <v>76.180000000000007</v>
      </c>
      <c r="N90" s="134">
        <v>0</v>
      </c>
      <c r="O90" s="134">
        <v>0</v>
      </c>
      <c r="P90" s="134">
        <v>0.4</v>
      </c>
      <c r="Q90" s="134">
        <v>4.21</v>
      </c>
    </row>
    <row r="91" spans="1:17" customFormat="1">
      <c r="A91" s="112" t="s">
        <v>3103</v>
      </c>
      <c r="B91" s="134">
        <v>4.75</v>
      </c>
      <c r="C91" s="134">
        <v>23.11</v>
      </c>
      <c r="D91" s="134">
        <v>14.83</v>
      </c>
      <c r="E91" s="134">
        <v>6.96</v>
      </c>
      <c r="F91" s="134">
        <v>18.11</v>
      </c>
      <c r="G91" s="134">
        <v>19.63</v>
      </c>
      <c r="H91" s="134">
        <v>6.88</v>
      </c>
      <c r="I91" s="134">
        <v>2.99</v>
      </c>
      <c r="J91" s="134">
        <v>0.08</v>
      </c>
      <c r="K91" s="134">
        <v>232.85</v>
      </c>
      <c r="L91" s="134">
        <v>28.12</v>
      </c>
      <c r="M91" s="134">
        <v>76.42</v>
      </c>
      <c r="N91" s="134">
        <v>0</v>
      </c>
      <c r="O91" s="134">
        <v>0</v>
      </c>
      <c r="P91" s="134">
        <v>0.4</v>
      </c>
      <c r="Q91" s="134">
        <v>4.16</v>
      </c>
    </row>
    <row r="92" spans="1:17" customFormat="1">
      <c r="A92" s="112" t="s">
        <v>3104</v>
      </c>
      <c r="B92" s="134">
        <v>4.8</v>
      </c>
      <c r="C92" s="134">
        <v>22.83</v>
      </c>
      <c r="D92" s="134">
        <v>14.73</v>
      </c>
      <c r="E92" s="134">
        <v>7.09</v>
      </c>
      <c r="F92" s="134">
        <v>14.38</v>
      </c>
      <c r="G92" s="134">
        <v>17.93</v>
      </c>
      <c r="H92" s="134">
        <v>6.74</v>
      </c>
      <c r="I92" s="134">
        <v>2.75</v>
      </c>
      <c r="J92" s="134">
        <v>0.16</v>
      </c>
      <c r="K92" s="134">
        <v>167.2</v>
      </c>
      <c r="L92" s="134">
        <v>28.08</v>
      </c>
      <c r="M92" s="134">
        <v>77.39</v>
      </c>
      <c r="N92" s="134">
        <v>0</v>
      </c>
      <c r="O92" s="134">
        <v>0</v>
      </c>
      <c r="P92" s="134">
        <v>0.39</v>
      </c>
      <c r="Q92" s="134">
        <v>4.0999999999999996</v>
      </c>
    </row>
    <row r="93" spans="1:17" customFormat="1">
      <c r="A93" s="112" t="s">
        <v>3105</v>
      </c>
      <c r="B93" s="134">
        <v>6.23</v>
      </c>
      <c r="C93" s="134">
        <v>32.200000000000003</v>
      </c>
      <c r="D93" s="134">
        <v>20.78</v>
      </c>
      <c r="E93" s="134">
        <v>7.53</v>
      </c>
      <c r="F93" s="134">
        <v>4.41</v>
      </c>
      <c r="G93" s="134">
        <v>15.25</v>
      </c>
      <c r="H93" s="134">
        <v>6.61</v>
      </c>
      <c r="I93" s="134">
        <v>2.74</v>
      </c>
      <c r="J93" s="134">
        <v>0.2</v>
      </c>
      <c r="K93" s="134">
        <v>151.88</v>
      </c>
      <c r="L93" s="134">
        <v>27.77</v>
      </c>
      <c r="M93" s="134">
        <v>81.96</v>
      </c>
      <c r="N93" s="134">
        <v>0</v>
      </c>
      <c r="O93" s="134">
        <v>0</v>
      </c>
      <c r="P93" s="134">
        <v>0.41</v>
      </c>
      <c r="Q93" s="134">
        <v>4.18</v>
      </c>
    </row>
    <row r="94" spans="1:17" customFormat="1">
      <c r="A94" s="112" t="s">
        <v>3106</v>
      </c>
      <c r="B94" s="134">
        <v>6.01</v>
      </c>
      <c r="C94" s="134">
        <v>28.98</v>
      </c>
      <c r="D94" s="134">
        <v>18.920000000000002</v>
      </c>
      <c r="E94" s="134">
        <v>7.31</v>
      </c>
      <c r="F94" s="134">
        <v>8.81</v>
      </c>
      <c r="G94" s="134">
        <v>15.25</v>
      </c>
      <c r="H94" s="134">
        <v>6.61</v>
      </c>
      <c r="I94" s="134">
        <v>3.05</v>
      </c>
      <c r="J94" s="134">
        <v>0.14000000000000001</v>
      </c>
      <c r="K94" s="134">
        <v>156.88999999999999</v>
      </c>
      <c r="L94" s="134">
        <v>27.49</v>
      </c>
      <c r="M94" s="134">
        <v>83.6</v>
      </c>
      <c r="N94" s="134">
        <v>0</v>
      </c>
      <c r="O94" s="134">
        <v>0</v>
      </c>
      <c r="P94" s="134">
        <v>0.43</v>
      </c>
      <c r="Q94" s="134">
        <v>4.24</v>
      </c>
    </row>
    <row r="95" spans="1:17" customFormat="1">
      <c r="A95" s="80">
        <v>45107.90625</v>
      </c>
      <c r="B95" s="134">
        <v>5.84</v>
      </c>
      <c r="C95" s="134">
        <v>24.29</v>
      </c>
      <c r="D95" s="134">
        <v>16.329999999999998</v>
      </c>
      <c r="E95" s="134">
        <v>6.58</v>
      </c>
      <c r="F95" s="134">
        <v>10.81</v>
      </c>
      <c r="G95" s="134">
        <v>15.25</v>
      </c>
      <c r="H95" s="134">
        <v>6.61</v>
      </c>
      <c r="I95" s="134">
        <v>3.19</v>
      </c>
      <c r="J95" s="134">
        <v>0.13</v>
      </c>
      <c r="K95" s="134">
        <v>134.66999999999999</v>
      </c>
      <c r="L95" s="134">
        <v>27.44</v>
      </c>
      <c r="M95" s="134">
        <v>85.41</v>
      </c>
      <c r="N95" s="134">
        <v>0</v>
      </c>
      <c r="O95" s="134">
        <v>0</v>
      </c>
      <c r="P95" s="134">
        <v>0.44</v>
      </c>
      <c r="Q95" s="134">
        <v>4.18</v>
      </c>
    </row>
    <row r="96" spans="1:17" customFormat="1">
      <c r="A96" s="112" t="s">
        <v>3107</v>
      </c>
      <c r="B96" s="134">
        <v>6.38</v>
      </c>
      <c r="C96" s="134">
        <v>26.29</v>
      </c>
      <c r="D96" s="134">
        <v>17.8</v>
      </c>
      <c r="E96" s="134">
        <v>6.65</v>
      </c>
      <c r="F96" s="134">
        <v>7</v>
      </c>
      <c r="G96" s="134">
        <v>16.22</v>
      </c>
      <c r="H96" s="134">
        <v>6.07</v>
      </c>
      <c r="I96" s="134">
        <v>3.05</v>
      </c>
      <c r="J96" s="134">
        <v>0.11</v>
      </c>
      <c r="K96" s="134">
        <v>170.13</v>
      </c>
      <c r="L96" s="134">
        <v>27.55</v>
      </c>
      <c r="M96" s="134">
        <v>83.63</v>
      </c>
      <c r="N96" s="134">
        <v>0</v>
      </c>
      <c r="O96" s="134">
        <v>0</v>
      </c>
      <c r="P96" s="134">
        <v>0.42</v>
      </c>
      <c r="Q96" s="134">
        <v>4.1500000000000004</v>
      </c>
    </row>
    <row r="97" spans="1:22" customFormat="1">
      <c r="A97" s="112" t="s">
        <v>3108</v>
      </c>
      <c r="B97" s="134">
        <v>7.52</v>
      </c>
      <c r="C97" s="134">
        <v>33.64</v>
      </c>
      <c r="D97" s="134">
        <v>22.56</v>
      </c>
      <c r="E97" s="134">
        <v>7.26</v>
      </c>
      <c r="F97" s="134">
        <v>4.17</v>
      </c>
      <c r="G97" s="134">
        <v>17.75</v>
      </c>
      <c r="H97" s="134">
        <v>5.57</v>
      </c>
      <c r="I97" s="134">
        <v>3.15</v>
      </c>
      <c r="J97" s="134">
        <v>0.15</v>
      </c>
      <c r="K97" s="134">
        <v>166.41</v>
      </c>
      <c r="L97" s="134">
        <v>27.53</v>
      </c>
      <c r="M97" s="134">
        <v>82.7</v>
      </c>
      <c r="N97" s="134">
        <v>0</v>
      </c>
      <c r="O97" s="134">
        <v>0</v>
      </c>
      <c r="P97" s="134">
        <v>0.46</v>
      </c>
      <c r="Q97" s="134">
        <v>4.28</v>
      </c>
    </row>
    <row r="98" spans="1:22" customFormat="1">
      <c r="A98" s="112" t="s">
        <v>3109</v>
      </c>
      <c r="B98" s="134">
        <v>7.12</v>
      </c>
      <c r="C98" s="134">
        <v>28.33</v>
      </c>
      <c r="D98" s="134">
        <v>19.46</v>
      </c>
      <c r="E98" s="134">
        <v>6.68</v>
      </c>
      <c r="F98" s="134">
        <v>7.37</v>
      </c>
      <c r="G98" s="134">
        <v>17.75</v>
      </c>
      <c r="H98" s="134">
        <v>5.57</v>
      </c>
      <c r="I98" s="134">
        <v>3.42</v>
      </c>
      <c r="J98" s="134">
        <v>0.1</v>
      </c>
      <c r="K98" s="134">
        <v>147.80000000000001</v>
      </c>
      <c r="L98" s="134">
        <v>27.43</v>
      </c>
      <c r="M98" s="134">
        <v>84.71</v>
      </c>
      <c r="N98" s="134">
        <v>0</v>
      </c>
      <c r="O98" s="134">
        <v>0</v>
      </c>
      <c r="P98" s="134">
        <v>0.45</v>
      </c>
      <c r="Q98" s="134">
        <v>4.32</v>
      </c>
    </row>
    <row r="99" spans="1:22" customFormat="1">
      <c r="A99" s="112" t="s">
        <v>3110</v>
      </c>
      <c r="B99" s="134">
        <v>6.77</v>
      </c>
      <c r="C99" s="134">
        <v>24.91</v>
      </c>
      <c r="D99" s="134">
        <v>17.399999999999999</v>
      </c>
      <c r="E99" s="134">
        <v>6.48</v>
      </c>
      <c r="F99" s="134">
        <v>9.67</v>
      </c>
      <c r="G99" s="134">
        <v>17.75</v>
      </c>
      <c r="H99" s="134">
        <v>5.57</v>
      </c>
      <c r="I99" s="134">
        <v>3.54</v>
      </c>
      <c r="J99" s="134">
        <v>0.11</v>
      </c>
      <c r="K99" s="134">
        <v>128.97999999999999</v>
      </c>
      <c r="L99" s="134">
        <v>27.39</v>
      </c>
      <c r="M99" s="134">
        <v>84.33</v>
      </c>
      <c r="N99" s="134">
        <v>0</v>
      </c>
      <c r="O99" s="134">
        <v>0</v>
      </c>
      <c r="P99" s="134">
        <v>0.47</v>
      </c>
      <c r="Q99" s="134">
        <v>4.26</v>
      </c>
    </row>
    <row r="100" spans="1:22" customFormat="1">
      <c r="A100" s="112" t="s">
        <v>3111</v>
      </c>
      <c r="B100" s="134">
        <v>7.68</v>
      </c>
      <c r="C100" s="134">
        <v>28.53</v>
      </c>
      <c r="D100" s="134">
        <v>20.02</v>
      </c>
      <c r="E100" s="134">
        <v>6.49</v>
      </c>
      <c r="F100" s="134">
        <v>5.89</v>
      </c>
      <c r="G100" s="134">
        <v>20.02</v>
      </c>
      <c r="H100" s="134">
        <v>6.49</v>
      </c>
      <c r="I100" s="134">
        <v>3.57</v>
      </c>
      <c r="J100" s="134">
        <v>0.16</v>
      </c>
      <c r="K100" s="134">
        <v>157.18</v>
      </c>
      <c r="L100" s="134">
        <v>27.46</v>
      </c>
      <c r="M100" s="134">
        <v>83.73</v>
      </c>
      <c r="N100" s="134">
        <v>0</v>
      </c>
      <c r="O100" s="134">
        <v>0</v>
      </c>
      <c r="P100" s="134">
        <v>0.44</v>
      </c>
      <c r="Q100" s="134">
        <v>4.25</v>
      </c>
    </row>
    <row r="101" spans="1:22" customFormat="1">
      <c r="A101" s="112" t="s">
        <v>3112</v>
      </c>
      <c r="B101" s="134">
        <v>8.61</v>
      </c>
      <c r="C101" s="134">
        <v>33.56</v>
      </c>
      <c r="D101" s="134">
        <v>23.39</v>
      </c>
      <c r="E101" s="134">
        <v>7.06</v>
      </c>
      <c r="F101" s="134">
        <v>4.4800000000000004</v>
      </c>
      <c r="G101" s="134">
        <v>23.58</v>
      </c>
      <c r="H101" s="134">
        <v>7.36</v>
      </c>
      <c r="I101" s="134">
        <v>3.65</v>
      </c>
      <c r="J101" s="134">
        <v>0.09</v>
      </c>
      <c r="K101" s="134">
        <v>162.02000000000001</v>
      </c>
      <c r="L101" s="134">
        <v>27.44</v>
      </c>
      <c r="M101" s="134">
        <v>84.81</v>
      </c>
      <c r="N101" s="134">
        <v>0</v>
      </c>
      <c r="O101" s="134">
        <v>0</v>
      </c>
      <c r="P101" s="134">
        <v>0.49</v>
      </c>
      <c r="Q101" s="134">
        <v>4.4000000000000004</v>
      </c>
    </row>
    <row r="102" spans="1:22" customFormat="1">
      <c r="A102" s="112" t="s">
        <v>3113</v>
      </c>
      <c r="B102" s="134">
        <v>7.96</v>
      </c>
      <c r="C102" s="134">
        <v>27.33</v>
      </c>
      <c r="D102" s="134">
        <v>19.62</v>
      </c>
      <c r="E102" s="134">
        <v>6.77</v>
      </c>
      <c r="F102" s="134">
        <v>7.13</v>
      </c>
      <c r="G102" s="134">
        <v>23.58</v>
      </c>
      <c r="H102" s="134">
        <v>7.36</v>
      </c>
      <c r="I102" s="134">
        <v>3.8</v>
      </c>
      <c r="J102" s="134">
        <v>0.13</v>
      </c>
      <c r="K102" s="134">
        <v>193.07</v>
      </c>
      <c r="L102" s="134">
        <v>27.4</v>
      </c>
      <c r="M102" s="134">
        <v>84.32</v>
      </c>
      <c r="N102" s="134">
        <v>0</v>
      </c>
      <c r="O102" s="134">
        <v>0</v>
      </c>
      <c r="P102" s="134">
        <v>0.45</v>
      </c>
      <c r="Q102" s="134">
        <v>4.3899999999999997</v>
      </c>
    </row>
    <row r="103" spans="1:22" customFormat="1">
      <c r="A103" s="112" t="s">
        <v>3114</v>
      </c>
      <c r="B103" s="134">
        <v>8.66</v>
      </c>
      <c r="C103" s="134">
        <v>27.76</v>
      </c>
      <c r="D103" s="134">
        <v>20.41</v>
      </c>
      <c r="E103" s="134">
        <v>6.89</v>
      </c>
      <c r="F103" s="134">
        <v>5.65</v>
      </c>
      <c r="G103" s="134">
        <v>23.58</v>
      </c>
      <c r="H103" s="134">
        <v>7.36</v>
      </c>
      <c r="I103" s="134">
        <v>3.71</v>
      </c>
      <c r="J103" s="134">
        <v>0.13</v>
      </c>
      <c r="K103" s="134">
        <v>222.71</v>
      </c>
      <c r="L103" s="134">
        <v>27.31</v>
      </c>
      <c r="M103" s="134">
        <v>85.81</v>
      </c>
      <c r="N103" s="134">
        <v>0</v>
      </c>
      <c r="O103" s="134">
        <v>0</v>
      </c>
      <c r="P103" s="134">
        <v>0.44</v>
      </c>
      <c r="Q103" s="134">
        <v>4.33</v>
      </c>
    </row>
    <row r="104" spans="1:22" customFormat="1">
      <c r="A104" s="112" t="s">
        <v>3115</v>
      </c>
      <c r="B104" s="134">
        <v>9</v>
      </c>
      <c r="C104" s="134">
        <v>30.72</v>
      </c>
      <c r="D104" s="134">
        <v>22.22</v>
      </c>
      <c r="E104" s="134">
        <v>7.24</v>
      </c>
      <c r="F104" s="134">
        <v>6.14</v>
      </c>
      <c r="G104" s="134">
        <v>24.23</v>
      </c>
      <c r="H104" s="134">
        <v>7.3</v>
      </c>
      <c r="I104" s="134">
        <v>3.52</v>
      </c>
      <c r="J104" s="134">
        <v>0.12</v>
      </c>
      <c r="K104" s="134">
        <v>203.38</v>
      </c>
      <c r="L104" s="134">
        <v>27.38</v>
      </c>
      <c r="M104" s="134">
        <v>84.08</v>
      </c>
      <c r="N104" s="134">
        <v>0</v>
      </c>
      <c r="O104" s="134">
        <v>0</v>
      </c>
      <c r="P104" s="134">
        <v>0.46</v>
      </c>
      <c r="Q104" s="134">
        <v>4.3899999999999997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4.17</v>
      </c>
      <c r="C106" s="183">
        <f>MIN(C9:C104)</f>
        <v>21.82</v>
      </c>
      <c r="D106" s="183">
        <f t="shared" ref="D106:Q106" si="0">MIN(D9:D104)</f>
        <v>13.92</v>
      </c>
      <c r="E106" s="183">
        <f t="shared" si="0"/>
        <v>3.97</v>
      </c>
      <c r="F106" s="183">
        <f t="shared" si="0"/>
        <v>2.4500000000000002</v>
      </c>
      <c r="G106" s="183">
        <f t="shared" si="0"/>
        <v>7.23</v>
      </c>
      <c r="H106" s="183">
        <f t="shared" si="0"/>
        <v>3.09</v>
      </c>
      <c r="I106" s="183">
        <f t="shared" si="0"/>
        <v>2.54</v>
      </c>
      <c r="J106" s="183">
        <f t="shared" si="0"/>
        <v>0.08</v>
      </c>
      <c r="K106" s="183">
        <f t="shared" si="0"/>
        <v>128.97999999999999</v>
      </c>
      <c r="L106" s="183">
        <f t="shared" si="0"/>
        <v>26.04</v>
      </c>
      <c r="M106" s="183">
        <f t="shared" si="0"/>
        <v>58.2</v>
      </c>
      <c r="N106" s="183">
        <f t="shared" si="0"/>
        <v>0</v>
      </c>
      <c r="O106" s="183">
        <f t="shared" si="0"/>
        <v>0</v>
      </c>
      <c r="P106" s="183">
        <f t="shared" si="0"/>
        <v>0.31</v>
      </c>
      <c r="Q106" s="183">
        <f t="shared" si="0"/>
        <v>3.93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13.89</v>
      </c>
      <c r="C107" s="184">
        <f t="shared" ref="C107:Q107" si="1">MAX(C9:C104)</f>
        <v>37.75</v>
      </c>
      <c r="D107" s="184">
        <f t="shared" si="1"/>
        <v>29.82</v>
      </c>
      <c r="E107" s="184">
        <f t="shared" si="1"/>
        <v>7.53</v>
      </c>
      <c r="F107" s="184">
        <f t="shared" si="1"/>
        <v>19.690000000000001</v>
      </c>
      <c r="G107" s="184">
        <f t="shared" si="1"/>
        <v>24.23</v>
      </c>
      <c r="H107" s="184">
        <f t="shared" si="1"/>
        <v>7.36</v>
      </c>
      <c r="I107" s="184">
        <f t="shared" si="1"/>
        <v>3.8</v>
      </c>
      <c r="J107" s="184">
        <f t="shared" si="1"/>
        <v>1.37</v>
      </c>
      <c r="K107" s="184">
        <f t="shared" si="1"/>
        <v>281.16000000000003</v>
      </c>
      <c r="L107" s="184">
        <f t="shared" si="1"/>
        <v>32.07</v>
      </c>
      <c r="M107" s="184">
        <f t="shared" si="1"/>
        <v>88.73</v>
      </c>
      <c r="N107" s="184">
        <f t="shared" si="1"/>
        <v>587.6</v>
      </c>
      <c r="O107" s="184">
        <f t="shared" si="1"/>
        <v>0</v>
      </c>
      <c r="P107" s="184">
        <f t="shared" si="1"/>
        <v>0.49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8.4026041666666682</v>
      </c>
      <c r="C108" s="183">
        <f t="shared" ref="C108:Q108" si="2">AVERAGE(C9:C104)</f>
        <v>29.861354166666661</v>
      </c>
      <c r="D108" s="183">
        <f t="shared" si="2"/>
        <v>21.294895833333328</v>
      </c>
      <c r="E108" s="183">
        <f t="shared" si="2"/>
        <v>5.6169791666666633</v>
      </c>
      <c r="F108" s="183">
        <f t="shared" si="2"/>
        <v>6.9332291666666634</v>
      </c>
      <c r="G108" s="183">
        <f t="shared" si="2"/>
        <v>12.33010416666666</v>
      </c>
      <c r="H108" s="183">
        <f t="shared" si="2"/>
        <v>4.9320833333333329</v>
      </c>
      <c r="I108" s="183">
        <f t="shared" si="2"/>
        <v>3.051458333333334</v>
      </c>
      <c r="J108" s="183">
        <f t="shared" si="2"/>
        <v>0.54927083333333326</v>
      </c>
      <c r="K108" s="183">
        <f t="shared" si="2"/>
        <v>235.68770833333335</v>
      </c>
      <c r="L108" s="183">
        <f t="shared" si="2"/>
        <v>28.748333333333338</v>
      </c>
      <c r="M108" s="183">
        <f t="shared" si="2"/>
        <v>73.980312499999997</v>
      </c>
      <c r="N108" s="183">
        <f t="shared" si="2"/>
        <v>127.75</v>
      </c>
      <c r="O108" s="183">
        <f t="shared" si="2"/>
        <v>0</v>
      </c>
      <c r="P108" s="183">
        <f t="shared" si="2"/>
        <v>0.38572916666666668</v>
      </c>
      <c r="Q108" s="183">
        <f t="shared" si="2"/>
        <v>4.2807291666666645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2.8575098636074761</v>
      </c>
      <c r="C109" s="183">
        <f t="shared" ref="C109:Q109" si="3">STDEV(C9:C104)</f>
        <v>3.5632509165505639</v>
      </c>
      <c r="D109" s="183">
        <f t="shared" si="3"/>
        <v>3.7980216442363912</v>
      </c>
      <c r="E109" s="183">
        <f t="shared" si="3"/>
        <v>0.89228284374723954</v>
      </c>
      <c r="F109" s="183">
        <f t="shared" si="3"/>
        <v>3.8084934152888179</v>
      </c>
      <c r="G109" s="183">
        <f t="shared" si="3"/>
        <v>3.7807697614421438</v>
      </c>
      <c r="H109" s="183">
        <f t="shared" si="3"/>
        <v>1.1836019215817211</v>
      </c>
      <c r="I109" s="183">
        <f t="shared" si="3"/>
        <v>0.29305641334649191</v>
      </c>
      <c r="J109" s="183">
        <f t="shared" si="3"/>
        <v>0.35618813713413822</v>
      </c>
      <c r="K109" s="183">
        <f t="shared" si="3"/>
        <v>33.356757809101708</v>
      </c>
      <c r="L109" s="183">
        <f t="shared" si="3"/>
        <v>1.6187803509311898</v>
      </c>
      <c r="M109" s="183">
        <f t="shared" si="3"/>
        <v>8.8441192418733809</v>
      </c>
      <c r="N109" s="183">
        <f t="shared" si="3"/>
        <v>162.57552220753476</v>
      </c>
      <c r="O109" s="183">
        <f t="shared" si="3"/>
        <v>0</v>
      </c>
      <c r="P109" s="183">
        <f t="shared" si="3"/>
        <v>3.7324883520576654E-2</v>
      </c>
      <c r="Q109" s="183">
        <f t="shared" si="3"/>
        <v>0.19301074304255328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54"/>
  <sheetViews>
    <sheetView tabSelected="1" zoomScale="85" zoomScaleNormal="85" workbookViewId="0">
      <pane xSplit="1" ySplit="8" topLeftCell="B21" activePane="bottomRight" state="frozen"/>
      <selection pane="topRight"/>
      <selection pane="bottomLeft"/>
      <selection pane="bottomRight" activeCell="M33" sqref="M33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 t="str">
        <f>$A$9</f>
        <v>01/06/2023 00:15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 t="str">
        <f>'01'!$B$2</f>
        <v>01/06/2023 00:15</v>
      </c>
      <c r="B9" s="95">
        <f>'01'!B108</f>
        <v>23.6840625</v>
      </c>
      <c r="C9" s="95">
        <f>'01'!C108</f>
        <v>60.581041666666636</v>
      </c>
      <c r="D9" s="95">
        <f>'01'!D108</f>
        <v>49.613125000000018</v>
      </c>
      <c r="E9" s="95">
        <f>'01'!E108</f>
        <v>12.975729166666667</v>
      </c>
      <c r="F9" s="95">
        <f>'01'!F108</f>
        <v>16.13604166666666</v>
      </c>
      <c r="G9" s="95">
        <f>'01'!G108</f>
        <v>95.376874999999941</v>
      </c>
      <c r="H9" s="95">
        <f>'01'!H108</f>
        <v>29.211041666666691</v>
      </c>
      <c r="I9" s="95">
        <f>'01'!I108</f>
        <v>7.0731250000000019</v>
      </c>
      <c r="J9" s="95">
        <f>'01'!J108</f>
        <v>0.49927083333333316</v>
      </c>
      <c r="K9" s="95">
        <f>'01'!K108</f>
        <v>124.95114583333337</v>
      </c>
      <c r="L9" s="95">
        <f>'01'!L108</f>
        <v>34.956041666666657</v>
      </c>
      <c r="M9" s="95">
        <f>'01'!M108</f>
        <v>26.625208333333308</v>
      </c>
      <c r="N9" s="95">
        <f>'01'!N108</f>
        <v>165.55104166666661</v>
      </c>
      <c r="O9" s="95">
        <f>'01'!O108</f>
        <v>0</v>
      </c>
      <c r="P9" s="95">
        <f>'01'!P108</f>
        <v>0.75614583333333341</v>
      </c>
      <c r="Q9" s="95">
        <f>'01'!Q108</f>
        <v>5.987395833333335</v>
      </c>
      <c r="R9" s="160"/>
      <c r="S9" s="160"/>
      <c r="T9" s="160"/>
      <c r="U9" s="160"/>
    </row>
    <row r="10" spans="1:21">
      <c r="A10" s="157" t="str">
        <f>'02'!$B$2</f>
        <v>02/06/2023 00:15</v>
      </c>
      <c r="B10" s="95">
        <f>'02'!B108</f>
        <v>26.498020833333339</v>
      </c>
      <c r="C10" s="95">
        <f>'02'!C108</f>
        <v>56.971875000000011</v>
      </c>
      <c r="D10" s="95">
        <f>'02'!D108</f>
        <v>49.976666666666688</v>
      </c>
      <c r="E10" s="95">
        <f>'02'!E108</f>
        <v>18.537500000000005</v>
      </c>
      <c r="F10" s="95">
        <f>'02'!F108</f>
        <v>21.104687500000001</v>
      </c>
      <c r="G10" s="95">
        <f>'02'!G108</f>
        <v>97.784583333333288</v>
      </c>
      <c r="H10" s="95">
        <f>'02'!H108</f>
        <v>41.881041666666675</v>
      </c>
      <c r="I10" s="95">
        <f>'02'!I108</f>
        <v>8.0246875000000042</v>
      </c>
      <c r="J10" s="95">
        <f>'02'!J108</f>
        <v>0.39802083333333332</v>
      </c>
      <c r="K10" s="95">
        <f>'02'!K108</f>
        <v>217.7401041666667</v>
      </c>
      <c r="L10" s="95">
        <f>'02'!L108</f>
        <v>35.684062499999996</v>
      </c>
      <c r="M10" s="95">
        <f>'02'!M108</f>
        <v>22.916666666666661</v>
      </c>
      <c r="N10" s="95">
        <f>'02'!N108</f>
        <v>135.52395833333333</v>
      </c>
      <c r="O10" s="95">
        <f>'02'!O108</f>
        <v>0</v>
      </c>
      <c r="P10" s="95">
        <f>'02'!P108</f>
        <v>0.79822916666666632</v>
      </c>
      <c r="Q10" s="95">
        <f>'02'!Q108</f>
        <v>6.012291666666667</v>
      </c>
      <c r="R10" s="160"/>
      <c r="S10" s="160"/>
      <c r="T10" s="160"/>
      <c r="U10" s="160"/>
    </row>
    <row r="11" spans="1:21">
      <c r="A11" s="157" t="str">
        <f>'03'!$B$2</f>
        <v>03/06/2023 00:15</v>
      </c>
      <c r="B11" s="95">
        <f>'03'!B108</f>
        <v>21.258437500000003</v>
      </c>
      <c r="C11" s="95">
        <f>'03'!C108</f>
        <v>58.945416666666688</v>
      </c>
      <c r="D11" s="95">
        <f>'03'!D108</f>
        <v>46.873749999999994</v>
      </c>
      <c r="E11" s="95">
        <f>'03'!E108</f>
        <v>18.759687499999995</v>
      </c>
      <c r="F11" s="95">
        <f>'03'!F108</f>
        <v>20.415416666666662</v>
      </c>
      <c r="G11" s="95">
        <f>'03'!G108</f>
        <v>91.154895833333327</v>
      </c>
      <c r="H11" s="95">
        <f>'03'!H108</f>
        <v>38.167291666666664</v>
      </c>
      <c r="I11" s="95">
        <f>'03'!I108</f>
        <v>7.5258333333333338</v>
      </c>
      <c r="J11" s="95">
        <f>'03'!J108</f>
        <v>0.43177083333333299</v>
      </c>
      <c r="K11" s="95">
        <f>'03'!K108</f>
        <v>134.79666666666671</v>
      </c>
      <c r="L11" s="95">
        <f>'03'!L108</f>
        <v>34.534479166666657</v>
      </c>
      <c r="M11" s="95">
        <f>'03'!M108</f>
        <v>30.061145833333338</v>
      </c>
      <c r="N11" s="95">
        <f>'03'!N108</f>
        <v>106.48645833333336</v>
      </c>
      <c r="O11" s="95">
        <f>'03'!O108</f>
        <v>0</v>
      </c>
      <c r="P11" s="95">
        <f>'03'!P108</f>
        <v>0.82125000000000004</v>
      </c>
      <c r="Q11" s="95">
        <f>'03'!Q108</f>
        <v>5.7961458333333331</v>
      </c>
      <c r="R11" s="160"/>
      <c r="S11" s="160"/>
      <c r="T11" s="160"/>
      <c r="U11" s="160"/>
    </row>
    <row r="12" spans="1:21">
      <c r="A12" s="157" t="str">
        <f>'04'!$B$2</f>
        <v>04/06/2023 00:15</v>
      </c>
      <c r="B12" s="95">
        <f>'04'!B108</f>
        <v>18.39447916666667</v>
      </c>
      <c r="C12" s="95">
        <f>'04'!C108</f>
        <v>55.869166666666672</v>
      </c>
      <c r="D12" s="95">
        <f>'04'!D108</f>
        <v>42.899270833333333</v>
      </c>
      <c r="E12" s="95">
        <f>'04'!E108</f>
        <v>21.278854166666658</v>
      </c>
      <c r="F12" s="95">
        <f>'04'!F108</f>
        <v>26.086562500000003</v>
      </c>
      <c r="G12" s="95">
        <f>'04'!G108</f>
        <v>85.392916666666693</v>
      </c>
      <c r="H12" s="95">
        <f>'04'!H108</f>
        <v>55.307708333333302</v>
      </c>
      <c r="I12" s="95">
        <f>'04'!I108</f>
        <v>7.5971875000000049</v>
      </c>
      <c r="J12" s="95">
        <f>'04'!J108</f>
        <v>0.54500000000000004</v>
      </c>
      <c r="K12" s="95">
        <f>'04'!K108</f>
        <v>171.01822916666663</v>
      </c>
      <c r="L12" s="95">
        <f>'04'!L108</f>
        <v>34.786145833333336</v>
      </c>
      <c r="M12" s="95">
        <f>'04'!M108</f>
        <v>31.761145833333334</v>
      </c>
      <c r="N12" s="95">
        <f>'04'!N108</f>
        <v>159.20520833333333</v>
      </c>
      <c r="O12" s="95">
        <f>'04'!O108</f>
        <v>0</v>
      </c>
      <c r="P12" s="95">
        <f>'04'!P108</f>
        <v>0.7963541666666667</v>
      </c>
      <c r="Q12" s="95">
        <f>'04'!Q108</f>
        <v>5.7606250000000019</v>
      </c>
      <c r="R12" s="160"/>
      <c r="S12" s="160"/>
      <c r="T12" s="160"/>
      <c r="U12" s="160"/>
    </row>
    <row r="13" spans="1:21">
      <c r="A13" s="157" t="str">
        <f>'05'!$B$2</f>
        <v>05/06/2023 00:15</v>
      </c>
      <c r="B13" s="95">
        <f>'05'!B108</f>
        <v>6.3853125000000022</v>
      </c>
      <c r="C13" s="95">
        <f>'05'!C108</f>
        <v>51.809687499999995</v>
      </c>
      <c r="D13" s="95">
        <f>'05'!D108</f>
        <v>31.144374999999997</v>
      </c>
      <c r="E13" s="95">
        <f>'05'!E108</f>
        <v>13.124895833333335</v>
      </c>
      <c r="F13" s="95">
        <f>'05'!F108</f>
        <v>26.023541666666663</v>
      </c>
      <c r="G13" s="95">
        <f>'05'!G108</f>
        <v>64.477291666666687</v>
      </c>
      <c r="H13" s="95">
        <f>'05'!H108</f>
        <v>34.496041666666656</v>
      </c>
      <c r="I13" s="95">
        <f>'05'!I108</f>
        <v>5.2118750000000018</v>
      </c>
      <c r="J13" s="95">
        <f>'05'!J108</f>
        <v>0.46270833333333328</v>
      </c>
      <c r="K13" s="95">
        <f>'05'!K108</f>
        <v>184.44791666666674</v>
      </c>
      <c r="L13" s="95">
        <f>'05'!L108</f>
        <v>32.712916666666679</v>
      </c>
      <c r="M13" s="95">
        <f>'05'!M108</f>
        <v>42.869687499999998</v>
      </c>
      <c r="N13" s="95">
        <f>'05'!N108</f>
        <v>143.57187500000001</v>
      </c>
      <c r="O13" s="95">
        <f>'05'!O108</f>
        <v>0</v>
      </c>
      <c r="P13" s="95">
        <f>'05'!P108</f>
        <v>0.6489583333333333</v>
      </c>
      <c r="Q13" s="95">
        <f>'05'!Q108</f>
        <v>4.981770833333333</v>
      </c>
      <c r="R13" s="160"/>
      <c r="S13" s="160"/>
      <c r="T13" s="160"/>
      <c r="U13" s="160"/>
    </row>
    <row r="14" spans="1:21">
      <c r="A14" s="157" t="str">
        <f>'06'!$B$2</f>
        <v>06/06/2023 00:15</v>
      </c>
      <c r="B14" s="95">
        <f>'06'!B108</f>
        <v>12.846458333333336</v>
      </c>
      <c r="C14" s="95">
        <f>'06'!C108</f>
        <v>57.13927083333332</v>
      </c>
      <c r="D14" s="95">
        <f>'06'!D108</f>
        <v>39.14510416666667</v>
      </c>
      <c r="E14" s="95">
        <f>'06'!E108</f>
        <v>9.7622916666666661</v>
      </c>
      <c r="F14" s="95">
        <f>'06'!F108</f>
        <v>19.751458333333339</v>
      </c>
      <c r="G14" s="95">
        <f>'06'!G108</f>
        <v>53.976041666666674</v>
      </c>
      <c r="H14" s="95">
        <f>'06'!H108</f>
        <v>30.322708333333338</v>
      </c>
      <c r="I14" s="95">
        <f>'06'!I108</f>
        <v>5.6678124999999966</v>
      </c>
      <c r="J14" s="95">
        <f>'06'!J108</f>
        <v>0.36947916666666658</v>
      </c>
      <c r="K14" s="95">
        <f>'06'!K108</f>
        <v>173.09093750000002</v>
      </c>
      <c r="L14" s="95">
        <f>'06'!L108</f>
        <v>34.112812500000004</v>
      </c>
      <c r="M14" s="95">
        <f>'06'!M108</f>
        <v>38.053229166666689</v>
      </c>
      <c r="N14" s="95">
        <f>'06'!N108</f>
        <v>163.8385416666666</v>
      </c>
      <c r="O14" s="95">
        <f>'06'!O108</f>
        <v>0</v>
      </c>
      <c r="P14" s="95">
        <f>'06'!P108</f>
        <v>0.65447916666666706</v>
      </c>
      <c r="Q14" s="95">
        <f>'06'!Q108</f>
        <v>5.4533333333333331</v>
      </c>
      <c r="R14" s="160"/>
      <c r="S14" s="160"/>
      <c r="T14" s="160"/>
      <c r="U14" s="160"/>
    </row>
    <row r="15" spans="1:21">
      <c r="A15" s="157" t="str">
        <f>'07'!$B$2</f>
        <v>07/06/2023 00:15</v>
      </c>
      <c r="B15" s="95">
        <f>'07'!B108</f>
        <v>24.678124999999991</v>
      </c>
      <c r="C15" s="95">
        <f>'07'!C108</f>
        <v>60.2555208333333</v>
      </c>
      <c r="D15" s="95">
        <f>'07'!D108</f>
        <v>50.233124999999994</v>
      </c>
      <c r="E15" s="95">
        <f>'07'!E108</f>
        <v>22.632499999999983</v>
      </c>
      <c r="F15" s="95">
        <f>'07'!F108</f>
        <v>24.052499999999998</v>
      </c>
      <c r="G15" s="95">
        <f>'07'!G108</f>
        <v>97.681666666666572</v>
      </c>
      <c r="H15" s="95">
        <f>'07'!H108</f>
        <v>47.963541666666664</v>
      </c>
      <c r="I15" s="95">
        <f>'07'!I108</f>
        <v>8.8237500000000022</v>
      </c>
      <c r="J15" s="95">
        <f>'07'!J108</f>
        <v>0.58270833333333338</v>
      </c>
      <c r="K15" s="95">
        <f>'07'!K108</f>
        <v>101.68906249999999</v>
      </c>
      <c r="L15" s="95">
        <f>'07'!L108</f>
        <v>35.081770833333337</v>
      </c>
      <c r="M15" s="95">
        <f>'07'!M108</f>
        <v>30.556979166666679</v>
      </c>
      <c r="N15" s="95">
        <f>'07'!N108</f>
        <v>121.45833333333333</v>
      </c>
      <c r="O15" s="95">
        <f>'07'!O108</f>
        <v>0</v>
      </c>
      <c r="P15" s="95">
        <f>'07'!P108</f>
        <v>0.84322916666666703</v>
      </c>
      <c r="Q15" s="95">
        <f>'07'!Q108</f>
        <v>6.1237499999999976</v>
      </c>
      <c r="R15" s="160"/>
      <c r="S15" s="160"/>
      <c r="T15" s="160"/>
      <c r="U15" s="160"/>
    </row>
    <row r="16" spans="1:21">
      <c r="A16" s="157" t="str">
        <f>'08'!$B$2</f>
        <v>08/06/2023 00:15</v>
      </c>
      <c r="B16" s="95">
        <f>'08'!B108</f>
        <v>14.492916666666666</v>
      </c>
      <c r="C16" s="95">
        <f>'08'!C108</f>
        <v>57.820104166666681</v>
      </c>
      <c r="D16" s="95">
        <f>'08'!D108</f>
        <v>40.794895833333349</v>
      </c>
      <c r="E16" s="95">
        <f>'08'!E108</f>
        <v>14.932604166666666</v>
      </c>
      <c r="F16" s="95">
        <f>'08'!F108</f>
        <v>23.293958333333322</v>
      </c>
      <c r="G16" s="95">
        <f>'08'!G108</f>
        <v>77.440208333333331</v>
      </c>
      <c r="H16" s="95">
        <f>'08'!H108</f>
        <v>35.961145833333326</v>
      </c>
      <c r="I16" s="95">
        <f>'08'!I108</f>
        <v>7.1591666666666631</v>
      </c>
      <c r="J16" s="95">
        <f>'08'!J108</f>
        <v>0.48468749999999999</v>
      </c>
      <c r="K16" s="95">
        <f>'08'!K108</f>
        <v>166.59583333333342</v>
      </c>
      <c r="L16" s="95">
        <f>'08'!L108</f>
        <v>35.35437499999999</v>
      </c>
      <c r="M16" s="95">
        <f>'08'!M108</f>
        <v>30.786979166666672</v>
      </c>
      <c r="N16" s="95">
        <f>'08'!N108</f>
        <v>145.87395833333338</v>
      </c>
      <c r="O16" s="95">
        <f>'08'!O108</f>
        <v>0</v>
      </c>
      <c r="P16" s="95">
        <f>'08'!P108</f>
        <v>0.76562499999999989</v>
      </c>
      <c r="Q16" s="95">
        <f>'08'!Q108</f>
        <v>5.6696874999999975</v>
      </c>
      <c r="R16" s="160"/>
      <c r="S16" s="160"/>
      <c r="T16" s="160"/>
      <c r="U16" s="160"/>
    </row>
    <row r="17" spans="1:21">
      <c r="A17" s="157" t="str">
        <f>'09'!$B$2</f>
        <v>09/06/2023 00:15</v>
      </c>
      <c r="B17" s="95">
        <f>'09'!B108</f>
        <v>19.30802083333333</v>
      </c>
      <c r="C17" s="95">
        <f>'09'!C108</f>
        <v>56.634999999999991</v>
      </c>
      <c r="D17" s="95">
        <f>'09'!D108</f>
        <v>44.029166666666676</v>
      </c>
      <c r="E17" s="95">
        <f>'09'!E108</f>
        <v>15.645624999999995</v>
      </c>
      <c r="F17" s="95">
        <f>'09'!F108</f>
        <v>20.042604166666674</v>
      </c>
      <c r="G17" s="95">
        <f>'09'!G108</f>
        <v>82.82604166666664</v>
      </c>
      <c r="H17" s="95">
        <f>'09'!H108</f>
        <v>36.581458333333359</v>
      </c>
      <c r="I17" s="95">
        <f>'09'!I108</f>
        <v>7.8964583333333325</v>
      </c>
      <c r="J17" s="95">
        <f>'09'!J108</f>
        <v>0.4367708333333335</v>
      </c>
      <c r="K17" s="95">
        <f>'09'!K108</f>
        <v>197.99979166666674</v>
      </c>
      <c r="L17" s="95">
        <f>'09'!L108</f>
        <v>35.28625000000001</v>
      </c>
      <c r="M17" s="95">
        <f>'09'!M108</f>
        <v>29.974687500000012</v>
      </c>
      <c r="N17" s="95">
        <f>'09'!N108</f>
        <v>121.16145833333336</v>
      </c>
      <c r="O17" s="95">
        <f>'09'!O108</f>
        <v>0</v>
      </c>
      <c r="P17" s="95">
        <f>'09'!P108</f>
        <v>0.8415625000000001</v>
      </c>
      <c r="Q17" s="95">
        <f>'09'!Q108</f>
        <v>5.8743749999999997</v>
      </c>
      <c r="R17" s="160"/>
      <c r="S17" s="160"/>
      <c r="T17" s="160"/>
      <c r="U17" s="160"/>
    </row>
    <row r="18" spans="1:21">
      <c r="A18" s="157" t="str">
        <f>'10'!$B$2</f>
        <v>10/06/2023 00:15</v>
      </c>
      <c r="B18" s="95">
        <f>'10'!B108</f>
        <v>14.764895833333336</v>
      </c>
      <c r="C18" s="95">
        <f>'10'!C108</f>
        <v>51.659270833333323</v>
      </c>
      <c r="D18" s="95">
        <f>'10'!D108</f>
        <v>37.787812500000001</v>
      </c>
      <c r="E18" s="95">
        <f>'10'!E108</f>
        <v>14.150625000000003</v>
      </c>
      <c r="F18" s="95">
        <f>'10'!F108</f>
        <v>19.666979166666664</v>
      </c>
      <c r="G18" s="95">
        <f>'10'!G108</f>
        <v>66.628125000000026</v>
      </c>
      <c r="H18" s="95">
        <f>'10'!H108</f>
        <v>28.883229166666663</v>
      </c>
      <c r="I18" s="95">
        <f>'10'!I108</f>
        <v>7.4392708333333326</v>
      </c>
      <c r="J18" s="95">
        <f>'10'!J108</f>
        <v>0.53656250000000005</v>
      </c>
      <c r="K18" s="95">
        <f>'10'!K108</f>
        <v>234.57989583333327</v>
      </c>
      <c r="L18" s="95">
        <f>'10'!L108</f>
        <v>35.419166666666662</v>
      </c>
      <c r="M18" s="95">
        <f>'10'!M108</f>
        <v>32.169583333333335</v>
      </c>
      <c r="N18" s="95">
        <f>'10'!N108</f>
        <v>128.46458333333334</v>
      </c>
      <c r="O18" s="95">
        <f>'10'!O108</f>
        <v>0</v>
      </c>
      <c r="P18" s="95">
        <f>'10'!P108</f>
        <v>0.72291666666666676</v>
      </c>
      <c r="Q18" s="95">
        <f>'10'!Q108</f>
        <v>5.6306249999999993</v>
      </c>
      <c r="R18" s="160"/>
      <c r="S18" s="160"/>
      <c r="T18" s="160"/>
      <c r="U18" s="160"/>
    </row>
    <row r="19" spans="1:21">
      <c r="A19" s="157" t="str">
        <f>'11'!$B$2</f>
        <v>11/06/2023 00:15</v>
      </c>
      <c r="B19" s="95">
        <f>'11'!B108</f>
        <v>8.3419791666666665</v>
      </c>
      <c r="C19" s="95">
        <f>'11'!C108</f>
        <v>48.251979166666665</v>
      </c>
      <c r="D19" s="95">
        <f>'11'!D108</f>
        <v>30.854583333333366</v>
      </c>
      <c r="E19" s="95">
        <f>'11'!E108</f>
        <v>8.4255208333333282</v>
      </c>
      <c r="F19" s="95">
        <f>'11'!F108</f>
        <v>18.49177083333333</v>
      </c>
      <c r="G19" s="95">
        <f>'11'!G108</f>
        <v>40.525729166666672</v>
      </c>
      <c r="H19" s="95">
        <f>'11'!H108</f>
        <v>17.746666666666663</v>
      </c>
      <c r="I19" s="95">
        <f>'11'!I108</f>
        <v>4.562708333333334</v>
      </c>
      <c r="J19" s="95">
        <f>'11'!J108</f>
        <v>0.86531250000000048</v>
      </c>
      <c r="K19" s="95">
        <f>'11'!K108</f>
        <v>247.68729166666665</v>
      </c>
      <c r="L19" s="95">
        <f>'11'!L108</f>
        <v>35.773020833333341</v>
      </c>
      <c r="M19" s="95">
        <f>'11'!M108</f>
        <v>31.060520833333328</v>
      </c>
      <c r="N19" s="95">
        <f>'11'!N108</f>
        <v>135.99479166666666</v>
      </c>
      <c r="O19" s="95">
        <f>'11'!O108</f>
        <v>0</v>
      </c>
      <c r="P19" s="95">
        <f>'11'!P108</f>
        <v>0.53937500000000016</v>
      </c>
      <c r="Q19" s="95">
        <f>'11'!Q108</f>
        <v>5.070833333333332</v>
      </c>
      <c r="R19" s="160"/>
      <c r="S19" s="160"/>
      <c r="T19" s="160"/>
      <c r="U19" s="160"/>
    </row>
    <row r="20" spans="1:21">
      <c r="A20" s="157" t="str">
        <f>'12'!$B$2</f>
        <v>12/06/2023 00:15</v>
      </c>
      <c r="B20" s="95">
        <f>'12'!B108</f>
        <v>8.8454166666666687</v>
      </c>
      <c r="C20" s="95">
        <f>'12'!C108</f>
        <v>48.380729166666661</v>
      </c>
      <c r="D20" s="95">
        <f>'12'!D108</f>
        <v>31.32520833333335</v>
      </c>
      <c r="E20" s="95">
        <f>'12'!E108</f>
        <v>11.696041666666666</v>
      </c>
      <c r="F20" s="95">
        <f>'12'!F108</f>
        <v>21.239583333333336</v>
      </c>
      <c r="G20" s="95">
        <f>'12'!G108</f>
        <v>41.7340625</v>
      </c>
      <c r="H20" s="95">
        <f>'12'!H108</f>
        <v>16.753124999999994</v>
      </c>
      <c r="I20" s="95">
        <f>'12'!I108</f>
        <v>5.8313541666666699</v>
      </c>
      <c r="J20" s="95">
        <f>'12'!J108</f>
        <v>0.72052083333333317</v>
      </c>
      <c r="K20" s="95">
        <f>'12'!K108</f>
        <v>240.4381250000001</v>
      </c>
      <c r="L20" s="95">
        <f>'12'!L108</f>
        <v>35.935104166666669</v>
      </c>
      <c r="M20" s="95">
        <f>'12'!M108</f>
        <v>33.908124999999991</v>
      </c>
      <c r="N20" s="95">
        <f>'12'!N108</f>
        <v>135.40104166666669</v>
      </c>
      <c r="O20" s="95">
        <f>'12'!O108</f>
        <v>0</v>
      </c>
      <c r="P20" s="95">
        <f>'12'!P108</f>
        <v>0.64312499999999984</v>
      </c>
      <c r="Q20" s="95">
        <f>'12'!Q108</f>
        <v>5.2309375000000005</v>
      </c>
      <c r="R20" s="160"/>
      <c r="S20" s="160"/>
      <c r="T20" s="160"/>
      <c r="U20" s="160"/>
    </row>
    <row r="21" spans="1:21" s="142" customFormat="1">
      <c r="A21" s="157" t="str">
        <f>'13'!$B$2</f>
        <v>13/06/2023 00:15</v>
      </c>
      <c r="B21" s="158">
        <f>'13'!B108</f>
        <v>8.5864583333333346</v>
      </c>
      <c r="C21" s="158">
        <f>'13'!C108</f>
        <v>45.025937499999998</v>
      </c>
      <c r="D21" s="158">
        <f>'13'!D108</f>
        <v>29.365104166666669</v>
      </c>
      <c r="E21" s="158">
        <f>'13'!E108</f>
        <v>8.9053125000000026</v>
      </c>
      <c r="F21" s="158">
        <f>'13'!F108</f>
        <v>18.229791666666667</v>
      </c>
      <c r="G21" s="158">
        <f>'13'!G108</f>
        <v>38.09145833333335</v>
      </c>
      <c r="H21" s="158">
        <f>'13'!H108</f>
        <v>16.722187499999993</v>
      </c>
      <c r="I21" s="158">
        <f>'13'!I108</f>
        <v>4.4882291666666676</v>
      </c>
      <c r="J21" s="158">
        <f>'13'!J108</f>
        <v>0.58729166666666655</v>
      </c>
      <c r="K21" s="158">
        <f>'13'!K108</f>
        <v>246.76145833333337</v>
      </c>
      <c r="L21" s="158">
        <f>'13'!L108</f>
        <v>34.607604166666647</v>
      </c>
      <c r="M21" s="158">
        <f>'13'!M108</f>
        <v>40.400937499999991</v>
      </c>
      <c r="N21" s="158">
        <f>'13'!N108</f>
        <v>148.11979166666671</v>
      </c>
      <c r="O21" s="158">
        <f>'13'!O108</f>
        <v>0</v>
      </c>
      <c r="P21" s="158">
        <f>'13'!P108</f>
        <v>0.47604166666666692</v>
      </c>
      <c r="Q21" s="158">
        <f>'13'!Q108</f>
        <v>5.035520833333333</v>
      </c>
      <c r="R21" s="176"/>
      <c r="S21" s="176"/>
      <c r="T21" s="176"/>
      <c r="U21" s="176"/>
    </row>
    <row r="22" spans="1:21" s="142" customFormat="1">
      <c r="A22" s="157" t="str">
        <f>'14'!$B$2</f>
        <v>14/06/2023 00:15</v>
      </c>
      <c r="B22" s="159">
        <f>'14'!B108</f>
        <v>11.033749999999996</v>
      </c>
      <c r="C22" s="159">
        <f>'14'!C108</f>
        <v>42.051145833333337</v>
      </c>
      <c r="D22" s="159">
        <f>'14'!D108</f>
        <v>29.77395833333334</v>
      </c>
      <c r="E22" s="159">
        <f>'14'!E108</f>
        <v>7.3842708333333391</v>
      </c>
      <c r="F22" s="159">
        <f>'14'!F108</f>
        <v>14.292604166666671</v>
      </c>
      <c r="G22" s="159">
        <f>'14'!G108</f>
        <v>41.040588235294123</v>
      </c>
      <c r="H22" s="159">
        <f>'14'!H108</f>
        <v>13.752941176470582</v>
      </c>
      <c r="I22" s="159">
        <f>'14'!I108</f>
        <v>4.3379166666666649</v>
      </c>
      <c r="J22" s="159">
        <f>'14'!J108</f>
        <v>0.66677083333333353</v>
      </c>
      <c r="K22" s="159">
        <f>'14'!K108</f>
        <v>217.73656249999996</v>
      </c>
      <c r="L22" s="159">
        <f>'14'!L108</f>
        <v>31.73822916666667</v>
      </c>
      <c r="M22" s="159">
        <f>'14'!M108</f>
        <v>53.693749999999973</v>
      </c>
      <c r="N22" s="159">
        <f>'14'!N108</f>
        <v>60.747916666666661</v>
      </c>
      <c r="O22" s="159">
        <f>'14'!O108</f>
        <v>0</v>
      </c>
      <c r="P22" s="159">
        <f>'14'!P108</f>
        <v>0.54156250000000017</v>
      </c>
      <c r="Q22" s="159">
        <f>'14'!Q108</f>
        <v>4.9382291666666687</v>
      </c>
      <c r="R22" s="177"/>
      <c r="S22" s="177"/>
      <c r="T22" s="177"/>
      <c r="U22" s="177"/>
    </row>
    <row r="23" spans="1:21">
      <c r="A23" s="157" t="str">
        <f>'15'!$B$2</f>
        <v>15/06/2023 00:15</v>
      </c>
      <c r="B23" s="95">
        <f>'15'!B108</f>
        <v>19.824583333333337</v>
      </c>
      <c r="C23" s="95">
        <f>'15'!C108</f>
        <v>44.327187499999987</v>
      </c>
      <c r="D23" s="95">
        <f>'15'!D108</f>
        <v>38.01281250000001</v>
      </c>
      <c r="E23" s="95">
        <f>'15'!E108</f>
        <v>10.429270833333332</v>
      </c>
      <c r="F23" s="95">
        <f>'15'!F108</f>
        <v>11.775625</v>
      </c>
      <c r="G23" s="95">
        <f>'15'!G108</f>
        <v>53.309687499999988</v>
      </c>
      <c r="H23" s="95">
        <f>'15'!H108</f>
        <v>18.355208333333341</v>
      </c>
      <c r="I23" s="95">
        <f>'15'!I108</f>
        <v>5.7886458333333328</v>
      </c>
      <c r="J23" s="95">
        <f>'15'!J108</f>
        <v>0.59958333333333302</v>
      </c>
      <c r="K23" s="95">
        <f>'15'!K108</f>
        <v>216.60031249999997</v>
      </c>
      <c r="L23" s="95">
        <f>'15'!L108</f>
        <v>32.881354166666668</v>
      </c>
      <c r="M23" s="95">
        <f>'15'!M108</f>
        <v>50.234062499999965</v>
      </c>
      <c r="N23" s="95">
        <f>'15'!N108</f>
        <v>150.88124999999997</v>
      </c>
      <c r="O23" s="95">
        <f>'15'!O108</f>
        <v>0</v>
      </c>
      <c r="P23" s="95">
        <f>'15'!P108</f>
        <v>0.70239583333333355</v>
      </c>
      <c r="Q23" s="95">
        <f>'15'!Q108</f>
        <v>5.4326041666666649</v>
      </c>
      <c r="R23" s="160"/>
      <c r="S23" s="160"/>
      <c r="T23" s="160"/>
      <c r="U23" s="160"/>
    </row>
    <row r="24" spans="1:21">
      <c r="A24" s="157" t="str">
        <f>'16'!$B$2</f>
        <v>16/06/2023 00:15</v>
      </c>
      <c r="B24" s="95">
        <f>'16'!B108</f>
        <v>14.452083333333341</v>
      </c>
      <c r="C24" s="95">
        <f>'16'!C108</f>
        <v>39.435520833333335</v>
      </c>
      <c r="D24" s="95">
        <f>'16'!D108</f>
        <v>31.148125000000007</v>
      </c>
      <c r="E24" s="95">
        <f>'16'!E108</f>
        <v>9.9715625000000028</v>
      </c>
      <c r="F24" s="95">
        <f>'16'!F108</f>
        <v>15.939270833333337</v>
      </c>
      <c r="G24" s="95">
        <f>'16'!G108</f>
        <v>55.35489583333333</v>
      </c>
      <c r="H24" s="95">
        <f>'16'!H108</f>
        <v>21.276875000000008</v>
      </c>
      <c r="I24" s="95">
        <f>'16'!I108</f>
        <v>5.7464583333333357</v>
      </c>
      <c r="J24" s="95">
        <f>'16'!J108</f>
        <v>0.66000000000000014</v>
      </c>
      <c r="K24" s="95">
        <f>'16'!K108</f>
        <v>252.48406249999991</v>
      </c>
      <c r="L24" s="95">
        <f>'16'!L108</f>
        <v>35.738645833333337</v>
      </c>
      <c r="M24" s="95">
        <f>'16'!M108</f>
        <v>35.929999999999986</v>
      </c>
      <c r="N24" s="95">
        <f>'16'!N108</f>
        <v>180.82395833333331</v>
      </c>
      <c r="O24" s="95">
        <f>'16'!O108</f>
        <v>0</v>
      </c>
      <c r="P24" s="95">
        <f>'16'!P108</f>
        <v>0.59218749999999976</v>
      </c>
      <c r="Q24" s="95">
        <f>'16'!Q108</f>
        <v>5.2362500000000001</v>
      </c>
      <c r="R24" s="160"/>
      <c r="S24" s="160"/>
      <c r="T24" s="160"/>
      <c r="U24" s="160"/>
    </row>
    <row r="25" spans="1:21">
      <c r="A25" s="157" t="str">
        <f>'17'!$B$2</f>
        <v>17/06/2023 00:15</v>
      </c>
      <c r="B25" s="95">
        <f>'17'!B108</f>
        <v>10.251875</v>
      </c>
      <c r="C25" s="95">
        <f>'17'!C108</f>
        <v>40.868020833333333</v>
      </c>
      <c r="D25" s="95">
        <f>'17'!D108</f>
        <v>28.528749999999999</v>
      </c>
      <c r="E25" s="95">
        <f>'17'!E108</f>
        <v>11.836979166666671</v>
      </c>
      <c r="F25" s="95">
        <f>'17'!F108</f>
        <v>17.395625000000003</v>
      </c>
      <c r="G25" s="95">
        <f>'17'!G108</f>
        <v>53.558541666666635</v>
      </c>
      <c r="H25" s="95">
        <f>'17'!H108</f>
        <v>20.494791666666682</v>
      </c>
      <c r="I25" s="95">
        <f>'17'!I108</f>
        <v>6.904583333333334</v>
      </c>
      <c r="J25" s="95">
        <f>'17'!J108</f>
        <v>0.59322916666666636</v>
      </c>
      <c r="K25" s="95">
        <f>'17'!K108</f>
        <v>253.76000000000002</v>
      </c>
      <c r="L25" s="95">
        <f>'17'!L108</f>
        <v>36.040000000000013</v>
      </c>
      <c r="M25" s="95">
        <f>'17'!M108</f>
        <v>31.887812499999999</v>
      </c>
      <c r="N25" s="95">
        <f>'17'!N108</f>
        <v>175.14687500000002</v>
      </c>
      <c r="O25" s="95">
        <f>'17'!O108</f>
        <v>0</v>
      </c>
      <c r="P25" s="95">
        <f>'17'!P108</f>
        <v>0.64218749999999991</v>
      </c>
      <c r="Q25" s="95">
        <f>'17'!Q108</f>
        <v>5.0699999999999976</v>
      </c>
      <c r="R25" s="160"/>
      <c r="S25" s="160"/>
      <c r="T25" s="160"/>
      <c r="U25" s="160"/>
    </row>
    <row r="26" spans="1:21">
      <c r="A26" s="157" t="str">
        <f>'18'!$B$2</f>
        <v>18/06/2023 00:15</v>
      </c>
      <c r="B26" s="95">
        <f>'18'!B108</f>
        <v>9.3541666666666679</v>
      </c>
      <c r="C26" s="95">
        <f>'18'!C108</f>
        <v>38.082187499999996</v>
      </c>
      <c r="D26" s="95">
        <f>'18'!D108</f>
        <v>26.352708333333336</v>
      </c>
      <c r="E26" s="95">
        <f>'18'!E108</f>
        <v>8.4168750000000028</v>
      </c>
      <c r="F26" s="95">
        <f>'18'!F108</f>
        <v>18.719791666666669</v>
      </c>
      <c r="G26" s="95">
        <f>'18'!G108</f>
        <v>54.87635416666668</v>
      </c>
      <c r="H26" s="95">
        <f>'18'!H108</f>
        <v>17.879687499999999</v>
      </c>
      <c r="I26" s="95">
        <f>'18'!I108</f>
        <v>4.8026041666666641</v>
      </c>
      <c r="J26" s="95">
        <f>'18'!J108</f>
        <v>0.62291666666666667</v>
      </c>
      <c r="K26" s="95">
        <f>'18'!K108</f>
        <v>259.63125000000002</v>
      </c>
      <c r="L26" s="95">
        <f>'18'!L108</f>
        <v>36.345937500000012</v>
      </c>
      <c r="M26" s="95">
        <f>'18'!M108</f>
        <v>32.800416666666685</v>
      </c>
      <c r="N26" s="95">
        <f>'18'!N108</f>
        <v>172.45000000000002</v>
      </c>
      <c r="O26" s="95">
        <f>'18'!O108</f>
        <v>0</v>
      </c>
      <c r="P26" s="95">
        <f>'18'!P108</f>
        <v>0.50635416666666688</v>
      </c>
      <c r="Q26" s="95">
        <f>'18'!Q108</f>
        <v>4.8205208333333349</v>
      </c>
      <c r="R26" s="160"/>
      <c r="S26" s="160"/>
      <c r="T26" s="160"/>
      <c r="U26" s="160"/>
    </row>
    <row r="27" spans="1:21">
      <c r="A27" s="157" t="str">
        <f>'19'!$B$2</f>
        <v>19/06/2023 00:15</v>
      </c>
      <c r="B27" s="95">
        <f>'19'!B108</f>
        <v>9.1190625000000001</v>
      </c>
      <c r="C27" s="95">
        <f>'19'!C108</f>
        <v>36.819687499999986</v>
      </c>
      <c r="D27" s="95">
        <f>'19'!D108</f>
        <v>25.504999999999999</v>
      </c>
      <c r="E27" s="95">
        <f>'19'!E108</f>
        <v>13.628124999999999</v>
      </c>
      <c r="F27" s="95">
        <f>'19'!F108</f>
        <v>20.152708333333326</v>
      </c>
      <c r="G27" s="95">
        <f>'19'!G108</f>
        <v>73.529895833333327</v>
      </c>
      <c r="H27" s="95">
        <f>'19'!H108</f>
        <v>25.193437499999998</v>
      </c>
      <c r="I27" s="95">
        <f>'19'!I108</f>
        <v>5.5245833333333332</v>
      </c>
      <c r="J27" s="95">
        <f>'19'!J108</f>
        <v>0.5736458333333333</v>
      </c>
      <c r="K27" s="95">
        <f>'19'!K108</f>
        <v>223.82354166666661</v>
      </c>
      <c r="L27" s="95">
        <f>'19'!L108</f>
        <v>36.446979166666658</v>
      </c>
      <c r="M27" s="95">
        <f>'19'!M108</f>
        <v>32.746458333333322</v>
      </c>
      <c r="N27" s="95">
        <f>'19'!N108</f>
        <v>171.04166666666666</v>
      </c>
      <c r="O27" s="95">
        <f>'19'!O108</f>
        <v>0</v>
      </c>
      <c r="P27" s="95">
        <f>'19'!P108</f>
        <v>0.5921875000000002</v>
      </c>
      <c r="Q27" s="95">
        <f>'19'!Q108</f>
        <v>4.8134375</v>
      </c>
      <c r="R27" s="160"/>
      <c r="S27" s="160"/>
      <c r="T27" s="160"/>
      <c r="U27" s="160"/>
    </row>
    <row r="28" spans="1:21">
      <c r="A28" s="157" t="str">
        <f>'20'!$B$2</f>
        <v>20/06/2023 00:15</v>
      </c>
      <c r="B28" s="95">
        <f>'20'!B108</f>
        <v>7.0164583333333335</v>
      </c>
      <c r="C28" s="95">
        <f>'20'!C108</f>
        <v>34.639583333333327</v>
      </c>
      <c r="D28" s="95">
        <f>'20'!D108</f>
        <v>22.67947916666667</v>
      </c>
      <c r="E28" s="95">
        <f>'20'!E108</f>
        <v>10.525104166666665</v>
      </c>
      <c r="F28" s="95">
        <f>'20'!F108</f>
        <v>18.898125</v>
      </c>
      <c r="G28" s="95">
        <f>'20'!G108</f>
        <v>57.323229166666671</v>
      </c>
      <c r="H28" s="95">
        <f>'20'!H108</f>
        <v>18.027708333333337</v>
      </c>
      <c r="I28" s="95">
        <f>'20'!I108</f>
        <v>4.1329166666666657</v>
      </c>
      <c r="J28" s="95">
        <f>'20'!J108</f>
        <v>0.51468750000000008</v>
      </c>
      <c r="K28" s="95">
        <f>'20'!K108</f>
        <v>208.65395833333324</v>
      </c>
      <c r="L28" s="95">
        <f>'20'!L108</f>
        <v>35.348958333333343</v>
      </c>
      <c r="M28" s="95">
        <f>'20'!M108</f>
        <v>38.246979166666662</v>
      </c>
      <c r="N28" s="95">
        <f>'20'!N108</f>
        <v>166.02604166666663</v>
      </c>
      <c r="O28" s="95">
        <f>'20'!O108</f>
        <v>0</v>
      </c>
      <c r="P28" s="95">
        <f>'20'!P108</f>
        <v>0.47875000000000001</v>
      </c>
      <c r="Q28" s="95">
        <f>'20'!Q108</f>
        <v>4.6890625000000012</v>
      </c>
      <c r="R28" s="160"/>
      <c r="S28" s="160"/>
      <c r="T28" s="160"/>
      <c r="U28" s="160"/>
    </row>
    <row r="29" spans="1:21">
      <c r="A29" s="157" t="str">
        <f>'21'!$B$2</f>
        <v>21/06/2023 00:15</v>
      </c>
      <c r="B29" s="95">
        <f>'21'!B108</f>
        <v>7.8394791666666661</v>
      </c>
      <c r="C29" s="95">
        <f>'21'!C108</f>
        <v>35.052187499999995</v>
      </c>
      <c r="D29" s="95">
        <f>'21'!D108</f>
        <v>23.554791666666674</v>
      </c>
      <c r="E29" s="95">
        <f>'21'!E108</f>
        <v>7.38</v>
      </c>
      <c r="F29" s="95">
        <f>'21'!F108</f>
        <v>15.774270833333338</v>
      </c>
      <c r="G29" s="95">
        <f>'21'!G108</f>
        <v>33.818854166666675</v>
      </c>
      <c r="H29" s="95">
        <f>'21'!H108</f>
        <v>13.569375000000001</v>
      </c>
      <c r="I29" s="95">
        <f>'21'!I108</f>
        <v>3.8493750000000007</v>
      </c>
      <c r="J29" s="95">
        <f>'21'!J108</f>
        <v>0.64239583333333361</v>
      </c>
      <c r="K29" s="95">
        <f>'21'!K108</f>
        <v>244.96572916666665</v>
      </c>
      <c r="L29" s="95">
        <f>'21'!L108</f>
        <v>32.536458333333329</v>
      </c>
      <c r="M29" s="95">
        <f>'21'!M108</f>
        <v>52.608541666666689</v>
      </c>
      <c r="N29" s="95">
        <f>'21'!N108</f>
        <v>132.92499999999998</v>
      </c>
      <c r="O29" s="95">
        <f>'21'!O108</f>
        <v>0</v>
      </c>
      <c r="P29" s="95">
        <f>'21'!P108</f>
        <v>0.43010416666666668</v>
      </c>
      <c r="Q29" s="95">
        <f>'21'!Q108</f>
        <v>4.4824999999999999</v>
      </c>
      <c r="R29" s="160"/>
      <c r="S29" s="160"/>
      <c r="T29" s="160"/>
      <c r="U29" s="160"/>
    </row>
    <row r="30" spans="1:21">
      <c r="A30" s="157" t="str">
        <f>'22'!$B$2</f>
        <v>22/06/2023 00:15</v>
      </c>
      <c r="B30" s="95">
        <f>'22'!B108</f>
        <v>10.962083333333334</v>
      </c>
      <c r="C30" s="95">
        <f>'22'!C108</f>
        <v>41.006562500000001</v>
      </c>
      <c r="D30" s="95">
        <f>'22'!D108</f>
        <v>29.170937500000004</v>
      </c>
      <c r="E30" s="95">
        <f>'22'!E108</f>
        <v>7.4015624999999972</v>
      </c>
      <c r="F30" s="95">
        <f>'22'!F108</f>
        <v>11.462812500000004</v>
      </c>
      <c r="G30" s="95">
        <f>'22'!G108</f>
        <v>26.826562500000009</v>
      </c>
      <c r="H30" s="95">
        <f>'22'!H108</f>
        <v>13.179895833333331</v>
      </c>
      <c r="I30" s="95">
        <f>'22'!I108</f>
        <v>4.4548958333333317</v>
      </c>
      <c r="J30" s="95">
        <f>'22'!J108</f>
        <v>0.52749999999999997</v>
      </c>
      <c r="K30" s="95">
        <f>'22'!K108</f>
        <v>212.28093749999996</v>
      </c>
      <c r="L30" s="95">
        <f>'22'!L108</f>
        <v>28.937187499999993</v>
      </c>
      <c r="M30" s="95">
        <f>'22'!M108</f>
        <v>75.647812500000029</v>
      </c>
      <c r="N30" s="95">
        <f>'22'!N108</f>
        <v>121.75520833333333</v>
      </c>
      <c r="O30" s="95">
        <f>'22'!O108</f>
        <v>0</v>
      </c>
      <c r="P30" s="95">
        <f>'22'!P108</f>
        <v>0.4451041666666668</v>
      </c>
      <c r="Q30" s="95">
        <f>'22'!Q108</f>
        <v>4.714479166666667</v>
      </c>
      <c r="R30" s="160"/>
      <c r="S30" s="160"/>
      <c r="T30" s="160"/>
      <c r="U30" s="160"/>
    </row>
    <row r="31" spans="1:21">
      <c r="A31" s="157" t="str">
        <f>'23'!$B$2</f>
        <v>23/06/2023 00:15</v>
      </c>
      <c r="B31" s="95">
        <f>'23'!B108</f>
        <v>12.104999999999997</v>
      </c>
      <c r="C31" s="95">
        <f>'23'!C108</f>
        <v>40.447291666666679</v>
      </c>
      <c r="D31" s="95">
        <f>'23'!D108</f>
        <v>29.793437500000014</v>
      </c>
      <c r="E31" s="95">
        <f>'23'!E108</f>
        <v>6.8866666666666667</v>
      </c>
      <c r="F31" s="95">
        <f>'23'!F108</f>
        <v>8.2162499999999987</v>
      </c>
      <c r="G31" s="95">
        <f>'23'!G108</f>
        <v>45.0030681818182</v>
      </c>
      <c r="H31" s="95">
        <f>'23'!H108</f>
        <v>7.7327272727272733</v>
      </c>
      <c r="I31" s="95">
        <f>'23'!I108</f>
        <v>4.6741666666666655</v>
      </c>
      <c r="J31" s="95">
        <f>'23'!J108</f>
        <v>0.75645833333333323</v>
      </c>
      <c r="K31" s="95">
        <f>'23'!K108</f>
        <v>256.04833333333323</v>
      </c>
      <c r="L31" s="95">
        <f>'23'!L108</f>
        <v>27.842083333333338</v>
      </c>
      <c r="M31" s="95">
        <f>'23'!M108</f>
        <v>77.311041666666611</v>
      </c>
      <c r="N31" s="95">
        <f>'23'!N108</f>
        <v>94.797916666666708</v>
      </c>
      <c r="O31" s="95">
        <f>'23'!O108</f>
        <v>0</v>
      </c>
      <c r="P31" s="95">
        <f>'23'!P108</f>
        <v>0.52906249999999999</v>
      </c>
      <c r="Q31" s="95">
        <f>'23'!Q108</f>
        <v>4.6857291666666674</v>
      </c>
      <c r="R31" s="160"/>
      <c r="S31" s="178"/>
      <c r="T31" s="160"/>
      <c r="U31" s="160"/>
    </row>
    <row r="32" spans="1:21">
      <c r="A32" s="157" t="str">
        <f>'24'!$B$2</f>
        <v>24/06/2023 00:15</v>
      </c>
      <c r="B32" s="95">
        <f>'24'!B108</f>
        <v>10.133020833333333</v>
      </c>
      <c r="C32" s="95">
        <f>'24'!C108</f>
        <v>35.566354166666663</v>
      </c>
      <c r="D32" s="95">
        <f>'24'!D108</f>
        <v>25.663750000000004</v>
      </c>
      <c r="E32" s="95">
        <f>'24'!E108</f>
        <v>8.2890625000000018</v>
      </c>
      <c r="F32" s="95">
        <f>'24'!F108</f>
        <v>9.0892708333333321</v>
      </c>
      <c r="G32" s="95">
        <f>'24'!G108</f>
        <v>27.448854166666667</v>
      </c>
      <c r="H32" s="95">
        <f>'24'!H108</f>
        <v>11.431041666666671</v>
      </c>
      <c r="I32" s="95">
        <f>'24'!I108</f>
        <v>4.9737500000000008</v>
      </c>
      <c r="J32" s="95">
        <f>'24'!J108</f>
        <v>0.65697916666666678</v>
      </c>
      <c r="K32" s="95">
        <f>'24'!K108</f>
        <v>257.31416666666661</v>
      </c>
      <c r="L32" s="95">
        <f>'24'!L108</f>
        <v>28.146354166666665</v>
      </c>
      <c r="M32" s="95">
        <f>'24'!M108</f>
        <v>75.232708333333306</v>
      </c>
      <c r="N32" s="95">
        <f>'24'!N108</f>
        <v>76.495833333333323</v>
      </c>
      <c r="O32" s="95">
        <f>'24'!O108</f>
        <v>0</v>
      </c>
      <c r="P32" s="95">
        <f>'24'!P108</f>
        <v>0.51718750000000002</v>
      </c>
      <c r="Q32" s="95">
        <f>'24'!Q108</f>
        <v>4.490520833333334</v>
      </c>
      <c r="R32" s="160"/>
      <c r="S32" s="160"/>
      <c r="T32" s="160"/>
      <c r="U32" s="160"/>
    </row>
    <row r="33" spans="1:21">
      <c r="A33" s="157" t="str">
        <f>'25'!$B$2</f>
        <v>25/06/2023 00:15</v>
      </c>
      <c r="B33" s="95">
        <f>'25'!B108</f>
        <v>16.673541666666662</v>
      </c>
      <c r="C33" s="95">
        <f>'25'!C108</f>
        <v>38.925000000000004</v>
      </c>
      <c r="D33" s="95">
        <f>'25'!D108</f>
        <v>32.66281249999998</v>
      </c>
      <c r="E33" s="95">
        <f>'25'!E108</f>
        <v>5.369583333333332</v>
      </c>
      <c r="F33" s="95">
        <f>'25'!F108</f>
        <v>5.2270833333333337</v>
      </c>
      <c r="G33" s="95">
        <f>'25'!G108</f>
        <v>18.556562499999995</v>
      </c>
      <c r="H33" s="95">
        <f>'25'!H108</f>
        <v>10.393020833333331</v>
      </c>
      <c r="I33" s="95">
        <f>'25'!I108</f>
        <v>4.5867708333333335</v>
      </c>
      <c r="J33" s="95">
        <f>'25'!J108</f>
        <v>0.57979166666666659</v>
      </c>
      <c r="K33" s="95">
        <f>'25'!K108</f>
        <v>253.59125000000006</v>
      </c>
      <c r="L33" s="95">
        <f>'25'!L108</f>
        <v>25.712395833333332</v>
      </c>
      <c r="M33" s="95">
        <f>'25'!M108</f>
        <v>94.218854166666645</v>
      </c>
      <c r="N33" s="95">
        <f>'25'!N108</f>
        <v>24.056249999999995</v>
      </c>
      <c r="O33" s="95">
        <f>'25'!O108</f>
        <v>0</v>
      </c>
      <c r="P33" s="95">
        <f>'25'!P108</f>
        <v>0.54812499999999986</v>
      </c>
      <c r="Q33" s="95">
        <f>'25'!Q108</f>
        <v>4.8232291666666649</v>
      </c>
      <c r="R33" s="160"/>
      <c r="S33" s="178"/>
      <c r="T33" s="160"/>
      <c r="U33" s="160"/>
    </row>
    <row r="34" spans="1:21">
      <c r="A34" s="157" t="str">
        <f>'26'!$B$2</f>
        <v>26/06/2023 00:15</v>
      </c>
      <c r="B34" s="95">
        <f>'26'!B108</f>
        <v>11.654687500000001</v>
      </c>
      <c r="C34" s="95">
        <f>'26'!C108</f>
        <v>39.660625000000003</v>
      </c>
      <c r="D34" s="95">
        <f>'26'!D108</f>
        <v>29.022083333333338</v>
      </c>
      <c r="E34" s="95">
        <f>'26'!E108</f>
        <v>5.0342708333333333</v>
      </c>
      <c r="F34" s="95">
        <f>'26'!F108</f>
        <v>4.6946874999999979</v>
      </c>
      <c r="G34" s="95">
        <f>'26'!G108</f>
        <v>10.886249999999995</v>
      </c>
      <c r="H34" s="95">
        <f>'26'!H108</f>
        <v>4.8837500000000009</v>
      </c>
      <c r="I34" s="95">
        <f>'26'!I108</f>
        <v>4.0108333333333333</v>
      </c>
      <c r="J34" s="95">
        <f>'26'!J108</f>
        <v>0.9998958333333331</v>
      </c>
      <c r="K34" s="95">
        <f>'26'!K108</f>
        <v>260.22156249999995</v>
      </c>
      <c r="L34" s="95">
        <f>'26'!L108</f>
        <v>24.539270833333333</v>
      </c>
      <c r="M34" s="95">
        <f>'26'!M108</f>
        <v>96.060833333333335</v>
      </c>
      <c r="N34" s="95">
        <f>'26'!N108</f>
        <v>25.383333333333336</v>
      </c>
      <c r="O34" s="95">
        <f>'26'!O108</f>
        <v>0</v>
      </c>
      <c r="P34" s="95">
        <f>'26'!P108</f>
        <v>0.51177083333333351</v>
      </c>
      <c r="Q34" s="95">
        <f>'26'!Q108</f>
        <v>4.566250000000001</v>
      </c>
      <c r="R34" s="160"/>
      <c r="S34" s="160"/>
      <c r="T34" s="160"/>
      <c r="U34" s="160"/>
    </row>
    <row r="35" spans="1:21">
      <c r="A35" s="157" t="str">
        <f>'27'!$B$2</f>
        <v>27/06/2023 00:15</v>
      </c>
      <c r="B35" s="95">
        <f>'27'!B108</f>
        <v>10.256145833333333</v>
      </c>
      <c r="C35" s="95">
        <f>'27'!C108</f>
        <v>37.291979166666664</v>
      </c>
      <c r="D35" s="95">
        <f>'27'!D108</f>
        <v>26.663854166666678</v>
      </c>
      <c r="E35" s="95">
        <f>'27'!E108</f>
        <v>4.845104166666669</v>
      </c>
      <c r="F35" s="95">
        <f>'27'!F108</f>
        <v>4.1021874999999994</v>
      </c>
      <c r="G35" s="95">
        <f>'27'!G108</f>
        <v>1.7376041666666675</v>
      </c>
      <c r="H35" s="95">
        <f>'27'!H108</f>
        <v>0.64406249999999998</v>
      </c>
      <c r="I35" s="95">
        <f>'27'!I108</f>
        <v>2.4169791666666671</v>
      </c>
      <c r="J35" s="95">
        <f>'27'!J108</f>
        <v>1.1855208333333331</v>
      </c>
      <c r="K35" s="95">
        <f>'27'!K108</f>
        <v>256.87343750000002</v>
      </c>
      <c r="L35" s="95">
        <f>'27'!L108</f>
        <v>24.249687499999997</v>
      </c>
      <c r="M35" s="95">
        <f>'27'!M108</f>
        <v>94.129374999999939</v>
      </c>
      <c r="N35" s="95">
        <f>'27'!N108</f>
        <v>29.338541666666668</v>
      </c>
      <c r="O35" s="95">
        <f>'27'!O108</f>
        <v>0</v>
      </c>
      <c r="P35" s="95">
        <f>'27'!P108</f>
        <v>0.34239583333333345</v>
      </c>
      <c r="Q35" s="95">
        <f>'27'!Q108</f>
        <v>4.4212499999999997</v>
      </c>
      <c r="R35" s="160"/>
      <c r="S35" s="160"/>
      <c r="T35" s="160"/>
      <c r="U35" s="160"/>
    </row>
    <row r="36" spans="1:21">
      <c r="A36" s="157" t="str">
        <f>'28'!$B$2</f>
        <v>28/06/2023 00:15</v>
      </c>
      <c r="B36" s="95">
        <f>'28'!B108</f>
        <v>9.5614583333333325</v>
      </c>
      <c r="C36" s="95">
        <f>'28'!C108</f>
        <v>34.728645833333324</v>
      </c>
      <c r="D36" s="95">
        <f>'28'!D108</f>
        <v>24.767499999999998</v>
      </c>
      <c r="E36" s="95">
        <f>'28'!E108</f>
        <v>5.5098958333333323</v>
      </c>
      <c r="F36" s="95">
        <f>'28'!F108</f>
        <v>9.7208333333333332</v>
      </c>
      <c r="G36" s="95">
        <f>'28'!G108</f>
        <v>5.6587500000000013</v>
      </c>
      <c r="H36" s="95">
        <f>'28'!H108</f>
        <v>2.7515909090909094</v>
      </c>
      <c r="I36" s="95">
        <f>'28'!I108</f>
        <v>2.1884375000000005</v>
      </c>
      <c r="J36" s="95">
        <f>'28'!J108</f>
        <v>0.87270833333333331</v>
      </c>
      <c r="K36" s="95">
        <f>'28'!K108</f>
        <v>250.86531249999993</v>
      </c>
      <c r="L36" s="95">
        <f>'28'!L108</f>
        <v>25.976770833333319</v>
      </c>
      <c r="M36" s="95">
        <f>'28'!M108</f>
        <v>87.936979166666688</v>
      </c>
      <c r="N36" s="95">
        <f>'28'!N108</f>
        <v>73.590625000000017</v>
      </c>
      <c r="O36" s="95">
        <f>'28'!O108</f>
        <v>0</v>
      </c>
      <c r="P36" s="95">
        <f>'28'!P108</f>
        <v>0.33135416666666656</v>
      </c>
      <c r="Q36" s="95">
        <f>'28'!Q108</f>
        <v>4.4012500000000019</v>
      </c>
      <c r="R36" s="160"/>
      <c r="S36" s="160"/>
      <c r="T36" s="160"/>
      <c r="U36" s="160"/>
    </row>
    <row r="37" spans="1:21" s="2" customFormat="1">
      <c r="A37" s="157" t="str">
        <f>'29'!$B$2</f>
        <v>29/06/2023 00:15</v>
      </c>
      <c r="B37" s="95">
        <f>'29'!B108</f>
        <v>10.975937500000006</v>
      </c>
      <c r="C37" s="95">
        <f>'29'!C108</f>
        <v>31.305208333333336</v>
      </c>
      <c r="D37" s="95">
        <f>'29'!D108</f>
        <v>24.11333333333333</v>
      </c>
      <c r="E37" s="95">
        <f>'29'!E108</f>
        <v>5.8387500000000001</v>
      </c>
      <c r="F37" s="95">
        <f>'29'!F108</f>
        <v>5.5889583333333341</v>
      </c>
      <c r="G37" s="95">
        <f>'29'!G108</f>
        <v>10.058124999999999</v>
      </c>
      <c r="H37" s="95">
        <f>'29'!H108</f>
        <v>4.5287499999999978</v>
      </c>
      <c r="I37" s="95">
        <f>'29'!I108</f>
        <v>2.5553125000000003</v>
      </c>
      <c r="J37" s="95">
        <f>'29'!J108</f>
        <v>0.66458333333333341</v>
      </c>
      <c r="K37" s="95">
        <f>'29'!K108</f>
        <v>245.88135416666674</v>
      </c>
      <c r="L37" s="95">
        <f>'29'!L108</f>
        <v>28.446354166666662</v>
      </c>
      <c r="M37" s="95">
        <f>'29'!M108</f>
        <v>77.148645833333319</v>
      </c>
      <c r="N37" s="95">
        <f>'29'!N108</f>
        <v>157.57812500000003</v>
      </c>
      <c r="O37" s="95">
        <f>'29'!O108</f>
        <v>0</v>
      </c>
      <c r="P37" s="95">
        <f>'29'!P108</f>
        <v>0.35062499999999996</v>
      </c>
      <c r="Q37" s="95">
        <f>'29'!Q108</f>
        <v>4.4001041666666687</v>
      </c>
      <c r="R37" s="160"/>
      <c r="S37" s="160"/>
      <c r="T37" s="160"/>
      <c r="U37" s="160"/>
    </row>
    <row r="38" spans="1:21" s="2" customFormat="1">
      <c r="A38" s="157" t="str">
        <f>'30'!$B$2</f>
        <v>30/06/2023 00:15</v>
      </c>
      <c r="B38" s="95">
        <f>'30'!B108</f>
        <v>8.4026041666666682</v>
      </c>
      <c r="C38" s="95">
        <f>'30'!C108</f>
        <v>29.861354166666661</v>
      </c>
      <c r="D38" s="95">
        <f>'30'!D108</f>
        <v>21.294895833333328</v>
      </c>
      <c r="E38" s="95">
        <f>'30'!E108</f>
        <v>5.6169791666666633</v>
      </c>
      <c r="F38" s="95">
        <f>'30'!F108</f>
        <v>6.9332291666666634</v>
      </c>
      <c r="G38" s="95">
        <f>'30'!G108</f>
        <v>12.33010416666666</v>
      </c>
      <c r="H38" s="95">
        <f>'30'!H108</f>
        <v>4.9320833333333329</v>
      </c>
      <c r="I38" s="95">
        <f>'30'!I108</f>
        <v>3.051458333333334</v>
      </c>
      <c r="J38" s="95">
        <f>'30'!J108</f>
        <v>0.54927083333333326</v>
      </c>
      <c r="K38" s="95">
        <f>'30'!K108</f>
        <v>235.68770833333335</v>
      </c>
      <c r="L38" s="95">
        <f>'30'!L108</f>
        <v>28.748333333333338</v>
      </c>
      <c r="M38" s="95">
        <f>'30'!M108</f>
        <v>73.980312499999997</v>
      </c>
      <c r="N38" s="95">
        <f>'30'!N108</f>
        <v>127.75</v>
      </c>
      <c r="O38" s="95">
        <f>'30'!O108</f>
        <v>0</v>
      </c>
      <c r="P38" s="95">
        <f>'30'!P108</f>
        <v>0.38572916666666668</v>
      </c>
      <c r="Q38" s="95">
        <f>'30'!Q108</f>
        <v>4.2807291666666645</v>
      </c>
      <c r="R38" s="160"/>
      <c r="S38" s="160"/>
      <c r="T38" s="160"/>
      <c r="U38" s="160"/>
    </row>
    <row r="39" spans="1:21" s="2" customFormat="1">
      <c r="A39" s="144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</row>
    <row r="40" spans="1:21" s="2" customFormat="1">
      <c r="A40" s="144" t="s">
        <v>48</v>
      </c>
      <c r="B40" s="161">
        <f t="shared" ref="B40:Q40" si="0">MIN(B9:B38)</f>
        <v>6.3853125000000022</v>
      </c>
      <c r="C40" s="161">
        <f t="shared" si="0"/>
        <v>29.861354166666661</v>
      </c>
      <c r="D40" s="161">
        <f t="shared" si="0"/>
        <v>21.294895833333328</v>
      </c>
      <c r="E40" s="161">
        <f t="shared" si="0"/>
        <v>4.845104166666669</v>
      </c>
      <c r="F40" s="161">
        <f t="shared" si="0"/>
        <v>4.1021874999999994</v>
      </c>
      <c r="G40" s="161">
        <f t="shared" si="0"/>
        <v>1.7376041666666675</v>
      </c>
      <c r="H40" s="161">
        <f t="shared" si="0"/>
        <v>0.64406249999999998</v>
      </c>
      <c r="I40" s="161">
        <f t="shared" si="0"/>
        <v>2.1884375000000005</v>
      </c>
      <c r="J40" s="161">
        <f t="shared" si="0"/>
        <v>0.36947916666666658</v>
      </c>
      <c r="K40" s="161">
        <f t="shared" si="0"/>
        <v>101.68906249999999</v>
      </c>
      <c r="L40" s="161">
        <f t="shared" si="0"/>
        <v>24.249687499999997</v>
      </c>
      <c r="M40" s="161">
        <f t="shared" si="0"/>
        <v>22.916666666666661</v>
      </c>
      <c r="N40" s="161">
        <f t="shared" si="0"/>
        <v>24.056249999999995</v>
      </c>
      <c r="O40" s="161">
        <f t="shared" si="0"/>
        <v>0</v>
      </c>
      <c r="P40" s="161">
        <f t="shared" si="0"/>
        <v>0.33135416666666656</v>
      </c>
      <c r="Q40" s="161">
        <f t="shared" si="0"/>
        <v>4.2807291666666645</v>
      </c>
      <c r="R40" s="161"/>
      <c r="S40" s="161"/>
      <c r="T40" s="161"/>
      <c r="U40" s="161"/>
    </row>
    <row r="41" spans="1:21" s="2" customFormat="1">
      <c r="A41" s="144" t="s">
        <v>49</v>
      </c>
      <c r="B41" s="161">
        <f t="shared" ref="B41:Q41" si="1">MAX(B9:B38)</f>
        <v>26.498020833333339</v>
      </c>
      <c r="C41" s="161">
        <f t="shared" si="1"/>
        <v>60.581041666666636</v>
      </c>
      <c r="D41" s="161">
        <f t="shared" si="1"/>
        <v>50.233124999999994</v>
      </c>
      <c r="E41" s="161">
        <f t="shared" si="1"/>
        <v>22.632499999999983</v>
      </c>
      <c r="F41" s="161">
        <f t="shared" si="1"/>
        <v>26.086562500000003</v>
      </c>
      <c r="G41" s="161">
        <f t="shared" si="1"/>
        <v>97.784583333333288</v>
      </c>
      <c r="H41" s="161">
        <f t="shared" si="1"/>
        <v>55.307708333333302</v>
      </c>
      <c r="I41" s="161">
        <f t="shared" si="1"/>
        <v>8.8237500000000022</v>
      </c>
      <c r="J41" s="161">
        <f t="shared" si="1"/>
        <v>1.1855208333333331</v>
      </c>
      <c r="K41" s="161">
        <f t="shared" si="1"/>
        <v>260.22156249999995</v>
      </c>
      <c r="L41" s="161">
        <f t="shared" si="1"/>
        <v>36.446979166666658</v>
      </c>
      <c r="M41" s="161">
        <f t="shared" si="1"/>
        <v>96.060833333333335</v>
      </c>
      <c r="N41" s="161">
        <f t="shared" si="1"/>
        <v>180.82395833333331</v>
      </c>
      <c r="O41" s="161">
        <f t="shared" si="1"/>
        <v>0</v>
      </c>
      <c r="P41" s="161">
        <f t="shared" si="1"/>
        <v>0.84322916666666703</v>
      </c>
      <c r="Q41" s="161">
        <f t="shared" si="1"/>
        <v>6.1237499999999976</v>
      </c>
      <c r="R41" s="161"/>
      <c r="S41" s="161"/>
      <c r="T41" s="161"/>
      <c r="U41" s="161"/>
    </row>
    <row r="42" spans="1:21" s="2" customFormat="1">
      <c r="A42" s="144" t="s">
        <v>50</v>
      </c>
      <c r="B42" s="161">
        <f t="shared" ref="B42:Q42" si="2">AVERAGE(B9:B38)</f>
        <v>13.256684027777776</v>
      </c>
      <c r="C42" s="161">
        <f t="shared" si="2"/>
        <v>44.980451388888888</v>
      </c>
      <c r="D42" s="161">
        <f t="shared" si="2"/>
        <v>33.091680555555556</v>
      </c>
      <c r="E42" s="161">
        <f t="shared" si="2"/>
        <v>10.839708333333334</v>
      </c>
      <c r="F42" s="161">
        <f t="shared" si="2"/>
        <v>15.750607638888887</v>
      </c>
      <c r="G42" s="161">
        <f t="shared" si="2"/>
        <v>50.480260769459278</v>
      </c>
      <c r="H42" s="161">
        <f t="shared" si="2"/>
        <v>21.300804478609631</v>
      </c>
      <c r="I42" s="161">
        <f t="shared" si="2"/>
        <v>5.3767048611111115</v>
      </c>
      <c r="J42" s="161">
        <f t="shared" si="2"/>
        <v>0.61953472222222217</v>
      </c>
      <c r="K42" s="161">
        <f t="shared" si="2"/>
        <v>218.27386458333334</v>
      </c>
      <c r="L42" s="161">
        <f t="shared" si="2"/>
        <v>32.463958333333331</v>
      </c>
      <c r="M42" s="161">
        <f t="shared" si="2"/>
        <v>50.031982638888884</v>
      </c>
      <c r="N42" s="161">
        <f t="shared" si="2"/>
        <v>125.04798611111111</v>
      </c>
      <c r="O42" s="161">
        <f t="shared" si="2"/>
        <v>0</v>
      </c>
      <c r="P42" s="161">
        <f t="shared" si="2"/>
        <v>0.59181250000000019</v>
      </c>
      <c r="Q42" s="161">
        <f t="shared" si="2"/>
        <v>5.0964479166666665</v>
      </c>
      <c r="R42" s="161"/>
      <c r="S42" s="161"/>
      <c r="T42" s="161"/>
      <c r="U42" s="161"/>
    </row>
    <row r="43" spans="1:21" s="2" customFormat="1">
      <c r="A43" s="144" t="s">
        <v>51</v>
      </c>
      <c r="B43" s="161">
        <f t="shared" ref="B43:Q43" si="3">STDEV(B9:B38)</f>
        <v>5.5688557248024528</v>
      </c>
      <c r="C43" s="161">
        <f t="shared" si="3"/>
        <v>9.5452098702576009</v>
      </c>
      <c r="D43" s="161">
        <f t="shared" si="3"/>
        <v>8.6944467454732131</v>
      </c>
      <c r="E43" s="161">
        <f t="shared" si="3"/>
        <v>4.8985059401975422</v>
      </c>
      <c r="F43" s="161">
        <f t="shared" si="3"/>
        <v>6.5564950346028352</v>
      </c>
      <c r="G43" s="161">
        <f t="shared" si="3"/>
        <v>28.834896982260869</v>
      </c>
      <c r="H43" s="161">
        <f t="shared" si="3"/>
        <v>13.986788283285891</v>
      </c>
      <c r="I43" s="161">
        <f t="shared" si="3"/>
        <v>1.772496797822307</v>
      </c>
      <c r="J43" s="161">
        <f t="shared" si="3"/>
        <v>0.17692839260648049</v>
      </c>
      <c r="K43" s="161">
        <f t="shared" si="3"/>
        <v>43.46798945349942</v>
      </c>
      <c r="L43" s="161">
        <f t="shared" si="3"/>
        <v>3.9494468914802678</v>
      </c>
      <c r="M43" s="161">
        <f t="shared" si="3"/>
        <v>23.833997678271007</v>
      </c>
      <c r="N43" s="161">
        <f t="shared" si="3"/>
        <v>45.165457479908362</v>
      </c>
      <c r="O43" s="161">
        <f t="shared" si="3"/>
        <v>0</v>
      </c>
      <c r="P43" s="161">
        <f t="shared" si="3"/>
        <v>0.1549879264122617</v>
      </c>
      <c r="Q43" s="161">
        <f t="shared" si="3"/>
        <v>0.5566244584976705</v>
      </c>
      <c r="R43" s="161"/>
      <c r="S43" s="161"/>
      <c r="T43" s="161"/>
      <c r="U43" s="161"/>
    </row>
    <row r="44" spans="1:21" s="2" customFormat="1">
      <c r="A44" s="144" t="s">
        <v>52</v>
      </c>
      <c r="B44" s="147">
        <f t="shared" ref="B44:Q44" si="4">COUNT(B9:B38)</f>
        <v>30</v>
      </c>
      <c r="C44" s="147">
        <f t="shared" si="4"/>
        <v>30</v>
      </c>
      <c r="D44" s="147">
        <f t="shared" si="4"/>
        <v>30</v>
      </c>
      <c r="E44" s="147">
        <f t="shared" si="4"/>
        <v>30</v>
      </c>
      <c r="F44" s="147">
        <f t="shared" si="4"/>
        <v>30</v>
      </c>
      <c r="G44" s="147">
        <f t="shared" si="4"/>
        <v>30</v>
      </c>
      <c r="H44" s="147">
        <f t="shared" si="4"/>
        <v>30</v>
      </c>
      <c r="I44" s="147">
        <f t="shared" si="4"/>
        <v>30</v>
      </c>
      <c r="J44" s="147">
        <f t="shared" si="4"/>
        <v>30</v>
      </c>
      <c r="K44" s="147">
        <f t="shared" si="4"/>
        <v>30</v>
      </c>
      <c r="L44" s="147">
        <f t="shared" si="4"/>
        <v>30</v>
      </c>
      <c r="M44" s="147">
        <f t="shared" si="4"/>
        <v>30</v>
      </c>
      <c r="N44" s="147">
        <f t="shared" si="4"/>
        <v>30</v>
      </c>
      <c r="O44" s="147">
        <f t="shared" si="4"/>
        <v>30</v>
      </c>
      <c r="P44" s="147">
        <f t="shared" si="4"/>
        <v>30</v>
      </c>
      <c r="Q44" s="147">
        <f t="shared" si="4"/>
        <v>30</v>
      </c>
      <c r="R44" s="147"/>
      <c r="S44" s="147"/>
      <c r="T44" s="147"/>
      <c r="U44" s="147"/>
    </row>
    <row r="45" spans="1:21" s="2" customFormat="1">
      <c r="A45" s="144" t="s">
        <v>53</v>
      </c>
      <c r="B45" s="147" t="str">
        <f>IF(B44&gt;=28,"&gt;90%",IF(B44&lt;=28,"&lt;90%"))</f>
        <v>&gt;90%</v>
      </c>
      <c r="C45" s="147" t="str">
        <f t="shared" ref="C45:Q45" si="5">IF(C44&gt;=28,"&gt;90%",IF(C44&lt;=28,"&lt;90%"))</f>
        <v>&gt;90%</v>
      </c>
      <c r="D45" s="147" t="str">
        <f t="shared" si="5"/>
        <v>&gt;90%</v>
      </c>
      <c r="E45" s="147" t="str">
        <f t="shared" si="5"/>
        <v>&gt;90%</v>
      </c>
      <c r="F45" s="147" t="str">
        <f t="shared" si="5"/>
        <v>&gt;90%</v>
      </c>
      <c r="G45" s="147" t="str">
        <f t="shared" si="5"/>
        <v>&gt;90%</v>
      </c>
      <c r="H45" s="147" t="str">
        <f t="shared" si="5"/>
        <v>&gt;90%</v>
      </c>
      <c r="I45" s="147" t="str">
        <f t="shared" si="5"/>
        <v>&gt;90%</v>
      </c>
      <c r="J45" s="147" t="str">
        <f t="shared" si="5"/>
        <v>&gt;90%</v>
      </c>
      <c r="K45" s="147" t="str">
        <f t="shared" si="5"/>
        <v>&gt;90%</v>
      </c>
      <c r="L45" s="147" t="str">
        <f t="shared" si="5"/>
        <v>&gt;90%</v>
      </c>
      <c r="M45" s="147" t="str">
        <f t="shared" si="5"/>
        <v>&gt;90%</v>
      </c>
      <c r="N45" s="147" t="str">
        <f t="shared" si="5"/>
        <v>&gt;90%</v>
      </c>
      <c r="O45" s="147" t="str">
        <f t="shared" si="5"/>
        <v>&gt;90%</v>
      </c>
      <c r="P45" s="147" t="str">
        <f t="shared" si="5"/>
        <v>&gt;90%</v>
      </c>
      <c r="Q45" s="147" t="str">
        <f t="shared" si="5"/>
        <v>&gt;90%</v>
      </c>
      <c r="R45" s="147"/>
      <c r="S45" s="147"/>
      <c r="T45" s="147"/>
      <c r="U45" s="147"/>
    </row>
    <row r="46" spans="1:21">
      <c r="A46" s="144" t="s">
        <v>54</v>
      </c>
      <c r="B46" s="147" t="str">
        <f>IF(B44&gt;=28,"OK",IF(B44&lt;=28,"LESS"))</f>
        <v>OK</v>
      </c>
      <c r="C46" s="147" t="str">
        <f t="shared" ref="C46:Q46" si="6">IF(C44&gt;=28,"OK",IF(C44&lt;=28,"LESS"))</f>
        <v>OK</v>
      </c>
      <c r="D46" s="147" t="str">
        <f t="shared" si="6"/>
        <v>OK</v>
      </c>
      <c r="E46" s="147" t="str">
        <f t="shared" si="6"/>
        <v>OK</v>
      </c>
      <c r="F46" s="147" t="str">
        <f t="shared" si="6"/>
        <v>OK</v>
      </c>
      <c r="G46" s="147" t="str">
        <f t="shared" si="6"/>
        <v>OK</v>
      </c>
      <c r="H46" s="147" t="str">
        <f t="shared" si="6"/>
        <v>OK</v>
      </c>
      <c r="I46" s="147" t="str">
        <f t="shared" si="6"/>
        <v>OK</v>
      </c>
      <c r="J46" s="147" t="str">
        <f t="shared" si="6"/>
        <v>OK</v>
      </c>
      <c r="K46" s="147" t="str">
        <f t="shared" si="6"/>
        <v>OK</v>
      </c>
      <c r="L46" s="147" t="str">
        <f t="shared" si="6"/>
        <v>OK</v>
      </c>
      <c r="M46" s="147" t="str">
        <f t="shared" si="6"/>
        <v>OK</v>
      </c>
      <c r="N46" s="147" t="str">
        <f t="shared" si="6"/>
        <v>OK</v>
      </c>
      <c r="O46" s="147" t="str">
        <f t="shared" si="6"/>
        <v>OK</v>
      </c>
      <c r="P46" s="147" t="str">
        <f t="shared" si="6"/>
        <v>OK</v>
      </c>
      <c r="Q46" s="147" t="str">
        <f t="shared" si="6"/>
        <v>OK</v>
      </c>
      <c r="R46" s="147"/>
      <c r="S46" s="147"/>
      <c r="T46" s="147"/>
      <c r="U46" s="147"/>
    </row>
    <row r="47" spans="1:2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9" spans="1:16">
      <c r="A49" s="144" t="s">
        <v>55</v>
      </c>
      <c r="B49" s="192" t="s">
        <v>56</v>
      </c>
      <c r="C49" s="192"/>
      <c r="D49" s="19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162"/>
      <c r="B50" s="2"/>
      <c r="C50" s="2"/>
      <c r="D50" s="163"/>
      <c r="E50" s="163"/>
      <c r="F50" s="163"/>
      <c r="G50" s="163"/>
      <c r="H50" s="163"/>
      <c r="I50" s="163"/>
      <c r="J50" s="2"/>
      <c r="K50" s="2"/>
      <c r="L50" s="2"/>
      <c r="M50" s="2"/>
      <c r="N50" s="2"/>
      <c r="O50" s="2"/>
      <c r="P50" s="2"/>
    </row>
    <row r="51" spans="1:16" ht="15.75">
      <c r="A51" s="164" t="s">
        <v>57</v>
      </c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</row>
    <row r="52" spans="1:16">
      <c r="A52" s="16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</sheetData>
  <mergeCells count="2">
    <mergeCell ref="B49:D49"/>
    <mergeCell ref="B51:P51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>
  <dimension ref="B1:X119"/>
  <sheetViews>
    <sheetView topLeftCell="C7" zoomScale="85" zoomScaleNormal="85" workbookViewId="0">
      <selection activeCell="U29" sqref="U29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5" t="s">
        <v>61</v>
      </c>
      <c r="E1" s="195"/>
      <c r="F1" s="195"/>
      <c r="G1" s="195"/>
      <c r="H1" s="195"/>
      <c r="I1" s="195"/>
      <c r="J1" s="196"/>
    </row>
    <row r="2" spans="2:24" ht="22.5" customHeight="1">
      <c r="B2" s="2"/>
      <c r="C2" s="91" t="s">
        <v>2</v>
      </c>
      <c r="D2" s="197" t="s">
        <v>62</v>
      </c>
      <c r="E2" s="198"/>
      <c r="F2" s="198"/>
      <c r="G2" s="198"/>
      <c r="H2" s="198"/>
      <c r="I2" s="198"/>
      <c r="J2" s="199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200" t="s">
        <v>63</v>
      </c>
      <c r="H5" s="200"/>
      <c r="I5" s="93"/>
      <c r="J5" s="93"/>
      <c r="K5" s="93"/>
      <c r="L5" s="93"/>
      <c r="M5" s="107"/>
      <c r="O5" s="108"/>
      <c r="P5" s="109"/>
      <c r="Q5" s="109"/>
      <c r="R5" s="109"/>
      <c r="S5" s="127" t="s">
        <v>64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65</v>
      </c>
      <c r="C7" s="97" t="s">
        <v>66</v>
      </c>
      <c r="D7" s="97" t="s">
        <v>67</v>
      </c>
      <c r="E7" s="97" t="s">
        <v>68</v>
      </c>
      <c r="F7" s="97" t="s">
        <v>69</v>
      </c>
      <c r="G7" s="97" t="s">
        <v>70</v>
      </c>
      <c r="H7" s="98" t="s">
        <v>71</v>
      </c>
      <c r="I7" s="97" t="s">
        <v>72</v>
      </c>
      <c r="J7" s="97" t="s">
        <v>73</v>
      </c>
      <c r="K7" s="97" t="s">
        <v>74</v>
      </c>
      <c r="L7" s="97" t="s">
        <v>54</v>
      </c>
      <c r="M7" s="39" t="s">
        <v>75</v>
      </c>
      <c r="O7" s="113" t="s">
        <v>65</v>
      </c>
      <c r="P7" s="114" t="s">
        <v>66</v>
      </c>
      <c r="Q7" s="114" t="s">
        <v>76</v>
      </c>
      <c r="R7" s="114" t="s">
        <v>11</v>
      </c>
      <c r="S7" s="114" t="s">
        <v>77</v>
      </c>
      <c r="T7" s="114" t="s">
        <v>78</v>
      </c>
      <c r="U7" s="132" t="s">
        <v>79</v>
      </c>
      <c r="V7" s="132" t="s">
        <v>80</v>
      </c>
      <c r="W7" s="114" t="s">
        <v>54</v>
      </c>
      <c r="X7" s="133" t="s">
        <v>75</v>
      </c>
    </row>
    <row r="8" spans="2:24" ht="15.75">
      <c r="B8" s="82"/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95"/>
      <c r="I8" s="6">
        <v>0</v>
      </c>
      <c r="J8" s="95" t="e">
        <f>F8/H8</f>
        <v>#DIV/0!</v>
      </c>
      <c r="K8" s="95">
        <f>(H8-F8)*100/F8</f>
        <v>-100</v>
      </c>
      <c r="L8" s="6" t="s">
        <v>81</v>
      </c>
      <c r="M8" s="115" t="s">
        <v>56</v>
      </c>
      <c r="O8" s="82">
        <v>45091.520833333336</v>
      </c>
      <c r="P8" s="112" t="s">
        <v>64</v>
      </c>
      <c r="Q8" s="112">
        <v>4885.18</v>
      </c>
      <c r="R8" s="112">
        <v>3754.42</v>
      </c>
      <c r="S8" s="134" t="s">
        <v>82</v>
      </c>
      <c r="T8" s="134">
        <v>882.84</v>
      </c>
      <c r="U8" s="130">
        <v>0.99270000000000003</v>
      </c>
      <c r="V8" s="130">
        <v>0.97160000000000002</v>
      </c>
      <c r="W8" s="6" t="s">
        <v>81</v>
      </c>
      <c r="X8" s="115" t="s">
        <v>56</v>
      </c>
    </row>
    <row r="9" spans="2:24" ht="15.75">
      <c r="B9" s="82"/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95"/>
      <c r="I9" s="6">
        <v>0</v>
      </c>
      <c r="J9" s="95" t="e">
        <f t="shared" ref="J9:J14" si="0">F9/H9</f>
        <v>#DIV/0!</v>
      </c>
      <c r="K9" s="95">
        <f t="shared" ref="K9:K14" si="1">(H9-F9)*100/F9</f>
        <v>-100</v>
      </c>
      <c r="L9" s="6" t="s">
        <v>81</v>
      </c>
      <c r="M9" s="115" t="s">
        <v>56</v>
      </c>
      <c r="O9" s="82">
        <v>45100.560416666667</v>
      </c>
      <c r="P9" s="112" t="s">
        <v>64</v>
      </c>
      <c r="Q9" s="112">
        <v>4783.7</v>
      </c>
      <c r="R9" s="112">
        <v>3667.69</v>
      </c>
      <c r="S9" s="134" t="s">
        <v>82</v>
      </c>
      <c r="T9" s="134">
        <v>862.83</v>
      </c>
      <c r="U9" s="130">
        <v>0.97160000000000002</v>
      </c>
      <c r="V9" s="130">
        <v>0.97289999999999999</v>
      </c>
      <c r="W9" s="6" t="s">
        <v>81</v>
      </c>
      <c r="X9" s="115" t="s">
        <v>56</v>
      </c>
    </row>
    <row r="10" spans="2:24" ht="15.75">
      <c r="B10" s="82"/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81</v>
      </c>
      <c r="M10" s="115" t="s">
        <v>56</v>
      </c>
      <c r="O10" s="82">
        <v>45105.493750000001</v>
      </c>
      <c r="P10" s="112" t="s">
        <v>64</v>
      </c>
      <c r="Q10" s="112">
        <v>4768.33</v>
      </c>
      <c r="R10" s="112">
        <v>3645.87</v>
      </c>
      <c r="S10" s="134" t="s">
        <v>82</v>
      </c>
      <c r="T10" s="134">
        <v>870.37</v>
      </c>
      <c r="U10" s="130">
        <v>0.97289999999999999</v>
      </c>
      <c r="V10" s="130">
        <v>0.9657</v>
      </c>
      <c r="W10" s="6" t="s">
        <v>81</v>
      </c>
      <c r="X10" s="115" t="s">
        <v>56</v>
      </c>
    </row>
    <row r="11" spans="2:24" ht="15.75">
      <c r="B11" s="8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81</v>
      </c>
      <c r="M11" s="115" t="s">
        <v>56</v>
      </c>
      <c r="O11" s="82"/>
      <c r="P11" s="112" t="s">
        <v>64</v>
      </c>
      <c r="Q11" s="112"/>
      <c r="R11" s="112"/>
      <c r="S11" s="134" t="s">
        <v>82</v>
      </c>
      <c r="T11" s="134"/>
      <c r="U11" s="130"/>
      <c r="V11" s="130"/>
      <c r="W11" s="6" t="s">
        <v>81</v>
      </c>
      <c r="X11" s="115" t="s">
        <v>56</v>
      </c>
    </row>
    <row r="12" spans="2:24" ht="15.75">
      <c r="B12" s="8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81</v>
      </c>
      <c r="M12" s="115" t="s">
        <v>56</v>
      </c>
      <c r="O12" s="82"/>
      <c r="P12" s="112" t="s">
        <v>64</v>
      </c>
      <c r="Q12" s="112"/>
      <c r="R12" s="112"/>
      <c r="S12" s="134" t="s">
        <v>82</v>
      </c>
      <c r="T12" s="134"/>
      <c r="U12" s="130"/>
      <c r="V12" s="130"/>
      <c r="W12" s="6" t="s">
        <v>81</v>
      </c>
      <c r="X12" s="115" t="s">
        <v>56</v>
      </c>
    </row>
    <row r="13" spans="2:24" ht="15.75">
      <c r="B13" s="8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81</v>
      </c>
      <c r="M13" s="115" t="s">
        <v>56</v>
      </c>
      <c r="O13" s="82"/>
      <c r="P13" s="112" t="s">
        <v>64</v>
      </c>
      <c r="Q13" s="112"/>
      <c r="R13" s="112"/>
      <c r="S13" s="134" t="s">
        <v>82</v>
      </c>
      <c r="T13" s="134"/>
      <c r="U13" s="130"/>
      <c r="V13" s="130"/>
      <c r="W13" s="6" t="s">
        <v>81</v>
      </c>
      <c r="X13" s="115" t="s">
        <v>56</v>
      </c>
    </row>
    <row r="14" spans="2:24" ht="15.75">
      <c r="B14" s="8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81</v>
      </c>
      <c r="M14" s="115" t="s">
        <v>56</v>
      </c>
      <c r="O14" s="82"/>
      <c r="P14" s="112" t="s">
        <v>64</v>
      </c>
      <c r="Q14" s="112"/>
      <c r="R14" s="112"/>
      <c r="S14" s="134" t="s">
        <v>82</v>
      </c>
      <c r="T14" s="134"/>
      <c r="U14" s="130"/>
      <c r="V14" s="130"/>
      <c r="W14" s="6" t="s">
        <v>81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64</v>
      </c>
      <c r="Q15" s="112"/>
      <c r="R15" s="112"/>
      <c r="S15" s="134" t="s">
        <v>82</v>
      </c>
      <c r="T15" s="134"/>
      <c r="U15" s="130"/>
      <c r="V15" s="130"/>
      <c r="W15" s="6" t="s">
        <v>81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64</v>
      </c>
      <c r="Q16" s="112"/>
      <c r="R16" s="112"/>
      <c r="S16" s="134" t="s">
        <v>82</v>
      </c>
      <c r="T16" s="134"/>
      <c r="U16" s="130"/>
      <c r="V16" s="130"/>
      <c r="W16" s="6" t="s">
        <v>81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64</v>
      </c>
      <c r="Q17" s="112"/>
      <c r="R17" s="112"/>
      <c r="S17" s="134" t="s">
        <v>82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201" t="s">
        <v>83</v>
      </c>
      <c r="D21" s="201"/>
      <c r="E21" s="201"/>
      <c r="F21" s="201"/>
      <c r="G21" s="201"/>
      <c r="H21" s="201"/>
      <c r="I21" s="119">
        <f>COUNT(B8:B20)</f>
        <v>0</v>
      </c>
      <c r="J21" s="120"/>
      <c r="K21" s="120"/>
      <c r="L21" s="106"/>
      <c r="M21" s="121"/>
      <c r="O21" s="122"/>
      <c r="P21" s="202" t="s">
        <v>84</v>
      </c>
      <c r="Q21" s="202"/>
      <c r="R21" s="202"/>
      <c r="S21" s="202"/>
      <c r="T21" s="135">
        <f>COUNT(O8:O20)</f>
        <v>3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203" t="s">
        <v>85</v>
      </c>
      <c r="H24" s="203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65</v>
      </c>
      <c r="C26" s="97" t="s">
        <v>66</v>
      </c>
      <c r="D26" s="97" t="s">
        <v>67</v>
      </c>
      <c r="E26" s="97" t="s">
        <v>68</v>
      </c>
      <c r="F26" s="97" t="s">
        <v>69</v>
      </c>
      <c r="G26" s="97" t="s">
        <v>70</v>
      </c>
      <c r="H26" s="98" t="s">
        <v>71</v>
      </c>
      <c r="I26" s="97" t="s">
        <v>72</v>
      </c>
      <c r="J26" s="97" t="s">
        <v>73</v>
      </c>
      <c r="K26" s="97" t="s">
        <v>74</v>
      </c>
      <c r="L26" s="97" t="s">
        <v>54</v>
      </c>
      <c r="M26" s="39" t="s">
        <v>75</v>
      </c>
      <c r="O26" s="113" t="s">
        <v>65</v>
      </c>
      <c r="P26" s="114" t="s">
        <v>66</v>
      </c>
      <c r="Q26" s="114" t="s">
        <v>76</v>
      </c>
      <c r="R26" s="114" t="s">
        <v>11</v>
      </c>
      <c r="S26" s="114" t="s">
        <v>77</v>
      </c>
      <c r="T26" s="114" t="s">
        <v>78</v>
      </c>
      <c r="U26" s="132" t="s">
        <v>79</v>
      </c>
      <c r="V26" s="132" t="s">
        <v>80</v>
      </c>
      <c r="W26" s="114" t="s">
        <v>54</v>
      </c>
      <c r="X26" s="133" t="s">
        <v>75</v>
      </c>
    </row>
    <row r="27" spans="2:24" ht="15.75">
      <c r="B27" s="82"/>
      <c r="C27" s="6" t="s">
        <v>86</v>
      </c>
      <c r="D27" s="6" t="s">
        <v>39</v>
      </c>
      <c r="E27" s="6">
        <v>0</v>
      </c>
      <c r="F27" s="6">
        <v>200</v>
      </c>
      <c r="G27" s="6"/>
      <c r="H27" s="95"/>
      <c r="I27" s="6">
        <v>0</v>
      </c>
      <c r="J27" s="95" t="e">
        <f>F27/H27</f>
        <v>#DIV/0!</v>
      </c>
      <c r="K27" s="95">
        <f>(H27-F27)*100/F27</f>
        <v>-100</v>
      </c>
      <c r="L27" s="6" t="s">
        <v>81</v>
      </c>
      <c r="M27" s="115" t="s">
        <v>56</v>
      </c>
      <c r="O27" s="82">
        <v>45091.520833333336</v>
      </c>
      <c r="P27" s="112" t="s">
        <v>29</v>
      </c>
      <c r="Q27" s="112">
        <v>4634.72</v>
      </c>
      <c r="R27" s="112">
        <v>3609.63</v>
      </c>
      <c r="S27" s="134" t="s">
        <v>87</v>
      </c>
      <c r="T27" s="134">
        <v>791.63</v>
      </c>
      <c r="U27" s="130">
        <v>0.93789999999999996</v>
      </c>
      <c r="V27" s="130">
        <v>0.93479999999999996</v>
      </c>
      <c r="W27" s="6" t="s">
        <v>81</v>
      </c>
      <c r="X27" s="115" t="s">
        <v>56</v>
      </c>
    </row>
    <row r="28" spans="2:24" ht="15.75">
      <c r="B28" s="82"/>
      <c r="C28" s="6" t="s">
        <v>86</v>
      </c>
      <c r="D28" s="6" t="s">
        <v>39</v>
      </c>
      <c r="E28" s="6">
        <v>0</v>
      </c>
      <c r="F28" s="6">
        <v>200</v>
      </c>
      <c r="G28" s="6"/>
      <c r="H28" s="95"/>
      <c r="I28" s="6">
        <v>0</v>
      </c>
      <c r="J28" s="95" t="e">
        <f t="shared" ref="J28:J33" si="2">F28/H28</f>
        <v>#DIV/0!</v>
      </c>
      <c r="K28" s="95">
        <f t="shared" ref="K28:K33" si="3">(H28-F28)*100/F28</f>
        <v>-100</v>
      </c>
      <c r="L28" s="6" t="s">
        <v>81</v>
      </c>
      <c r="M28" s="115" t="s">
        <v>56</v>
      </c>
      <c r="O28" s="82">
        <v>45100.560416666667</v>
      </c>
      <c r="P28" s="112" t="s">
        <v>29</v>
      </c>
      <c r="Q28" s="112">
        <v>4502.96</v>
      </c>
      <c r="R28" s="112">
        <v>3494.87</v>
      </c>
      <c r="S28" s="134" t="s">
        <v>87</v>
      </c>
      <c r="T28" s="134">
        <v>790.37</v>
      </c>
      <c r="U28" s="130">
        <v>0.93479999999999996</v>
      </c>
      <c r="V28" s="130">
        <v>0.93320000000000003</v>
      </c>
      <c r="W28" s="6" t="s">
        <v>81</v>
      </c>
      <c r="X28" s="115" t="s">
        <v>56</v>
      </c>
    </row>
    <row r="29" spans="2:24" ht="15.75">
      <c r="B29" s="82"/>
      <c r="C29" s="6" t="s">
        <v>86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81</v>
      </c>
      <c r="M29" s="115" t="s">
        <v>56</v>
      </c>
      <c r="O29" s="82">
        <v>45105.493750000001</v>
      </c>
      <c r="P29" s="112" t="s">
        <v>29</v>
      </c>
      <c r="Q29" s="112">
        <v>4421.6899999999996</v>
      </c>
      <c r="R29" s="112">
        <v>3414.37</v>
      </c>
      <c r="S29" s="134" t="s">
        <v>87</v>
      </c>
      <c r="T29" s="134">
        <v>801.4</v>
      </c>
      <c r="U29" s="130">
        <v>0.93320000000000003</v>
      </c>
      <c r="V29" s="130">
        <v>0.91869999999999996</v>
      </c>
      <c r="W29" s="6" t="s">
        <v>81</v>
      </c>
      <c r="X29" s="115" t="s">
        <v>56</v>
      </c>
    </row>
    <row r="30" spans="2:24" ht="15.75">
      <c r="B30" s="82"/>
      <c r="C30" s="6" t="s">
        <v>86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81</v>
      </c>
      <c r="M30" s="115" t="s">
        <v>56</v>
      </c>
      <c r="O30" s="82"/>
      <c r="P30" s="112" t="s">
        <v>29</v>
      </c>
      <c r="Q30" s="112"/>
      <c r="R30" s="112"/>
      <c r="S30" s="134" t="s">
        <v>87</v>
      </c>
      <c r="T30" s="134"/>
      <c r="U30" s="130"/>
      <c r="V30" s="130"/>
      <c r="W30" s="6" t="s">
        <v>81</v>
      </c>
      <c r="X30" s="115" t="s">
        <v>56</v>
      </c>
    </row>
    <row r="31" spans="2:24" ht="15.75">
      <c r="B31" s="82"/>
      <c r="C31" s="6" t="s">
        <v>86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81</v>
      </c>
      <c r="M31" s="115" t="s">
        <v>56</v>
      </c>
      <c r="O31" s="82"/>
      <c r="P31" s="112" t="s">
        <v>29</v>
      </c>
      <c r="Q31" s="112"/>
      <c r="R31" s="112"/>
      <c r="S31" s="134" t="s">
        <v>87</v>
      </c>
      <c r="T31" s="134"/>
      <c r="U31" s="130"/>
      <c r="V31" s="130"/>
      <c r="W31" s="6" t="s">
        <v>81</v>
      </c>
      <c r="X31" s="115" t="s">
        <v>56</v>
      </c>
    </row>
    <row r="32" spans="2:24" ht="15.75">
      <c r="B32" s="82"/>
      <c r="C32" s="6" t="s">
        <v>86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81</v>
      </c>
      <c r="M32" s="115" t="s">
        <v>56</v>
      </c>
      <c r="O32" s="82"/>
      <c r="P32" s="112" t="s">
        <v>29</v>
      </c>
      <c r="Q32" s="112"/>
      <c r="R32" s="112"/>
      <c r="S32" s="134" t="s">
        <v>87</v>
      </c>
      <c r="T32" s="134"/>
      <c r="U32" s="130"/>
      <c r="V32" s="130"/>
      <c r="W32" s="6" t="s">
        <v>81</v>
      </c>
      <c r="X32" s="115" t="s">
        <v>56</v>
      </c>
    </row>
    <row r="33" spans="2:24" ht="15.75">
      <c r="B33" s="82"/>
      <c r="C33" s="6" t="s">
        <v>86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81</v>
      </c>
      <c r="M33" s="115" t="s">
        <v>56</v>
      </c>
      <c r="O33" s="82"/>
      <c r="P33" s="112" t="s">
        <v>29</v>
      </c>
      <c r="Q33" s="112"/>
      <c r="R33" s="112"/>
      <c r="S33" s="134" t="s">
        <v>87</v>
      </c>
      <c r="T33" s="134"/>
      <c r="U33" s="130"/>
      <c r="V33" s="130"/>
      <c r="W33" s="6" t="s">
        <v>81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87</v>
      </c>
      <c r="T34" s="134"/>
      <c r="U34" s="130"/>
      <c r="V34" s="130"/>
      <c r="W34" s="6" t="s">
        <v>81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87</v>
      </c>
      <c r="T35" s="134"/>
      <c r="U35" s="130"/>
      <c r="V35" s="130"/>
      <c r="W35" s="6" t="s">
        <v>81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87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87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202" t="s">
        <v>88</v>
      </c>
      <c r="Q40" s="202"/>
      <c r="R40" s="202"/>
      <c r="S40" s="202"/>
      <c r="T40" s="135">
        <f>COUNT(O27:O39)</f>
        <v>3</v>
      </c>
      <c r="U40" s="136"/>
      <c r="V40" s="136"/>
      <c r="W40" s="137"/>
      <c r="X40" s="138"/>
    </row>
    <row r="41" spans="2:24">
      <c r="B41" s="99"/>
      <c r="C41" s="106"/>
      <c r="D41" s="201" t="s">
        <v>89</v>
      </c>
      <c r="E41" s="201"/>
      <c r="F41" s="201"/>
      <c r="G41" s="201"/>
      <c r="H41" s="201"/>
      <c r="I41" s="201"/>
      <c r="J41" s="126">
        <f>COUNT(B27:B39)</f>
        <v>0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203" t="s">
        <v>38</v>
      </c>
      <c r="H44" s="203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65</v>
      </c>
      <c r="C46" s="97" t="s">
        <v>66</v>
      </c>
      <c r="D46" s="97" t="s">
        <v>67</v>
      </c>
      <c r="E46" s="97" t="s">
        <v>68</v>
      </c>
      <c r="F46" s="97" t="s">
        <v>69</v>
      </c>
      <c r="G46" s="97" t="s">
        <v>70</v>
      </c>
      <c r="H46" s="98" t="s">
        <v>71</v>
      </c>
      <c r="I46" s="97" t="s">
        <v>72</v>
      </c>
      <c r="J46" s="97" t="s">
        <v>73</v>
      </c>
      <c r="K46" s="97" t="s">
        <v>74</v>
      </c>
      <c r="L46" s="97" t="s">
        <v>54</v>
      </c>
      <c r="M46" s="39" t="s">
        <v>75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81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81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81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81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81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201" t="s">
        <v>90</v>
      </c>
      <c r="E61" s="201"/>
      <c r="F61" s="201"/>
      <c r="G61" s="201"/>
      <c r="H61" s="201"/>
      <c r="I61" s="201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203" t="s">
        <v>37</v>
      </c>
      <c r="H64" s="203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65</v>
      </c>
      <c r="C66" s="97" t="s">
        <v>66</v>
      </c>
      <c r="D66" s="97" t="s">
        <v>67</v>
      </c>
      <c r="E66" s="97" t="s">
        <v>68</v>
      </c>
      <c r="F66" s="97" t="s">
        <v>69</v>
      </c>
      <c r="G66" s="97" t="s">
        <v>70</v>
      </c>
      <c r="H66" s="98" t="s">
        <v>71</v>
      </c>
      <c r="I66" s="97" t="s">
        <v>72</v>
      </c>
      <c r="J66" s="97" t="s">
        <v>73</v>
      </c>
      <c r="K66" s="97" t="s">
        <v>74</v>
      </c>
      <c r="L66" s="97" t="s">
        <v>54</v>
      </c>
      <c r="M66" s="39" t="s">
        <v>75</v>
      </c>
    </row>
    <row r="67" spans="2:13" ht="15.75">
      <c r="B67" s="82"/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/>
      <c r="I67" s="6">
        <v>0</v>
      </c>
      <c r="J67" s="95" t="e">
        <f>F67/H67</f>
        <v>#DIV/0!</v>
      </c>
      <c r="K67" s="95">
        <f>(H67-F67)*100/F67</f>
        <v>-100</v>
      </c>
      <c r="L67" s="6" t="s">
        <v>81</v>
      </c>
      <c r="M67" s="115" t="s">
        <v>56</v>
      </c>
    </row>
    <row r="68" spans="2:13" ht="15.75">
      <c r="B68" s="82"/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/>
      <c r="I68" s="6">
        <v>0</v>
      </c>
      <c r="J68" s="95" t="e">
        <f t="shared" ref="J68:J73" si="4">F68/H68</f>
        <v>#DIV/0!</v>
      </c>
      <c r="K68" s="95">
        <f t="shared" ref="K68:K73" si="5">(H68-F68)*100/F68</f>
        <v>-100</v>
      </c>
      <c r="L68" s="6" t="s">
        <v>81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81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81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81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81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81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201" t="s">
        <v>91</v>
      </c>
      <c r="E81" s="201"/>
      <c r="F81" s="201"/>
      <c r="G81" s="201"/>
      <c r="H81" s="201"/>
      <c r="I81" s="201"/>
      <c r="J81" s="126">
        <f>COUNT(B67:B79)</f>
        <v>0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203" t="s">
        <v>92</v>
      </c>
      <c r="H84" s="203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65</v>
      </c>
      <c r="C86" s="97" t="s">
        <v>66</v>
      </c>
      <c r="D86" s="97" t="s">
        <v>67</v>
      </c>
      <c r="E86" s="97" t="s">
        <v>68</v>
      </c>
      <c r="F86" s="97" t="s">
        <v>69</v>
      </c>
      <c r="G86" s="97" t="s">
        <v>70</v>
      </c>
      <c r="H86" s="98" t="s">
        <v>71</v>
      </c>
      <c r="I86" s="97" t="s">
        <v>72</v>
      </c>
      <c r="J86" s="97" t="s">
        <v>73</v>
      </c>
      <c r="K86" s="97" t="s">
        <v>74</v>
      </c>
      <c r="L86" s="97" t="s">
        <v>54</v>
      </c>
      <c r="M86" s="39" t="s">
        <v>75</v>
      </c>
    </row>
    <row r="87" spans="2:13" ht="15.75">
      <c r="B87" s="82"/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81</v>
      </c>
      <c r="M87" s="115" t="s">
        <v>56</v>
      </c>
    </row>
    <row r="88" spans="2:13" ht="15.75">
      <c r="B88" s="82"/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81</v>
      </c>
      <c r="M88" s="115" t="s">
        <v>56</v>
      </c>
    </row>
    <row r="89" spans="2:13" ht="15.75">
      <c r="B89" s="82"/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81</v>
      </c>
      <c r="M89" s="115" t="s">
        <v>56</v>
      </c>
    </row>
    <row r="90" spans="2:13" ht="15.75">
      <c r="B90" s="8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81</v>
      </c>
      <c r="M90" s="115" t="s">
        <v>56</v>
      </c>
    </row>
    <row r="91" spans="2:13" ht="15.75">
      <c r="B91" s="8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81</v>
      </c>
      <c r="M91" s="115" t="s">
        <v>56</v>
      </c>
    </row>
    <row r="92" spans="2:13" ht="15.75">
      <c r="B92" s="8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81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201" t="s">
        <v>93</v>
      </c>
      <c r="E101" s="201"/>
      <c r="F101" s="201"/>
      <c r="G101" s="201"/>
      <c r="H101" s="201"/>
      <c r="I101" s="201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200" t="s">
        <v>94</v>
      </c>
      <c r="H104" s="200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65</v>
      </c>
      <c r="C106" s="97" t="s">
        <v>66</v>
      </c>
      <c r="D106" s="97" t="s">
        <v>67</v>
      </c>
      <c r="E106" s="97" t="s">
        <v>68</v>
      </c>
      <c r="F106" s="97" t="s">
        <v>69</v>
      </c>
      <c r="G106" s="97" t="s">
        <v>70</v>
      </c>
      <c r="H106" s="98" t="s">
        <v>71</v>
      </c>
      <c r="I106" s="97" t="s">
        <v>72</v>
      </c>
      <c r="J106" s="97" t="s">
        <v>73</v>
      </c>
      <c r="K106" s="97" t="s">
        <v>74</v>
      </c>
      <c r="L106" s="97" t="s">
        <v>54</v>
      </c>
      <c r="M106" s="141" t="s">
        <v>75</v>
      </c>
    </row>
    <row r="107" spans="2:13" ht="15.75">
      <c r="B107" s="82">
        <v>45091.591666666667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95">
        <v>320.7</v>
      </c>
      <c r="I107" s="6">
        <f>G107-E107</f>
        <v>0</v>
      </c>
      <c r="J107" s="95">
        <f>F107/H107</f>
        <v>0.99781727471156845</v>
      </c>
      <c r="K107" s="95">
        <f>(H107-F107)*100/F107</f>
        <v>0.21874999999999645</v>
      </c>
      <c r="L107" s="6" t="s">
        <v>81</v>
      </c>
      <c r="M107" s="115" t="s">
        <v>56</v>
      </c>
    </row>
    <row r="108" spans="2:13" ht="15.75">
      <c r="B108" s="82">
        <v>45105.495138888888</v>
      </c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95">
        <v>319.60000000000002</v>
      </c>
      <c r="I108" s="6">
        <f>G108-E108</f>
        <v>0</v>
      </c>
      <c r="J108" s="95">
        <f>F108/H108</f>
        <v>1.0012515644555693</v>
      </c>
      <c r="K108" s="95">
        <f>(H108-F108)*100/F108</f>
        <v>-0.12499999999999289</v>
      </c>
      <c r="L108" s="6" t="s">
        <v>81</v>
      </c>
      <c r="M108" s="115" t="s">
        <v>56</v>
      </c>
    </row>
    <row r="109" spans="2:13" ht="15.75">
      <c r="B109" s="82"/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81</v>
      </c>
      <c r="M109" s="115" t="s">
        <v>56</v>
      </c>
    </row>
    <row r="110" spans="2:13" ht="15.75">
      <c r="B110" s="8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81</v>
      </c>
      <c r="M110" s="115" t="s">
        <v>56</v>
      </c>
    </row>
    <row r="111" spans="2:13" ht="15.75">
      <c r="B111" s="8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81</v>
      </c>
      <c r="M111" s="115" t="s">
        <v>56</v>
      </c>
    </row>
    <row r="112" spans="2:13" ht="15.75">
      <c r="B112" s="8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81</v>
      </c>
      <c r="M112" s="115" t="s">
        <v>56</v>
      </c>
    </row>
    <row r="113" spans="2:13" ht="15.75">
      <c r="B113" s="8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81</v>
      </c>
      <c r="M113" s="115" t="s">
        <v>56</v>
      </c>
    </row>
    <row r="114" spans="2:13" ht="15.75">
      <c r="B114" s="8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81</v>
      </c>
      <c r="M114" s="116"/>
    </row>
    <row r="115" spans="2:13" ht="15.75">
      <c r="B115" s="8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81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201" t="s">
        <v>95</v>
      </c>
      <c r="D119" s="201"/>
      <c r="E119" s="201"/>
      <c r="F119" s="201"/>
      <c r="G119" s="201"/>
      <c r="H119" s="201"/>
      <c r="I119" s="126">
        <f>COUNT(B107:B118)</f>
        <v>2</v>
      </c>
      <c r="J119" s="120"/>
      <c r="K119" s="120"/>
      <c r="L119" s="106"/>
      <c r="M119" s="121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4" t="s">
        <v>96</v>
      </c>
      <c r="C2" s="204"/>
      <c r="D2" s="206" t="str">
        <f>'MONTHLY 30'!$B$2</f>
        <v>01/06/2023 00:15</v>
      </c>
      <c r="E2" s="206"/>
    </row>
    <row r="3" spans="2:5">
      <c r="B3" s="204" t="s">
        <v>97</v>
      </c>
      <c r="C3" s="204"/>
      <c r="D3" s="206"/>
      <c r="E3" s="206"/>
    </row>
    <row r="7" spans="2:5" s="2" customFormat="1">
      <c r="B7" s="78" t="s">
        <v>98</v>
      </c>
      <c r="C7" s="78" t="s">
        <v>99</v>
      </c>
      <c r="D7" s="79" t="s">
        <v>100</v>
      </c>
    </row>
    <row r="8" spans="2:5" s="2" customFormat="1">
      <c r="B8" s="80"/>
      <c r="C8" s="80"/>
      <c r="D8" s="81">
        <f t="shared" ref="D8:D13" si="0">C8-B8</f>
        <v>0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101</v>
      </c>
      <c r="C24" s="82"/>
      <c r="D24" s="81">
        <f>SUM(D7:D23)</f>
        <v>0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5" t="s">
        <v>101</v>
      </c>
      <c r="C44" s="205"/>
      <c r="D44" s="87">
        <f>SUM(D11:D42)</f>
        <v>0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7" t="s">
        <v>102</v>
      </c>
      <c r="C2" s="207"/>
      <c r="D2" s="207"/>
      <c r="E2" s="207"/>
      <c r="F2" s="208">
        <v>1</v>
      </c>
      <c r="G2" s="209"/>
      <c r="H2" s="209"/>
    </row>
    <row r="3" spans="2:24" customFormat="1" ht="15" customHeight="1">
      <c r="B3" s="207"/>
      <c r="C3" s="207"/>
      <c r="D3" s="207"/>
      <c r="E3" s="207"/>
      <c r="F3" s="209"/>
      <c r="G3" s="209"/>
      <c r="H3" s="209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2" t="s">
        <v>94</v>
      </c>
      <c r="C12" s="223" t="s">
        <v>103</v>
      </c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46"/>
      <c r="U12" s="45"/>
    </row>
    <row r="13" spans="2:24" ht="15" customHeight="1">
      <c r="B13" s="213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4" t="s">
        <v>117</v>
      </c>
      <c r="Q13" s="4" t="s">
        <v>118</v>
      </c>
      <c r="R13" s="47"/>
      <c r="U13" s="45"/>
    </row>
    <row r="14" spans="2:24" ht="15" customHeight="1">
      <c r="B14" s="213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3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5" t="s">
        <v>132</v>
      </c>
      <c r="Q15" s="8" t="s">
        <v>133</v>
      </c>
      <c r="R15" s="49" t="s">
        <v>75</v>
      </c>
      <c r="X15" s="48"/>
    </row>
    <row r="16" spans="2:24" ht="15.75" customHeight="1">
      <c r="B16" s="213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3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3"/>
      <c r="C18" s="12" t="s">
        <v>104</v>
      </c>
      <c r="D18" s="12" t="s">
        <v>105</v>
      </c>
      <c r="E18" s="12" t="s">
        <v>106</v>
      </c>
      <c r="F18" s="12" t="s">
        <v>134</v>
      </c>
      <c r="G18" s="12" t="s">
        <v>108</v>
      </c>
      <c r="H18" s="12" t="s">
        <v>109</v>
      </c>
      <c r="I18" s="12" t="s">
        <v>110</v>
      </c>
      <c r="J18" s="12" t="s">
        <v>111</v>
      </c>
      <c r="K18" s="12" t="s">
        <v>112</v>
      </c>
      <c r="L18" s="12" t="s">
        <v>113</v>
      </c>
      <c r="M18" s="12" t="s">
        <v>114</v>
      </c>
      <c r="N18" s="12" t="s">
        <v>115</v>
      </c>
      <c r="O18" s="12" t="s">
        <v>116</v>
      </c>
      <c r="P18" s="37" t="s">
        <v>117</v>
      </c>
      <c r="Q18" s="12" t="s">
        <v>118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5" t="s">
        <v>132</v>
      </c>
      <c r="Q20" s="8" t="s">
        <v>133</v>
      </c>
      <c r="R20" s="52" t="s">
        <v>75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4" t="s">
        <v>85</v>
      </c>
      <c r="C25" s="225" t="s">
        <v>103</v>
      </c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10"/>
      <c r="S25" s="56"/>
      <c r="T25" s="57"/>
    </row>
    <row r="26" spans="2:28" ht="15" customHeight="1">
      <c r="B26" s="214"/>
      <c r="C26" s="16" t="s">
        <v>104</v>
      </c>
      <c r="D26" s="17" t="s">
        <v>135</v>
      </c>
      <c r="E26" s="17" t="s">
        <v>136</v>
      </c>
      <c r="F26" s="17" t="s">
        <v>137</v>
      </c>
      <c r="G26" s="17" t="s">
        <v>138</v>
      </c>
      <c r="H26" s="17" t="s">
        <v>139</v>
      </c>
      <c r="I26" s="17" t="s">
        <v>140</v>
      </c>
      <c r="J26" s="17" t="s">
        <v>141</v>
      </c>
      <c r="K26" s="17" t="s">
        <v>142</v>
      </c>
      <c r="L26" s="17" t="s">
        <v>143</v>
      </c>
      <c r="M26" s="17" t="s">
        <v>144</v>
      </c>
      <c r="N26" s="17" t="s">
        <v>145</v>
      </c>
      <c r="O26" s="17" t="s">
        <v>146</v>
      </c>
      <c r="P26" s="17" t="s">
        <v>147</v>
      </c>
      <c r="Q26" s="17" t="s">
        <v>148</v>
      </c>
      <c r="R26" s="17" t="s">
        <v>149</v>
      </c>
      <c r="S26" s="17" t="s">
        <v>150</v>
      </c>
      <c r="T26" s="58" t="s">
        <v>75</v>
      </c>
      <c r="Z26" s="1"/>
      <c r="AA26" s="1"/>
      <c r="AB26" s="1"/>
    </row>
    <row r="27" spans="2:28" ht="15.75" customHeight="1">
      <c r="B27" s="214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4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5"/>
      <c r="C29" s="20" t="s">
        <v>104</v>
      </c>
      <c r="D29" s="21" t="s">
        <v>135</v>
      </c>
      <c r="E29" s="21" t="s">
        <v>136</v>
      </c>
      <c r="F29" s="21" t="s">
        <v>137</v>
      </c>
      <c r="G29" s="21" t="s">
        <v>138</v>
      </c>
      <c r="H29" s="21" t="s">
        <v>139</v>
      </c>
      <c r="I29" s="21" t="s">
        <v>140</v>
      </c>
      <c r="J29" s="21" t="s">
        <v>141</v>
      </c>
      <c r="K29" s="21" t="s">
        <v>142</v>
      </c>
      <c r="L29" s="21" t="s">
        <v>143</v>
      </c>
      <c r="M29" s="21" t="s">
        <v>144</v>
      </c>
      <c r="N29" s="21" t="s">
        <v>145</v>
      </c>
      <c r="O29" s="21" t="s">
        <v>146</v>
      </c>
      <c r="P29" s="21" t="s">
        <v>147</v>
      </c>
      <c r="Q29" s="21" t="s">
        <v>148</v>
      </c>
      <c r="R29" s="21" t="s">
        <v>149</v>
      </c>
      <c r="S29" s="21" t="s">
        <v>150</v>
      </c>
      <c r="T29" s="60" t="s">
        <v>75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6" t="s">
        <v>37</v>
      </c>
      <c r="C36" s="227" t="s">
        <v>103</v>
      </c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8"/>
    </row>
    <row r="37" spans="2:25" ht="15.75" customHeight="1">
      <c r="B37" s="217"/>
      <c r="C37" s="24" t="s">
        <v>104</v>
      </c>
      <c r="D37" s="12" t="s">
        <v>135</v>
      </c>
      <c r="E37" s="12" t="s">
        <v>136</v>
      </c>
      <c r="F37" s="12" t="s">
        <v>151</v>
      </c>
      <c r="G37" s="12" t="s">
        <v>152</v>
      </c>
      <c r="H37" s="12" t="s">
        <v>153</v>
      </c>
      <c r="I37" s="12" t="s">
        <v>154</v>
      </c>
      <c r="J37" s="12" t="s">
        <v>155</v>
      </c>
      <c r="K37" s="12" t="s">
        <v>156</v>
      </c>
      <c r="L37" s="12" t="s">
        <v>157</v>
      </c>
      <c r="M37" s="12" t="s">
        <v>158</v>
      </c>
      <c r="N37" s="12" t="s">
        <v>159</v>
      </c>
      <c r="O37" s="38" t="s">
        <v>160</v>
      </c>
    </row>
    <row r="38" spans="2:25">
      <c r="B38" s="217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7"/>
      <c r="C39" s="24" t="s">
        <v>161</v>
      </c>
      <c r="D39" s="12" t="s">
        <v>162</v>
      </c>
      <c r="E39" s="12" t="s">
        <v>163</v>
      </c>
      <c r="F39" s="12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9" t="s">
        <v>75</v>
      </c>
      <c r="W39" s="1"/>
      <c r="X39" s="1"/>
      <c r="Y39" s="1"/>
    </row>
    <row r="40" spans="2:25">
      <c r="B40" s="21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104</v>
      </c>
      <c r="D42" s="12" t="s">
        <v>135</v>
      </c>
      <c r="E42" s="12" t="s">
        <v>136</v>
      </c>
      <c r="F42" s="12" t="s">
        <v>151</v>
      </c>
      <c r="G42" s="12" t="s">
        <v>152</v>
      </c>
      <c r="H42" s="12" t="s">
        <v>153</v>
      </c>
      <c r="I42" s="12" t="s">
        <v>154</v>
      </c>
      <c r="J42" s="12" t="s">
        <v>155</v>
      </c>
      <c r="K42" s="12" t="s">
        <v>156</v>
      </c>
      <c r="L42" s="12" t="s">
        <v>157</v>
      </c>
      <c r="M42" s="12" t="s">
        <v>158</v>
      </c>
      <c r="N42" s="12" t="s">
        <v>159</v>
      </c>
      <c r="O42" s="38" t="s">
        <v>160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161</v>
      </c>
      <c r="D44" s="12" t="s">
        <v>162</v>
      </c>
      <c r="E44" s="12" t="s">
        <v>163</v>
      </c>
      <c r="F44" s="12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9" t="s">
        <v>75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8" t="s">
        <v>63</v>
      </c>
      <c r="C48" s="28" t="s">
        <v>103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9"/>
      <c r="C49" s="24" t="s">
        <v>104</v>
      </c>
      <c r="D49" s="12" t="s">
        <v>126</v>
      </c>
      <c r="E49" s="12" t="s">
        <v>173</v>
      </c>
      <c r="F49" s="12" t="s">
        <v>174</v>
      </c>
      <c r="G49" s="12" t="s">
        <v>175</v>
      </c>
      <c r="H49" s="12" t="s">
        <v>176</v>
      </c>
      <c r="I49" s="12" t="s">
        <v>177</v>
      </c>
      <c r="J49" s="12" t="s">
        <v>111</v>
      </c>
      <c r="K49" s="12" t="s">
        <v>178</v>
      </c>
      <c r="L49" s="12" t="s">
        <v>179</v>
      </c>
      <c r="M49" s="12" t="s">
        <v>180</v>
      </c>
      <c r="N49" s="12" t="s">
        <v>181</v>
      </c>
      <c r="O49" s="12" t="s">
        <v>182</v>
      </c>
      <c r="P49" s="12" t="s">
        <v>183</v>
      </c>
      <c r="Q49" s="38" t="s">
        <v>184</v>
      </c>
    </row>
    <row r="50" spans="2:20">
      <c r="B50" s="219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9"/>
      <c r="C51" s="24" t="s">
        <v>185</v>
      </c>
      <c r="D51" s="12" t="s">
        <v>186</v>
      </c>
      <c r="E51" s="12" t="s">
        <v>187</v>
      </c>
      <c r="F51" s="12" t="s">
        <v>188</v>
      </c>
      <c r="G51" s="12" t="s">
        <v>189</v>
      </c>
      <c r="H51" s="12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9" t="s">
        <v>75</v>
      </c>
    </row>
    <row r="52" spans="2:20" ht="15.75">
      <c r="B52" s="219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104</v>
      </c>
      <c r="D54" s="12" t="s">
        <v>126</v>
      </c>
      <c r="E54" s="12" t="s">
        <v>173</v>
      </c>
      <c r="F54" s="12" t="s">
        <v>174</v>
      </c>
      <c r="G54" s="12" t="s">
        <v>175</v>
      </c>
      <c r="H54" s="12" t="s">
        <v>176</v>
      </c>
      <c r="I54" s="12" t="s">
        <v>177</v>
      </c>
      <c r="J54" s="12" t="s">
        <v>111</v>
      </c>
      <c r="K54" s="12" t="s">
        <v>178</v>
      </c>
      <c r="L54" s="12" t="s">
        <v>179</v>
      </c>
      <c r="M54" s="12" t="s">
        <v>180</v>
      </c>
      <c r="N54" s="12" t="s">
        <v>181</v>
      </c>
      <c r="O54" s="12" t="s">
        <v>182</v>
      </c>
      <c r="P54" s="12" t="s">
        <v>183</v>
      </c>
      <c r="Q54" s="38" t="s">
        <v>184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185</v>
      </c>
      <c r="D56" s="12" t="s">
        <v>186</v>
      </c>
      <c r="E56" s="12" t="s">
        <v>187</v>
      </c>
      <c r="F56" s="12" t="s">
        <v>188</v>
      </c>
      <c r="G56" s="12" t="s">
        <v>189</v>
      </c>
      <c r="H56" s="12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9" t="s">
        <v>75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4" t="s">
        <v>197</v>
      </c>
      <c r="C61" s="225" t="s">
        <v>103</v>
      </c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10"/>
      <c r="S61" s="65"/>
      <c r="T61" s="66"/>
    </row>
    <row r="62" spans="2:20" ht="15.75">
      <c r="B62" s="214"/>
      <c r="C62" s="30" t="s">
        <v>104</v>
      </c>
      <c r="D62" s="30" t="s">
        <v>198</v>
      </c>
      <c r="E62" s="30" t="s">
        <v>199</v>
      </c>
      <c r="F62" s="30" t="s">
        <v>200</v>
      </c>
      <c r="G62" s="30" t="s">
        <v>201</v>
      </c>
      <c r="H62" s="30" t="s">
        <v>202</v>
      </c>
      <c r="I62" s="30" t="s">
        <v>203</v>
      </c>
      <c r="J62" s="30" t="s">
        <v>204</v>
      </c>
      <c r="K62" s="30" t="s">
        <v>205</v>
      </c>
      <c r="L62" s="30" t="s">
        <v>206</v>
      </c>
      <c r="M62" s="30" t="s">
        <v>207</v>
      </c>
      <c r="N62" s="30" t="s">
        <v>208</v>
      </c>
      <c r="O62" s="30" t="s">
        <v>209</v>
      </c>
      <c r="P62" s="30" t="s">
        <v>210</v>
      </c>
      <c r="Q62" s="30" t="s">
        <v>211</v>
      </c>
      <c r="R62" s="30" t="s">
        <v>212</v>
      </c>
      <c r="S62" s="67" t="s">
        <v>213</v>
      </c>
      <c r="T62" s="58" t="s">
        <v>75</v>
      </c>
    </row>
    <row r="63" spans="2:20" ht="15.75">
      <c r="B63" s="220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20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5"/>
      <c r="C65" s="69" t="s">
        <v>104</v>
      </c>
      <c r="D65" s="69" t="s">
        <v>198</v>
      </c>
      <c r="E65" s="69" t="s">
        <v>199</v>
      </c>
      <c r="F65" s="69" t="s">
        <v>200</v>
      </c>
      <c r="G65" s="69" t="s">
        <v>201</v>
      </c>
      <c r="H65" s="69" t="s">
        <v>202</v>
      </c>
      <c r="I65" s="69" t="s">
        <v>203</v>
      </c>
      <c r="J65" s="69" t="s">
        <v>204</v>
      </c>
      <c r="K65" s="69" t="s">
        <v>205</v>
      </c>
      <c r="L65" s="69" t="s">
        <v>206</v>
      </c>
      <c r="M65" s="69" t="s">
        <v>207</v>
      </c>
      <c r="N65" s="69" t="s">
        <v>208</v>
      </c>
      <c r="O65" s="69" t="s">
        <v>209</v>
      </c>
      <c r="P65" s="69" t="s">
        <v>210</v>
      </c>
      <c r="Q65" s="69" t="s">
        <v>211</v>
      </c>
      <c r="R65" s="69" t="s">
        <v>212</v>
      </c>
      <c r="S65" s="75" t="s">
        <v>213</v>
      </c>
      <c r="T65" s="60" t="s">
        <v>75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4" t="s">
        <v>214</v>
      </c>
      <c r="C69" s="225" t="s">
        <v>103</v>
      </c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10"/>
      <c r="S69" s="65"/>
      <c r="T69" s="66"/>
    </row>
    <row r="70" spans="2:20" ht="15.75">
      <c r="B70" s="214"/>
      <c r="C70" s="69" t="s">
        <v>104</v>
      </c>
      <c r="D70" s="69" t="s">
        <v>198</v>
      </c>
      <c r="E70" s="69" t="s">
        <v>199</v>
      </c>
      <c r="F70" s="69" t="s">
        <v>200</v>
      </c>
      <c r="G70" s="69" t="s">
        <v>201</v>
      </c>
      <c r="H70" s="69" t="s">
        <v>202</v>
      </c>
      <c r="I70" s="69" t="s">
        <v>203</v>
      </c>
      <c r="J70" s="69" t="s">
        <v>204</v>
      </c>
      <c r="K70" s="69" t="s">
        <v>205</v>
      </c>
      <c r="L70" s="69" t="s">
        <v>206</v>
      </c>
      <c r="M70" s="69" t="s">
        <v>207</v>
      </c>
      <c r="N70" s="69" t="s">
        <v>208</v>
      </c>
      <c r="O70" s="69" t="s">
        <v>209</v>
      </c>
      <c r="P70" s="69" t="s">
        <v>210</v>
      </c>
      <c r="Q70" s="69" t="s">
        <v>211</v>
      </c>
      <c r="R70" s="69" t="s">
        <v>212</v>
      </c>
      <c r="S70" s="75" t="s">
        <v>213</v>
      </c>
      <c r="T70" s="60" t="s">
        <v>75</v>
      </c>
    </row>
    <row r="71" spans="2:20" ht="15.75">
      <c r="B71" s="214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2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5"/>
      <c r="C73" s="69" t="s">
        <v>104</v>
      </c>
      <c r="D73" s="69" t="s">
        <v>198</v>
      </c>
      <c r="E73" s="69" t="s">
        <v>199</v>
      </c>
      <c r="F73" s="69" t="s">
        <v>200</v>
      </c>
      <c r="G73" s="69" t="s">
        <v>201</v>
      </c>
      <c r="H73" s="69" t="s">
        <v>202</v>
      </c>
      <c r="I73" s="69" t="s">
        <v>203</v>
      </c>
      <c r="J73" s="69" t="s">
        <v>204</v>
      </c>
      <c r="K73" s="69" t="s">
        <v>205</v>
      </c>
      <c r="L73" s="69" t="s">
        <v>206</v>
      </c>
      <c r="M73" s="69" t="s">
        <v>207</v>
      </c>
      <c r="N73" s="69" t="s">
        <v>208</v>
      </c>
      <c r="O73" s="69" t="s">
        <v>209</v>
      </c>
      <c r="P73" s="69" t="s">
        <v>210</v>
      </c>
      <c r="Q73" s="69" t="s">
        <v>211</v>
      </c>
      <c r="R73" s="69" t="s">
        <v>212</v>
      </c>
      <c r="S73" s="75" t="s">
        <v>213</v>
      </c>
      <c r="T73" s="60" t="s">
        <v>75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21" t="s">
        <v>92</v>
      </c>
      <c r="C77" s="210" t="s">
        <v>103</v>
      </c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70"/>
      <c r="S77" s="70"/>
      <c r="T77" s="15"/>
    </row>
    <row r="78" spans="2:20">
      <c r="B78" s="222"/>
      <c r="C78" s="17" t="s">
        <v>104</v>
      </c>
      <c r="D78" s="17" t="s">
        <v>215</v>
      </c>
      <c r="E78" s="17" t="s">
        <v>216</v>
      </c>
      <c r="F78" s="17" t="s">
        <v>217</v>
      </c>
      <c r="G78" s="17" t="s">
        <v>218</v>
      </c>
      <c r="H78" s="71" t="s">
        <v>219</v>
      </c>
      <c r="I78" s="71" t="s">
        <v>220</v>
      </c>
      <c r="J78" s="71" t="s">
        <v>221</v>
      </c>
      <c r="K78" s="71" t="s">
        <v>222</v>
      </c>
      <c r="L78" s="71" t="s">
        <v>135</v>
      </c>
      <c r="M78" s="17" t="s">
        <v>223</v>
      </c>
      <c r="N78" s="71" t="s">
        <v>224</v>
      </c>
      <c r="O78" s="71" t="s">
        <v>216</v>
      </c>
      <c r="P78" s="71" t="s">
        <v>225</v>
      </c>
      <c r="Q78" s="71" t="s">
        <v>226</v>
      </c>
      <c r="R78" s="71" t="s">
        <v>216</v>
      </c>
      <c r="S78" s="71" t="s">
        <v>227</v>
      </c>
      <c r="T78" s="69" t="s">
        <v>216</v>
      </c>
    </row>
    <row r="79" spans="2:20">
      <c r="B79" s="222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2"/>
      <c r="C80" s="69" t="s">
        <v>228</v>
      </c>
      <c r="D80" s="69" t="s">
        <v>229</v>
      </c>
      <c r="E80" s="69" t="s">
        <v>230</v>
      </c>
      <c r="F80" s="69" t="s">
        <v>216</v>
      </c>
      <c r="G80" s="69" t="s">
        <v>225</v>
      </c>
      <c r="H80" s="69" t="s">
        <v>231</v>
      </c>
      <c r="I80" s="69" t="s">
        <v>216</v>
      </c>
      <c r="J80" s="69" t="s">
        <v>232</v>
      </c>
      <c r="K80" s="69" t="s">
        <v>233</v>
      </c>
      <c r="L80" s="69" t="s">
        <v>234</v>
      </c>
      <c r="M80" s="69" t="s">
        <v>216</v>
      </c>
      <c r="N80" s="69" t="s">
        <v>235</v>
      </c>
      <c r="O80" s="75" t="s">
        <v>216</v>
      </c>
      <c r="P80" s="75" t="s">
        <v>236</v>
      </c>
      <c r="Q80" s="75" t="s">
        <v>216</v>
      </c>
      <c r="R80" s="75" t="s">
        <v>237</v>
      </c>
      <c r="S80" s="75" t="s">
        <v>216</v>
      </c>
      <c r="T80" s="60" t="s">
        <v>75</v>
      </c>
    </row>
    <row r="81" spans="2:20" ht="15.75">
      <c r="B81" s="222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238</v>
      </c>
    </row>
    <row r="82" spans="2:20">
      <c r="B82" s="222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2"/>
      <c r="C83" s="21" t="s">
        <v>104</v>
      </c>
      <c r="D83" s="21" t="s">
        <v>215</v>
      </c>
      <c r="E83" s="21" t="s">
        <v>216</v>
      </c>
      <c r="F83" s="21" t="s">
        <v>217</v>
      </c>
      <c r="G83" s="21" t="s">
        <v>218</v>
      </c>
      <c r="H83" s="69" t="s">
        <v>219</v>
      </c>
      <c r="I83" s="69" t="s">
        <v>220</v>
      </c>
      <c r="J83" s="69" t="s">
        <v>221</v>
      </c>
      <c r="K83" s="69" t="s">
        <v>222</v>
      </c>
      <c r="L83" s="69" t="s">
        <v>135</v>
      </c>
      <c r="M83" s="21" t="s">
        <v>223</v>
      </c>
      <c r="N83" s="69" t="s">
        <v>224</v>
      </c>
      <c r="O83" s="69" t="s">
        <v>216</v>
      </c>
      <c r="P83" s="69" t="s">
        <v>225</v>
      </c>
      <c r="Q83" s="69" t="s">
        <v>226</v>
      </c>
      <c r="R83" s="69" t="s">
        <v>216</v>
      </c>
      <c r="S83" s="69" t="s">
        <v>227</v>
      </c>
      <c r="T83" s="69" t="s">
        <v>216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228</v>
      </c>
      <c r="D85" s="69" t="s">
        <v>229</v>
      </c>
      <c r="E85" s="69" t="s">
        <v>230</v>
      </c>
      <c r="F85" s="69" t="s">
        <v>216</v>
      </c>
      <c r="G85" s="69" t="s">
        <v>225</v>
      </c>
      <c r="H85" s="69" t="s">
        <v>231</v>
      </c>
      <c r="I85" s="69" t="s">
        <v>216</v>
      </c>
      <c r="J85" s="69" t="s">
        <v>232</v>
      </c>
      <c r="K85" s="69" t="s">
        <v>233</v>
      </c>
      <c r="L85" s="69" t="s">
        <v>234</v>
      </c>
      <c r="M85" s="69" t="s">
        <v>216</v>
      </c>
      <c r="N85" s="69" t="s">
        <v>235</v>
      </c>
      <c r="O85" s="75" t="s">
        <v>216</v>
      </c>
      <c r="P85" s="75" t="s">
        <v>236</v>
      </c>
      <c r="Q85" s="75" t="s">
        <v>216</v>
      </c>
      <c r="R85" s="75" t="s">
        <v>237</v>
      </c>
      <c r="S85" s="75" t="s">
        <v>216</v>
      </c>
      <c r="T85" s="58" t="s">
        <v>75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2023-07-01T13:53:52Z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