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F45"/>
  <c r="G45"/>
  <c r="H45"/>
  <c r="I45"/>
  <c r="J45"/>
  <c r="K45"/>
  <c r="L45"/>
  <c r="M45"/>
  <c r="N45"/>
  <c r="O45"/>
  <c r="P45"/>
  <c r="Q45"/>
  <c r="B45"/>
  <c r="G34" i="41"/>
  <c r="H34"/>
  <c r="I34"/>
  <c r="J34"/>
  <c r="K34"/>
  <c r="L34"/>
  <c r="M34"/>
  <c r="N34"/>
  <c r="O34"/>
  <c r="P34"/>
  <c r="Q34"/>
  <c r="G35"/>
  <c r="H35"/>
  <c r="I35"/>
  <c r="J35"/>
  <c r="K35"/>
  <c r="L35"/>
  <c r="M35"/>
  <c r="N35"/>
  <c r="O35"/>
  <c r="P35"/>
  <c r="Q35"/>
  <c r="G36"/>
  <c r="H36"/>
  <c r="I36"/>
  <c r="J36"/>
  <c r="K36"/>
  <c r="L36"/>
  <c r="M36"/>
  <c r="N36"/>
  <c r="O36"/>
  <c r="P36"/>
  <c r="Q36"/>
  <c r="G37"/>
  <c r="H37"/>
  <c r="I37"/>
  <c r="J37"/>
  <c r="K37"/>
  <c r="L37"/>
  <c r="M37"/>
  <c r="N37"/>
  <c r="O37"/>
  <c r="P37"/>
  <c r="Q37"/>
  <c r="G38"/>
  <c r="H38"/>
  <c r="H39" s="1"/>
  <c r="I38"/>
  <c r="I39" s="1"/>
  <c r="J38"/>
  <c r="J39" s="1"/>
  <c r="K38"/>
  <c r="K39" s="1"/>
  <c r="L38"/>
  <c r="L39" s="1"/>
  <c r="M38"/>
  <c r="M40" s="1"/>
  <c r="N38"/>
  <c r="N40" s="1"/>
  <c r="O38"/>
  <c r="O40" s="1"/>
  <c r="P38"/>
  <c r="P40" s="1"/>
  <c r="Q38"/>
  <c r="Q40" s="1"/>
  <c r="G39"/>
  <c r="G40"/>
  <c r="H38" i="18"/>
  <c r="G38"/>
  <c r="C38"/>
  <c r="D38"/>
  <c r="E38"/>
  <c r="B38"/>
  <c r="M39" i="41" l="1"/>
  <c r="O39"/>
  <c r="P39"/>
  <c r="N39"/>
  <c r="Q39"/>
  <c r="I40"/>
  <c r="H40"/>
  <c r="J40"/>
  <c r="K40"/>
  <c r="L40"/>
  <c r="B34" i="2"/>
  <c r="C34"/>
  <c r="D34"/>
  <c r="E34"/>
  <c r="F34"/>
  <c r="G34"/>
  <c r="H34"/>
  <c r="I34"/>
  <c r="J34"/>
  <c r="K34"/>
  <c r="L34"/>
  <c r="M34"/>
  <c r="N34"/>
  <c r="O34"/>
  <c r="P34"/>
  <c r="Q34"/>
  <c r="B35"/>
  <c r="C35"/>
  <c r="D35"/>
  <c r="E35"/>
  <c r="F35"/>
  <c r="G35"/>
  <c r="H35"/>
  <c r="I35"/>
  <c r="J35"/>
  <c r="K35"/>
  <c r="L35"/>
  <c r="M35"/>
  <c r="N35"/>
  <c r="O35"/>
  <c r="P35"/>
  <c r="Q35"/>
  <c r="B36"/>
  <c r="C36"/>
  <c r="C9" i="39" s="1"/>
  <c r="D36" i="2"/>
  <c r="D9" i="39" s="1"/>
  <c r="E36" i="2"/>
  <c r="F36"/>
  <c r="F9" i="39" s="1"/>
  <c r="G36" i="2"/>
  <c r="H36"/>
  <c r="I36"/>
  <c r="J36"/>
  <c r="K36"/>
  <c r="K9" i="39" s="1"/>
  <c r="L36" i="2"/>
  <c r="L9" i="39" s="1"/>
  <c r="M36" i="2"/>
  <c r="M9" i="39" s="1"/>
  <c r="N36" i="2"/>
  <c r="O36"/>
  <c r="P36"/>
  <c r="Q36"/>
  <c r="B37"/>
  <c r="C37"/>
  <c r="D37"/>
  <c r="E37"/>
  <c r="F37"/>
  <c r="G37"/>
  <c r="H37"/>
  <c r="I37"/>
  <c r="J37"/>
  <c r="K37"/>
  <c r="L37"/>
  <c r="M37"/>
  <c r="N37"/>
  <c r="O37"/>
  <c r="P37"/>
  <c r="Q37"/>
  <c r="B38"/>
  <c r="C38"/>
  <c r="D38"/>
  <c r="E38"/>
  <c r="F38"/>
  <c r="G38"/>
  <c r="H38"/>
  <c r="I38"/>
  <c r="J38"/>
  <c r="K38"/>
  <c r="L38"/>
  <c r="M38"/>
  <c r="N38"/>
  <c r="O38"/>
  <c r="P38"/>
  <c r="Q38"/>
  <c r="B39"/>
  <c r="C39"/>
  <c r="D39"/>
  <c r="E39"/>
  <c r="F39"/>
  <c r="G39"/>
  <c r="H39"/>
  <c r="I39"/>
  <c r="J39"/>
  <c r="K39"/>
  <c r="L39"/>
  <c r="M39"/>
  <c r="N39"/>
  <c r="O39"/>
  <c r="P39"/>
  <c r="Q39"/>
  <c r="B40"/>
  <c r="C40"/>
  <c r="D40"/>
  <c r="E40"/>
  <c r="F40"/>
  <c r="G40"/>
  <c r="H40"/>
  <c r="I40"/>
  <c r="J40"/>
  <c r="K40"/>
  <c r="L40"/>
  <c r="M40"/>
  <c r="N40"/>
  <c r="O40"/>
  <c r="P40"/>
  <c r="Q40"/>
  <c r="B9" i="39"/>
  <c r="I9"/>
  <c r="J9"/>
  <c r="P9"/>
  <c r="F39"/>
  <c r="G39"/>
  <c r="H39"/>
  <c r="I39"/>
  <c r="J39"/>
  <c r="K39"/>
  <c r="L39"/>
  <c r="M39"/>
  <c r="N39"/>
  <c r="O39"/>
  <c r="P39"/>
  <c r="Q39"/>
  <c r="M38"/>
  <c r="L38"/>
  <c r="E38"/>
  <c r="D38"/>
  <c r="C38"/>
  <c r="P37"/>
  <c r="N37"/>
  <c r="M37"/>
  <c r="H37"/>
  <c r="E37"/>
  <c r="N36"/>
  <c r="M36"/>
  <c r="G36"/>
  <c r="F36"/>
  <c r="E36"/>
  <c r="O35"/>
  <c r="G35"/>
  <c r="Q34"/>
  <c r="P34"/>
  <c r="I34"/>
  <c r="H34"/>
  <c r="A34"/>
  <c r="N33"/>
  <c r="J33"/>
  <c r="B33"/>
  <c r="O32"/>
  <c r="K32"/>
  <c r="F32"/>
  <c r="B32"/>
  <c r="M30"/>
  <c r="G30"/>
  <c r="E30"/>
  <c r="D30"/>
  <c r="C30"/>
  <c r="N29"/>
  <c r="M29"/>
  <c r="E29"/>
  <c r="D29"/>
  <c r="O28"/>
  <c r="K28"/>
  <c r="G28"/>
  <c r="D28"/>
  <c r="P27"/>
  <c r="Q25"/>
  <c r="J25"/>
  <c r="I25"/>
  <c r="H25"/>
  <c r="B25"/>
  <c r="A25"/>
  <c r="M24"/>
  <c r="J24"/>
  <c r="I24"/>
  <c r="N23"/>
  <c r="J23"/>
  <c r="K22"/>
  <c r="O21"/>
  <c r="N21"/>
  <c r="L21"/>
  <c r="E21"/>
  <c r="O20"/>
  <c r="N20"/>
  <c r="G20"/>
  <c r="F20"/>
  <c r="Q19"/>
  <c r="P19"/>
  <c r="O19"/>
  <c r="J19"/>
  <c r="H19"/>
  <c r="A19"/>
  <c r="K16"/>
  <c r="P12"/>
  <c r="Q9"/>
  <c r="O9"/>
  <c r="N9"/>
  <c r="H9"/>
  <c r="G9"/>
  <c r="E9"/>
  <c r="F39" i="41"/>
  <c r="E39"/>
  <c r="D39"/>
  <c r="F38"/>
  <c r="F40" s="1"/>
  <c r="E38"/>
  <c r="E40" s="1"/>
  <c r="D38"/>
  <c r="D40" s="1"/>
  <c r="C38"/>
  <c r="C40" s="1"/>
  <c r="B38"/>
  <c r="B39" s="1"/>
  <c r="F37"/>
  <c r="E37"/>
  <c r="D37"/>
  <c r="C37"/>
  <c r="B37"/>
  <c r="F36"/>
  <c r="E36"/>
  <c r="E39" i="39" s="1"/>
  <c r="D36" i="41"/>
  <c r="D39" i="39" s="1"/>
  <c r="C36" i="41"/>
  <c r="C39" i="39" s="1"/>
  <c r="B36" i="41"/>
  <c r="B39" i="39" s="1"/>
  <c r="F35" i="41"/>
  <c r="E35"/>
  <c r="D35"/>
  <c r="C35"/>
  <c r="B35"/>
  <c r="F34"/>
  <c r="E34"/>
  <c r="D34"/>
  <c r="C34"/>
  <c r="B34"/>
  <c r="B2"/>
  <c r="A39" i="39" s="1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8" i="39" s="1"/>
  <c r="P36" i="40"/>
  <c r="P38" i="39" s="1"/>
  <c r="O36" i="40"/>
  <c r="O38" i="39" s="1"/>
  <c r="N36" i="40"/>
  <c r="N38" i="39" s="1"/>
  <c r="M36" i="40"/>
  <c r="L36"/>
  <c r="K36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D36"/>
  <c r="C36"/>
  <c r="B36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O36"/>
  <c r="O37" i="39" s="1"/>
  <c r="N36" i="43"/>
  <c r="M36"/>
  <c r="L36"/>
  <c r="L37" i="39" s="1"/>
  <c r="K36" i="43"/>
  <c r="K37" i="39" s="1"/>
  <c r="J36" i="43"/>
  <c r="J37" i="39" s="1"/>
  <c r="I36" i="43"/>
  <c r="I37" i="39" s="1"/>
  <c r="H36" i="43"/>
  <c r="G36"/>
  <c r="G37" i="39" s="1"/>
  <c r="F36" i="43"/>
  <c r="F37" i="39" s="1"/>
  <c r="E36" i="43"/>
  <c r="D36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O36" i="39" s="1"/>
  <c r="N36" i="33"/>
  <c r="M36"/>
  <c r="L36"/>
  <c r="L36" i="39" s="1"/>
  <c r="K36" i="33"/>
  <c r="K36" i="39" s="1"/>
  <c r="J36" i="33"/>
  <c r="J36" i="39" s="1"/>
  <c r="I36" i="33"/>
  <c r="I36" i="39" s="1"/>
  <c r="H36" i="33"/>
  <c r="H36" i="39" s="1"/>
  <c r="G36" i="33"/>
  <c r="F36"/>
  <c r="E36"/>
  <c r="D36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N36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F36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H36"/>
  <c r="G36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M36"/>
  <c r="M33" i="39" s="1"/>
  <c r="L36" i="30"/>
  <c r="L33" i="39" s="1"/>
  <c r="K36" i="30"/>
  <c r="K33" i="39" s="1"/>
  <c r="J36" i="30"/>
  <c r="I36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N36"/>
  <c r="N32" i="39" s="1"/>
  <c r="M36" i="29"/>
  <c r="M32" i="39" s="1"/>
  <c r="L36" i="29"/>
  <c r="L32" i="39" s="1"/>
  <c r="K36" i="29"/>
  <c r="J36"/>
  <c r="J32" i="39" s="1"/>
  <c r="I36" i="29"/>
  <c r="I32" i="39" s="1"/>
  <c r="H36" i="29"/>
  <c r="H32" i="39" s="1"/>
  <c r="G36" i="29"/>
  <c r="G32" i="39" s="1"/>
  <c r="F36" i="29"/>
  <c r="E36"/>
  <c r="E32" i="39" s="1"/>
  <c r="D36" i="29"/>
  <c r="D32" i="39" s="1"/>
  <c r="C36" i="29"/>
  <c r="C32" i="39" s="1"/>
  <c r="B36" i="2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L36"/>
  <c r="L30" i="39" s="1"/>
  <c r="K36" i="27"/>
  <c r="K30" i="39" s="1"/>
  <c r="J36" i="27"/>
  <c r="J30" i="39" s="1"/>
  <c r="I36" i="27"/>
  <c r="I30" i="39" s="1"/>
  <c r="H36" i="27"/>
  <c r="H30" i="39" s="1"/>
  <c r="G36" i="27"/>
  <c r="F36"/>
  <c r="F30" i="39" s="1"/>
  <c r="E36" i="27"/>
  <c r="D36"/>
  <c r="C36"/>
  <c r="B36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M36"/>
  <c r="L3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D36"/>
  <c r="C3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N36"/>
  <c r="N28" i="39" s="1"/>
  <c r="M36" i="25"/>
  <c r="M28" i="39" s="1"/>
  <c r="L36" i="25"/>
  <c r="L28" i="39" s="1"/>
  <c r="K36" i="25"/>
  <c r="J36"/>
  <c r="J28" i="39" s="1"/>
  <c r="I36" i="25"/>
  <c r="I28" i="39" s="1"/>
  <c r="H36" i="25"/>
  <c r="H28" i="39" s="1"/>
  <c r="G36" i="25"/>
  <c r="F36"/>
  <c r="F28" i="39" s="1"/>
  <c r="E36" i="25"/>
  <c r="E28" i="39" s="1"/>
  <c r="D36" i="25"/>
  <c r="C36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O36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I36"/>
  <c r="H36"/>
  <c r="G36"/>
  <c r="G25" i="39" s="1"/>
  <c r="F36" i="22"/>
  <c r="F25" i="39" s="1"/>
  <c r="E36" i="22"/>
  <c r="E25" i="39" s="1"/>
  <c r="D36" i="22"/>
  <c r="D25" i="39" s="1"/>
  <c r="C36" i="22"/>
  <c r="C25" i="39" s="1"/>
  <c r="B36" i="2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L36"/>
  <c r="L24" i="39" s="1"/>
  <c r="K36" i="21"/>
  <c r="K24" i="39" s="1"/>
  <c r="J36" i="21"/>
  <c r="I36"/>
  <c r="H36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M36"/>
  <c r="M23" i="39" s="1"/>
  <c r="L36" i="20"/>
  <c r="L23" i="39" s="1"/>
  <c r="K36" i="20"/>
  <c r="K23" i="39" s="1"/>
  <c r="J36" i="20"/>
  <c r="I36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F39" i="19"/>
  <c r="Q3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J36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F39" i="18"/>
  <c r="Q38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N36"/>
  <c r="M36"/>
  <c r="M21" i="39" s="1"/>
  <c r="L36" i="18"/>
  <c r="K36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D36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N36"/>
  <c r="M36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F36"/>
  <c r="E36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L39" i="16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19" i="39" s="1"/>
  <c r="M36" i="16"/>
  <c r="M19" i="39" s="1"/>
  <c r="L36" i="16"/>
  <c r="L19" i="39" s="1"/>
  <c r="K36" i="16"/>
  <c r="K19" i="39" s="1"/>
  <c r="J36" i="16"/>
  <c r="I36"/>
  <c r="I19" i="39" s="1"/>
  <c r="H36" i="16"/>
  <c r="G3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40" i="15"/>
  <c r="P40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40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40" i="14"/>
  <c r="P40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40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40" i="13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J36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40" i="12"/>
  <c r="P40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39" s="1"/>
  <c r="L38"/>
  <c r="L40" s="1"/>
  <c r="K38"/>
  <c r="K40" s="1"/>
  <c r="J38"/>
  <c r="J39" s="1"/>
  <c r="I38"/>
  <c r="I40" s="1"/>
  <c r="H40"/>
  <c r="G40"/>
  <c r="F38"/>
  <c r="F40" s="1"/>
  <c r="E39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O36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B2" i="2"/>
  <c r="A9" i="39" s="1"/>
  <c r="B2" s="1"/>
  <c r="B40" i="41" l="1"/>
  <c r="C39"/>
  <c r="P39" i="40"/>
  <c r="O39"/>
  <c r="N39"/>
  <c r="M39"/>
  <c r="L39"/>
  <c r="K39"/>
  <c r="J39"/>
  <c r="I39"/>
  <c r="H39"/>
  <c r="G39"/>
  <c r="F39"/>
  <c r="E39"/>
  <c r="D39"/>
  <c r="C39"/>
  <c r="B39"/>
  <c r="Q39"/>
  <c r="M39" i="43"/>
  <c r="L39"/>
  <c r="K39"/>
  <c r="J39"/>
  <c r="I39"/>
  <c r="H39"/>
  <c r="G39"/>
  <c r="F39"/>
  <c r="E39"/>
  <c r="D39"/>
  <c r="C39"/>
  <c r="B39"/>
  <c r="Q39"/>
  <c r="P39"/>
  <c r="O39"/>
  <c r="N39"/>
  <c r="J39" i="33"/>
  <c r="I39"/>
  <c r="H39"/>
  <c r="G39"/>
  <c r="F39"/>
  <c r="E39"/>
  <c r="D39"/>
  <c r="C39"/>
  <c r="B39"/>
  <c r="Q39"/>
  <c r="P39"/>
  <c r="O39"/>
  <c r="N39"/>
  <c r="M39"/>
  <c r="L39"/>
  <c r="K39"/>
  <c r="J39" i="32"/>
  <c r="I39"/>
  <c r="H39"/>
  <c r="G39"/>
  <c r="F39"/>
  <c r="E39"/>
  <c r="D39"/>
  <c r="C39"/>
  <c r="B39"/>
  <c r="Q39"/>
  <c r="P39"/>
  <c r="O39"/>
  <c r="N39"/>
  <c r="M39"/>
  <c r="L39"/>
  <c r="K39"/>
  <c r="G39" i="31"/>
  <c r="F39"/>
  <c r="E39"/>
  <c r="D39"/>
  <c r="C39"/>
  <c r="B39"/>
  <c r="Q39"/>
  <c r="P39"/>
  <c r="O39"/>
  <c r="N39"/>
  <c r="M39"/>
  <c r="L39"/>
  <c r="K39"/>
  <c r="J39"/>
  <c r="I39"/>
  <c r="H39"/>
  <c r="F39" i="30"/>
  <c r="E39"/>
  <c r="D39"/>
  <c r="C39"/>
  <c r="B39"/>
  <c r="Q39"/>
  <c r="P39"/>
  <c r="O39"/>
  <c r="N39"/>
  <c r="M39"/>
  <c r="L39"/>
  <c r="K39"/>
  <c r="J39"/>
  <c r="I39"/>
  <c r="H39"/>
  <c r="G39"/>
  <c r="D39" i="29"/>
  <c r="C39"/>
  <c r="B39"/>
  <c r="Q39"/>
  <c r="P39"/>
  <c r="O39"/>
  <c r="N39"/>
  <c r="M39"/>
  <c r="L39"/>
  <c r="K39"/>
  <c r="J39"/>
  <c r="I39"/>
  <c r="H39"/>
  <c r="G39"/>
  <c r="F39"/>
  <c r="E39"/>
  <c r="F39" i="28"/>
  <c r="E39"/>
  <c r="D39"/>
  <c r="C39"/>
  <c r="B39"/>
  <c r="Q39"/>
  <c r="P39"/>
  <c r="O39"/>
  <c r="N39"/>
  <c r="M39"/>
  <c r="L39"/>
  <c r="K39"/>
  <c r="J39"/>
  <c r="I39"/>
  <c r="H39"/>
  <c r="G39"/>
  <c r="C39" i="27"/>
  <c r="B39"/>
  <c r="P39"/>
  <c r="O39"/>
  <c r="Q39"/>
  <c r="N39"/>
  <c r="M39"/>
  <c r="L39"/>
  <c r="K39"/>
  <c r="J39"/>
  <c r="I39"/>
  <c r="H39"/>
  <c r="G39"/>
  <c r="F39"/>
  <c r="E39"/>
  <c r="D39"/>
  <c r="Q39" i="26"/>
  <c r="P39"/>
  <c r="O40"/>
  <c r="N39"/>
  <c r="M39"/>
  <c r="L39"/>
  <c r="K39"/>
  <c r="J39"/>
  <c r="I39"/>
  <c r="H39"/>
  <c r="G39"/>
  <c r="F39"/>
  <c r="E39"/>
  <c r="D39"/>
  <c r="C39"/>
  <c r="B39"/>
  <c r="C39" i="25"/>
  <c r="O39"/>
  <c r="N39"/>
  <c r="M39"/>
  <c r="L39"/>
  <c r="K39"/>
  <c r="J40"/>
  <c r="I39"/>
  <c r="H39"/>
  <c r="G39"/>
  <c r="F39"/>
  <c r="E39"/>
  <c r="D39"/>
  <c r="B39"/>
  <c r="Q39"/>
  <c r="P39"/>
  <c r="P39" i="24"/>
  <c r="O39"/>
  <c r="N39"/>
  <c r="M39"/>
  <c r="L39"/>
  <c r="K39"/>
  <c r="J39"/>
  <c r="I39"/>
  <c r="H39"/>
  <c r="G39"/>
  <c r="F39"/>
  <c r="E39"/>
  <c r="D39"/>
  <c r="C39"/>
  <c r="B39"/>
  <c r="Q39"/>
  <c r="B39" i="23"/>
  <c r="Q39"/>
  <c r="P39"/>
  <c r="O39"/>
  <c r="N39"/>
  <c r="M39"/>
  <c r="L39"/>
  <c r="K39"/>
  <c r="J39"/>
  <c r="I39"/>
  <c r="H39"/>
  <c r="G39"/>
  <c r="F39"/>
  <c r="E39"/>
  <c r="D39"/>
  <c r="C39"/>
  <c r="C39" i="22"/>
  <c r="N39"/>
  <c r="M39"/>
  <c r="L40"/>
  <c r="K39"/>
  <c r="J39"/>
  <c r="I39"/>
  <c r="H39"/>
  <c r="G39"/>
  <c r="F39"/>
  <c r="E39"/>
  <c r="D39"/>
  <c r="B39"/>
  <c r="Q39"/>
  <c r="P39"/>
  <c r="O39"/>
  <c r="M39" i="21"/>
  <c r="L39"/>
  <c r="K39"/>
  <c r="J39"/>
  <c r="I39"/>
  <c r="H39"/>
  <c r="G39"/>
  <c r="F39"/>
  <c r="E39"/>
  <c r="D39"/>
  <c r="C39"/>
  <c r="B39"/>
  <c r="Q39"/>
  <c r="P39"/>
  <c r="O39"/>
  <c r="N39"/>
  <c r="M39" i="20"/>
  <c r="L39"/>
  <c r="K39"/>
  <c r="J39"/>
  <c r="I39"/>
  <c r="H39"/>
  <c r="G39"/>
  <c r="F39"/>
  <c r="E39"/>
  <c r="D39"/>
  <c r="C39"/>
  <c r="B39"/>
  <c r="Q39"/>
  <c r="P39"/>
  <c r="O39"/>
  <c r="N39"/>
  <c r="N39" i="19"/>
  <c r="M39"/>
  <c r="K39"/>
  <c r="J39"/>
  <c r="I39"/>
  <c r="L40"/>
  <c r="H39"/>
  <c r="G39"/>
  <c r="E39"/>
  <c r="D39"/>
  <c r="C40"/>
  <c r="B39"/>
  <c r="Q39"/>
  <c r="P39"/>
  <c r="O39"/>
  <c r="L39" i="18"/>
  <c r="K39"/>
  <c r="J39"/>
  <c r="I39"/>
  <c r="H39"/>
  <c r="G39"/>
  <c r="E39"/>
  <c r="D39"/>
  <c r="C39"/>
  <c r="B39"/>
  <c r="Q40"/>
  <c r="P39"/>
  <c r="O39"/>
  <c r="N39"/>
  <c r="M39"/>
  <c r="J39" i="17"/>
  <c r="I39"/>
  <c r="H39"/>
  <c r="G39"/>
  <c r="F39"/>
  <c r="E39"/>
  <c r="D39"/>
  <c r="C39"/>
  <c r="B39"/>
  <c r="Q39"/>
  <c r="P40"/>
  <c r="O39"/>
  <c r="N39"/>
  <c r="M39"/>
  <c r="L39"/>
  <c r="K39"/>
  <c r="F39" i="16"/>
  <c r="E39"/>
  <c r="D39"/>
  <c r="C39"/>
  <c r="B39"/>
  <c r="Q39"/>
  <c r="P39"/>
  <c r="O39"/>
  <c r="N39"/>
  <c r="M39"/>
  <c r="K39"/>
  <c r="J39"/>
  <c r="I39"/>
  <c r="H39"/>
  <c r="G39"/>
  <c r="H39" i="15"/>
  <c r="G39"/>
  <c r="F39"/>
  <c r="E39"/>
  <c r="D39"/>
  <c r="C39"/>
  <c r="B39"/>
  <c r="Q39"/>
  <c r="P39"/>
  <c r="O39"/>
  <c r="N39"/>
  <c r="M39"/>
  <c r="L39"/>
  <c r="K39"/>
  <c r="J39"/>
  <c r="I39"/>
  <c r="K39" i="14"/>
  <c r="J39"/>
  <c r="I39"/>
  <c r="H39"/>
  <c r="G39"/>
  <c r="F39"/>
  <c r="E39"/>
  <c r="D39"/>
  <c r="C39"/>
  <c r="B39"/>
  <c r="Q39"/>
  <c r="P39"/>
  <c r="O39"/>
  <c r="N39"/>
  <c r="M39"/>
  <c r="L39"/>
  <c r="K39" i="13"/>
  <c r="J39"/>
  <c r="I39"/>
  <c r="H39"/>
  <c r="G39"/>
  <c r="F39"/>
  <c r="E39"/>
  <c r="D39"/>
  <c r="C39"/>
  <c r="B39"/>
  <c r="Q39"/>
  <c r="P39"/>
  <c r="O39"/>
  <c r="N39"/>
  <c r="M39"/>
  <c r="L39"/>
  <c r="M39" i="12"/>
  <c r="L39"/>
  <c r="K39"/>
  <c r="J39"/>
  <c r="I39"/>
  <c r="H40"/>
  <c r="G39"/>
  <c r="F39"/>
  <c r="E39"/>
  <c r="D39"/>
  <c r="C39"/>
  <c r="B39"/>
  <c r="Q39"/>
  <c r="P39"/>
  <c r="O39"/>
  <c r="N39"/>
  <c r="O39" i="11"/>
  <c r="N39"/>
  <c r="M40"/>
  <c r="L39"/>
  <c r="K39"/>
  <c r="J40"/>
  <c r="I39"/>
  <c r="H39"/>
  <c r="G39"/>
  <c r="F39"/>
  <c r="E40"/>
  <c r="D39"/>
  <c r="C39"/>
  <c r="B39"/>
  <c r="Q39"/>
  <c r="P39"/>
  <c r="Q39" i="10"/>
  <c r="P39"/>
  <c r="O40"/>
  <c r="N39"/>
  <c r="M39"/>
  <c r="L39"/>
  <c r="K39"/>
  <c r="J39"/>
  <c r="I39"/>
  <c r="H39"/>
  <c r="F39"/>
  <c r="E39"/>
  <c r="G39"/>
  <c r="D39"/>
  <c r="C39"/>
  <c r="B39"/>
  <c r="Q39" i="9"/>
  <c r="P39"/>
  <c r="O39"/>
  <c r="N39"/>
  <c r="M39"/>
  <c r="L39"/>
  <c r="K39"/>
  <c r="J39"/>
  <c r="I39"/>
  <c r="H39"/>
  <c r="B40"/>
  <c r="G39"/>
  <c r="F39"/>
  <c r="E39"/>
  <c r="D39"/>
  <c r="C39"/>
  <c r="D39" i="8"/>
  <c r="C39"/>
  <c r="B39"/>
  <c r="Q39"/>
  <c r="P39"/>
  <c r="O39"/>
  <c r="N39"/>
  <c r="M39"/>
  <c r="L39"/>
  <c r="K39"/>
  <c r="J39"/>
  <c r="I39"/>
  <c r="H39"/>
  <c r="G39"/>
  <c r="F39"/>
  <c r="E39"/>
  <c r="L40" i="3"/>
  <c r="F39"/>
  <c r="B46" i="39"/>
  <c r="E39" i="3"/>
  <c r="I47" i="39"/>
  <c r="C46"/>
  <c r="D39" i="3"/>
  <c r="Q46" i="39"/>
  <c r="J47"/>
  <c r="D46"/>
  <c r="C39" i="3"/>
  <c r="O46" i="39"/>
  <c r="P47"/>
  <c r="B39" i="3"/>
  <c r="N47" i="39"/>
  <c r="F46"/>
  <c r="Q39" i="3"/>
  <c r="H46" i="39"/>
  <c r="P39" i="3"/>
  <c r="G46" i="39"/>
  <c r="O39" i="3"/>
  <c r="E46" i="39"/>
  <c r="N39" i="3"/>
  <c r="M39"/>
  <c r="K47" i="39"/>
  <c r="L47"/>
  <c r="K39" i="3"/>
  <c r="M47" i="39"/>
  <c r="J39" i="3"/>
  <c r="I39"/>
  <c r="H39"/>
  <c r="G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N46" l="1"/>
  <c r="P46"/>
  <c r="M46"/>
  <c r="K46"/>
  <c r="O47"/>
  <c r="L46"/>
  <c r="F47"/>
  <c r="J46"/>
  <c r="C47"/>
  <c r="Q47"/>
  <c r="E47"/>
  <c r="D47"/>
  <c r="B47"/>
  <c r="I46"/>
  <c r="H47"/>
  <c r="G47"/>
</calcChain>
</file>

<file path=xl/sharedStrings.xml><?xml version="1.0" encoding="utf-8"?>
<sst xmlns="http://schemas.openxmlformats.org/spreadsheetml/2006/main" count="3001" uniqueCount="800">
  <si>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</si>
  <si>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</si>
  <si>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</si>
  <si>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</si>
  <si>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</si>
  <si>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</si>
  <si>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</si>
  <si>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</si>
  <si>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</si>
  <si>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</si>
  <si>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</si>
  <si>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</si>
  <si>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</si>
  <si>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</si>
  <si>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</si>
  <si>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</si>
  <si>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</si>
  <si>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</si>
  <si>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</si>
  <si>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</si>
  <si>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</si>
  <si>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</si>
  <si>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</si>
  <si>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</si>
  <si>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</si>
  <si>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</si>
  <si>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</si>
  <si>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</si>
  <si>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</si>
  <si>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</si>
  <si>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</si>
  <si>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</si>
  <si>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</si>
  <si>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</si>
  <si>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</si>
  <si>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</si>
  <si>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</si>
  <si>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</si>
  <si>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</si>
  <si>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</si>
  <si>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</si>
  <si>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</si>
  <si>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</si>
  <si>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</si>
  <si>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</si>
  <si>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</si>
  <si>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</si>
  <si>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</si>
  <si>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</si>
  <si>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</si>
  <si>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</si>
  <si>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</si>
  <si>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</si>
  <si>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</si>
  <si>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</si>
  <si>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</si>
  <si>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</si>
  <si>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</si>
  <si>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</si>
  <si>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</si>
  <si>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02/05/2023 01:00</t>
  </si>
  <si>
    <t>02/05/2023 02:00</t>
  </si>
  <si>
    <t>02/05/2023 03:00</t>
  </si>
  <si>
    <t>02/05/2023 04:00</t>
  </si>
  <si>
    <t>02/05/2023 05:00</t>
  </si>
  <si>
    <t>02/05/2023 06:00</t>
  </si>
  <si>
    <t>02/05/2023 07:00</t>
  </si>
  <si>
    <t>02/05/2023 08:00</t>
  </si>
  <si>
    <t>02/05/2023 09:00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</si>
  <si>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</si>
  <si>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</si>
  <si>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</si>
  <si>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</si>
  <si>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</si>
  <si>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</si>
  <si>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02/05/2023 16:00</t>
  </si>
  <si>
    <t>02/05/2023 17:00</t>
  </si>
  <si>
    <t>02/05/2023 18:00</t>
  </si>
  <si>
    <t>02/05/2023 19:00</t>
  </si>
  <si>
    <t>02/05/2023 20:00</t>
  </si>
  <si>
    <t>02/05/2023 21:00</t>
  </si>
  <si>
    <t>02/05/2023 22:00</t>
  </si>
  <si>
    <t>02/05/2023 23:00</t>
  </si>
  <si>
    <t>02/05/2023 24:00</t>
  </si>
  <si>
    <t>01/05/2023 01:00</t>
  </si>
  <si>
    <t>01/05/2023 02:00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</si>
  <si>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</si>
  <si>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</si>
  <si>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</si>
  <si>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</si>
  <si>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</si>
  <si>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</si>
  <si>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</si>
  <si>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</si>
  <si>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</si>
  <si>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</si>
  <si>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01/05/2023 14:00</t>
  </si>
  <si>
    <t>01/05/2023 15:00</t>
  </si>
  <si>
    <t>01/05/2023 16:00</t>
  </si>
  <si>
    <t>01/05/2023 17:00</t>
  </si>
  <si>
    <t>01/05/2023 18:00</t>
  </si>
  <si>
    <t>01/05/2023 19:00</t>
  </si>
  <si>
    <t>01/05/2023 20:00</t>
  </si>
  <si>
    <t>01/05/2023 21:00</t>
  </si>
  <si>
    <t>01/05/2023 22:00</t>
  </si>
  <si>
    <t>01/05/2023 23:00</t>
  </si>
  <si>
    <t>01/05/2023 24:00</t>
  </si>
  <si>
    <t>03/05/2023 01:00</t>
  </si>
  <si>
    <t>03/05/2023 02:00</t>
  </si>
  <si>
    <t>03/05/2023 03:00</t>
  </si>
  <si>
    <t>03/05/2023 04:00</t>
  </si>
  <si>
    <t>03/05/2023 05:00</t>
  </si>
  <si>
    <t>03/05/2023 06:00</t>
  </si>
  <si>
    <t>03/05/2023 07:00</t>
  </si>
  <si>
    <t>03/05/2023 08:00</t>
  </si>
  <si>
    <t>03/05/2023 09:00</t>
  </si>
  <si>
    <t>03/05/2023 10:00</t>
  </si>
  <si>
    <t>03/05/2023 11:00</t>
  </si>
  <si>
    <t>03/05/2023 12:00</t>
  </si>
  <si>
    <t>03/05/2023 13:00</t>
  </si>
  <si>
    <t>03/05/2023 14:00</t>
  </si>
  <si>
    <t>03/05/2023 15:00</t>
  </si>
  <si>
    <t>03/05/2023 16:00</t>
  </si>
  <si>
    <t>03/05/2023 17:00</t>
  </si>
  <si>
    <t>03/05/2023 18:00</t>
  </si>
  <si>
    <t>03/05/2023 19:00</t>
  </si>
  <si>
    <t>03/05/2023 20:00</t>
  </si>
  <si>
    <t>03/05/2023 21:00</t>
  </si>
  <si>
    <t>03/05/2023 22:00</t>
  </si>
  <si>
    <t>03/05/2023 23:00</t>
  </si>
  <si>
    <t>03/05/2023 24:00</t>
  </si>
  <si>
    <t>04/05/2023 01:00</t>
  </si>
  <si>
    <t>04/05/2023 02:00</t>
  </si>
  <si>
    <t>04/05/2023 03:00</t>
  </si>
  <si>
    <t>04/05/2023 04:00</t>
  </si>
  <si>
    <t>04/05/2023 06:00</t>
  </si>
  <si>
    <t>04/05/2023 07:00</t>
  </si>
  <si>
    <t>04/05/2023 08:00</t>
  </si>
  <si>
    <t>04/05/2023 09:00</t>
  </si>
  <si>
    <t>04/05/2023 10:00</t>
  </si>
  <si>
    <t>04/05/2023 11:00</t>
  </si>
  <si>
    <t>04/05/2023 12:00</t>
  </si>
  <si>
    <t>04/05/2023 13:00</t>
  </si>
  <si>
    <t>04/05/2023 14:00</t>
  </si>
  <si>
    <t>04/05/2023 15:00</t>
  </si>
  <si>
    <t>04/05/2023 16:00</t>
  </si>
  <si>
    <t>04/05/2023 17:00</t>
  </si>
  <si>
    <t>04/05/2023 18:00</t>
  </si>
  <si>
    <t>04/05/2023 19:00</t>
  </si>
  <si>
    <t>04/05/2023 20:00</t>
  </si>
  <si>
    <t>04/05/2023 21:00</t>
  </si>
  <si>
    <t>04/05/2023 22:00</t>
  </si>
  <si>
    <t>04/05/2023 23:00</t>
  </si>
  <si>
    <t>04/05/2023 24:00</t>
  </si>
  <si>
    <t>05/05/2023 01:00</t>
  </si>
  <si>
    <t>05/05/2023 02:00</t>
  </si>
  <si>
    <t>05/05/2023 03:00</t>
  </si>
  <si>
    <t>05/05/2023 04:00</t>
  </si>
  <si>
    <t>05/05/2023 05:00</t>
  </si>
  <si>
    <t>05/05/2023 06:00</t>
  </si>
  <si>
    <t>05/05/2023 07:00</t>
  </si>
  <si>
    <t>05/05/2023 08:00</t>
  </si>
  <si>
    <t>05/05/2023 09:00</t>
  </si>
  <si>
    <t>05/05/2023 10:00</t>
  </si>
  <si>
    <t>05/05/2023 11:00</t>
  </si>
  <si>
    <t>05/05/2023 12:00</t>
  </si>
  <si>
    <t>05/05/2023 13:00</t>
  </si>
  <si>
    <t>05/05/2023 14:00</t>
  </si>
  <si>
    <t>05/05/2023 15:00</t>
  </si>
  <si>
    <t>05/05/2023 16:00</t>
  </si>
  <si>
    <t>05/05/2023 17:00</t>
  </si>
  <si>
    <t>05/05/2023 18:00</t>
  </si>
  <si>
    <t>05/05/2023 19:00</t>
  </si>
  <si>
    <t>05/05/2023 20:00</t>
  </si>
  <si>
    <t>05/05/2023 21:00</t>
  </si>
  <si>
    <t>05/05/2023 22:00</t>
  </si>
  <si>
    <t>05/05/2023 23:00</t>
  </si>
  <si>
    <t>05/05/2023 24:00</t>
  </si>
  <si>
    <t>06/05/2023 01:00</t>
  </si>
  <si>
    <t>06/05/2023 02:00</t>
  </si>
  <si>
    <t>06/05/2023 03:00</t>
  </si>
  <si>
    <t>06/05/2023 04:00</t>
  </si>
  <si>
    <t>06/05/2023 05:00</t>
  </si>
  <si>
    <t>06/05/2023 06:00</t>
  </si>
  <si>
    <t>06/05/2023 07:00</t>
  </si>
  <si>
    <t>06/05/2023 08:00</t>
  </si>
  <si>
    <t>06/05/2023 09:00</t>
  </si>
  <si>
    <t>06/05/2023 10:00</t>
  </si>
  <si>
    <t>06/05/2023 11:00</t>
  </si>
  <si>
    <t>06/05/2023 12:00</t>
  </si>
  <si>
    <t>06/05/2023 13:00</t>
  </si>
  <si>
    <t>06/05/2023 14:00</t>
  </si>
  <si>
    <t>06/05/2023 15:00</t>
  </si>
  <si>
    <t>06/05/2023 16:00</t>
  </si>
  <si>
    <t>06/05/2023 17:00</t>
  </si>
  <si>
    <t>06/05/2023 18:00</t>
  </si>
  <si>
    <t>06/05/2023 19:00</t>
  </si>
  <si>
    <t>06/05/2023 20:00</t>
  </si>
  <si>
    <t>06/05/2023 21:00</t>
  </si>
  <si>
    <t>06/05/2023 22:00</t>
  </si>
  <si>
    <t>06/05/2023 23:00</t>
  </si>
  <si>
    <t>06/05/2023 24:00</t>
  </si>
  <si>
    <t>07/05/2023 01:00</t>
  </si>
  <si>
    <t>07/05/2023 02:00</t>
  </si>
  <si>
    <t>07/05/2023 03:00</t>
  </si>
  <si>
    <t>07/05/2023 04:00</t>
  </si>
  <si>
    <t>07/05/2023 05:00</t>
  </si>
  <si>
    <t>07/05/2023 06:00</t>
  </si>
  <si>
    <t>07/05/2023 07:00</t>
  </si>
  <si>
    <t>07/05/2023 08:00</t>
  </si>
  <si>
    <t>07/05/2023 09:00</t>
  </si>
  <si>
    <t>07/05/2023 10:00</t>
  </si>
  <si>
    <t>07/05/2023 11:00</t>
  </si>
  <si>
    <t>07/05/2023 12:00</t>
  </si>
  <si>
    <t>07/05/2023 13:00</t>
  </si>
  <si>
    <t>07/05/2023 14:00</t>
  </si>
  <si>
    <t>07/05/2023 15:00</t>
  </si>
  <si>
    <t>07/05/2023 16:00</t>
  </si>
  <si>
    <t>07/05/2023 17:00</t>
  </si>
  <si>
    <t>07/05/2023 18:00</t>
  </si>
  <si>
    <t>07/05/2023 19:00</t>
  </si>
  <si>
    <t>07/05/2023 20:00</t>
  </si>
  <si>
    <t>07/05/2023 21:00</t>
  </si>
  <si>
    <t>07/05/2023 22:00</t>
  </si>
  <si>
    <t>07/05/2023 23:00</t>
  </si>
  <si>
    <t>07/05/2023 24:00</t>
  </si>
  <si>
    <t>08/05/2023 01:00</t>
  </si>
  <si>
    <t>08/05/2023 02:00</t>
  </si>
  <si>
    <t>08/05/2023 03:00</t>
  </si>
  <si>
    <t>08/05/2023 04:00</t>
  </si>
  <si>
    <t>08/05/2023 05:00</t>
  </si>
  <si>
    <t>08/05/2023 06:00</t>
  </si>
  <si>
    <t>08/05/2023 07:00</t>
  </si>
  <si>
    <t>08/05/2023 08:00</t>
  </si>
  <si>
    <t>08/05/2023 09:00</t>
  </si>
  <si>
    <t>08/05/2023 10:00</t>
  </si>
  <si>
    <t>08/05/2023 11:00</t>
  </si>
  <si>
    <t>08/05/2023 12:00</t>
  </si>
  <si>
    <t>08/05/2023 13:00</t>
  </si>
  <si>
    <t>08/05/2023 14:00</t>
  </si>
  <si>
    <t>08/05/2023 15:00</t>
  </si>
  <si>
    <t>08/05/2023 16:00</t>
  </si>
  <si>
    <t>08/05/2023 17:00</t>
  </si>
  <si>
    <t>08/05/2023 18:00</t>
  </si>
  <si>
    <t>08/05/2023 19:00</t>
  </si>
  <si>
    <t>08/05/2023 20:00</t>
  </si>
  <si>
    <t>08/05/2023 21:00</t>
  </si>
  <si>
    <t>08/05/2023 22:00</t>
  </si>
  <si>
    <t>08/05/2023 23:00</t>
  </si>
  <si>
    <t>08/05/2023 24:00</t>
  </si>
  <si>
    <t>09/05/2023 01:00</t>
  </si>
  <si>
    <t>09/05/2023 02:00</t>
  </si>
  <si>
    <t>09/05/2023 03:00</t>
  </si>
  <si>
    <t>09/05/2023 04:00</t>
  </si>
  <si>
    <t>09/05/2023 05:00</t>
  </si>
  <si>
    <t>09/05/2023 06:00</t>
  </si>
  <si>
    <t>09/05/2023 07:00</t>
  </si>
  <si>
    <t>09/05/2023 08:00</t>
  </si>
  <si>
    <t>09/05/2023 09:00</t>
  </si>
  <si>
    <t>09/05/2023 10:00</t>
  </si>
  <si>
    <t>09/05/2023 11:00</t>
  </si>
  <si>
    <t>09/05/2023 12:00</t>
  </si>
  <si>
    <t>09/05/2023 13:00</t>
  </si>
  <si>
    <t>09/05/2023 14:00</t>
  </si>
  <si>
    <t>09/05/2023 15:00</t>
  </si>
  <si>
    <t>09/05/2023 16:00</t>
  </si>
  <si>
    <t>09/05/2023 17:00</t>
  </si>
  <si>
    <t>09/05/2023 18:00</t>
  </si>
  <si>
    <t>09/05/2023 19:00</t>
  </si>
  <si>
    <t>09/05/2023 20:00</t>
  </si>
  <si>
    <t>09/05/2023 21:00</t>
  </si>
  <si>
    <t>09/05/2023 22:00</t>
  </si>
  <si>
    <t>09/05/2023 23:00</t>
  </si>
  <si>
    <t>09/05/2023 24:00</t>
  </si>
  <si>
    <t>10/05/2023 01:00</t>
  </si>
  <si>
    <t>10/05/2023 02:00</t>
  </si>
  <si>
    <t>10/05/2023 03:00</t>
  </si>
  <si>
    <t>10/05/2023 05:00</t>
  </si>
  <si>
    <t>10/05/2023 06:00</t>
  </si>
  <si>
    <t>10/05/2023 07:00</t>
  </si>
  <si>
    <t>10/05/2023 08:00</t>
  </si>
  <si>
    <t>10/05/2023 09:00</t>
  </si>
  <si>
    <t>10/05/2023 10:00</t>
  </si>
  <si>
    <t>10/05/2023 11:00</t>
  </si>
  <si>
    <t>10/05/2023 12:00</t>
  </si>
  <si>
    <t>10/05/2023 13:00</t>
  </si>
  <si>
    <t>10/05/2023 14:00</t>
  </si>
  <si>
    <t>10/05/2023 15:00</t>
  </si>
  <si>
    <t>10/05/2023 16:00</t>
  </si>
  <si>
    <t>10/05/2023 17:00</t>
  </si>
  <si>
    <t>10/05/2023 18:00</t>
  </si>
  <si>
    <t>10/05/2023 19:00</t>
  </si>
  <si>
    <t>10/05/2023 20:00</t>
  </si>
  <si>
    <t>10/05/2023 21:00</t>
  </si>
  <si>
    <t>10/05/2023 22:00</t>
  </si>
  <si>
    <t>10/05/2023 23:00</t>
  </si>
  <si>
    <t>10/05/2023 24:00</t>
  </si>
  <si>
    <t>11/05/2023 01:00</t>
  </si>
  <si>
    <t>11/05/2023 02:00</t>
  </si>
  <si>
    <t>11/05/2023 03:00</t>
  </si>
  <si>
    <t>11/05/2023 04:00</t>
  </si>
  <si>
    <t>11/05/2023 05:00</t>
  </si>
  <si>
    <t>11/05/2023 06:00</t>
  </si>
  <si>
    <t>11/05/2023 07:00</t>
  </si>
  <si>
    <t>11/05/2023 08:00</t>
  </si>
  <si>
    <t>11/05/2023 09:00</t>
  </si>
  <si>
    <t>11/05/2023 10:00</t>
  </si>
  <si>
    <t>11/05/2023 11:00</t>
  </si>
  <si>
    <t>11/05/2023 12:00</t>
  </si>
  <si>
    <t>11/05/2023 13:00</t>
  </si>
  <si>
    <t>11/05/2023 14:00</t>
  </si>
  <si>
    <t>11/05/2023 15:00</t>
  </si>
  <si>
    <t>11/05/2023 16:00</t>
  </si>
  <si>
    <t>11/05/2023 17:00</t>
  </si>
  <si>
    <t>11/05/2023 18:00</t>
  </si>
  <si>
    <t>11/05/2023 19:00</t>
  </si>
  <si>
    <t>11/05/2023 20:00</t>
  </si>
  <si>
    <t>11/05/2023 21:00</t>
  </si>
  <si>
    <t>11/05/2023 22:00</t>
  </si>
  <si>
    <t>11/05/2023 23:00</t>
  </si>
  <si>
    <t>11/05/2023 24:00</t>
  </si>
  <si>
    <t>12/05/2023 01:00</t>
  </si>
  <si>
    <t>12/05/2023 02:00</t>
  </si>
  <si>
    <t>12/05/2023 03:00</t>
  </si>
  <si>
    <t>12/05/2023 04:00</t>
  </si>
  <si>
    <t>12/05/2023 05:00</t>
  </si>
  <si>
    <t>12/05/2023 06:00</t>
  </si>
  <si>
    <t>12/05/2023 07:00</t>
  </si>
  <si>
    <t>12/05/2023 08:00</t>
  </si>
  <si>
    <t>12/05/2023 09:00</t>
  </si>
  <si>
    <t>12/05/2023 10:00</t>
  </si>
  <si>
    <t>12/05/2023 11:00</t>
  </si>
  <si>
    <t>12/05/2023 12:00</t>
  </si>
  <si>
    <t>12/05/2023 13:00</t>
  </si>
  <si>
    <t>12/05/2023 14:00</t>
  </si>
  <si>
    <t>12/05/2023 15:00</t>
  </si>
  <si>
    <t>12/05/2023 16:00</t>
  </si>
  <si>
    <t>12/05/2023 17:00</t>
  </si>
  <si>
    <t>12/05/2023 18:00</t>
  </si>
  <si>
    <t>12/05/2023 19:00</t>
  </si>
  <si>
    <t>12/05/2023 20:00</t>
  </si>
  <si>
    <t>12/05/2023 21:00</t>
  </si>
  <si>
    <t>12/05/2023 22:00</t>
  </si>
  <si>
    <t>12/05/2023 23:00</t>
  </si>
  <si>
    <t>12/05/2023 24:00</t>
  </si>
  <si>
    <t>13/05/2023 01:00</t>
  </si>
  <si>
    <t>13/05/2023 02:00</t>
  </si>
  <si>
    <t>13/05/2023 03:00</t>
  </si>
  <si>
    <t>13/05/2023 04:00</t>
  </si>
  <si>
    <t>13/05/2023 05:00</t>
  </si>
  <si>
    <t>13/05/2023 06:00</t>
  </si>
  <si>
    <t>13/05/2023 07:00</t>
  </si>
  <si>
    <t>13/05/2023 08:00</t>
  </si>
  <si>
    <t>13/05/2023 09:00</t>
  </si>
  <si>
    <t>13/05/2023 10:00</t>
  </si>
  <si>
    <t>13/05/2023 11:00</t>
  </si>
  <si>
    <t>13/05/2023 12:00</t>
  </si>
  <si>
    <t>13/05/2023 13:00</t>
  </si>
  <si>
    <t>13/05/2023 14:00</t>
  </si>
  <si>
    <t>13/05/2023 15:00</t>
  </si>
  <si>
    <t>13/05/2023 16:00</t>
  </si>
  <si>
    <t>13/05/2023 17:00</t>
  </si>
  <si>
    <t>13/05/2023 18:00</t>
  </si>
  <si>
    <t>13/05/2023 19:00</t>
  </si>
  <si>
    <t>13/05/2023 20:00</t>
  </si>
  <si>
    <t>13/05/2023 21:00</t>
  </si>
  <si>
    <t>13/05/2023 22:00</t>
  </si>
  <si>
    <t>13/05/2023 23:00</t>
  </si>
  <si>
    <t>13/05/2023 24:00</t>
  </si>
  <si>
    <t>14/05/2023 01:00</t>
  </si>
  <si>
    <t>14/05/2023 02:00</t>
  </si>
  <si>
    <t>14/05/2023 03:00</t>
  </si>
  <si>
    <t>14/05/2023 04:00</t>
  </si>
  <si>
    <t>14/05/2023 05:00</t>
  </si>
  <si>
    <t>14/05/2023 06:00</t>
  </si>
  <si>
    <t>14/05/2023 07:00</t>
  </si>
  <si>
    <t>14/05/2023 08:00</t>
  </si>
  <si>
    <t>14/05/2023 09:00</t>
  </si>
  <si>
    <t>14/05/2023 10:00</t>
  </si>
  <si>
    <t>14/05/2023 11:00</t>
  </si>
  <si>
    <t>14/05/2023 12:00</t>
  </si>
  <si>
    <t>14/05/2023 13:00</t>
  </si>
  <si>
    <t>14/05/2023 14:00</t>
  </si>
  <si>
    <t>14/05/2023 15:00</t>
  </si>
  <si>
    <t>14/05/2023 16:00</t>
  </si>
  <si>
    <t>14/05/2023 17:00</t>
  </si>
  <si>
    <t>14/05/2023 18:00</t>
  </si>
  <si>
    <t>14/05/2023 19:00</t>
  </si>
  <si>
    <t>14/05/2023 20:00</t>
  </si>
  <si>
    <t>14/05/2023 21:00</t>
  </si>
  <si>
    <t>14/05/2023 22:00</t>
  </si>
  <si>
    <t>14/05/2023 23:00</t>
  </si>
  <si>
    <t>14/05/2023 24:00</t>
  </si>
  <si>
    <t>15/05/2023 01:00</t>
  </si>
  <si>
    <t>15/05/2023 02:00</t>
  </si>
  <si>
    <t>15/05/2023 03:00</t>
  </si>
  <si>
    <t>15/05/2023 04:00</t>
  </si>
  <si>
    <t>15/05/2023 05:00</t>
  </si>
  <si>
    <t>15/05/2023 06:00</t>
  </si>
  <si>
    <t>15/05/2023 07:00</t>
  </si>
  <si>
    <t>15/05/2023 08:00</t>
  </si>
  <si>
    <t>15/05/2023 09:00</t>
  </si>
  <si>
    <t>15/05/2023 10:00</t>
  </si>
  <si>
    <t>15/05/2023 11:00</t>
  </si>
  <si>
    <t>15/05/2023 12:00</t>
  </si>
  <si>
    <t>15/05/2023 13:00</t>
  </si>
  <si>
    <t>15/05/2023 14:00</t>
  </si>
  <si>
    <t>15/05/2023 15:00</t>
  </si>
  <si>
    <t>15/05/2023 16:00</t>
  </si>
  <si>
    <t>15/05/2023 17:00</t>
  </si>
  <si>
    <t>15/05/2023 18:00</t>
  </si>
  <si>
    <t>15/05/2023 19:00</t>
  </si>
  <si>
    <t>15/05/2023 20:00</t>
  </si>
  <si>
    <t>15/05/2023 21:00</t>
  </si>
  <si>
    <t>15/05/2023 22:00</t>
  </si>
  <si>
    <t>15/05/2023 23:00</t>
  </si>
  <si>
    <t>15/05/2023 24:00</t>
  </si>
  <si>
    <t>16/05/2023 01:00</t>
  </si>
  <si>
    <t>16/05/2023 02:00</t>
  </si>
  <si>
    <t>16/05/2023 03:00</t>
  </si>
  <si>
    <t>16/05/2023 04:00</t>
  </si>
  <si>
    <t>16/05/2023 05:00</t>
  </si>
  <si>
    <t>16/05/2023 06:00</t>
  </si>
  <si>
    <t>16/05/2023 07:00</t>
  </si>
  <si>
    <t>16/05/2023 08:00</t>
  </si>
  <si>
    <t>16/05/2023 09:00</t>
  </si>
  <si>
    <t>16/05/2023 10:00</t>
  </si>
  <si>
    <t>16/05/2023 11:00</t>
  </si>
  <si>
    <t>16/05/2023 12:00</t>
  </si>
  <si>
    <t>16/05/2023 13:00</t>
  </si>
  <si>
    <t>16/05/2023 14:00</t>
  </si>
  <si>
    <t>16/05/2023 15:00</t>
  </si>
  <si>
    <t>16/05/2023 16:00</t>
  </si>
  <si>
    <t>16/05/2023 17:00</t>
  </si>
  <si>
    <t>16/05/2023 18:00</t>
  </si>
  <si>
    <t>16/05/2023 19:00</t>
  </si>
  <si>
    <t>16/05/2023 20:00</t>
  </si>
  <si>
    <t>16/05/2023 21:00</t>
  </si>
  <si>
    <t>16/05/2023 22:00</t>
  </si>
  <si>
    <t>16/05/2023 23:00</t>
  </si>
  <si>
    <t>16/05/2023 24:00</t>
  </si>
  <si>
    <t>17/05/2023 01:00</t>
  </si>
  <si>
    <t>17/05/2023 02:00</t>
  </si>
  <si>
    <t>17/05/2023 03:00</t>
  </si>
  <si>
    <t>17/05/2023 04:00</t>
  </si>
  <si>
    <t>17/05/2023 05:00</t>
  </si>
  <si>
    <t>17/05/2023 06:00</t>
  </si>
  <si>
    <t>17/05/2023 07:00</t>
  </si>
  <si>
    <t>17/05/2023 08:00</t>
  </si>
  <si>
    <t>17/05/2023 09:00</t>
  </si>
  <si>
    <t>17/05/2023 10:00</t>
  </si>
  <si>
    <t>17/05/2023 11:00</t>
  </si>
  <si>
    <t>17/05/2023 12:00</t>
  </si>
  <si>
    <t>17/05/2023 13:00</t>
  </si>
  <si>
    <t>17/05/2023 14:00</t>
  </si>
  <si>
    <t>17/05/2023 15:00</t>
  </si>
  <si>
    <t>17/05/2023 16:00</t>
  </si>
  <si>
    <t>17/05/2023 17:00</t>
  </si>
  <si>
    <t>17/05/2023 18:00</t>
  </si>
  <si>
    <t>17/05/2023 19:00</t>
  </si>
  <si>
    <t>17/05/2023 20:00</t>
  </si>
  <si>
    <t>17/05/2023 21:00</t>
  </si>
  <si>
    <t>17/05/2023 22:00</t>
  </si>
  <si>
    <t>17/05/2023 23:00</t>
  </si>
  <si>
    <t>17/05/2023 24:00</t>
  </si>
  <si>
    <t>18/05/2023 01:00</t>
  </si>
  <si>
    <t>18/05/2023 02:00</t>
  </si>
  <si>
    <t>18/05/2023 03:00</t>
  </si>
  <si>
    <t>18/05/2023 04:00</t>
  </si>
  <si>
    <t>18/05/2023 05:00</t>
  </si>
  <si>
    <t>18/05/2023 06:00</t>
  </si>
  <si>
    <t>18/05/2023 07:00</t>
  </si>
  <si>
    <t>18/05/2023 08:00</t>
  </si>
  <si>
    <t>18/05/2023 09:00</t>
  </si>
  <si>
    <t>18/05/2023 10:00</t>
  </si>
  <si>
    <t>18/05/2023 11:00</t>
  </si>
  <si>
    <t>18/05/2023 12:00</t>
  </si>
  <si>
    <t>18/05/2023 13:00</t>
  </si>
  <si>
    <t>18/05/2023 14:00</t>
  </si>
  <si>
    <t>18/05/2023 15:00</t>
  </si>
  <si>
    <t>18/05/2023 16:00</t>
  </si>
  <si>
    <t>18/05/2023 17:00</t>
  </si>
  <si>
    <t>18/05/2023 18:00</t>
  </si>
  <si>
    <t>18/05/2023 19:00</t>
  </si>
  <si>
    <t>18/05/2023 20:00</t>
  </si>
  <si>
    <t>18/05/2023 21:00</t>
  </si>
  <si>
    <t>18/05/2023 22:00</t>
  </si>
  <si>
    <t>18/05/2023 23:00</t>
  </si>
  <si>
    <t>18/05/2023 24:00</t>
  </si>
  <si>
    <t>19/05/2023 01:00</t>
  </si>
  <si>
    <t>19/05/2023 02:00</t>
  </si>
  <si>
    <t>19/05/2023 03:00</t>
  </si>
  <si>
    <t>19/05/2023 04:00</t>
  </si>
  <si>
    <t>19/05/2023 05:00</t>
  </si>
  <si>
    <t>19/05/2023 06:00</t>
  </si>
  <si>
    <t>19/05/2023 07:00</t>
  </si>
  <si>
    <t>19/05/2023 08:00</t>
  </si>
  <si>
    <t>19/05/2023 09:00</t>
  </si>
  <si>
    <t>19/05/2023 10:00</t>
  </si>
  <si>
    <t>19/05/2023 11:00</t>
  </si>
  <si>
    <t>19/05/2023 12:00</t>
  </si>
  <si>
    <t>19/05/2023 13:00</t>
  </si>
  <si>
    <t>19/05/2023 14:00</t>
  </si>
  <si>
    <t>19/05/2023 15:00</t>
  </si>
  <si>
    <t>19/05/2023 16:00</t>
  </si>
  <si>
    <t>19/05/2023 17:00</t>
  </si>
  <si>
    <t>19/05/2023 18:00</t>
  </si>
  <si>
    <t>19/05/2023 19:00</t>
  </si>
  <si>
    <t>19/05/2023 20:00</t>
  </si>
  <si>
    <t>19/05/2023 21:00</t>
  </si>
  <si>
    <t>19/05/2023 22:00</t>
  </si>
  <si>
    <t>19/05/2023 23:00</t>
  </si>
  <si>
    <t>19/05/2023 24:00</t>
  </si>
  <si>
    <t>20/05/2023 01:00</t>
  </si>
  <si>
    <t>20/05/2023 02:00</t>
  </si>
  <si>
    <t>20/05/2023 03:00</t>
  </si>
  <si>
    <t>20/05/2023 04:00</t>
  </si>
  <si>
    <t>20/05/2023 05:00</t>
  </si>
  <si>
    <t>20/05/2023 06:00</t>
  </si>
  <si>
    <t>20/05/2023 07:00</t>
  </si>
  <si>
    <t>20/05/2023 08:00</t>
  </si>
  <si>
    <t>20/05/2023 09:00</t>
  </si>
  <si>
    <t>20/05/2023 10:00</t>
  </si>
  <si>
    <t>20/05/2023 11:00</t>
  </si>
  <si>
    <t>20/05/2023 12:00</t>
  </si>
  <si>
    <t>20/05/2023 13:00</t>
  </si>
  <si>
    <t>20/05/2023 14:00</t>
  </si>
  <si>
    <t>20/05/2023 15:00</t>
  </si>
  <si>
    <t>20/05/2023 16:00</t>
  </si>
  <si>
    <t>20/05/2023 17:00</t>
  </si>
  <si>
    <t>20/05/2023 18:00</t>
  </si>
  <si>
    <t>20/05/2023 19:00</t>
  </si>
  <si>
    <t>20/05/2023 20:00</t>
  </si>
  <si>
    <t>20/05/2023 21:00</t>
  </si>
  <si>
    <t>20/05/2023 22:00</t>
  </si>
  <si>
    <t>20/05/2023 23:00</t>
  </si>
  <si>
    <t>20/05/2023 24:00</t>
  </si>
  <si>
    <t>21/05/2023 01:00</t>
  </si>
  <si>
    <t>21/05/2023 02:00</t>
  </si>
  <si>
    <t>21/05/2023 03:00</t>
  </si>
  <si>
    <t>21/05/2023 04:00</t>
  </si>
  <si>
    <t>21/05/2023 05:00</t>
  </si>
  <si>
    <t>21/05/2023 06:00</t>
  </si>
  <si>
    <t>21/05/2023 07:00</t>
  </si>
  <si>
    <t>21/05/2023 08:00</t>
  </si>
  <si>
    <t>21/05/2023 09:00</t>
  </si>
  <si>
    <t>21/05/2023 10:00</t>
  </si>
  <si>
    <t>21/05/2023 11:00</t>
  </si>
  <si>
    <t>21/05/2023 12:00</t>
  </si>
  <si>
    <t>21/05/2023 13:00</t>
  </si>
  <si>
    <t>21/05/2023 14:00</t>
  </si>
  <si>
    <t>21/05/2023 15:00</t>
  </si>
  <si>
    <t>21/05/2023 16:00</t>
  </si>
  <si>
    <t>21/05/2023 17:00</t>
  </si>
  <si>
    <t>21/05/2023 18:00</t>
  </si>
  <si>
    <t>21/05/2023 19:00</t>
  </si>
  <si>
    <t>21/05/2023 20:00</t>
  </si>
  <si>
    <t>21/05/2023 21:00</t>
  </si>
  <si>
    <t>21/05/2023 22:00</t>
  </si>
  <si>
    <t>21/05/2023 23:00</t>
  </si>
  <si>
    <t>21/05/2023 24:00</t>
  </si>
  <si>
    <t>22/05/2023 01:00</t>
  </si>
  <si>
    <t>22/05/2023 02:00</t>
  </si>
  <si>
    <t>22/05/2023 03:00</t>
  </si>
  <si>
    <t>22/05/2023 04:00</t>
  </si>
  <si>
    <t>22/05/2023 05:00</t>
  </si>
  <si>
    <t>22/05/2023 06:00</t>
  </si>
  <si>
    <t>22/05/2023 07:00</t>
  </si>
  <si>
    <t>22/05/2023 08:00</t>
  </si>
  <si>
    <t>22/05/2023 09:00</t>
  </si>
  <si>
    <t>22/05/2023 10:00</t>
  </si>
  <si>
    <t>22/05/2023 11:00</t>
  </si>
  <si>
    <t>22/05/2023 12:00</t>
  </si>
  <si>
    <t>22/05/2023 13:00</t>
  </si>
  <si>
    <t>22/05/2023 14:00</t>
  </si>
  <si>
    <t>22/05/2023 15:00</t>
  </si>
  <si>
    <t>22/05/2023 16:00</t>
  </si>
  <si>
    <t>22/05/2023 17:00</t>
  </si>
  <si>
    <t>22/05/2023 18:00</t>
  </si>
  <si>
    <t>22/05/2023 19:00</t>
  </si>
  <si>
    <t>22/05/2023 20:00</t>
  </si>
  <si>
    <t>22/05/2023 21:00</t>
  </si>
  <si>
    <t>22/05/2023 22:00</t>
  </si>
  <si>
    <t>22/05/2023 23:00</t>
  </si>
  <si>
    <t>22/05/2023 24:00</t>
  </si>
  <si>
    <t>23/05/2023 01:00</t>
  </si>
  <si>
    <t>23/05/2023 02:00</t>
  </si>
  <si>
    <t>23/05/2023 04:00</t>
  </si>
  <si>
    <t>23/05/2023 05:00</t>
  </si>
  <si>
    <t>23/05/2023 06:00</t>
  </si>
  <si>
    <t>23/05/2023 07:00</t>
  </si>
  <si>
    <t>23/05/2023 08:00</t>
  </si>
  <si>
    <t>23/05/2023 09:00</t>
  </si>
  <si>
    <t>23/05/2023 10:00</t>
  </si>
  <si>
    <t>23/05/2023 11:00</t>
  </si>
  <si>
    <t>23/05/2023 12:00</t>
  </si>
  <si>
    <t>23/05/2023 13:00</t>
  </si>
  <si>
    <t>23/05/2023 14:00</t>
  </si>
  <si>
    <t>23/05/2023 15:00</t>
  </si>
  <si>
    <t>23/05/2023 16:00</t>
  </si>
  <si>
    <t>23/05/2023 17:00</t>
  </si>
  <si>
    <t>23/05/2023 18:00</t>
  </si>
  <si>
    <t>23/05/2023 19:00</t>
  </si>
  <si>
    <t>23/05/2023 20:00</t>
  </si>
  <si>
    <t>23/05/2023 21:00</t>
  </si>
  <si>
    <t>23/05/2023 22:00</t>
  </si>
  <si>
    <t>23/05/2023 23:00</t>
  </si>
  <si>
    <t>23/05/2023 24:00</t>
  </si>
  <si>
    <t>24/05/2023 01:00</t>
  </si>
  <si>
    <t>24/05/2023 02:00</t>
  </si>
  <si>
    <t>24/05/2023 03:00</t>
  </si>
  <si>
    <t>24/05/2023 04:00</t>
  </si>
  <si>
    <t>24/05/2023 05:00</t>
  </si>
  <si>
    <t>24/05/2023 06:00</t>
  </si>
  <si>
    <t>24/05/2023 07:00</t>
  </si>
  <si>
    <t>24/05/2023 08:00</t>
  </si>
  <si>
    <t>24/05/2023 09:00</t>
  </si>
  <si>
    <t>24/05/2023 10:00</t>
  </si>
  <si>
    <t>24/05/2023 11:00</t>
  </si>
  <si>
    <t>24/05/2023 12:00</t>
  </si>
  <si>
    <t>24/05/2023 13:00</t>
  </si>
  <si>
    <t>24/05/2023 14:00</t>
  </si>
  <si>
    <t>24/05/2023 15:00</t>
  </si>
  <si>
    <t>24/05/2023 16:00</t>
  </si>
  <si>
    <t>24/05/2023 17:00</t>
  </si>
  <si>
    <t>24/05/2023 18:00</t>
  </si>
  <si>
    <t>24/05/2023 19:00</t>
  </si>
  <si>
    <t>24/05/2023 20:00</t>
  </si>
  <si>
    <t>24/05/2023 21:00</t>
  </si>
  <si>
    <t>24/05/2023 22:00</t>
  </si>
  <si>
    <t>24/05/2023 23:00</t>
  </si>
  <si>
    <t>24/05/2023 24:00</t>
  </si>
  <si>
    <t>25/05/2023 01:00</t>
  </si>
  <si>
    <t>25/05/2023 02:00</t>
  </si>
  <si>
    <t>25/05/2023 03:00</t>
  </si>
  <si>
    <t>25/05/2023 04:00</t>
  </si>
  <si>
    <t>25/05/2023 05:00</t>
  </si>
  <si>
    <t>25/05/2023 06:00</t>
  </si>
  <si>
    <t>25/05/2023 07:00</t>
  </si>
  <si>
    <t>25/05/2023 08:00</t>
  </si>
  <si>
    <t>25/05/2023 09:00</t>
  </si>
  <si>
    <t>25/05/2023 10:00</t>
  </si>
  <si>
    <t>25/05/2023 11:00</t>
  </si>
  <si>
    <t>25/05/2023 12:00</t>
  </si>
  <si>
    <t>25/05/2023 13:00</t>
  </si>
  <si>
    <t>25/05/2023 14:00</t>
  </si>
  <si>
    <t>25/05/2023 15:00</t>
  </si>
  <si>
    <t>25/05/2023 16:00</t>
  </si>
  <si>
    <t>25/05/2023 17:00</t>
  </si>
  <si>
    <t>25/05/2023 18:00</t>
  </si>
  <si>
    <t>25/05/2023 19:00</t>
  </si>
  <si>
    <t>25/05/2023 20:00</t>
  </si>
  <si>
    <t>25/05/2023 21:00</t>
  </si>
  <si>
    <t>25/05/2023 22:00</t>
  </si>
  <si>
    <t>25/05/2023 23:00</t>
  </si>
  <si>
    <t>25/05/2023 24:00</t>
  </si>
  <si>
    <t>26/05/2023 01:00</t>
  </si>
  <si>
    <t>26/05/2023 02:00</t>
  </si>
  <si>
    <t>26/05/2023 03:00</t>
  </si>
  <si>
    <t>26/05/2023 04:00</t>
  </si>
  <si>
    <t>26/05/2023 05:00</t>
  </si>
  <si>
    <t>26/05/2023 06:00</t>
  </si>
  <si>
    <t>26/05/2023 07:00</t>
  </si>
  <si>
    <t>26/05/2023 08:00</t>
  </si>
  <si>
    <t>26/05/2023 09:00</t>
  </si>
  <si>
    <t>26/05/2023 10:00</t>
  </si>
  <si>
    <t>26/05/2023 11:00</t>
  </si>
  <si>
    <t>26/05/2023 12:00</t>
  </si>
  <si>
    <t>26/05/2023 13:00</t>
  </si>
  <si>
    <t>26/05/2023 14:00</t>
  </si>
  <si>
    <t>26/05/2023 15:00</t>
  </si>
  <si>
    <t>26/05/2023 16:00</t>
  </si>
  <si>
    <t>26/05/2023 17:00</t>
  </si>
  <si>
    <t>26/05/2023 18:00</t>
  </si>
  <si>
    <t>26/05/2023 19:00</t>
  </si>
  <si>
    <t>26/05/2023 20:00</t>
  </si>
  <si>
    <t>26/05/2023 21:00</t>
  </si>
  <si>
    <t>26/05/2023 22:00</t>
  </si>
  <si>
    <t>26/05/2023 23:00</t>
  </si>
  <si>
    <t>26/05/2023 24:00</t>
  </si>
  <si>
    <t>27/05/2023 01:00</t>
  </si>
  <si>
    <t>27/05/2023 02:00</t>
  </si>
  <si>
    <t>27/05/2023 03:00</t>
  </si>
  <si>
    <t>27/05/2023 04:00</t>
  </si>
  <si>
    <t>27/05/2023 05:00</t>
  </si>
  <si>
    <t>27/05/2023 06:00</t>
  </si>
  <si>
    <t>27/05/2023 07:00</t>
  </si>
  <si>
    <t>27/05/2023 08:00</t>
  </si>
  <si>
    <t>27/05/2023 09:00</t>
  </si>
  <si>
    <t>27/05/2023 10:00</t>
  </si>
  <si>
    <t>27/05/2023 11:00</t>
  </si>
  <si>
    <t>27/05/2023 12:00</t>
  </si>
  <si>
    <t>27/05/2023 13:00</t>
  </si>
  <si>
    <t>27/05/2023 14:00</t>
  </si>
  <si>
    <t>27/05/2023 15:00</t>
  </si>
  <si>
    <t>27/05/2023 16:00</t>
  </si>
  <si>
    <t>27/05/2023 17:00</t>
  </si>
  <si>
    <t>27/05/2023 18:00</t>
  </si>
  <si>
    <t>27/05/2023 19:00</t>
  </si>
  <si>
    <t>27/05/2023 20:00</t>
  </si>
  <si>
    <t>27/05/2023 21:00</t>
  </si>
  <si>
    <t>27/05/2023 22:00</t>
  </si>
  <si>
    <t>27/05/2023 23:00</t>
  </si>
  <si>
    <t>27/05/2023 24:00</t>
  </si>
  <si>
    <t>28/05/2023 01:00</t>
  </si>
  <si>
    <t>28/05/2023 02:00</t>
  </si>
  <si>
    <t>28/05/2023 03:00</t>
  </si>
  <si>
    <t>28/05/2023 04:00</t>
  </si>
  <si>
    <t>28/05/2023 05:00</t>
  </si>
  <si>
    <t>28/05/2023 06:00</t>
  </si>
  <si>
    <t>28/05/2023 07:00</t>
  </si>
  <si>
    <t>28/05/2023 08:00</t>
  </si>
  <si>
    <t>28/05/2023 09:00</t>
  </si>
  <si>
    <t>28/05/2023 10:00</t>
  </si>
  <si>
    <t>28/05/2023 11:00</t>
  </si>
  <si>
    <t>28/05/2023 12:00</t>
  </si>
  <si>
    <t>28/05/2023 13:00</t>
  </si>
  <si>
    <t>28/05/2023 14:00</t>
  </si>
  <si>
    <t>28/05/2023 15:00</t>
  </si>
  <si>
    <t>28/05/2023 16:00</t>
  </si>
  <si>
    <t>28/05/2023 17:00</t>
  </si>
  <si>
    <t>28/05/2023 18:00</t>
  </si>
  <si>
    <t>28/05/2023 19:00</t>
  </si>
  <si>
    <t>28/05/2023 20:00</t>
  </si>
  <si>
    <t>28/05/2023 21:00</t>
  </si>
  <si>
    <t>28/05/2023 22:00</t>
  </si>
  <si>
    <t>28/05/2023 23:00</t>
  </si>
  <si>
    <t>28/05/2023 24:00</t>
  </si>
  <si>
    <t>29/05/2023 01:00</t>
  </si>
  <si>
    <t>29/05/2023 02:00</t>
  </si>
  <si>
    <t>29/05/2023 03:00</t>
  </si>
  <si>
    <t>29/05/2023 04:00</t>
  </si>
  <si>
    <t>29/05/2023 05:00</t>
  </si>
  <si>
    <t>29/05/2023 06:00</t>
  </si>
  <si>
    <t>29/05/2023 07:00</t>
  </si>
  <si>
    <t>29/05/2023 08:00</t>
  </si>
  <si>
    <t>29/05/2023 09:00</t>
  </si>
  <si>
    <t>29/05/2023 10:00</t>
  </si>
  <si>
    <t>29/05/2023 11:00</t>
  </si>
  <si>
    <t>29/05/2023 12:00</t>
  </si>
  <si>
    <t>29/05/2023 13:00</t>
  </si>
  <si>
    <t>29/05/2023 14:00</t>
  </si>
  <si>
    <t>29/05/2023 15:00</t>
  </si>
  <si>
    <t>29/05/2023 16:00</t>
  </si>
  <si>
    <t>29/05/2023 17:00</t>
  </si>
  <si>
    <t>29/05/2023 18:00</t>
  </si>
  <si>
    <t>29/05/2023 19:00</t>
  </si>
  <si>
    <t>29/05/2023 20:00</t>
  </si>
  <si>
    <t>29/05/2023 21:00</t>
  </si>
  <si>
    <t>29/05/2023 22:00</t>
  </si>
  <si>
    <t>29/05/2023 23:00</t>
  </si>
  <si>
    <t>29/05/2023 24:00</t>
  </si>
  <si>
    <t>30/05/2023 01:00</t>
  </si>
  <si>
    <t>30/05/2023 02:00</t>
  </si>
  <si>
    <t>30/05/2023 03:00</t>
  </si>
  <si>
    <t>30/05/2023 04:00</t>
  </si>
  <si>
    <t>30/05/2023 05:00</t>
  </si>
  <si>
    <t>30/05/2023 06:00</t>
  </si>
  <si>
    <t>30/05/2023 07:00</t>
  </si>
  <si>
    <t>30/05/2023 08:00</t>
  </si>
  <si>
    <t>30/05/2023 09:00</t>
  </si>
  <si>
    <t>30/05/2023 10:00</t>
  </si>
  <si>
    <t>30/05/2023 11:00</t>
  </si>
  <si>
    <t>30/05/2023 12:00</t>
  </si>
  <si>
    <t>30/05/2023 13:00</t>
  </si>
  <si>
    <t>30/05/2023 14:00</t>
  </si>
  <si>
    <t>30/05/2023 15:00</t>
  </si>
  <si>
    <t>30/05/2023 16:00</t>
  </si>
  <si>
    <t>30/05/2023 17:00</t>
  </si>
  <si>
    <t>30/05/2023 18:00</t>
  </si>
  <si>
    <t>30/05/2023 19:00</t>
  </si>
  <si>
    <t>30/05/2023 20:00</t>
  </si>
  <si>
    <t>30/05/2023 21:00</t>
  </si>
  <si>
    <t>30/05/2023 22:00</t>
  </si>
  <si>
    <t>30/05/2023 23:00</t>
  </si>
  <si>
    <t>30/05/2023 24:00</t>
  </si>
  <si>
    <t>31/05/2023 01:00</t>
  </si>
  <si>
    <t>31/05/2023 02:00</t>
  </si>
  <si>
    <t>31/05/2023 03:00</t>
  </si>
  <si>
    <t>31/05/2023 04:00</t>
  </si>
  <si>
    <t>31/05/2023 05:00</t>
  </si>
  <si>
    <t>31/05/2023 06:00</t>
  </si>
  <si>
    <t>31/05/2023 07:00</t>
  </si>
  <si>
    <t>31/05/2023 08:00</t>
  </si>
  <si>
    <t>31/05/2023 09:00</t>
  </si>
  <si>
    <t>31/05/2023 10:00</t>
  </si>
  <si>
    <t>31/05/2023 11:00</t>
  </si>
  <si>
    <t>31/05/2023 12:00</t>
  </si>
  <si>
    <t>31/05/2023 13:00</t>
  </si>
  <si>
    <t>31/05/2023 14:00</t>
  </si>
  <si>
    <t>31/05/2023 15:00</t>
  </si>
  <si>
    <t>31/05/2023 16:00</t>
  </si>
  <si>
    <t>31/05/2023 17:00</t>
  </si>
  <si>
    <t>31/05/2023 18:00</t>
  </si>
  <si>
    <t>31/05/2023 19:00</t>
  </si>
  <si>
    <t>31/05/2023 20:00</t>
  </si>
  <si>
    <t>31/05/2023 21:00</t>
  </si>
  <si>
    <t>31/05/2023 22:00</t>
  </si>
  <si>
    <t>31/05/2023 23:00</t>
  </si>
  <si>
    <t>31/05/2023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</si>
</sst>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pane="topRight"/>
      <selection pane="bottomLeft"/>
      <selection pane="bottomRight" activeCell="A9" sqref="A9:Q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84</v>
      </c>
      <c r="B9" s="52">
        <v>38.42</v>
      </c>
      <c r="C9" s="52">
        <v>62.76</v>
      </c>
      <c r="D9" s="52">
        <v>64.209999999999994</v>
      </c>
      <c r="E9" s="52">
        <v>7.16</v>
      </c>
      <c r="F9" s="52">
        <v>3.83</v>
      </c>
      <c r="G9" s="52">
        <v>23.52</v>
      </c>
      <c r="H9" s="52">
        <v>12.2</v>
      </c>
      <c r="I9" s="52">
        <v>5.36</v>
      </c>
      <c r="J9" s="52">
        <v>1.17</v>
      </c>
      <c r="K9" s="52">
        <v>268.42</v>
      </c>
      <c r="L9" s="52">
        <v>20.58</v>
      </c>
      <c r="M9" s="52">
        <v>94.53</v>
      </c>
      <c r="N9" s="52">
        <v>0</v>
      </c>
      <c r="O9" s="52">
        <v>0</v>
      </c>
      <c r="P9" s="52">
        <v>0.73</v>
      </c>
      <c r="Q9" s="52">
        <v>7.1</v>
      </c>
      <c r="R9" s="50"/>
      <c r="S9" s="50"/>
      <c r="T9" s="50"/>
      <c r="U9" s="50"/>
    </row>
    <row r="10" spans="1:21" customFormat="1">
      <c r="A10" s="51" t="s">
        <v>85</v>
      </c>
      <c r="B10" s="52">
        <v>36.9</v>
      </c>
      <c r="C10" s="52">
        <v>63.17</v>
      </c>
      <c r="D10" s="52">
        <v>63.56</v>
      </c>
      <c r="E10" s="52">
        <v>6.89</v>
      </c>
      <c r="F10" s="52">
        <v>3.81</v>
      </c>
      <c r="G10" s="52">
        <v>23.52</v>
      </c>
      <c r="H10" s="52">
        <v>12.2</v>
      </c>
      <c r="I10" s="52">
        <v>5.51</v>
      </c>
      <c r="J10" s="52">
        <v>1.1499999999999999</v>
      </c>
      <c r="K10" s="52">
        <v>313.27</v>
      </c>
      <c r="L10" s="52">
        <v>20.59</v>
      </c>
      <c r="M10" s="52">
        <v>95.38</v>
      </c>
      <c r="N10" s="52">
        <v>0</v>
      </c>
      <c r="O10" s="52">
        <v>0</v>
      </c>
      <c r="P10" s="52">
        <v>0.73</v>
      </c>
      <c r="Q10" s="52">
        <v>7.05</v>
      </c>
      <c r="R10" s="50"/>
      <c r="S10" s="50"/>
      <c r="T10" s="50"/>
      <c r="U10" s="50"/>
    </row>
    <row r="11" spans="1:21" customFormat="1">
      <c r="A11" s="53">
        <v>45047.125</v>
      </c>
      <c r="B11" s="52">
        <v>35.520000000000003</v>
      </c>
      <c r="C11" s="52">
        <v>64.23</v>
      </c>
      <c r="D11" s="52">
        <v>63.39</v>
      </c>
      <c r="E11" s="52">
        <v>7.84</v>
      </c>
      <c r="F11" s="52">
        <v>3.71</v>
      </c>
      <c r="G11" s="52">
        <v>24.06</v>
      </c>
      <c r="H11" s="52">
        <v>12.78</v>
      </c>
      <c r="I11" s="52">
        <v>5.86</v>
      </c>
      <c r="J11" s="52">
        <v>0.36</v>
      </c>
      <c r="K11" s="52">
        <v>262.58</v>
      </c>
      <c r="L11" s="52">
        <v>20.55</v>
      </c>
      <c r="M11" s="52">
        <v>97.54</v>
      </c>
      <c r="N11" s="52">
        <v>0</v>
      </c>
      <c r="O11" s="52">
        <v>0</v>
      </c>
      <c r="P11" s="52">
        <v>0.78</v>
      </c>
      <c r="Q11" s="52">
        <v>7.04</v>
      </c>
      <c r="R11" s="50"/>
      <c r="S11" s="50"/>
      <c r="T11" s="50"/>
      <c r="U11" s="50"/>
    </row>
    <row r="12" spans="1:21" customFormat="1">
      <c r="A12" s="51" t="s">
        <v>86</v>
      </c>
      <c r="B12" s="52">
        <v>35.200000000000003</v>
      </c>
      <c r="C12" s="52">
        <v>63.33</v>
      </c>
      <c r="D12" s="52">
        <v>62.66</v>
      </c>
      <c r="E12" s="52">
        <v>8.4499999999999993</v>
      </c>
      <c r="F12" s="52">
        <v>3.67</v>
      </c>
      <c r="G12" s="52">
        <v>33.07</v>
      </c>
      <c r="H12" s="52">
        <v>15.05</v>
      </c>
      <c r="I12" s="52">
        <v>6.02</v>
      </c>
      <c r="J12" s="52">
        <v>0.32</v>
      </c>
      <c r="K12" s="52">
        <v>166.9</v>
      </c>
      <c r="L12" s="52">
        <v>20.34</v>
      </c>
      <c r="M12" s="52">
        <v>97.59</v>
      </c>
      <c r="N12" s="52">
        <v>0</v>
      </c>
      <c r="O12" s="52">
        <v>0</v>
      </c>
      <c r="P12" s="52">
        <v>0.78</v>
      </c>
      <c r="Q12" s="52">
        <v>6.94</v>
      </c>
      <c r="R12" s="50"/>
      <c r="S12" s="50"/>
      <c r="T12" s="50"/>
      <c r="U12" s="50"/>
    </row>
    <row r="13" spans="1:21" customFormat="1">
      <c r="A13" s="51" t="s">
        <v>87</v>
      </c>
      <c r="B13" s="52">
        <v>33.9</v>
      </c>
      <c r="C13" s="52">
        <v>63.43</v>
      </c>
      <c r="D13" s="52">
        <v>61.68</v>
      </c>
      <c r="E13" s="52">
        <v>8.34</v>
      </c>
      <c r="F13" s="52">
        <v>4.24</v>
      </c>
      <c r="G13" s="52">
        <v>33.07</v>
      </c>
      <c r="H13" s="52">
        <v>15.05</v>
      </c>
      <c r="I13" s="52">
        <v>5.96</v>
      </c>
      <c r="J13" s="52">
        <v>0.3</v>
      </c>
      <c r="K13" s="52">
        <v>182.51</v>
      </c>
      <c r="L13" s="52">
        <v>20.2</v>
      </c>
      <c r="M13" s="52">
        <v>97.95</v>
      </c>
      <c r="N13" s="52">
        <v>0</v>
      </c>
      <c r="O13" s="52">
        <v>0</v>
      </c>
      <c r="P13" s="52">
        <v>0.76</v>
      </c>
      <c r="Q13" s="52">
        <v>6.89</v>
      </c>
      <c r="R13" s="50"/>
      <c r="S13" s="50"/>
      <c r="T13" s="50"/>
      <c r="U13" s="50"/>
    </row>
    <row r="14" spans="1:21" customFormat="1">
      <c r="A14" s="51" t="s">
        <v>88</v>
      </c>
      <c r="B14" s="52">
        <v>33.1</v>
      </c>
      <c r="C14" s="52">
        <v>59.06</v>
      </c>
      <c r="D14" s="52">
        <v>57.54</v>
      </c>
      <c r="E14" s="52">
        <v>7.8</v>
      </c>
      <c r="F14" s="52">
        <v>4.53</v>
      </c>
      <c r="G14" s="52">
        <v>28.6</v>
      </c>
      <c r="H14" s="52">
        <v>13.66</v>
      </c>
      <c r="I14" s="52">
        <v>5.67</v>
      </c>
      <c r="J14" s="52">
        <v>0.36</v>
      </c>
      <c r="K14" s="52">
        <v>277.29000000000002</v>
      </c>
      <c r="L14" s="52">
        <v>19.98</v>
      </c>
      <c r="M14" s="52">
        <v>97.29</v>
      </c>
      <c r="N14" s="52">
        <v>0</v>
      </c>
      <c r="O14" s="52">
        <v>0</v>
      </c>
      <c r="P14" s="52">
        <v>0.68</v>
      </c>
      <c r="Q14" s="52">
        <v>6.46</v>
      </c>
      <c r="R14" s="50"/>
      <c r="S14" s="50"/>
      <c r="T14" s="50"/>
      <c r="U14" s="50"/>
    </row>
    <row r="15" spans="1:21" customFormat="1">
      <c r="A15" s="51" t="s">
        <v>89</v>
      </c>
      <c r="B15" s="52">
        <v>31.31</v>
      </c>
      <c r="C15" s="52">
        <v>60.22</v>
      </c>
      <c r="D15" s="52">
        <v>57.79</v>
      </c>
      <c r="E15" s="52">
        <v>8.3000000000000007</v>
      </c>
      <c r="F15" s="52">
        <v>3.89</v>
      </c>
      <c r="G15" s="52">
        <v>18.739999999999998</v>
      </c>
      <c r="H15" s="52">
        <v>11.99</v>
      </c>
      <c r="I15" s="52">
        <v>5.24</v>
      </c>
      <c r="J15" s="52">
        <v>0.28999999999999998</v>
      </c>
      <c r="K15" s="52">
        <v>264.33999999999997</v>
      </c>
      <c r="L15" s="52">
        <v>20.2</v>
      </c>
      <c r="M15" s="52">
        <v>96.12</v>
      </c>
      <c r="N15" s="52">
        <v>25.6</v>
      </c>
      <c r="O15" s="52">
        <v>0</v>
      </c>
      <c r="P15" s="52">
        <v>0.66</v>
      </c>
      <c r="Q15" s="52">
        <v>6.47</v>
      </c>
      <c r="R15" s="50"/>
      <c r="S15" s="50"/>
      <c r="T15" s="50"/>
      <c r="U15" s="50"/>
    </row>
    <row r="16" spans="1:21" customFormat="1">
      <c r="A16" s="51" t="s">
        <v>90</v>
      </c>
      <c r="B16" s="52">
        <v>32.21</v>
      </c>
      <c r="C16" s="52">
        <v>59.64</v>
      </c>
      <c r="D16" s="52">
        <v>57.76</v>
      </c>
      <c r="E16" s="52">
        <v>8.1300000000000008</v>
      </c>
      <c r="F16" s="52">
        <v>3.92</v>
      </c>
      <c r="G16" s="52">
        <v>15.03</v>
      </c>
      <c r="H16" s="52">
        <v>8.39</v>
      </c>
      <c r="I16" s="52">
        <v>5.14</v>
      </c>
      <c r="J16" s="52">
        <v>0.35</v>
      </c>
      <c r="K16" s="52">
        <v>89.41</v>
      </c>
      <c r="L16" s="52">
        <v>21.03</v>
      </c>
      <c r="M16" s="52">
        <v>95.79</v>
      </c>
      <c r="N16" s="52">
        <v>107.9</v>
      </c>
      <c r="O16" s="52">
        <v>0</v>
      </c>
      <c r="P16" s="52">
        <v>0.64</v>
      </c>
      <c r="Q16" s="52">
        <v>6.46</v>
      </c>
      <c r="R16" s="50"/>
      <c r="S16" s="50"/>
      <c r="T16" s="50"/>
      <c r="U16" s="50"/>
    </row>
    <row r="17" spans="1:21" customFormat="1">
      <c r="A17" s="51" t="s">
        <v>91</v>
      </c>
      <c r="B17" s="52">
        <v>32.33</v>
      </c>
      <c r="C17" s="52">
        <v>59.28</v>
      </c>
      <c r="D17" s="52">
        <v>57.92</v>
      </c>
      <c r="E17" s="52">
        <v>8.2100000000000009</v>
      </c>
      <c r="F17" s="52">
        <v>3.91</v>
      </c>
      <c r="G17" s="52">
        <v>13.75</v>
      </c>
      <c r="H17" s="52">
        <v>6.31</v>
      </c>
      <c r="I17" s="52">
        <v>5.0599999999999996</v>
      </c>
      <c r="J17" s="52">
        <v>0.4</v>
      </c>
      <c r="K17" s="52">
        <v>122.58</v>
      </c>
      <c r="L17" s="52">
        <v>22.35</v>
      </c>
      <c r="M17" s="52">
        <v>93.35</v>
      </c>
      <c r="N17" s="52">
        <v>207.1</v>
      </c>
      <c r="O17" s="52">
        <v>0</v>
      </c>
      <c r="P17" s="52">
        <v>0.63</v>
      </c>
      <c r="Q17" s="52">
        <v>6.47</v>
      </c>
      <c r="R17" s="50"/>
      <c r="S17" s="50"/>
      <c r="T17" s="50"/>
      <c r="U17" s="50"/>
    </row>
    <row r="18" spans="1:21" customFormat="1">
      <c r="A18" s="51" t="s">
        <v>92</v>
      </c>
      <c r="B18" s="52">
        <v>31.75</v>
      </c>
      <c r="C18" s="52">
        <v>61.99</v>
      </c>
      <c r="D18" s="52">
        <v>58.24</v>
      </c>
      <c r="E18" s="52">
        <v>8.1300000000000008</v>
      </c>
      <c r="F18" s="52">
        <v>4.09</v>
      </c>
      <c r="G18" s="52">
        <v>11.51</v>
      </c>
      <c r="H18" s="52">
        <v>7.36</v>
      </c>
      <c r="I18" s="52">
        <v>4.93</v>
      </c>
      <c r="J18" s="52">
        <v>0.39</v>
      </c>
      <c r="K18" s="52">
        <v>297.10000000000002</v>
      </c>
      <c r="L18" s="52">
        <v>24.26</v>
      </c>
      <c r="M18" s="52">
        <v>87.96</v>
      </c>
      <c r="N18" s="52">
        <v>321.10000000000002</v>
      </c>
      <c r="O18" s="52">
        <v>0</v>
      </c>
      <c r="P18" s="52">
        <v>0.62</v>
      </c>
      <c r="Q18" s="52">
        <v>6.63</v>
      </c>
      <c r="R18" s="50"/>
      <c r="S18" s="50"/>
      <c r="T18" s="50"/>
      <c r="U18" s="50"/>
    </row>
    <row r="19" spans="1:21" customFormat="1">
      <c r="A19" s="51" t="s">
        <v>93</v>
      </c>
      <c r="B19" s="52">
        <v>30.11</v>
      </c>
      <c r="C19" s="52">
        <v>62.09</v>
      </c>
      <c r="D19" s="52">
        <v>57.82</v>
      </c>
      <c r="E19" s="52">
        <v>8.02</v>
      </c>
      <c r="F19" s="52">
        <v>4.05</v>
      </c>
      <c r="G19" s="52">
        <v>12.12</v>
      </c>
      <c r="H19" s="52">
        <v>7.36</v>
      </c>
      <c r="I19" s="52">
        <v>4.79</v>
      </c>
      <c r="J19" s="52">
        <v>0.57999999999999996</v>
      </c>
      <c r="K19" s="52">
        <v>299.25</v>
      </c>
      <c r="L19" s="52">
        <v>26.71</v>
      </c>
      <c r="M19" s="52">
        <v>78.489999999999995</v>
      </c>
      <c r="N19" s="52">
        <v>652.20000000000005</v>
      </c>
      <c r="O19" s="52">
        <v>0</v>
      </c>
      <c r="P19" s="52">
        <v>0.63</v>
      </c>
      <c r="Q19" s="52">
        <v>6.57</v>
      </c>
      <c r="R19" s="50"/>
      <c r="S19" s="50"/>
      <c r="T19" s="50"/>
      <c r="U19" s="50"/>
    </row>
    <row r="20" spans="1:21" customFormat="1">
      <c r="A20" s="51" t="s">
        <v>94</v>
      </c>
      <c r="B20" s="52">
        <v>26.61</v>
      </c>
      <c r="C20" s="52">
        <v>62.37</v>
      </c>
      <c r="D20" s="52">
        <v>55.28</v>
      </c>
      <c r="E20" s="52">
        <v>7.99</v>
      </c>
      <c r="F20" s="52">
        <v>4.04</v>
      </c>
      <c r="G20" s="52">
        <v>13.08</v>
      </c>
      <c r="H20" s="52">
        <v>5.38</v>
      </c>
      <c r="I20" s="52">
        <v>4.66</v>
      </c>
      <c r="J20" s="52">
        <v>0.34</v>
      </c>
      <c r="K20" s="52">
        <v>153.74</v>
      </c>
      <c r="L20" s="52">
        <v>28.69</v>
      </c>
      <c r="M20" s="52">
        <v>68.64</v>
      </c>
      <c r="N20" s="52">
        <v>709.8</v>
      </c>
      <c r="O20" s="52">
        <v>0</v>
      </c>
      <c r="P20" s="52">
        <v>0.62</v>
      </c>
      <c r="Q20" s="52">
        <v>6.37</v>
      </c>
      <c r="R20" s="50"/>
      <c r="S20" s="50"/>
      <c r="T20" s="50"/>
      <c r="U20" s="50"/>
    </row>
    <row r="21" spans="1:21" customFormat="1">
      <c r="A21" s="51" t="s">
        <v>95</v>
      </c>
      <c r="B21" s="52">
        <v>22.71</v>
      </c>
      <c r="C21" s="52">
        <v>60.67</v>
      </c>
      <c r="D21" s="52">
        <v>50.46</v>
      </c>
      <c r="E21" s="52">
        <v>7.48</v>
      </c>
      <c r="F21" s="52">
        <v>4.43</v>
      </c>
      <c r="G21" s="52">
        <v>13.6</v>
      </c>
      <c r="H21" s="52">
        <v>4.68</v>
      </c>
      <c r="I21" s="52">
        <v>4.46</v>
      </c>
      <c r="J21" s="52">
        <v>0.28999999999999998</v>
      </c>
      <c r="K21" s="52">
        <v>230.73</v>
      </c>
      <c r="L21" s="52">
        <v>29.19</v>
      </c>
      <c r="M21" s="52">
        <v>63.34</v>
      </c>
      <c r="N21" s="52">
        <v>852.4</v>
      </c>
      <c r="O21" s="52">
        <v>0</v>
      </c>
      <c r="P21" s="52">
        <v>0.57999999999999996</v>
      </c>
      <c r="Q21" s="52">
        <v>5.99</v>
      </c>
      <c r="R21" s="50"/>
      <c r="S21" s="50"/>
      <c r="T21" s="50"/>
      <c r="U21" s="50"/>
    </row>
    <row r="22" spans="1:21" customFormat="1">
      <c r="A22" s="51" t="s">
        <v>96</v>
      </c>
      <c r="B22" s="52">
        <v>19.399999999999999</v>
      </c>
      <c r="C22" s="52">
        <v>59.88</v>
      </c>
      <c r="D22" s="52">
        <v>48.2</v>
      </c>
      <c r="E22" s="52">
        <v>7.19</v>
      </c>
      <c r="F22" s="52">
        <v>4.5199999999999996</v>
      </c>
      <c r="G22" s="52">
        <v>13.6</v>
      </c>
      <c r="H22" s="52">
        <v>5.01</v>
      </c>
      <c r="I22" s="52">
        <v>4.1900000000000004</v>
      </c>
      <c r="J22" s="52">
        <v>0.38</v>
      </c>
      <c r="K22" s="52">
        <v>229.73</v>
      </c>
      <c r="L22" s="52">
        <v>30.54</v>
      </c>
      <c r="M22" s="52">
        <v>60.99</v>
      </c>
      <c r="N22" s="52">
        <v>890.4</v>
      </c>
      <c r="O22" s="52">
        <v>0</v>
      </c>
      <c r="P22" s="52">
        <v>0.56000000000000005</v>
      </c>
      <c r="Q22" s="52">
        <v>5.84</v>
      </c>
      <c r="R22" s="50"/>
      <c r="S22" s="50"/>
      <c r="T22" s="50"/>
      <c r="U22" s="50"/>
    </row>
    <row r="23" spans="1:21" customFormat="1">
      <c r="A23" s="51" t="s">
        <v>97</v>
      </c>
      <c r="B23" s="52">
        <v>17.07</v>
      </c>
      <c r="C23" s="52">
        <v>58.17</v>
      </c>
      <c r="D23" s="52">
        <v>45.43</v>
      </c>
      <c r="E23" s="52">
        <v>6.72</v>
      </c>
      <c r="F23" s="52">
        <v>6.53</v>
      </c>
      <c r="G23" s="52">
        <v>12.54</v>
      </c>
      <c r="H23" s="52">
        <v>5.01</v>
      </c>
      <c r="I23" s="52">
        <v>3.94</v>
      </c>
      <c r="J23" s="52">
        <v>0.44</v>
      </c>
      <c r="K23" s="52">
        <v>149.01</v>
      </c>
      <c r="L23" s="52">
        <v>31.13</v>
      </c>
      <c r="M23" s="52">
        <v>58.53</v>
      </c>
      <c r="N23" s="52">
        <v>748.4</v>
      </c>
      <c r="O23" s="52">
        <v>0</v>
      </c>
      <c r="P23" s="52">
        <v>0.44</v>
      </c>
      <c r="Q23" s="52">
        <v>5.51</v>
      </c>
      <c r="R23" s="50"/>
      <c r="S23" s="50"/>
      <c r="T23" s="50"/>
      <c r="U23" s="50"/>
    </row>
    <row r="24" spans="1:21" customFormat="1">
      <c r="A24" s="51" t="s">
        <v>98</v>
      </c>
      <c r="B24" s="52">
        <v>15.5</v>
      </c>
      <c r="C24" s="52">
        <v>52.58</v>
      </c>
      <c r="D24" s="52">
        <v>40.97</v>
      </c>
      <c r="E24" s="52">
        <v>6.83</v>
      </c>
      <c r="F24" s="52">
        <v>7.47</v>
      </c>
      <c r="G24" s="52">
        <v>10.5</v>
      </c>
      <c r="H24" s="52">
        <v>3.91</v>
      </c>
      <c r="I24" s="52">
        <v>3.76</v>
      </c>
      <c r="J24" s="52">
        <v>0.36</v>
      </c>
      <c r="K24" s="52">
        <v>152.11000000000001</v>
      </c>
      <c r="L24" s="52">
        <v>31.52</v>
      </c>
      <c r="M24" s="52">
        <v>55.6</v>
      </c>
      <c r="N24" s="52">
        <v>622.9</v>
      </c>
      <c r="O24" s="52">
        <v>0</v>
      </c>
      <c r="P24" s="52">
        <v>0.4</v>
      </c>
      <c r="Q24" s="52">
        <v>5.21</v>
      </c>
      <c r="R24" s="50"/>
      <c r="S24" s="50"/>
      <c r="T24" s="50"/>
      <c r="U24" s="50"/>
    </row>
    <row r="25" spans="1:21" customFormat="1">
      <c r="A25" s="51" t="s">
        <v>99</v>
      </c>
      <c r="B25" s="52">
        <v>14.9</v>
      </c>
      <c r="C25" s="52">
        <v>51.89</v>
      </c>
      <c r="D25" s="52">
        <v>40.409999999999997</v>
      </c>
      <c r="E25" s="52">
        <v>6.92</v>
      </c>
      <c r="F25" s="52">
        <v>8.8000000000000007</v>
      </c>
      <c r="G25" s="52">
        <v>7.61</v>
      </c>
      <c r="H25" s="52">
        <v>3.91</v>
      </c>
      <c r="I25" s="52">
        <v>3.62</v>
      </c>
      <c r="J25" s="52">
        <v>0.21</v>
      </c>
      <c r="K25" s="52">
        <v>207.26</v>
      </c>
      <c r="L25" s="52">
        <v>31.83</v>
      </c>
      <c r="M25" s="52">
        <v>52.69</v>
      </c>
      <c r="N25" s="52">
        <v>441</v>
      </c>
      <c r="O25" s="52">
        <v>0</v>
      </c>
      <c r="P25" s="52">
        <v>0.4</v>
      </c>
      <c r="Q25" s="52">
        <v>5.16</v>
      </c>
      <c r="R25" s="50"/>
      <c r="S25" s="50"/>
      <c r="T25" s="50"/>
      <c r="U25" s="50"/>
    </row>
    <row r="26" spans="1:21" customFormat="1">
      <c r="A26" s="51" t="s">
        <v>100</v>
      </c>
      <c r="B26" s="52">
        <v>15.51</v>
      </c>
      <c r="C26" s="52">
        <v>52.95</v>
      </c>
      <c r="D26" s="52">
        <v>41.45</v>
      </c>
      <c r="E26" s="52">
        <v>7.46</v>
      </c>
      <c r="F26" s="52">
        <v>9.2799999999999994</v>
      </c>
      <c r="G26" s="52">
        <v>7.61</v>
      </c>
      <c r="H26" s="52">
        <v>4.13</v>
      </c>
      <c r="I26" s="52">
        <v>3.52</v>
      </c>
      <c r="J26" s="52">
        <v>0.2</v>
      </c>
      <c r="K26" s="52">
        <v>186.89</v>
      </c>
      <c r="L26" s="52">
        <v>30.65</v>
      </c>
      <c r="M26" s="52">
        <v>59.04</v>
      </c>
      <c r="N26" s="52">
        <v>143.80000000000001</v>
      </c>
      <c r="O26" s="52">
        <v>0</v>
      </c>
      <c r="P26" s="52">
        <v>0.39</v>
      </c>
      <c r="Q26" s="52">
        <v>5.13</v>
      </c>
      <c r="R26" s="50"/>
      <c r="S26" s="50"/>
      <c r="T26" s="50"/>
      <c r="U26" s="50"/>
    </row>
    <row r="27" spans="1:21" customFormat="1">
      <c r="A27" s="51" t="s">
        <v>101</v>
      </c>
      <c r="B27" s="52">
        <v>17.84</v>
      </c>
      <c r="C27" s="52">
        <v>54.47</v>
      </c>
      <c r="D27" s="52">
        <v>44.12</v>
      </c>
      <c r="E27" s="52">
        <v>8.6</v>
      </c>
      <c r="F27" s="52">
        <v>8.58</v>
      </c>
      <c r="G27" s="52">
        <v>5.87</v>
      </c>
      <c r="H27" s="52">
        <v>4.13</v>
      </c>
      <c r="I27" s="52">
        <v>3.38</v>
      </c>
      <c r="J27" s="52">
        <v>0.13</v>
      </c>
      <c r="K27" s="52">
        <v>174.87</v>
      </c>
      <c r="L27" s="52">
        <v>27.7</v>
      </c>
      <c r="M27" s="52">
        <v>70.62</v>
      </c>
      <c r="N27" s="52">
        <v>0.5</v>
      </c>
      <c r="O27" s="52">
        <v>0</v>
      </c>
      <c r="P27" s="52">
        <v>0.4</v>
      </c>
      <c r="Q27" s="52">
        <v>5.28</v>
      </c>
      <c r="R27" s="50"/>
      <c r="S27" s="50"/>
      <c r="T27" s="50"/>
      <c r="U27" s="50"/>
    </row>
    <row r="28" spans="1:21" customFormat="1">
      <c r="A28" s="51" t="s">
        <v>102</v>
      </c>
      <c r="B28" s="52">
        <v>19.96</v>
      </c>
      <c r="C28" s="52">
        <v>60.92</v>
      </c>
      <c r="D28" s="52">
        <v>49.19</v>
      </c>
      <c r="E28" s="52">
        <v>9.23</v>
      </c>
      <c r="F28" s="52">
        <v>5.69</v>
      </c>
      <c r="G28" s="52">
        <v>11.14</v>
      </c>
      <c r="H28" s="52">
        <v>3.22</v>
      </c>
      <c r="I28" s="52">
        <v>3.57</v>
      </c>
      <c r="J28" s="52">
        <v>0.46</v>
      </c>
      <c r="K28" s="52">
        <v>140.61000000000001</v>
      </c>
      <c r="L28" s="52">
        <v>26.47</v>
      </c>
      <c r="M28" s="52">
        <v>72.58</v>
      </c>
      <c r="N28" s="52">
        <v>0</v>
      </c>
      <c r="O28" s="52">
        <v>0</v>
      </c>
      <c r="P28" s="52">
        <v>0.42</v>
      </c>
      <c r="Q28" s="52">
        <v>5.88</v>
      </c>
      <c r="R28" s="50"/>
      <c r="S28" s="50"/>
      <c r="T28" s="50"/>
      <c r="U28" s="50"/>
    </row>
    <row r="29" spans="1:21" customFormat="1">
      <c r="A29" s="51" t="s">
        <v>103</v>
      </c>
      <c r="B29" s="52">
        <v>22.53</v>
      </c>
      <c r="C29" s="52">
        <v>60.39</v>
      </c>
      <c r="D29" s="52">
        <v>50.86</v>
      </c>
      <c r="E29" s="52">
        <v>8.9700000000000006</v>
      </c>
      <c r="F29" s="52">
        <v>4.07</v>
      </c>
      <c r="G29" s="52">
        <v>13</v>
      </c>
      <c r="H29" s="52">
        <v>3.22</v>
      </c>
      <c r="I29" s="52">
        <v>3.76</v>
      </c>
      <c r="J29" s="52">
        <v>0.47</v>
      </c>
      <c r="K29" s="52">
        <v>147.93</v>
      </c>
      <c r="L29" s="52">
        <v>26.18</v>
      </c>
      <c r="M29" s="52">
        <v>74.680000000000007</v>
      </c>
      <c r="N29" s="52">
        <v>0</v>
      </c>
      <c r="O29" s="52">
        <v>0</v>
      </c>
      <c r="P29" s="52">
        <v>0.45</v>
      </c>
      <c r="Q29" s="52">
        <v>5.98</v>
      </c>
      <c r="R29" s="50"/>
      <c r="S29" s="50"/>
      <c r="T29" s="50"/>
      <c r="U29" s="50"/>
    </row>
    <row r="30" spans="1:21" customFormat="1">
      <c r="A30" s="51" t="s">
        <v>104</v>
      </c>
      <c r="B30" s="52">
        <v>26.38</v>
      </c>
      <c r="C30" s="52">
        <v>60.63</v>
      </c>
      <c r="D30" s="52">
        <v>54.09</v>
      </c>
      <c r="E30" s="52">
        <v>8.67</v>
      </c>
      <c r="F30" s="52">
        <v>3.89</v>
      </c>
      <c r="G30" s="52">
        <v>22.05</v>
      </c>
      <c r="H30" s="52">
        <v>6.76</v>
      </c>
      <c r="I30" s="52">
        <v>3.88</v>
      </c>
      <c r="J30" s="52">
        <v>0.45</v>
      </c>
      <c r="K30" s="52">
        <v>351.1</v>
      </c>
      <c r="L30" s="52">
        <v>26</v>
      </c>
      <c r="M30" s="52">
        <v>86.84</v>
      </c>
      <c r="N30" s="52">
        <v>0</v>
      </c>
      <c r="O30" s="52">
        <v>0</v>
      </c>
      <c r="P30" s="52">
        <v>0.46</v>
      </c>
      <c r="Q30" s="52">
        <v>6.22</v>
      </c>
      <c r="R30" s="50"/>
      <c r="S30" s="50"/>
      <c r="T30" s="50"/>
      <c r="U30" s="50"/>
    </row>
    <row r="31" spans="1:21" customFormat="1">
      <c r="A31" s="51" t="s">
        <v>105</v>
      </c>
      <c r="B31" s="52">
        <v>26.74</v>
      </c>
      <c r="C31" s="52">
        <v>59.57</v>
      </c>
      <c r="D31" s="52">
        <v>53.34</v>
      </c>
      <c r="E31" s="52">
        <v>8.6300000000000008</v>
      </c>
      <c r="F31" s="52">
        <v>3.95</v>
      </c>
      <c r="G31" s="52">
        <v>22.05</v>
      </c>
      <c r="H31" s="52">
        <v>6.76</v>
      </c>
      <c r="I31" s="52">
        <v>3.94</v>
      </c>
      <c r="J31" s="52">
        <v>0.46</v>
      </c>
      <c r="K31" s="52">
        <v>253.72</v>
      </c>
      <c r="L31" s="52">
        <v>23.94</v>
      </c>
      <c r="M31" s="52">
        <v>84.47</v>
      </c>
      <c r="N31" s="52">
        <v>0</v>
      </c>
      <c r="O31" s="52">
        <v>0</v>
      </c>
      <c r="P31" s="52">
        <v>0.45</v>
      </c>
      <c r="Q31" s="52">
        <v>6.27</v>
      </c>
      <c r="R31" s="50"/>
      <c r="S31" s="50"/>
      <c r="T31" s="50"/>
      <c r="U31" s="50"/>
    </row>
    <row r="32" spans="1:21" customFormat="1">
      <c r="A32" s="51" t="s">
        <v>106</v>
      </c>
      <c r="B32" s="52">
        <v>25.46</v>
      </c>
      <c r="C32" s="52">
        <v>60.08</v>
      </c>
      <c r="D32" s="52">
        <v>52.63</v>
      </c>
      <c r="E32" s="52">
        <v>8.82</v>
      </c>
      <c r="F32" s="52">
        <v>3.9</v>
      </c>
      <c r="G32" s="52">
        <v>15.96</v>
      </c>
      <c r="H32" s="52">
        <v>5.4</v>
      </c>
      <c r="I32" s="52">
        <v>3.68</v>
      </c>
      <c r="J32" s="52">
        <v>0.44</v>
      </c>
      <c r="K32" s="52">
        <v>342.32</v>
      </c>
      <c r="L32" s="52">
        <v>23.92</v>
      </c>
      <c r="M32" s="52">
        <v>83.72</v>
      </c>
      <c r="N32" s="52">
        <v>0</v>
      </c>
      <c r="O32" s="52">
        <v>0</v>
      </c>
      <c r="P32" s="52">
        <v>0.42</v>
      </c>
      <c r="Q32" s="52">
        <v>6.18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14.9</v>
      </c>
      <c r="C34" s="41">
        <f t="shared" si="0"/>
        <v>51.89</v>
      </c>
      <c r="D34" s="41">
        <f t="shared" si="0"/>
        <v>40.409999999999997</v>
      </c>
      <c r="E34" s="41">
        <f t="shared" si="0"/>
        <v>6.72</v>
      </c>
      <c r="F34" s="41">
        <f t="shared" si="0"/>
        <v>3.67</v>
      </c>
      <c r="G34" s="41">
        <f t="shared" si="0"/>
        <v>5.87</v>
      </c>
      <c r="H34" s="41">
        <f t="shared" si="0"/>
        <v>3.22</v>
      </c>
      <c r="I34" s="41">
        <f t="shared" si="0"/>
        <v>3.38</v>
      </c>
      <c r="J34" s="41">
        <f t="shared" si="0"/>
        <v>0.13</v>
      </c>
      <c r="K34" s="41">
        <f t="shared" si="0"/>
        <v>89.41</v>
      </c>
      <c r="L34" s="41">
        <f t="shared" si="0"/>
        <v>19.98</v>
      </c>
      <c r="M34" s="41">
        <f t="shared" si="0"/>
        <v>52.69</v>
      </c>
      <c r="N34" s="41">
        <f t="shared" si="0"/>
        <v>0</v>
      </c>
      <c r="O34" s="41">
        <f t="shared" si="0"/>
        <v>0</v>
      </c>
      <c r="P34" s="41">
        <f t="shared" si="0"/>
        <v>0.39</v>
      </c>
      <c r="Q34" s="41">
        <f t="shared" si="0"/>
        <v>5.13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38.42</v>
      </c>
      <c r="C35" s="33">
        <f t="shared" si="1"/>
        <v>64.23</v>
      </c>
      <c r="D35" s="33">
        <f t="shared" si="1"/>
        <v>64.209999999999994</v>
      </c>
      <c r="E35" s="33">
        <f t="shared" si="1"/>
        <v>9.23</v>
      </c>
      <c r="F35" s="33">
        <f t="shared" si="1"/>
        <v>9.2799999999999994</v>
      </c>
      <c r="G35" s="33">
        <f t="shared" si="1"/>
        <v>33.07</v>
      </c>
      <c r="H35" s="33">
        <f t="shared" si="1"/>
        <v>15.05</v>
      </c>
      <c r="I35" s="33">
        <f t="shared" si="1"/>
        <v>6.02</v>
      </c>
      <c r="J35" s="33">
        <f t="shared" si="1"/>
        <v>1.17</v>
      </c>
      <c r="K35" s="33">
        <f t="shared" si="1"/>
        <v>351.1</v>
      </c>
      <c r="L35" s="33">
        <f t="shared" si="1"/>
        <v>31.83</v>
      </c>
      <c r="M35" s="33">
        <f t="shared" si="1"/>
        <v>97.95</v>
      </c>
      <c r="N35" s="33">
        <f t="shared" si="1"/>
        <v>890.4</v>
      </c>
      <c r="O35" s="33">
        <f t="shared" si="1"/>
        <v>0</v>
      </c>
      <c r="P35" s="33">
        <f t="shared" si="1"/>
        <v>0.78</v>
      </c>
      <c r="Q35" s="33">
        <f t="shared" si="1"/>
        <v>7.1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26.723333333333333</v>
      </c>
      <c r="C36" s="41">
        <f t="shared" si="2"/>
        <v>59.740416666666675</v>
      </c>
      <c r="D36" s="41">
        <f t="shared" si="2"/>
        <v>53.708333333333336</v>
      </c>
      <c r="E36" s="41">
        <f t="shared" si="2"/>
        <v>7.949166666666664</v>
      </c>
      <c r="F36" s="41">
        <f t="shared" si="2"/>
        <v>4.95</v>
      </c>
      <c r="G36" s="41">
        <f t="shared" si="2"/>
        <v>16.900000000000002</v>
      </c>
      <c r="H36" s="41">
        <f t="shared" si="2"/>
        <v>7.6612499999999981</v>
      </c>
      <c r="I36" s="41">
        <f t="shared" si="2"/>
        <v>4.5791666666666666</v>
      </c>
      <c r="J36" s="41">
        <f t="shared" si="2"/>
        <v>0.4291666666666667</v>
      </c>
      <c r="K36" s="41">
        <f t="shared" si="2"/>
        <v>219.31958333333333</v>
      </c>
      <c r="L36" s="41">
        <f t="shared" si="2"/>
        <v>25.189583333333331</v>
      </c>
      <c r="M36" s="41">
        <f t="shared" si="2"/>
        <v>80.155416666666667</v>
      </c>
      <c r="N36" s="41">
        <f t="shared" si="2"/>
        <v>238.46249999999998</v>
      </c>
      <c r="O36" s="41">
        <f t="shared" si="2"/>
        <v>0</v>
      </c>
      <c r="P36" s="41">
        <f t="shared" si="2"/>
        <v>0.56791666666666674</v>
      </c>
      <c r="Q36" s="41">
        <f t="shared" si="2"/>
        <v>6.2124999999999995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7.516579741777031</v>
      </c>
      <c r="C37" s="41">
        <f t="shared" ref="C37:Q37" si="3">STDEV(C9:C32)</f>
        <v>3.48182795465191</v>
      </c>
      <c r="D37" s="41">
        <f t="shared" si="3"/>
        <v>7.4333939036980645</v>
      </c>
      <c r="E37" s="41">
        <f t="shared" si="3"/>
        <v>0.72686292390310792</v>
      </c>
      <c r="F37" s="41">
        <f t="shared" si="3"/>
        <v>1.7773062176519669</v>
      </c>
      <c r="G37" s="41">
        <f t="shared" si="3"/>
        <v>7.6906917198932518</v>
      </c>
      <c r="H37" s="41">
        <f t="shared" si="3"/>
        <v>3.9632631620048122</v>
      </c>
      <c r="I37" s="41">
        <f t="shared" si="3"/>
        <v>0.87392625629928233</v>
      </c>
      <c r="J37" s="41">
        <f t="shared" si="3"/>
        <v>0.24549712947346261</v>
      </c>
      <c r="K37" s="41">
        <f t="shared" si="3"/>
        <v>73.252336747364453</v>
      </c>
      <c r="L37" s="41">
        <f t="shared" si="3"/>
        <v>4.2315137379539491</v>
      </c>
      <c r="M37" s="41">
        <f t="shared" si="3"/>
        <v>15.742143100100975</v>
      </c>
      <c r="N37" s="41">
        <f t="shared" si="3"/>
        <v>323.39194931295799</v>
      </c>
      <c r="O37" s="41">
        <f t="shared" si="3"/>
        <v>0</v>
      </c>
      <c r="P37" s="41">
        <f t="shared" si="3"/>
        <v>0.13749242403371403</v>
      </c>
      <c r="Q37" s="41">
        <f t="shared" si="3"/>
        <v>0.61676047073468887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60</v>
      </c>
      <c r="B9" s="52">
        <v>27.62</v>
      </c>
      <c r="C9" s="52">
        <v>60.03</v>
      </c>
      <c r="D9" s="52">
        <v>53.27</v>
      </c>
      <c r="E9" s="52">
        <v>8.41</v>
      </c>
      <c r="F9" s="52">
        <v>4.22</v>
      </c>
      <c r="G9" s="52">
        <v>16.940000000000001</v>
      </c>
      <c r="H9" s="52">
        <v>6.4</v>
      </c>
      <c r="I9" s="52">
        <v>3.5</v>
      </c>
      <c r="J9" s="52">
        <v>0.37</v>
      </c>
      <c r="K9" s="52">
        <v>313.39999999999998</v>
      </c>
      <c r="L9" s="52">
        <v>23.13</v>
      </c>
      <c r="M9" s="52">
        <v>86.66</v>
      </c>
      <c r="N9" s="52">
        <v>0</v>
      </c>
      <c r="O9" s="52">
        <v>0</v>
      </c>
      <c r="P9" s="52">
        <v>0.41</v>
      </c>
      <c r="Q9" s="52">
        <v>6.2</v>
      </c>
      <c r="R9" s="50"/>
      <c r="S9" s="50"/>
      <c r="T9" s="50"/>
      <c r="U9" s="50"/>
    </row>
    <row r="10" spans="1:21" customFormat="1">
      <c r="A10" s="51" t="s">
        <v>61</v>
      </c>
      <c r="B10" s="52">
        <v>31.78</v>
      </c>
      <c r="C10" s="52">
        <v>57.48</v>
      </c>
      <c r="D10" s="52">
        <v>55.64</v>
      </c>
      <c r="E10" s="52">
        <v>8.64</v>
      </c>
      <c r="F10" s="52">
        <v>3.93</v>
      </c>
      <c r="G10" s="52">
        <v>16.940000000000001</v>
      </c>
      <c r="H10" s="52">
        <v>6.4</v>
      </c>
      <c r="I10" s="52">
        <v>3.44</v>
      </c>
      <c r="J10" s="52">
        <v>0.61</v>
      </c>
      <c r="K10" s="52">
        <v>155.66</v>
      </c>
      <c r="L10" s="52">
        <v>22.47</v>
      </c>
      <c r="M10" s="52">
        <v>87.79</v>
      </c>
      <c r="N10" s="52">
        <v>0</v>
      </c>
      <c r="O10" s="52">
        <v>0</v>
      </c>
      <c r="P10" s="52">
        <v>0.4</v>
      </c>
      <c r="Q10" s="52">
        <v>6.23</v>
      </c>
      <c r="R10" s="50"/>
      <c r="S10" s="50"/>
      <c r="T10" s="50"/>
      <c r="U10" s="50"/>
    </row>
    <row r="11" spans="1:21" customFormat="1">
      <c r="A11" s="51" t="s">
        <v>62</v>
      </c>
      <c r="B11" s="52">
        <v>36.369999999999997</v>
      </c>
      <c r="C11" s="52">
        <v>57.51</v>
      </c>
      <c r="D11" s="52">
        <v>59.45</v>
      </c>
      <c r="E11" s="52">
        <v>8.3800000000000008</v>
      </c>
      <c r="F11" s="52">
        <v>3.94</v>
      </c>
      <c r="G11" s="52">
        <v>22.51</v>
      </c>
      <c r="H11" s="52">
        <v>8.3000000000000007</v>
      </c>
      <c r="I11" s="52">
        <v>3.75</v>
      </c>
      <c r="J11" s="52">
        <v>0.54</v>
      </c>
      <c r="K11" s="52">
        <v>60.51</v>
      </c>
      <c r="L11" s="52">
        <v>22.22</v>
      </c>
      <c r="M11" s="52">
        <v>85.27</v>
      </c>
      <c r="N11" s="52">
        <v>0</v>
      </c>
      <c r="O11" s="52">
        <v>0</v>
      </c>
      <c r="P11" s="52">
        <v>0.41</v>
      </c>
      <c r="Q11" s="52">
        <v>6.53</v>
      </c>
      <c r="R11" s="50"/>
      <c r="S11" s="50"/>
      <c r="T11" s="50"/>
      <c r="U11" s="50"/>
    </row>
    <row r="12" spans="1:21" customFormat="1">
      <c r="A12" s="51" t="s">
        <v>63</v>
      </c>
      <c r="B12" s="52">
        <v>40.28</v>
      </c>
      <c r="C12" s="52">
        <v>57.52</v>
      </c>
      <c r="D12" s="52">
        <v>62.91</v>
      </c>
      <c r="E12" s="52">
        <v>8.93</v>
      </c>
      <c r="F12" s="52">
        <v>3.85</v>
      </c>
      <c r="G12" s="52">
        <v>42.04</v>
      </c>
      <c r="H12" s="52">
        <v>9.42</v>
      </c>
      <c r="I12" s="52">
        <v>3.93</v>
      </c>
      <c r="J12" s="52">
        <v>0.59</v>
      </c>
      <c r="K12" s="52">
        <v>47.74</v>
      </c>
      <c r="L12" s="52">
        <v>22.36</v>
      </c>
      <c r="M12" s="52">
        <v>87.43</v>
      </c>
      <c r="N12" s="52">
        <v>0</v>
      </c>
      <c r="O12" s="52">
        <v>0</v>
      </c>
      <c r="P12" s="52">
        <v>0.44</v>
      </c>
      <c r="Q12" s="52">
        <v>6.78</v>
      </c>
      <c r="R12" s="50"/>
      <c r="S12" s="50"/>
      <c r="T12" s="50"/>
      <c r="U12" s="50"/>
    </row>
    <row r="13" spans="1:21" customFormat="1">
      <c r="A13" s="51" t="s">
        <v>64</v>
      </c>
      <c r="B13" s="52">
        <v>40.98</v>
      </c>
      <c r="C13" s="52">
        <v>56.19</v>
      </c>
      <c r="D13" s="52">
        <v>63.57</v>
      </c>
      <c r="E13" s="52">
        <v>8.75</v>
      </c>
      <c r="F13" s="52">
        <v>3.88</v>
      </c>
      <c r="G13" s="52">
        <v>44.22</v>
      </c>
      <c r="H13" s="52">
        <v>14.4</v>
      </c>
      <c r="I13" s="52">
        <v>4.0999999999999996</v>
      </c>
      <c r="J13" s="52">
        <v>2.2000000000000002</v>
      </c>
      <c r="K13" s="52">
        <v>55.77</v>
      </c>
      <c r="L13" s="52">
        <v>22.58</v>
      </c>
      <c r="M13" s="52">
        <v>89.68</v>
      </c>
      <c r="N13" s="52">
        <v>0</v>
      </c>
      <c r="O13" s="52">
        <v>0</v>
      </c>
      <c r="P13" s="52">
        <v>0.45</v>
      </c>
      <c r="Q13" s="52">
        <v>6.9</v>
      </c>
      <c r="R13" s="50"/>
      <c r="S13" s="50"/>
      <c r="T13" s="50"/>
      <c r="U13" s="50"/>
    </row>
    <row r="14" spans="1:21" customFormat="1">
      <c r="A14" s="51" t="s">
        <v>65</v>
      </c>
      <c r="B14" s="52">
        <v>40.479999999999997</v>
      </c>
      <c r="C14" s="52">
        <v>66.38</v>
      </c>
      <c r="D14" s="52">
        <v>66.180000000000007</v>
      </c>
      <c r="E14" s="52">
        <v>8.7200000000000006</v>
      </c>
      <c r="F14" s="52">
        <v>4.0999999999999996</v>
      </c>
      <c r="G14" s="52">
        <v>44.22</v>
      </c>
      <c r="H14" s="52">
        <v>14.4</v>
      </c>
      <c r="I14" s="52">
        <v>4.08</v>
      </c>
      <c r="J14" s="52">
        <v>2.4900000000000002</v>
      </c>
      <c r="K14" s="52">
        <v>62.68</v>
      </c>
      <c r="L14" s="52">
        <v>22.21</v>
      </c>
      <c r="M14" s="52">
        <v>85.01</v>
      </c>
      <c r="N14" s="52">
        <v>0.2</v>
      </c>
      <c r="O14" s="52">
        <v>0</v>
      </c>
      <c r="P14" s="52">
        <v>0.44</v>
      </c>
      <c r="Q14" s="52">
        <v>7.12</v>
      </c>
      <c r="R14" s="50"/>
      <c r="S14" s="50"/>
      <c r="T14" s="50"/>
      <c r="U14" s="50"/>
    </row>
    <row r="15" spans="1:21" customFormat="1">
      <c r="A15" s="51" t="s">
        <v>66</v>
      </c>
      <c r="B15" s="52">
        <v>35.1</v>
      </c>
      <c r="C15" s="52">
        <v>66.14</v>
      </c>
      <c r="D15" s="52">
        <v>64.06</v>
      </c>
      <c r="E15" s="52">
        <v>8.4600000000000009</v>
      </c>
      <c r="F15" s="52">
        <v>3.99</v>
      </c>
      <c r="G15" s="52">
        <v>34.840000000000003</v>
      </c>
      <c r="H15" s="52">
        <v>10.08</v>
      </c>
      <c r="I15" s="52">
        <v>3.88</v>
      </c>
      <c r="J15" s="52">
        <v>2.04</v>
      </c>
      <c r="K15" s="52">
        <v>66.709999999999994</v>
      </c>
      <c r="L15" s="52">
        <v>21.68</v>
      </c>
      <c r="M15" s="52">
        <v>84.91</v>
      </c>
      <c r="N15" s="52">
        <v>103.5</v>
      </c>
      <c r="O15" s="52">
        <v>0</v>
      </c>
      <c r="P15" s="52">
        <v>0.43</v>
      </c>
      <c r="Q15" s="52">
        <v>7.06</v>
      </c>
      <c r="R15" s="50"/>
      <c r="S15" s="50"/>
      <c r="T15" s="50"/>
      <c r="U15" s="50"/>
    </row>
    <row r="16" spans="1:21" customFormat="1">
      <c r="A16" s="51" t="s">
        <v>67</v>
      </c>
      <c r="B16" s="52">
        <v>31.25</v>
      </c>
      <c r="C16" s="52">
        <v>65.989999999999995</v>
      </c>
      <c r="D16" s="52">
        <v>60.57</v>
      </c>
      <c r="E16" s="52">
        <v>7.88</v>
      </c>
      <c r="F16" s="52">
        <v>3.94</v>
      </c>
      <c r="G16" s="52">
        <v>23.97</v>
      </c>
      <c r="H16" s="52">
        <v>8.5299999999999994</v>
      </c>
      <c r="I16" s="52">
        <v>3.66</v>
      </c>
      <c r="J16" s="52">
        <v>1.99</v>
      </c>
      <c r="K16" s="52">
        <v>64.11</v>
      </c>
      <c r="L16" s="52">
        <v>22.26</v>
      </c>
      <c r="M16" s="52">
        <v>80.28</v>
      </c>
      <c r="N16" s="52">
        <v>136</v>
      </c>
      <c r="O16" s="52">
        <v>0</v>
      </c>
      <c r="P16" s="52">
        <v>0.41</v>
      </c>
      <c r="Q16" s="52">
        <v>6.84</v>
      </c>
      <c r="R16" s="50"/>
      <c r="S16" s="50"/>
      <c r="T16" s="50"/>
      <c r="U16" s="50"/>
    </row>
    <row r="17" spans="1:21" customFormat="1">
      <c r="A17" s="51" t="s">
        <v>68</v>
      </c>
      <c r="B17" s="52">
        <v>29.4</v>
      </c>
      <c r="C17" s="52">
        <v>65.400000000000006</v>
      </c>
      <c r="D17" s="52">
        <v>59.06</v>
      </c>
      <c r="E17" s="52">
        <v>7.84</v>
      </c>
      <c r="F17" s="52">
        <v>3.87</v>
      </c>
      <c r="G17" s="52">
        <v>21.59</v>
      </c>
      <c r="H17" s="52">
        <v>7.58</v>
      </c>
      <c r="I17" s="52">
        <v>3.38</v>
      </c>
      <c r="J17" s="52">
        <v>0.82</v>
      </c>
      <c r="K17" s="52">
        <v>322.7</v>
      </c>
      <c r="L17" s="52">
        <v>23.17</v>
      </c>
      <c r="M17" s="52">
        <v>97.08</v>
      </c>
      <c r="N17" s="52">
        <v>329</v>
      </c>
      <c r="O17" s="52">
        <v>0</v>
      </c>
      <c r="P17" s="52">
        <v>0.4</v>
      </c>
      <c r="Q17" s="52">
        <v>6.73</v>
      </c>
      <c r="R17" s="50"/>
      <c r="S17" s="50"/>
      <c r="T17" s="50"/>
      <c r="U17" s="50"/>
    </row>
    <row r="18" spans="1:21" customFormat="1">
      <c r="A18" s="51" t="s">
        <v>69</v>
      </c>
      <c r="B18" s="52">
        <v>27.32</v>
      </c>
      <c r="C18" s="52">
        <v>63.46</v>
      </c>
      <c r="D18" s="52">
        <v>56.42</v>
      </c>
      <c r="E18" s="52">
        <v>7.46</v>
      </c>
      <c r="F18" s="52">
        <v>3.88</v>
      </c>
      <c r="G18" s="52">
        <v>23.94</v>
      </c>
      <c r="H18" s="52">
        <v>7.2</v>
      </c>
      <c r="I18" s="52">
        <v>3.27</v>
      </c>
      <c r="J18" s="52">
        <v>0.88</v>
      </c>
      <c r="K18" s="52">
        <v>88.84</v>
      </c>
      <c r="L18" s="52">
        <v>26.04</v>
      </c>
      <c r="M18" s="52">
        <v>86.47</v>
      </c>
      <c r="N18" s="52">
        <v>303.2</v>
      </c>
      <c r="O18" s="52">
        <v>0</v>
      </c>
      <c r="P18" s="52">
        <v>0.39</v>
      </c>
      <c r="Q18" s="52">
        <v>6.51</v>
      </c>
      <c r="R18" s="50"/>
      <c r="S18" s="50"/>
      <c r="T18" s="50"/>
      <c r="U18" s="50"/>
    </row>
    <row r="19" spans="1:21" customFormat="1">
      <c r="A19" s="51" t="s">
        <v>70</v>
      </c>
      <c r="B19" s="52">
        <v>27.07</v>
      </c>
      <c r="C19" s="52">
        <v>62.94</v>
      </c>
      <c r="D19" s="52">
        <v>55.73</v>
      </c>
      <c r="E19" s="52">
        <v>7.19</v>
      </c>
      <c r="F19" s="52">
        <v>5.21</v>
      </c>
      <c r="G19" s="52">
        <v>23.94</v>
      </c>
      <c r="H19" s="52">
        <v>7.2</v>
      </c>
      <c r="I19" s="52">
        <v>3.27</v>
      </c>
      <c r="J19" s="52">
        <v>1.21</v>
      </c>
      <c r="K19" s="52">
        <v>86.26</v>
      </c>
      <c r="L19" s="52">
        <v>28.58</v>
      </c>
      <c r="M19" s="52">
        <v>69.319999999999993</v>
      </c>
      <c r="N19" s="52">
        <v>873.9</v>
      </c>
      <c r="O19" s="52">
        <v>0</v>
      </c>
      <c r="P19" s="52">
        <v>0.4</v>
      </c>
      <c r="Q19" s="52">
        <v>6.38</v>
      </c>
      <c r="R19" s="50"/>
      <c r="S19" s="50"/>
      <c r="T19" s="50"/>
      <c r="U19" s="50"/>
    </row>
    <row r="20" spans="1:21" customFormat="1">
      <c r="A20" s="51" t="s">
        <v>71</v>
      </c>
      <c r="B20" s="52">
        <v>25.73</v>
      </c>
      <c r="C20" s="52">
        <v>55.74</v>
      </c>
      <c r="D20" s="52">
        <v>51.11</v>
      </c>
      <c r="E20" s="52">
        <v>7.78</v>
      </c>
      <c r="F20" s="52">
        <v>6.07</v>
      </c>
      <c r="G20" s="52">
        <v>19.96</v>
      </c>
      <c r="H20" s="52">
        <v>6.15</v>
      </c>
      <c r="I20" s="52">
        <v>3.36</v>
      </c>
      <c r="J20" s="52">
        <v>0.53</v>
      </c>
      <c r="K20" s="52">
        <v>302.82</v>
      </c>
      <c r="L20" s="52">
        <v>29.62</v>
      </c>
      <c r="M20" s="52">
        <v>60.21</v>
      </c>
      <c r="N20" s="52">
        <v>1060.8</v>
      </c>
      <c r="O20" s="52">
        <v>0</v>
      </c>
      <c r="P20" s="52">
        <v>0.36</v>
      </c>
      <c r="Q20" s="52">
        <v>5.86</v>
      </c>
      <c r="R20" s="50"/>
      <c r="S20" s="50"/>
      <c r="T20" s="50"/>
      <c r="U20" s="50"/>
    </row>
    <row r="21" spans="1:21" customFormat="1">
      <c r="A21" s="51" t="s">
        <v>72</v>
      </c>
      <c r="B21" s="52">
        <v>21.03</v>
      </c>
      <c r="C21" s="52">
        <v>51.73</v>
      </c>
      <c r="D21" s="52">
        <v>45.24</v>
      </c>
      <c r="E21" s="52">
        <v>7.77</v>
      </c>
      <c r="F21" s="52">
        <v>20.6</v>
      </c>
      <c r="G21" s="52">
        <v>19.96</v>
      </c>
      <c r="H21" s="52">
        <v>6.15</v>
      </c>
      <c r="I21" s="52">
        <v>3.38</v>
      </c>
      <c r="J21" s="52">
        <v>0.42</v>
      </c>
      <c r="K21" s="52">
        <v>265.3</v>
      </c>
      <c r="L21" s="52">
        <v>30.9</v>
      </c>
      <c r="M21" s="52">
        <v>55.28</v>
      </c>
      <c r="N21" s="52">
        <v>835.4</v>
      </c>
      <c r="O21" s="52">
        <v>0</v>
      </c>
      <c r="P21" s="52">
        <v>0.36</v>
      </c>
      <c r="Q21" s="52">
        <v>5.72</v>
      </c>
      <c r="R21" s="50"/>
      <c r="S21" s="50"/>
      <c r="T21" s="50"/>
      <c r="U21" s="50"/>
    </row>
    <row r="22" spans="1:21" customFormat="1">
      <c r="A22" s="51" t="s">
        <v>73</v>
      </c>
      <c r="B22" s="52">
        <v>8.35</v>
      </c>
      <c r="C22" s="52">
        <v>43.55</v>
      </c>
      <c r="D22" s="52">
        <v>30.61</v>
      </c>
      <c r="E22" s="52">
        <v>6.34</v>
      </c>
      <c r="F22" s="52">
        <v>19.68</v>
      </c>
      <c r="G22" s="52">
        <v>14.76</v>
      </c>
      <c r="H22" s="52">
        <v>4.57</v>
      </c>
      <c r="I22" s="52">
        <v>2.78</v>
      </c>
      <c r="J22" s="52">
        <v>0.36</v>
      </c>
      <c r="K22" s="52">
        <v>264.47000000000003</v>
      </c>
      <c r="L22" s="52">
        <v>32.5</v>
      </c>
      <c r="M22" s="52">
        <v>52.95</v>
      </c>
      <c r="N22" s="52">
        <v>783.7</v>
      </c>
      <c r="O22" s="52">
        <v>0</v>
      </c>
      <c r="P22" s="52">
        <v>0.31</v>
      </c>
      <c r="Q22" s="52">
        <v>5</v>
      </c>
      <c r="R22" s="50"/>
      <c r="S22" s="50"/>
      <c r="T22" s="50"/>
      <c r="U22" s="50"/>
    </row>
    <row r="23" spans="1:21" customFormat="1">
      <c r="A23" s="51" t="s">
        <v>74</v>
      </c>
      <c r="B23" s="52">
        <v>2.99</v>
      </c>
      <c r="C23" s="52">
        <v>34.909999999999997</v>
      </c>
      <c r="D23" s="52">
        <v>21.99</v>
      </c>
      <c r="E23" s="52">
        <v>6.01</v>
      </c>
      <c r="F23" s="52">
        <v>63.61</v>
      </c>
      <c r="G23" s="52">
        <v>13.74</v>
      </c>
      <c r="H23" s="52">
        <v>5.73</v>
      </c>
      <c r="I23" s="52">
        <v>2.2200000000000002</v>
      </c>
      <c r="J23" s="52">
        <v>0.87</v>
      </c>
      <c r="K23" s="52">
        <v>257.83</v>
      </c>
      <c r="L23" s="52">
        <v>32.99</v>
      </c>
      <c r="M23" s="52">
        <v>48.11</v>
      </c>
      <c r="N23" s="52">
        <v>810.3</v>
      </c>
      <c r="O23" s="52">
        <v>0</v>
      </c>
      <c r="P23" s="52">
        <v>0.32</v>
      </c>
      <c r="Q23" s="52">
        <v>5</v>
      </c>
      <c r="R23" s="50"/>
      <c r="S23" s="50"/>
      <c r="T23" s="50"/>
      <c r="U23" s="50"/>
    </row>
    <row r="24" spans="1:21" customFormat="1">
      <c r="A24" s="51" t="s">
        <v>75</v>
      </c>
      <c r="B24" s="52">
        <v>3.61</v>
      </c>
      <c r="C24" s="52">
        <v>30.6</v>
      </c>
      <c r="D24" s="52">
        <v>20.239999999999998</v>
      </c>
      <c r="E24" s="52">
        <v>5.72</v>
      </c>
      <c r="F24" s="52">
        <v>41.34</v>
      </c>
      <c r="G24" s="52">
        <v>13.74</v>
      </c>
      <c r="H24" s="52">
        <v>5.73</v>
      </c>
      <c r="I24" s="52">
        <v>1.2</v>
      </c>
      <c r="J24" s="52">
        <v>0.28000000000000003</v>
      </c>
      <c r="K24" s="52">
        <v>190.05</v>
      </c>
      <c r="L24" s="52">
        <v>33.64</v>
      </c>
      <c r="M24" s="52">
        <v>45.22</v>
      </c>
      <c r="N24" s="52">
        <v>592.9</v>
      </c>
      <c r="O24" s="52">
        <v>0</v>
      </c>
      <c r="P24" s="52">
        <v>0.3</v>
      </c>
      <c r="Q24" s="52">
        <v>5</v>
      </c>
      <c r="R24" s="50"/>
      <c r="S24" s="50"/>
      <c r="T24" s="50"/>
      <c r="U24" s="50"/>
    </row>
    <row r="25" spans="1:21" customFormat="1">
      <c r="A25" s="51" t="s">
        <v>76</v>
      </c>
      <c r="B25" s="52">
        <v>5.83</v>
      </c>
      <c r="C25" s="52">
        <v>41.44</v>
      </c>
      <c r="D25" s="52">
        <v>27.47</v>
      </c>
      <c r="E25" s="52">
        <v>6.26</v>
      </c>
      <c r="F25" s="52">
        <v>7.48</v>
      </c>
      <c r="G25" s="52">
        <v>12.97</v>
      </c>
      <c r="H25" s="52">
        <v>5.23</v>
      </c>
      <c r="I25" s="52">
        <v>1.37</v>
      </c>
      <c r="J25" s="52">
        <v>0.56000000000000005</v>
      </c>
      <c r="K25" s="52">
        <v>266.76</v>
      </c>
      <c r="L25" s="52">
        <v>32.770000000000003</v>
      </c>
      <c r="M25" s="52">
        <v>46.9</v>
      </c>
      <c r="N25" s="52">
        <v>458.9</v>
      </c>
      <c r="O25" s="52">
        <v>0</v>
      </c>
      <c r="P25" s="52">
        <v>0.31</v>
      </c>
      <c r="Q25" s="52">
        <v>5</v>
      </c>
      <c r="R25" s="50"/>
      <c r="S25" s="50"/>
      <c r="T25" s="50"/>
      <c r="U25" s="50"/>
    </row>
    <row r="26" spans="1:21" customFormat="1">
      <c r="A26" s="51" t="s">
        <v>77</v>
      </c>
      <c r="B26" s="52">
        <v>7.32</v>
      </c>
      <c r="C26" s="52">
        <v>47.52</v>
      </c>
      <c r="D26" s="52">
        <v>31.77</v>
      </c>
      <c r="E26" s="52">
        <v>6.13</v>
      </c>
      <c r="F26" s="52">
        <v>5.84</v>
      </c>
      <c r="G26" s="52">
        <v>12.97</v>
      </c>
      <c r="H26" s="52">
        <v>6.82</v>
      </c>
      <c r="I26" s="52">
        <v>1.64</v>
      </c>
      <c r="J26" s="52">
        <v>0.47</v>
      </c>
      <c r="K26" s="52">
        <v>328.08</v>
      </c>
      <c r="L26" s="52">
        <v>32.130000000000003</v>
      </c>
      <c r="M26" s="52">
        <v>50.27</v>
      </c>
      <c r="N26" s="52">
        <v>145.19999999999999</v>
      </c>
      <c r="O26" s="52">
        <v>0</v>
      </c>
      <c r="P26" s="52">
        <v>0.34</v>
      </c>
      <c r="Q26" s="52">
        <v>4.8600000000000003</v>
      </c>
      <c r="R26" s="50"/>
      <c r="S26" s="50"/>
      <c r="T26" s="50"/>
      <c r="U26" s="50"/>
    </row>
    <row r="27" spans="1:21" customFormat="1">
      <c r="A27" s="51" t="s">
        <v>78</v>
      </c>
      <c r="B27" s="52">
        <v>13.74</v>
      </c>
      <c r="C27" s="52">
        <v>54.36</v>
      </c>
      <c r="D27" s="52">
        <v>40.770000000000003</v>
      </c>
      <c r="E27" s="52">
        <v>5.98</v>
      </c>
      <c r="F27" s="52">
        <v>4.6399999999999997</v>
      </c>
      <c r="G27" s="52">
        <v>20.010000000000002</v>
      </c>
      <c r="H27" s="52">
        <v>6.82</v>
      </c>
      <c r="I27" s="52">
        <v>2.16</v>
      </c>
      <c r="J27" s="52">
        <v>0.81</v>
      </c>
      <c r="K27" s="52">
        <v>54.7</v>
      </c>
      <c r="L27" s="52">
        <v>29.83</v>
      </c>
      <c r="M27" s="52">
        <v>56.61</v>
      </c>
      <c r="N27" s="52">
        <v>1.6</v>
      </c>
      <c r="O27" s="52">
        <v>0</v>
      </c>
      <c r="P27" s="52">
        <v>0.46</v>
      </c>
      <c r="Q27" s="52">
        <v>5.17</v>
      </c>
      <c r="R27" s="50"/>
      <c r="S27" s="50"/>
      <c r="T27" s="50"/>
      <c r="U27" s="50"/>
    </row>
    <row r="28" spans="1:21" customFormat="1">
      <c r="A28" s="51" t="s">
        <v>79</v>
      </c>
      <c r="B28" s="52">
        <v>15.39</v>
      </c>
      <c r="C28" s="52">
        <v>56.05</v>
      </c>
      <c r="D28" s="52">
        <v>42.87</v>
      </c>
      <c r="E28" s="52">
        <v>6.78</v>
      </c>
      <c r="F28" s="52">
        <v>6.09</v>
      </c>
      <c r="G28" s="52">
        <v>35.03</v>
      </c>
      <c r="H28" s="52">
        <v>11.77</v>
      </c>
      <c r="I28" s="52">
        <v>2.79</v>
      </c>
      <c r="J28" s="52">
        <v>1.36</v>
      </c>
      <c r="K28" s="52">
        <v>50.65</v>
      </c>
      <c r="L28" s="52">
        <v>27.67</v>
      </c>
      <c r="M28" s="52">
        <v>73.14</v>
      </c>
      <c r="N28" s="52">
        <v>0</v>
      </c>
      <c r="O28" s="52">
        <v>0</v>
      </c>
      <c r="P28" s="52">
        <v>0.5</v>
      </c>
      <c r="Q28" s="52">
        <v>5.42</v>
      </c>
      <c r="R28" s="50"/>
      <c r="S28" s="50"/>
      <c r="T28" s="50"/>
      <c r="U28" s="50"/>
    </row>
    <row r="29" spans="1:21" customFormat="1">
      <c r="A29" s="51" t="s">
        <v>80</v>
      </c>
      <c r="B29" s="52">
        <v>17.579999999999998</v>
      </c>
      <c r="C29" s="52">
        <v>49.58</v>
      </c>
      <c r="D29" s="52">
        <v>40.31</v>
      </c>
      <c r="E29" s="52">
        <v>6.63</v>
      </c>
      <c r="F29" s="52">
        <v>7.68</v>
      </c>
      <c r="G29" s="52">
        <v>42.38</v>
      </c>
      <c r="H29" s="52">
        <v>12.65</v>
      </c>
      <c r="I29" s="52">
        <v>3.01</v>
      </c>
      <c r="J29" s="52">
        <v>1.41</v>
      </c>
      <c r="K29" s="52">
        <v>73.5</v>
      </c>
      <c r="L29" s="52">
        <v>26.7</v>
      </c>
      <c r="M29" s="52">
        <v>88.72</v>
      </c>
      <c r="N29" s="52">
        <v>0</v>
      </c>
      <c r="O29" s="52">
        <v>0</v>
      </c>
      <c r="P29" s="52">
        <v>0.5</v>
      </c>
      <c r="Q29" s="52">
        <v>5.26</v>
      </c>
      <c r="R29" s="50"/>
      <c r="S29" s="50"/>
      <c r="T29" s="50"/>
      <c r="U29" s="50"/>
    </row>
    <row r="30" spans="1:21" customFormat="1">
      <c r="A30" s="51" t="s">
        <v>81</v>
      </c>
      <c r="B30" s="52">
        <v>19.75</v>
      </c>
      <c r="C30" s="52">
        <v>49.17</v>
      </c>
      <c r="D30" s="52">
        <v>42.65</v>
      </c>
      <c r="E30" s="52">
        <v>6.9</v>
      </c>
      <c r="F30" s="52">
        <v>5.39</v>
      </c>
      <c r="G30" s="52">
        <v>42.38</v>
      </c>
      <c r="H30" s="52">
        <v>12.65</v>
      </c>
      <c r="I30" s="52">
        <v>3.18</v>
      </c>
      <c r="J30" s="52">
        <v>1.1299999999999999</v>
      </c>
      <c r="K30" s="52">
        <v>320.23</v>
      </c>
      <c r="L30" s="52">
        <v>23.38</v>
      </c>
      <c r="M30" s="52">
        <v>91.66</v>
      </c>
      <c r="N30" s="52">
        <v>0</v>
      </c>
      <c r="O30" s="52">
        <v>0</v>
      </c>
      <c r="P30" s="52">
        <v>0.49</v>
      </c>
      <c r="Q30" s="52">
        <v>5.28</v>
      </c>
      <c r="R30" s="50"/>
      <c r="S30" s="50"/>
      <c r="T30" s="50"/>
      <c r="U30" s="50"/>
    </row>
    <row r="31" spans="1:21" customFormat="1">
      <c r="A31" s="51" t="s">
        <v>82</v>
      </c>
      <c r="B31" s="52">
        <v>20.78</v>
      </c>
      <c r="C31" s="52">
        <v>50.18</v>
      </c>
      <c r="D31" s="52">
        <v>44.14</v>
      </c>
      <c r="E31" s="52">
        <v>7.5</v>
      </c>
      <c r="F31" s="52">
        <v>4.17</v>
      </c>
      <c r="G31" s="52">
        <v>34.44</v>
      </c>
      <c r="H31" s="52">
        <v>12.05</v>
      </c>
      <c r="I31" s="52">
        <v>3.27</v>
      </c>
      <c r="J31" s="52">
        <v>1.39</v>
      </c>
      <c r="K31" s="52">
        <v>292.70999999999998</v>
      </c>
      <c r="L31" s="52">
        <v>22.74</v>
      </c>
      <c r="M31" s="52">
        <v>99.6</v>
      </c>
      <c r="N31" s="52">
        <v>0</v>
      </c>
      <c r="O31" s="52">
        <v>0</v>
      </c>
      <c r="P31" s="52">
        <v>0.51</v>
      </c>
      <c r="Q31" s="52">
        <v>5.35</v>
      </c>
      <c r="R31" s="50"/>
      <c r="S31" s="50"/>
      <c r="T31" s="50"/>
      <c r="U31" s="50"/>
    </row>
    <row r="32" spans="1:21" customFormat="1">
      <c r="A32" s="51" t="s">
        <v>83</v>
      </c>
      <c r="B32" s="52">
        <v>20.68</v>
      </c>
      <c r="C32" s="52">
        <v>49.75</v>
      </c>
      <c r="D32" s="52">
        <v>43.89</v>
      </c>
      <c r="E32" s="52">
        <v>7.47</v>
      </c>
      <c r="F32" s="52">
        <v>4.0999999999999996</v>
      </c>
      <c r="G32" s="52">
        <v>26.82</v>
      </c>
      <c r="H32" s="52">
        <v>9.69</v>
      </c>
      <c r="I32" s="52">
        <v>3.27</v>
      </c>
      <c r="J32" s="52">
        <v>0.77</v>
      </c>
      <c r="K32" s="52">
        <v>204.4</v>
      </c>
      <c r="L32" s="52">
        <v>21.15</v>
      </c>
      <c r="M32" s="52">
        <v>100.27</v>
      </c>
      <c r="N32" s="52">
        <v>0</v>
      </c>
      <c r="O32" s="52">
        <v>0</v>
      </c>
      <c r="P32" s="52">
        <v>0.49</v>
      </c>
      <c r="Q32" s="52">
        <v>5.38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2.99</v>
      </c>
      <c r="C34" s="41">
        <f t="shared" si="0"/>
        <v>30.6</v>
      </c>
      <c r="D34" s="41">
        <f t="shared" si="0"/>
        <v>20.239999999999998</v>
      </c>
      <c r="E34" s="41">
        <f t="shared" si="0"/>
        <v>5.72</v>
      </c>
      <c r="F34" s="41">
        <f t="shared" si="0"/>
        <v>3.85</v>
      </c>
      <c r="G34" s="41">
        <f t="shared" si="0"/>
        <v>12.97</v>
      </c>
      <c r="H34" s="41">
        <f t="shared" si="0"/>
        <v>4.57</v>
      </c>
      <c r="I34" s="41">
        <f t="shared" si="0"/>
        <v>1.2</v>
      </c>
      <c r="J34" s="41">
        <f t="shared" si="0"/>
        <v>0.28000000000000003</v>
      </c>
      <c r="K34" s="41">
        <f t="shared" si="0"/>
        <v>47.74</v>
      </c>
      <c r="L34" s="41">
        <f t="shared" si="0"/>
        <v>21.15</v>
      </c>
      <c r="M34" s="41">
        <f t="shared" si="0"/>
        <v>45.22</v>
      </c>
      <c r="N34" s="41">
        <f t="shared" si="0"/>
        <v>0</v>
      </c>
      <c r="O34" s="41">
        <f t="shared" si="0"/>
        <v>0</v>
      </c>
      <c r="P34" s="41">
        <f t="shared" si="0"/>
        <v>0.3</v>
      </c>
      <c r="Q34" s="41">
        <f t="shared" si="0"/>
        <v>4.8600000000000003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40.98</v>
      </c>
      <c r="C35" s="33">
        <f t="shared" si="1"/>
        <v>66.38</v>
      </c>
      <c r="D35" s="33">
        <f t="shared" si="1"/>
        <v>66.180000000000007</v>
      </c>
      <c r="E35" s="33">
        <f t="shared" si="1"/>
        <v>8.93</v>
      </c>
      <c r="F35" s="33">
        <f t="shared" si="1"/>
        <v>63.61</v>
      </c>
      <c r="G35" s="33">
        <f t="shared" si="1"/>
        <v>44.22</v>
      </c>
      <c r="H35" s="33">
        <f t="shared" si="1"/>
        <v>14.4</v>
      </c>
      <c r="I35" s="33">
        <f t="shared" si="1"/>
        <v>4.0999999999999996</v>
      </c>
      <c r="J35" s="33">
        <f t="shared" si="1"/>
        <v>2.4900000000000002</v>
      </c>
      <c r="K35" s="33">
        <f t="shared" si="1"/>
        <v>328.08</v>
      </c>
      <c r="L35" s="33">
        <f t="shared" si="1"/>
        <v>33.64</v>
      </c>
      <c r="M35" s="33">
        <f t="shared" si="1"/>
        <v>100.27</v>
      </c>
      <c r="N35" s="33">
        <f t="shared" si="1"/>
        <v>1060.8</v>
      </c>
      <c r="O35" s="33">
        <f t="shared" si="1"/>
        <v>0</v>
      </c>
      <c r="P35" s="33">
        <f t="shared" si="1"/>
        <v>0.51</v>
      </c>
      <c r="Q35" s="33">
        <f t="shared" si="1"/>
        <v>7.12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22.934583333333332</v>
      </c>
      <c r="C36" s="41">
        <f t="shared" si="2"/>
        <v>53.900833333333331</v>
      </c>
      <c r="D36" s="41">
        <f t="shared" si="2"/>
        <v>47.496666666666677</v>
      </c>
      <c r="E36" s="41">
        <f t="shared" si="2"/>
        <v>7.4137499999999994</v>
      </c>
      <c r="F36" s="41">
        <f t="shared" si="2"/>
        <v>10.0625</v>
      </c>
      <c r="G36" s="41">
        <f t="shared" si="2"/>
        <v>26.012916666666669</v>
      </c>
      <c r="H36" s="41">
        <f t="shared" si="2"/>
        <v>8.5800000000000018</v>
      </c>
      <c r="I36" s="41">
        <f t="shared" si="2"/>
        <v>3.0787499999999999</v>
      </c>
      <c r="J36" s="41">
        <f t="shared" si="2"/>
        <v>1.0041666666666664</v>
      </c>
      <c r="K36" s="41">
        <f t="shared" si="2"/>
        <v>174.82833333333329</v>
      </c>
      <c r="L36" s="41">
        <f t="shared" si="2"/>
        <v>26.36333333333333</v>
      </c>
      <c r="M36" s="41">
        <f t="shared" si="2"/>
        <v>75.368333333333339</v>
      </c>
      <c r="N36" s="41">
        <f t="shared" si="2"/>
        <v>268.10833333333335</v>
      </c>
      <c r="O36" s="41">
        <f t="shared" si="2"/>
        <v>0</v>
      </c>
      <c r="P36" s="41">
        <f t="shared" si="2"/>
        <v>0.40958333333333335</v>
      </c>
      <c r="Q36" s="41">
        <f t="shared" si="2"/>
        <v>5.899166666666666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11.854342803255753</v>
      </c>
      <c r="C37" s="41">
        <f t="shared" ref="C37:Q37" si="3">STDEV(C9:C32)</f>
        <v>9.6244448362384372</v>
      </c>
      <c r="D37" s="41">
        <f t="shared" si="3"/>
        <v>13.713187770922508</v>
      </c>
      <c r="E37" s="41">
        <f t="shared" si="3"/>
        <v>1.0074755903829093</v>
      </c>
      <c r="F37" s="41">
        <f t="shared" si="3"/>
        <v>14.186078984572225</v>
      </c>
      <c r="G37" s="41">
        <f t="shared" si="3"/>
        <v>10.98056998566763</v>
      </c>
      <c r="H37" s="41">
        <f t="shared" si="3"/>
        <v>2.9725292992303034</v>
      </c>
      <c r="I37" s="41">
        <f t="shared" si="3"/>
        <v>0.81304747441473313</v>
      </c>
      <c r="J37" s="41">
        <f t="shared" si="3"/>
        <v>0.63497289683115243</v>
      </c>
      <c r="K37" s="41">
        <f t="shared" si="3"/>
        <v>111.17673140453947</v>
      </c>
      <c r="L37" s="41">
        <f t="shared" si="3"/>
        <v>4.4105167464838582</v>
      </c>
      <c r="M37" s="41">
        <f t="shared" si="3"/>
        <v>18.421994337267581</v>
      </c>
      <c r="N37" s="41">
        <f t="shared" si="3"/>
        <v>357.83635185674592</v>
      </c>
      <c r="O37" s="41">
        <f t="shared" si="3"/>
        <v>0</v>
      </c>
      <c r="P37" s="41">
        <f t="shared" si="3"/>
        <v>6.4638067035957036E-2</v>
      </c>
      <c r="Q37" s="41">
        <f t="shared" si="3"/>
        <v>0.77641829081935132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107</v>
      </c>
      <c r="B9" s="52">
        <v>19.73</v>
      </c>
      <c r="C9" s="52">
        <v>52.39</v>
      </c>
      <c r="D9" s="52">
        <v>44.46</v>
      </c>
      <c r="E9" s="52">
        <v>7.32</v>
      </c>
      <c r="F9" s="52">
        <v>4.0999999999999996</v>
      </c>
      <c r="G9" s="52">
        <v>19.27</v>
      </c>
      <c r="H9" s="52">
        <v>7.8</v>
      </c>
      <c r="I9" s="52">
        <v>3.12</v>
      </c>
      <c r="J9" s="52">
        <v>0.41</v>
      </c>
      <c r="K9" s="52">
        <v>123.71</v>
      </c>
      <c r="L9" s="52">
        <v>20.47</v>
      </c>
      <c r="M9" s="52">
        <v>99</v>
      </c>
      <c r="N9" s="52">
        <v>0</v>
      </c>
      <c r="O9" s="52">
        <v>0</v>
      </c>
      <c r="P9" s="52">
        <v>0.47</v>
      </c>
      <c r="Q9" s="52">
        <v>5.39</v>
      </c>
      <c r="R9" s="50"/>
      <c r="S9" s="50"/>
      <c r="T9" s="50"/>
      <c r="U9" s="50"/>
    </row>
    <row r="10" spans="1:21" customFormat="1">
      <c r="A10" s="51" t="s">
        <v>108</v>
      </c>
      <c r="B10" s="52">
        <v>19.399999999999999</v>
      </c>
      <c r="C10" s="52">
        <v>54.6</v>
      </c>
      <c r="D10" s="52">
        <v>45.15</v>
      </c>
      <c r="E10" s="52">
        <v>6.92</v>
      </c>
      <c r="F10" s="52">
        <v>3.88</v>
      </c>
      <c r="G10" s="52">
        <v>14.13</v>
      </c>
      <c r="H10" s="52">
        <v>7.71</v>
      </c>
      <c r="I10" s="52">
        <v>3.06</v>
      </c>
      <c r="J10" s="52">
        <v>0.38</v>
      </c>
      <c r="K10" s="52">
        <v>251.76</v>
      </c>
      <c r="L10" s="52">
        <v>20.9</v>
      </c>
      <c r="M10" s="52">
        <v>99.05</v>
      </c>
      <c r="N10" s="52">
        <v>0</v>
      </c>
      <c r="O10" s="52">
        <v>0</v>
      </c>
      <c r="P10" s="52">
        <v>0.46</v>
      </c>
      <c r="Q10" s="52">
        <v>5.56</v>
      </c>
      <c r="R10" s="50"/>
      <c r="S10" s="50"/>
      <c r="T10" s="50"/>
      <c r="U10" s="50"/>
    </row>
    <row r="11" spans="1:21" customFormat="1">
      <c r="A11" s="51" t="s">
        <v>109</v>
      </c>
      <c r="B11" s="52">
        <v>18.600000000000001</v>
      </c>
      <c r="C11" s="52">
        <v>54.65</v>
      </c>
      <c r="D11" s="52">
        <v>44.61</v>
      </c>
      <c r="E11" s="52">
        <v>6.83</v>
      </c>
      <c r="F11" s="52">
        <v>4</v>
      </c>
      <c r="G11" s="52">
        <v>10.38</v>
      </c>
      <c r="H11" s="52">
        <v>5.61</v>
      </c>
      <c r="I11" s="52">
        <v>2.83</v>
      </c>
      <c r="J11" s="52">
        <v>1.37</v>
      </c>
      <c r="K11" s="52">
        <v>256.77</v>
      </c>
      <c r="L11" s="52">
        <v>20.65</v>
      </c>
      <c r="M11" s="52">
        <v>99.04</v>
      </c>
      <c r="N11" s="52">
        <v>0</v>
      </c>
      <c r="O11" s="52">
        <v>0</v>
      </c>
      <c r="P11" s="52">
        <v>0.42</v>
      </c>
      <c r="Q11" s="52">
        <v>5.52</v>
      </c>
      <c r="R11" s="50"/>
      <c r="S11" s="50"/>
      <c r="T11" s="50"/>
      <c r="U11" s="50"/>
    </row>
    <row r="12" spans="1:21" customFormat="1">
      <c r="A12" s="51" t="s">
        <v>110</v>
      </c>
      <c r="B12" s="52">
        <v>18.23</v>
      </c>
      <c r="C12" s="52">
        <v>53.84</v>
      </c>
      <c r="D12" s="52">
        <v>43.49</v>
      </c>
      <c r="E12" s="52">
        <v>6.93</v>
      </c>
      <c r="F12" s="52">
        <v>4</v>
      </c>
      <c r="G12" s="52">
        <v>7.29</v>
      </c>
      <c r="H12" s="52">
        <v>4.26</v>
      </c>
      <c r="I12" s="52">
        <v>2.69</v>
      </c>
      <c r="J12" s="52">
        <v>0.43</v>
      </c>
      <c r="K12" s="52">
        <v>232.91</v>
      </c>
      <c r="L12" s="52">
        <v>20.63</v>
      </c>
      <c r="M12" s="52">
        <v>99.06</v>
      </c>
      <c r="N12" s="52">
        <v>0</v>
      </c>
      <c r="O12" s="52">
        <v>0</v>
      </c>
      <c r="P12" s="52">
        <v>0.41</v>
      </c>
      <c r="Q12" s="52">
        <v>5.5</v>
      </c>
      <c r="R12" s="50"/>
      <c r="S12" s="50"/>
      <c r="T12" s="50"/>
      <c r="U12" s="50"/>
    </row>
    <row r="13" spans="1:21" customFormat="1">
      <c r="A13" s="51" t="s">
        <v>111</v>
      </c>
      <c r="B13" s="52">
        <v>19.420000000000002</v>
      </c>
      <c r="C13" s="52">
        <v>52.73</v>
      </c>
      <c r="D13" s="52">
        <v>44.36</v>
      </c>
      <c r="E13" s="52">
        <v>7.13</v>
      </c>
      <c r="F13" s="52">
        <v>3.74</v>
      </c>
      <c r="G13" s="52">
        <v>5.38</v>
      </c>
      <c r="H13" s="52">
        <v>3.37</v>
      </c>
      <c r="I13" s="52">
        <v>2.64</v>
      </c>
      <c r="J13" s="52">
        <v>0.38</v>
      </c>
      <c r="K13" s="52">
        <v>236.46</v>
      </c>
      <c r="L13" s="52">
        <v>20.51</v>
      </c>
      <c r="M13" s="52">
        <v>99.08</v>
      </c>
      <c r="N13" s="52">
        <v>0</v>
      </c>
      <c r="O13" s="52">
        <v>0</v>
      </c>
      <c r="P13" s="52">
        <v>0.38</v>
      </c>
      <c r="Q13" s="52">
        <v>5.52</v>
      </c>
      <c r="R13" s="50"/>
      <c r="S13" s="50"/>
      <c r="T13" s="50"/>
      <c r="U13" s="50"/>
    </row>
    <row r="14" spans="1:21" customFormat="1">
      <c r="A14" s="51" t="s">
        <v>112</v>
      </c>
      <c r="B14" s="52">
        <v>20.100000000000001</v>
      </c>
      <c r="C14" s="52">
        <v>52.03</v>
      </c>
      <c r="D14" s="52">
        <v>44.33</v>
      </c>
      <c r="E14" s="52">
        <v>7.15</v>
      </c>
      <c r="F14" s="52">
        <v>4.17</v>
      </c>
      <c r="G14" s="52">
        <v>3.81</v>
      </c>
      <c r="H14" s="52">
        <v>3.13</v>
      </c>
      <c r="I14" s="52">
        <v>2.5</v>
      </c>
      <c r="J14" s="52">
        <v>0.57999999999999996</v>
      </c>
      <c r="K14" s="52">
        <v>237.5</v>
      </c>
      <c r="L14" s="52">
        <v>20.48</v>
      </c>
      <c r="M14" s="52">
        <v>99.1</v>
      </c>
      <c r="N14" s="52">
        <v>5.9</v>
      </c>
      <c r="O14" s="52">
        <v>0</v>
      </c>
      <c r="P14" s="52">
        <v>0.37</v>
      </c>
      <c r="Q14" s="52">
        <v>5.56</v>
      </c>
      <c r="R14" s="50"/>
      <c r="S14" s="50"/>
      <c r="T14" s="50"/>
      <c r="U14" s="50"/>
    </row>
    <row r="15" spans="1:21" customFormat="1">
      <c r="A15" s="51" t="s">
        <v>113</v>
      </c>
      <c r="B15" s="52">
        <v>23.31</v>
      </c>
      <c r="C15" s="52">
        <v>50.45</v>
      </c>
      <c r="D15" s="52">
        <v>46.41</v>
      </c>
      <c r="E15" s="52">
        <v>7.07</v>
      </c>
      <c r="F15" s="52">
        <v>4.2699999999999996</v>
      </c>
      <c r="G15" s="52">
        <v>6.78</v>
      </c>
      <c r="H15" s="52">
        <v>3.55</v>
      </c>
      <c r="I15" s="52">
        <v>2.4700000000000002</v>
      </c>
      <c r="J15" s="52">
        <v>1.04</v>
      </c>
      <c r="K15" s="52">
        <v>307.13</v>
      </c>
      <c r="L15" s="52">
        <v>21.32</v>
      </c>
      <c r="M15" s="52">
        <v>99.13</v>
      </c>
      <c r="N15" s="52">
        <v>99</v>
      </c>
      <c r="O15" s="52">
        <v>0</v>
      </c>
      <c r="P15" s="52">
        <v>0.36</v>
      </c>
      <c r="Q15" s="52">
        <v>5.49</v>
      </c>
      <c r="R15" s="50"/>
      <c r="S15" s="50"/>
      <c r="T15" s="50"/>
      <c r="U15" s="50"/>
    </row>
    <row r="16" spans="1:21" customFormat="1">
      <c r="A16" s="51" t="s">
        <v>114</v>
      </c>
      <c r="B16" s="52">
        <v>26.57</v>
      </c>
      <c r="C16" s="52">
        <v>50.49</v>
      </c>
      <c r="D16" s="52">
        <v>49.04</v>
      </c>
      <c r="E16" s="52">
        <v>7.51</v>
      </c>
      <c r="F16" s="52">
        <v>4.12</v>
      </c>
      <c r="G16" s="52">
        <v>18.02</v>
      </c>
      <c r="H16" s="52">
        <v>9.76</v>
      </c>
      <c r="I16" s="52">
        <v>2.74</v>
      </c>
      <c r="J16" s="52">
        <v>0.79</v>
      </c>
      <c r="K16" s="52">
        <v>284.45</v>
      </c>
      <c r="L16" s="52">
        <v>23.35</v>
      </c>
      <c r="M16" s="52">
        <v>98.89</v>
      </c>
      <c r="N16" s="52">
        <v>189.8</v>
      </c>
      <c r="O16" s="52">
        <v>0</v>
      </c>
      <c r="P16" s="52">
        <v>0.39</v>
      </c>
      <c r="Q16" s="52">
        <v>5.66</v>
      </c>
      <c r="R16" s="50"/>
      <c r="S16" s="50"/>
      <c r="T16" s="50"/>
      <c r="U16" s="50"/>
    </row>
    <row r="17" spans="1:21" customFormat="1">
      <c r="A17" s="51" t="s">
        <v>115</v>
      </c>
      <c r="B17" s="52">
        <v>27.71</v>
      </c>
      <c r="C17" s="52">
        <v>50.32</v>
      </c>
      <c r="D17" s="52">
        <v>49.53</v>
      </c>
      <c r="E17" s="52">
        <v>7.64</v>
      </c>
      <c r="F17" s="52">
        <v>4.07</v>
      </c>
      <c r="G17" s="52">
        <v>29.9</v>
      </c>
      <c r="H17" s="52">
        <v>11.73</v>
      </c>
      <c r="I17" s="52">
        <v>3.06</v>
      </c>
      <c r="J17" s="52">
        <v>0.41</v>
      </c>
      <c r="K17" s="52">
        <v>248.44</v>
      </c>
      <c r="L17" s="52">
        <v>24.32</v>
      </c>
      <c r="M17" s="52">
        <v>86.67</v>
      </c>
      <c r="N17" s="52">
        <v>216.4</v>
      </c>
      <c r="O17" s="52">
        <v>0</v>
      </c>
      <c r="P17" s="52">
        <v>0.41</v>
      </c>
      <c r="Q17" s="52">
        <v>5.71</v>
      </c>
      <c r="R17" s="50"/>
      <c r="S17" s="50"/>
      <c r="T17" s="50"/>
      <c r="U17" s="50"/>
    </row>
    <row r="18" spans="1:21" customFormat="1">
      <c r="A18" s="51" t="s">
        <v>116</v>
      </c>
      <c r="B18" s="52">
        <v>27.99</v>
      </c>
      <c r="C18" s="52">
        <v>49.64</v>
      </c>
      <c r="D18" s="52">
        <v>49.3</v>
      </c>
      <c r="E18" s="52">
        <v>7.16</v>
      </c>
      <c r="F18" s="52">
        <v>4.18</v>
      </c>
      <c r="G18" s="52">
        <v>29.9</v>
      </c>
      <c r="H18" s="52">
        <v>11.73</v>
      </c>
      <c r="I18" s="52">
        <v>3.23</v>
      </c>
      <c r="J18" s="52">
        <v>1.37</v>
      </c>
      <c r="K18" s="52">
        <v>272.33999999999997</v>
      </c>
      <c r="L18" s="52">
        <v>24.42</v>
      </c>
      <c r="M18" s="52">
        <v>85.08</v>
      </c>
      <c r="N18" s="52">
        <v>337.6</v>
      </c>
      <c r="O18" s="52">
        <v>0</v>
      </c>
      <c r="P18" s="52">
        <v>0.46</v>
      </c>
      <c r="Q18" s="52">
        <v>5.67</v>
      </c>
      <c r="R18" s="50"/>
      <c r="S18" s="50"/>
      <c r="T18" s="50"/>
      <c r="U18" s="50"/>
    </row>
    <row r="19" spans="1:21" customFormat="1">
      <c r="A19" s="51" t="s">
        <v>117</v>
      </c>
      <c r="B19" s="52">
        <v>26.64</v>
      </c>
      <c r="C19" s="52">
        <v>56.67</v>
      </c>
      <c r="D19" s="52">
        <v>51.96</v>
      </c>
      <c r="E19" s="52">
        <v>8.19</v>
      </c>
      <c r="F19" s="52">
        <v>4.3499999999999996</v>
      </c>
      <c r="G19" s="52">
        <v>29.98</v>
      </c>
      <c r="H19" s="52">
        <v>11.44</v>
      </c>
      <c r="I19" s="52">
        <v>4.1500000000000004</v>
      </c>
      <c r="J19" s="52">
        <v>0.63</v>
      </c>
      <c r="K19" s="52">
        <v>243.43</v>
      </c>
      <c r="L19" s="52">
        <v>27</v>
      </c>
      <c r="M19" s="52">
        <v>78.98</v>
      </c>
      <c r="N19" s="52">
        <v>467.8</v>
      </c>
      <c r="O19" s="52">
        <v>0</v>
      </c>
      <c r="P19" s="52">
        <v>0.68</v>
      </c>
      <c r="Q19" s="52">
        <v>5.84</v>
      </c>
      <c r="R19" s="50"/>
      <c r="S19" s="50"/>
      <c r="T19" s="50"/>
      <c r="U19" s="50"/>
    </row>
    <row r="20" spans="1:21" customFormat="1">
      <c r="A20" s="51" t="s">
        <v>118</v>
      </c>
      <c r="B20" s="52">
        <v>25.83</v>
      </c>
      <c r="C20" s="52">
        <v>57.71</v>
      </c>
      <c r="D20" s="52">
        <v>52.21</v>
      </c>
      <c r="E20" s="52">
        <v>8.19</v>
      </c>
      <c r="F20" s="52">
        <v>4.2</v>
      </c>
      <c r="G20" s="52">
        <v>32.68</v>
      </c>
      <c r="H20" s="52">
        <v>14.12</v>
      </c>
      <c r="I20" s="52">
        <v>7.48</v>
      </c>
      <c r="J20" s="52">
        <v>0.86</v>
      </c>
      <c r="K20" s="52">
        <v>282.95999999999998</v>
      </c>
      <c r="L20" s="52">
        <v>26.73</v>
      </c>
      <c r="M20" s="52">
        <v>75.77</v>
      </c>
      <c r="N20" s="52">
        <v>375.3</v>
      </c>
      <c r="O20" s="52">
        <v>0</v>
      </c>
      <c r="P20" s="52">
        <v>0.72</v>
      </c>
      <c r="Q20" s="52">
        <v>5.92</v>
      </c>
      <c r="R20" s="50"/>
      <c r="S20" s="50"/>
      <c r="T20" s="50"/>
      <c r="U20" s="50"/>
    </row>
    <row r="21" spans="1:21" customFormat="1">
      <c r="A21" s="51" t="s">
        <v>119</v>
      </c>
      <c r="B21" s="52">
        <v>22.61</v>
      </c>
      <c r="C21" s="52">
        <v>57.22</v>
      </c>
      <c r="D21" s="52">
        <v>48.68</v>
      </c>
      <c r="E21" s="52">
        <v>8.0500000000000007</v>
      </c>
      <c r="F21" s="52">
        <v>4.16</v>
      </c>
      <c r="G21" s="52">
        <v>32.68</v>
      </c>
      <c r="H21" s="52">
        <v>14.12</v>
      </c>
      <c r="I21" s="52">
        <v>7.02</v>
      </c>
      <c r="J21" s="52">
        <v>1.01</v>
      </c>
      <c r="K21" s="52">
        <v>282.57</v>
      </c>
      <c r="L21" s="52">
        <v>28.05</v>
      </c>
      <c r="M21" s="52">
        <v>72.599999999999994</v>
      </c>
      <c r="N21" s="52">
        <v>956.3</v>
      </c>
      <c r="O21" s="52">
        <v>0</v>
      </c>
      <c r="P21" s="52">
        <v>0.67</v>
      </c>
      <c r="Q21" s="52">
        <v>5.78</v>
      </c>
      <c r="R21" s="50"/>
      <c r="S21" s="50"/>
      <c r="T21" s="50"/>
      <c r="U21" s="50"/>
    </row>
    <row r="22" spans="1:21" customFormat="1">
      <c r="A22" s="51" t="s">
        <v>120</v>
      </c>
      <c r="B22" s="52">
        <v>19.78</v>
      </c>
      <c r="C22" s="52">
        <v>55.78</v>
      </c>
      <c r="D22" s="52">
        <v>46.26</v>
      </c>
      <c r="E22" s="52">
        <v>7.72</v>
      </c>
      <c r="F22" s="52">
        <v>4.79</v>
      </c>
      <c r="G22" s="52">
        <v>24.74</v>
      </c>
      <c r="H22" s="52">
        <v>12.09</v>
      </c>
      <c r="I22" s="52">
        <v>6.24</v>
      </c>
      <c r="J22" s="52">
        <v>1.25</v>
      </c>
      <c r="K22" s="52">
        <v>273.05</v>
      </c>
      <c r="L22" s="52">
        <v>29.05</v>
      </c>
      <c r="M22" s="52">
        <v>59.37</v>
      </c>
      <c r="N22" s="52">
        <v>948.2</v>
      </c>
      <c r="O22" s="52">
        <v>0</v>
      </c>
      <c r="P22" s="52">
        <v>0.62</v>
      </c>
      <c r="Q22" s="52">
        <v>5.64</v>
      </c>
      <c r="R22" s="50"/>
      <c r="S22" s="50"/>
      <c r="T22" s="50"/>
      <c r="U22" s="50"/>
    </row>
    <row r="23" spans="1:21" customFormat="1">
      <c r="A23" s="51" t="s">
        <v>121</v>
      </c>
      <c r="B23" s="52">
        <v>15.71</v>
      </c>
      <c r="C23" s="52">
        <v>55.07</v>
      </c>
      <c r="D23" s="52">
        <v>42.47</v>
      </c>
      <c r="E23" s="52">
        <v>7.44</v>
      </c>
      <c r="F23" s="52">
        <v>5.32</v>
      </c>
      <c r="G23" s="52">
        <v>19.739999999999998</v>
      </c>
      <c r="H23" s="52">
        <v>8.7100000000000009</v>
      </c>
      <c r="I23" s="52">
        <v>5.68</v>
      </c>
      <c r="J23" s="52">
        <v>1.83</v>
      </c>
      <c r="K23" s="52">
        <v>306.94</v>
      </c>
      <c r="L23" s="52">
        <v>29.31</v>
      </c>
      <c r="M23" s="52">
        <v>56.04</v>
      </c>
      <c r="N23" s="52">
        <v>839.1</v>
      </c>
      <c r="O23" s="52">
        <v>0</v>
      </c>
      <c r="P23" s="52">
        <v>0.63</v>
      </c>
      <c r="Q23" s="52">
        <v>5.3</v>
      </c>
      <c r="R23" s="50"/>
      <c r="S23" s="50"/>
      <c r="T23" s="50"/>
      <c r="U23" s="50"/>
    </row>
    <row r="24" spans="1:21" customFormat="1">
      <c r="A24" s="51" t="s">
        <v>122</v>
      </c>
      <c r="B24" s="52">
        <v>13.21</v>
      </c>
      <c r="C24" s="52">
        <v>55.09</v>
      </c>
      <c r="D24" s="52">
        <v>40.369999999999997</v>
      </c>
      <c r="E24" s="52">
        <v>7.01</v>
      </c>
      <c r="F24" s="52">
        <v>7.98</v>
      </c>
      <c r="G24" s="52">
        <v>19.12</v>
      </c>
      <c r="H24" s="52">
        <v>7.64</v>
      </c>
      <c r="I24" s="52">
        <v>6.42</v>
      </c>
      <c r="J24" s="52">
        <v>2.0499999999999998</v>
      </c>
      <c r="K24" s="52">
        <v>333.74</v>
      </c>
      <c r="L24" s="52">
        <v>29.45</v>
      </c>
      <c r="M24" s="52">
        <v>56.39</v>
      </c>
      <c r="N24" s="52">
        <v>596.9</v>
      </c>
      <c r="O24" s="52">
        <v>0</v>
      </c>
      <c r="P24" s="52">
        <v>0.61</v>
      </c>
      <c r="Q24" s="52">
        <v>5.0999999999999996</v>
      </c>
      <c r="R24" s="50"/>
      <c r="S24" s="50"/>
      <c r="T24" s="50"/>
      <c r="U24" s="50"/>
    </row>
    <row r="25" spans="1:21" customFormat="1">
      <c r="A25" s="51" t="s">
        <v>123</v>
      </c>
      <c r="B25" s="52">
        <v>14.54</v>
      </c>
      <c r="C25" s="52">
        <v>51.57</v>
      </c>
      <c r="D25" s="52">
        <v>39.36</v>
      </c>
      <c r="E25" s="52">
        <v>7.03</v>
      </c>
      <c r="F25" s="52">
        <v>8.3800000000000008</v>
      </c>
      <c r="G25" s="52">
        <v>20.88</v>
      </c>
      <c r="H25" s="52">
        <v>8.02</v>
      </c>
      <c r="I25" s="52">
        <v>5.79</v>
      </c>
      <c r="J25" s="52">
        <v>1.46</v>
      </c>
      <c r="K25" s="52">
        <v>326.33</v>
      </c>
      <c r="L25" s="52">
        <v>29.26</v>
      </c>
      <c r="M25" s="52">
        <v>57.21</v>
      </c>
      <c r="N25" s="52">
        <v>316.8</v>
      </c>
      <c r="O25" s="52">
        <v>0</v>
      </c>
      <c r="P25" s="52">
        <v>0.55000000000000004</v>
      </c>
      <c r="Q25" s="52">
        <v>4.88</v>
      </c>
      <c r="R25" s="50"/>
      <c r="S25" s="50"/>
      <c r="T25" s="50"/>
      <c r="U25" s="50"/>
    </row>
    <row r="26" spans="1:21" customFormat="1">
      <c r="A26" s="51" t="s">
        <v>124</v>
      </c>
      <c r="B26" s="52">
        <v>16.850000000000001</v>
      </c>
      <c r="C26" s="52">
        <v>52.31</v>
      </c>
      <c r="D26" s="52">
        <v>42.19</v>
      </c>
      <c r="E26" s="52">
        <v>7.42</v>
      </c>
      <c r="F26" s="52">
        <v>8.7200000000000006</v>
      </c>
      <c r="G26" s="52">
        <v>24.64</v>
      </c>
      <c r="H26" s="52">
        <v>8.02</v>
      </c>
      <c r="I26" s="52">
        <v>5.24</v>
      </c>
      <c r="J26" s="52">
        <v>0.95</v>
      </c>
      <c r="K26" s="52">
        <v>313.45</v>
      </c>
      <c r="L26" s="52">
        <v>28.01</v>
      </c>
      <c r="M26" s="52">
        <v>63.95</v>
      </c>
      <c r="N26" s="52">
        <v>68.3</v>
      </c>
      <c r="O26" s="52">
        <v>0</v>
      </c>
      <c r="P26" s="52">
        <v>0.56000000000000005</v>
      </c>
      <c r="Q26" s="52">
        <v>5.0199999999999996</v>
      </c>
      <c r="R26" s="50"/>
      <c r="S26" s="50"/>
      <c r="T26" s="50"/>
      <c r="U26" s="50"/>
    </row>
    <row r="27" spans="1:21" customFormat="1">
      <c r="A27" s="51" t="s">
        <v>125</v>
      </c>
      <c r="B27" s="52">
        <v>20.61</v>
      </c>
      <c r="C27" s="52">
        <v>51.19</v>
      </c>
      <c r="D27" s="52">
        <v>44.07</v>
      </c>
      <c r="E27" s="52">
        <v>7.17</v>
      </c>
      <c r="F27" s="52">
        <v>7.77</v>
      </c>
      <c r="G27" s="52">
        <v>36.31</v>
      </c>
      <c r="H27" s="52">
        <v>10.17</v>
      </c>
      <c r="I27" s="52">
        <v>4.96</v>
      </c>
      <c r="J27" s="52">
        <v>0.35</v>
      </c>
      <c r="K27" s="52">
        <v>166.39</v>
      </c>
      <c r="L27" s="52">
        <v>27.34</v>
      </c>
      <c r="M27" s="52">
        <v>75.3</v>
      </c>
      <c r="N27" s="52">
        <v>3.9</v>
      </c>
      <c r="O27" s="52">
        <v>0</v>
      </c>
      <c r="P27" s="52">
        <v>0.57999999999999996</v>
      </c>
      <c r="Q27" s="52">
        <v>5.38</v>
      </c>
      <c r="R27" s="50"/>
      <c r="S27" s="50"/>
      <c r="T27" s="50"/>
      <c r="U27" s="50"/>
    </row>
    <row r="28" spans="1:21" customFormat="1">
      <c r="A28" s="51" t="s">
        <v>126</v>
      </c>
      <c r="B28" s="52">
        <v>23.72</v>
      </c>
      <c r="C28" s="52">
        <v>52.77</v>
      </c>
      <c r="D28" s="52">
        <v>46.47</v>
      </c>
      <c r="E28" s="52">
        <v>7.59</v>
      </c>
      <c r="F28" s="52">
        <v>6.44</v>
      </c>
      <c r="G28" s="52">
        <v>36.31</v>
      </c>
      <c r="H28" s="52">
        <v>10.17</v>
      </c>
      <c r="I28" s="52">
        <v>4.96</v>
      </c>
      <c r="J28" s="52">
        <v>0.22</v>
      </c>
      <c r="K28" s="52">
        <v>193.29</v>
      </c>
      <c r="L28" s="52">
        <v>25.94</v>
      </c>
      <c r="M28" s="52">
        <v>81.78</v>
      </c>
      <c r="N28" s="52">
        <v>0</v>
      </c>
      <c r="O28" s="52">
        <v>0</v>
      </c>
      <c r="P28" s="52">
        <v>0.57999999999999996</v>
      </c>
      <c r="Q28" s="52">
        <v>5.46</v>
      </c>
      <c r="R28" s="50"/>
      <c r="S28" s="50"/>
      <c r="T28" s="50"/>
      <c r="U28" s="50"/>
    </row>
    <row r="29" spans="1:21" customFormat="1">
      <c r="A29" s="51" t="s">
        <v>127</v>
      </c>
      <c r="B29" s="52">
        <v>25.48</v>
      </c>
      <c r="C29" s="52">
        <v>58.89</v>
      </c>
      <c r="D29" s="52">
        <v>52.55</v>
      </c>
      <c r="E29" s="52">
        <v>7.65</v>
      </c>
      <c r="F29" s="52">
        <v>4.16</v>
      </c>
      <c r="G29" s="52">
        <v>33.5</v>
      </c>
      <c r="H29" s="52">
        <v>7.72</v>
      </c>
      <c r="I29" s="52">
        <v>4.96</v>
      </c>
      <c r="J29" s="52">
        <v>0.16</v>
      </c>
      <c r="K29" s="52">
        <v>192.08</v>
      </c>
      <c r="L29" s="52">
        <v>25.11</v>
      </c>
      <c r="M29" s="52">
        <v>82.89</v>
      </c>
      <c r="N29" s="52">
        <v>0</v>
      </c>
      <c r="O29" s="52">
        <v>0</v>
      </c>
      <c r="P29" s="52">
        <v>0.59</v>
      </c>
      <c r="Q29" s="52">
        <v>5.93</v>
      </c>
      <c r="R29" s="50"/>
      <c r="S29" s="50"/>
      <c r="T29" s="50"/>
      <c r="U29" s="50"/>
    </row>
    <row r="30" spans="1:21" customFormat="1">
      <c r="A30" s="51" t="s">
        <v>128</v>
      </c>
      <c r="B30" s="52">
        <v>27.3</v>
      </c>
      <c r="C30" s="52">
        <v>58.68</v>
      </c>
      <c r="D30" s="52">
        <v>53.69</v>
      </c>
      <c r="E30" s="52">
        <v>7.62</v>
      </c>
      <c r="F30" s="52">
        <v>3.87</v>
      </c>
      <c r="G30" s="52">
        <v>28.94</v>
      </c>
      <c r="H30" s="52">
        <v>8.06</v>
      </c>
      <c r="I30" s="52">
        <v>4.91</v>
      </c>
      <c r="J30" s="52">
        <v>0.39</v>
      </c>
      <c r="K30" s="52">
        <v>295.57</v>
      </c>
      <c r="L30" s="52">
        <v>24.97</v>
      </c>
      <c r="M30" s="52">
        <v>83.43</v>
      </c>
      <c r="N30" s="52">
        <v>0</v>
      </c>
      <c r="O30" s="52">
        <v>0</v>
      </c>
      <c r="P30" s="52">
        <v>0.61</v>
      </c>
      <c r="Q30" s="52">
        <v>6.07</v>
      </c>
      <c r="R30" s="50"/>
      <c r="S30" s="50"/>
      <c r="T30" s="50"/>
      <c r="U30" s="50"/>
    </row>
    <row r="31" spans="1:21" customFormat="1">
      <c r="A31" s="51" t="s">
        <v>129</v>
      </c>
      <c r="B31" s="52">
        <v>33.909999999999997</v>
      </c>
      <c r="C31" s="52">
        <v>58.71</v>
      </c>
      <c r="D31" s="52">
        <v>59.22</v>
      </c>
      <c r="E31" s="52">
        <v>7.63</v>
      </c>
      <c r="F31" s="52">
        <v>3.7</v>
      </c>
      <c r="G31" s="52">
        <v>34.01</v>
      </c>
      <c r="H31" s="52">
        <v>13.73</v>
      </c>
      <c r="I31" s="52">
        <v>5.01</v>
      </c>
      <c r="J31" s="52">
        <v>0.23</v>
      </c>
      <c r="K31" s="52">
        <v>184.43</v>
      </c>
      <c r="L31" s="52">
        <v>24.62</v>
      </c>
      <c r="M31" s="52">
        <v>90.94</v>
      </c>
      <c r="N31" s="52">
        <v>0</v>
      </c>
      <c r="O31" s="52">
        <v>0</v>
      </c>
      <c r="P31" s="52">
        <v>0.65</v>
      </c>
      <c r="Q31" s="52">
        <v>6.51</v>
      </c>
      <c r="R31" s="50"/>
      <c r="S31" s="50"/>
      <c r="T31" s="50"/>
      <c r="U31" s="50"/>
    </row>
    <row r="32" spans="1:21" customFormat="1">
      <c r="A32" s="51" t="s">
        <v>130</v>
      </c>
      <c r="B32" s="52">
        <v>41.12</v>
      </c>
      <c r="C32" s="52">
        <v>58.42</v>
      </c>
      <c r="D32" s="52">
        <v>64.849999999999994</v>
      </c>
      <c r="E32" s="52">
        <v>8.2100000000000009</v>
      </c>
      <c r="F32" s="52">
        <v>3.68</v>
      </c>
      <c r="G32" s="52">
        <v>36.31</v>
      </c>
      <c r="H32" s="52">
        <v>13.73</v>
      </c>
      <c r="I32" s="52">
        <v>5.21</v>
      </c>
      <c r="J32" s="52">
        <v>0.24</v>
      </c>
      <c r="K32" s="52">
        <v>303.3</v>
      </c>
      <c r="L32" s="52">
        <v>23.79</v>
      </c>
      <c r="M32" s="52">
        <v>91.39</v>
      </c>
      <c r="N32" s="52">
        <v>0</v>
      </c>
      <c r="O32" s="52">
        <v>0</v>
      </c>
      <c r="P32" s="52">
        <v>0.69</v>
      </c>
      <c r="Q32" s="52">
        <v>6.91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13.21</v>
      </c>
      <c r="C34" s="41">
        <f t="shared" si="0"/>
        <v>49.64</v>
      </c>
      <c r="D34" s="41">
        <f t="shared" si="0"/>
        <v>39.36</v>
      </c>
      <c r="E34" s="41">
        <f t="shared" si="0"/>
        <v>6.83</v>
      </c>
      <c r="F34" s="41">
        <f t="shared" si="0"/>
        <v>3.68</v>
      </c>
      <c r="G34" s="41">
        <f t="shared" si="0"/>
        <v>3.81</v>
      </c>
      <c r="H34" s="41">
        <f t="shared" si="0"/>
        <v>3.13</v>
      </c>
      <c r="I34" s="41">
        <f t="shared" si="0"/>
        <v>2.4700000000000002</v>
      </c>
      <c r="J34" s="41">
        <f t="shared" si="0"/>
        <v>0.16</v>
      </c>
      <c r="K34" s="41">
        <f t="shared" si="0"/>
        <v>123.71</v>
      </c>
      <c r="L34" s="41">
        <f t="shared" si="0"/>
        <v>20.47</v>
      </c>
      <c r="M34" s="41">
        <f t="shared" si="0"/>
        <v>56.04</v>
      </c>
      <c r="N34" s="41">
        <f t="shared" si="0"/>
        <v>0</v>
      </c>
      <c r="O34" s="41">
        <f t="shared" si="0"/>
        <v>0</v>
      </c>
      <c r="P34" s="41">
        <f t="shared" si="0"/>
        <v>0.36</v>
      </c>
      <c r="Q34" s="41">
        <f t="shared" si="0"/>
        <v>4.88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41.12</v>
      </c>
      <c r="C35" s="33">
        <f t="shared" si="1"/>
        <v>58.89</v>
      </c>
      <c r="D35" s="33">
        <f t="shared" si="1"/>
        <v>64.849999999999994</v>
      </c>
      <c r="E35" s="33">
        <f t="shared" si="1"/>
        <v>8.2100000000000009</v>
      </c>
      <c r="F35" s="33">
        <f t="shared" si="1"/>
        <v>8.7200000000000006</v>
      </c>
      <c r="G35" s="33">
        <f t="shared" si="1"/>
        <v>36.31</v>
      </c>
      <c r="H35" s="33">
        <f t="shared" si="1"/>
        <v>14.12</v>
      </c>
      <c r="I35" s="33">
        <f t="shared" si="1"/>
        <v>7.48</v>
      </c>
      <c r="J35" s="33">
        <f t="shared" si="1"/>
        <v>2.0499999999999998</v>
      </c>
      <c r="K35" s="33">
        <f t="shared" si="1"/>
        <v>333.74</v>
      </c>
      <c r="L35" s="33">
        <f t="shared" si="1"/>
        <v>29.45</v>
      </c>
      <c r="M35" s="33">
        <f t="shared" si="1"/>
        <v>99.13</v>
      </c>
      <c r="N35" s="33">
        <f t="shared" si="1"/>
        <v>956.3</v>
      </c>
      <c r="O35" s="33">
        <f t="shared" si="1"/>
        <v>0</v>
      </c>
      <c r="P35" s="33">
        <f t="shared" si="1"/>
        <v>0.72</v>
      </c>
      <c r="Q35" s="33">
        <f t="shared" si="1"/>
        <v>6.91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22.848749999999999</v>
      </c>
      <c r="C36" s="41">
        <f t="shared" si="2"/>
        <v>54.217500000000022</v>
      </c>
      <c r="D36" s="41">
        <f t="shared" si="2"/>
        <v>47.709583333333335</v>
      </c>
      <c r="E36" s="41">
        <f t="shared" si="2"/>
        <v>7.440833333333333</v>
      </c>
      <c r="F36" s="41">
        <f t="shared" si="2"/>
        <v>4.9187500000000002</v>
      </c>
      <c r="G36" s="41">
        <f t="shared" si="2"/>
        <v>23.112500000000001</v>
      </c>
      <c r="H36" s="41">
        <f t="shared" si="2"/>
        <v>9.0162499999999994</v>
      </c>
      <c r="I36" s="41">
        <f t="shared" si="2"/>
        <v>4.432083333333332</v>
      </c>
      <c r="J36" s="41">
        <f t="shared" si="2"/>
        <v>0.78291666666666659</v>
      </c>
      <c r="K36" s="41">
        <f t="shared" si="2"/>
        <v>256.20833333333331</v>
      </c>
      <c r="L36" s="41">
        <f t="shared" si="2"/>
        <v>24.819999999999997</v>
      </c>
      <c r="M36" s="41">
        <f t="shared" si="2"/>
        <v>82.922499999999999</v>
      </c>
      <c r="N36" s="41">
        <f t="shared" si="2"/>
        <v>225.88750000000002</v>
      </c>
      <c r="O36" s="41">
        <f t="shared" si="2"/>
        <v>0</v>
      </c>
      <c r="P36" s="41">
        <f t="shared" si="2"/>
        <v>0.53625</v>
      </c>
      <c r="Q36" s="41">
        <f t="shared" si="2"/>
        <v>5.6383333333333319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6.3065289236804007</v>
      </c>
      <c r="C37" s="41">
        <f t="shared" ref="C37:Q37" si="3">STDEV(C9:C32)</f>
        <v>3.0050757785420688</v>
      </c>
      <c r="D37" s="41">
        <f t="shared" si="3"/>
        <v>5.8961877729278465</v>
      </c>
      <c r="E37" s="41">
        <f t="shared" si="3"/>
        <v>0.42154907565833316</v>
      </c>
      <c r="F37" s="41">
        <f t="shared" si="3"/>
        <v>1.6184568938934725</v>
      </c>
      <c r="G37" s="41">
        <f t="shared" si="3"/>
        <v>10.694217555783814</v>
      </c>
      <c r="H37" s="41">
        <f t="shared" si="3"/>
        <v>3.4274325699770007</v>
      </c>
      <c r="I37" s="41">
        <f t="shared" si="3"/>
        <v>1.5538926692459316</v>
      </c>
      <c r="J37" s="41">
        <f t="shared" si="3"/>
        <v>0.53805187374506913</v>
      </c>
      <c r="K37" s="41">
        <f t="shared" si="3"/>
        <v>53.675162312519937</v>
      </c>
      <c r="L37" s="41">
        <f t="shared" si="3"/>
        <v>3.220125571410569</v>
      </c>
      <c r="M37" s="41">
        <f t="shared" si="3"/>
        <v>15.420547909399522</v>
      </c>
      <c r="N37" s="41">
        <f t="shared" si="3"/>
        <v>317.65166088506999</v>
      </c>
      <c r="O37" s="41">
        <f t="shared" si="3"/>
        <v>0</v>
      </c>
      <c r="P37" s="41">
        <f t="shared" si="3"/>
        <v>0.11590147615070773</v>
      </c>
      <c r="Q37" s="41">
        <f t="shared" si="3"/>
        <v>0.43730067923338511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7.710937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131</v>
      </c>
      <c r="B9" s="52">
        <v>49.77</v>
      </c>
      <c r="C9" s="52">
        <v>58.29</v>
      </c>
      <c r="D9" s="52">
        <v>71.319999999999993</v>
      </c>
      <c r="E9" s="52">
        <v>8.08</v>
      </c>
      <c r="F9" s="52">
        <v>3.64</v>
      </c>
      <c r="G9" s="52">
        <v>52.06</v>
      </c>
      <c r="H9" s="52">
        <v>16.54</v>
      </c>
      <c r="I9" s="52">
        <v>5.51</v>
      </c>
      <c r="J9" s="52">
        <v>0.18</v>
      </c>
      <c r="K9" s="52">
        <v>160.9</v>
      </c>
      <c r="L9" s="52">
        <v>23.43</v>
      </c>
      <c r="M9" s="52">
        <v>92.93</v>
      </c>
      <c r="N9" s="52">
        <v>0</v>
      </c>
      <c r="O9" s="52">
        <v>0</v>
      </c>
      <c r="P9" s="52">
        <v>0.73</v>
      </c>
      <c r="Q9" s="52">
        <v>7.48</v>
      </c>
      <c r="R9" s="50"/>
      <c r="S9" s="50"/>
      <c r="T9" s="50"/>
      <c r="U9" s="50"/>
    </row>
    <row r="10" spans="1:21" customFormat="1">
      <c r="A10" s="51" t="s">
        <v>132</v>
      </c>
      <c r="B10" s="52">
        <v>55.81</v>
      </c>
      <c r="C10" s="52">
        <v>57.62</v>
      </c>
      <c r="D10" s="52">
        <v>73.84</v>
      </c>
      <c r="E10" s="52">
        <v>8.15</v>
      </c>
      <c r="F10" s="52">
        <v>4.18</v>
      </c>
      <c r="G10" s="52">
        <v>56.81</v>
      </c>
      <c r="H10" s="52">
        <v>16.79</v>
      </c>
      <c r="I10" s="52">
        <v>5.78</v>
      </c>
      <c r="J10" s="52">
        <v>0.27</v>
      </c>
      <c r="K10" s="52">
        <v>356.31</v>
      </c>
      <c r="L10" s="52">
        <v>23.37</v>
      </c>
      <c r="M10" s="52">
        <v>89.95</v>
      </c>
      <c r="N10" s="52">
        <v>0</v>
      </c>
      <c r="O10" s="52">
        <v>0</v>
      </c>
      <c r="P10" s="52">
        <v>0.76</v>
      </c>
      <c r="Q10" s="52">
        <v>7.66</v>
      </c>
      <c r="R10" s="50"/>
      <c r="S10" s="50"/>
      <c r="T10" s="50"/>
      <c r="U10" s="50"/>
    </row>
    <row r="11" spans="1:21" customFormat="1">
      <c r="A11" s="51" t="s">
        <v>133</v>
      </c>
      <c r="B11" s="52">
        <v>56.94</v>
      </c>
      <c r="C11" s="52">
        <v>54.87</v>
      </c>
      <c r="D11" s="52">
        <v>74.78</v>
      </c>
      <c r="E11" s="52">
        <v>8.77</v>
      </c>
      <c r="F11" s="52">
        <v>4</v>
      </c>
      <c r="G11" s="52">
        <v>62.62</v>
      </c>
      <c r="H11" s="52">
        <v>18.809999999999999</v>
      </c>
      <c r="I11" s="52">
        <v>6.29</v>
      </c>
      <c r="J11" s="52">
        <v>0.61</v>
      </c>
      <c r="K11" s="52">
        <v>75.69</v>
      </c>
      <c r="L11" s="52">
        <v>23.32</v>
      </c>
      <c r="M11" s="52">
        <v>88.73</v>
      </c>
      <c r="N11" s="52">
        <v>0</v>
      </c>
      <c r="O11" s="52">
        <v>0</v>
      </c>
      <c r="P11" s="52">
        <v>0.75</v>
      </c>
      <c r="Q11" s="52">
        <v>7.62</v>
      </c>
      <c r="R11" s="50"/>
      <c r="S11" s="50"/>
      <c r="T11" s="50"/>
      <c r="U11" s="50"/>
    </row>
    <row r="12" spans="1:21" customFormat="1">
      <c r="A12" s="51" t="s">
        <v>134</v>
      </c>
      <c r="B12" s="52">
        <v>57.99</v>
      </c>
      <c r="C12" s="52">
        <v>53.8</v>
      </c>
      <c r="D12" s="52">
        <v>75.31</v>
      </c>
      <c r="E12" s="52">
        <v>9.11</v>
      </c>
      <c r="F12" s="52">
        <v>3.8</v>
      </c>
      <c r="G12" s="52">
        <v>63.2</v>
      </c>
      <c r="H12" s="52">
        <v>22.12</v>
      </c>
      <c r="I12" s="52">
        <v>6.5</v>
      </c>
      <c r="J12" s="52">
        <v>0.45</v>
      </c>
      <c r="K12" s="52">
        <v>80.819999999999993</v>
      </c>
      <c r="L12" s="52">
        <v>23.27</v>
      </c>
      <c r="M12" s="52">
        <v>88.04</v>
      </c>
      <c r="N12" s="52">
        <v>0</v>
      </c>
      <c r="O12" s="52">
        <v>0</v>
      </c>
      <c r="P12" s="52">
        <v>0.75</v>
      </c>
      <c r="Q12" s="52">
        <v>7.59</v>
      </c>
      <c r="R12" s="50"/>
      <c r="S12" s="50"/>
      <c r="T12" s="50"/>
      <c r="U12" s="50"/>
    </row>
    <row r="13" spans="1:21" customFormat="1">
      <c r="A13" s="53">
        <v>45050.208333333336</v>
      </c>
      <c r="B13" s="52">
        <v>58.96</v>
      </c>
      <c r="C13" s="52">
        <v>53.91</v>
      </c>
      <c r="D13" s="52">
        <v>76.41</v>
      </c>
      <c r="E13" s="52">
        <v>8.8800000000000008</v>
      </c>
      <c r="F13" s="52">
        <v>3.87</v>
      </c>
      <c r="G13" s="52">
        <v>67.97</v>
      </c>
      <c r="H13" s="52">
        <v>22.12</v>
      </c>
      <c r="I13" s="52">
        <v>6.46</v>
      </c>
      <c r="J13" s="52">
        <v>0.43</v>
      </c>
      <c r="K13" s="52">
        <v>64.66</v>
      </c>
      <c r="L13" s="52">
        <v>22.74</v>
      </c>
      <c r="M13" s="52">
        <v>89.21</v>
      </c>
      <c r="N13" s="52">
        <v>0</v>
      </c>
      <c r="O13" s="52">
        <v>0</v>
      </c>
      <c r="P13" s="52">
        <v>0.74</v>
      </c>
      <c r="Q13" s="52">
        <v>7.68</v>
      </c>
      <c r="R13" s="50"/>
      <c r="S13" s="50"/>
      <c r="T13" s="50"/>
      <c r="U13" s="50"/>
    </row>
    <row r="14" spans="1:21" customFormat="1">
      <c r="A14" s="51" t="s">
        <v>135</v>
      </c>
      <c r="B14" s="52">
        <v>60.11</v>
      </c>
      <c r="C14" s="52">
        <v>53.77</v>
      </c>
      <c r="D14" s="52">
        <v>77.099999999999994</v>
      </c>
      <c r="E14" s="52">
        <v>9.0500000000000007</v>
      </c>
      <c r="F14" s="52">
        <v>3.78</v>
      </c>
      <c r="G14" s="52">
        <v>67.97</v>
      </c>
      <c r="H14" s="52">
        <v>20.94</v>
      </c>
      <c r="I14" s="52">
        <v>6.4</v>
      </c>
      <c r="J14" s="52">
        <v>0.47</v>
      </c>
      <c r="K14" s="52">
        <v>47.33</v>
      </c>
      <c r="L14" s="52">
        <v>22.61</v>
      </c>
      <c r="M14" s="52">
        <v>88.79</v>
      </c>
      <c r="N14" s="52">
        <v>17.100000000000001</v>
      </c>
      <c r="O14" s="52">
        <v>0</v>
      </c>
      <c r="P14" s="52">
        <v>0.72</v>
      </c>
      <c r="Q14" s="52">
        <v>7.75</v>
      </c>
      <c r="R14" s="50"/>
      <c r="S14" s="50"/>
      <c r="T14" s="50"/>
      <c r="U14" s="50"/>
    </row>
    <row r="15" spans="1:21" customFormat="1">
      <c r="A15" s="51" t="s">
        <v>136</v>
      </c>
      <c r="B15" s="52">
        <v>59.92</v>
      </c>
      <c r="C15" s="52">
        <v>59.47</v>
      </c>
      <c r="D15" s="52">
        <v>79.3</v>
      </c>
      <c r="E15" s="52">
        <v>9.02</v>
      </c>
      <c r="F15" s="52">
        <v>3.75</v>
      </c>
      <c r="G15" s="52">
        <v>57.89</v>
      </c>
      <c r="H15" s="52">
        <v>20.94</v>
      </c>
      <c r="I15" s="52">
        <v>6.15</v>
      </c>
      <c r="J15" s="52">
        <v>0.56999999999999995</v>
      </c>
      <c r="K15" s="52">
        <v>63.99</v>
      </c>
      <c r="L15" s="52">
        <v>24.4</v>
      </c>
      <c r="M15" s="52">
        <v>85.08</v>
      </c>
      <c r="N15" s="52">
        <v>81.2</v>
      </c>
      <c r="O15" s="52">
        <v>0</v>
      </c>
      <c r="P15" s="52">
        <v>0.71</v>
      </c>
      <c r="Q15" s="52">
        <v>8.06</v>
      </c>
      <c r="R15" s="50"/>
      <c r="S15" s="50"/>
      <c r="T15" s="50"/>
      <c r="U15" s="50"/>
    </row>
    <row r="16" spans="1:21" customFormat="1">
      <c r="A16" s="51" t="s">
        <v>137</v>
      </c>
      <c r="B16" s="52">
        <v>56.47</v>
      </c>
      <c r="C16" s="52">
        <v>59.57</v>
      </c>
      <c r="D16" s="52">
        <v>77.569999999999993</v>
      </c>
      <c r="E16" s="52">
        <v>9.0299999999999994</v>
      </c>
      <c r="F16" s="52">
        <v>4.01</v>
      </c>
      <c r="G16" s="52">
        <v>54.02</v>
      </c>
      <c r="H16" s="52">
        <v>19.22</v>
      </c>
      <c r="I16" s="52">
        <v>6.06</v>
      </c>
      <c r="J16" s="52">
        <v>0.7</v>
      </c>
      <c r="K16" s="52">
        <v>60.96</v>
      </c>
      <c r="L16" s="52">
        <v>27.54</v>
      </c>
      <c r="M16" s="52">
        <v>75.430000000000007</v>
      </c>
      <c r="N16" s="52">
        <v>73.400000000000006</v>
      </c>
      <c r="O16" s="52">
        <v>0</v>
      </c>
      <c r="P16" s="52">
        <v>0.7</v>
      </c>
      <c r="Q16" s="52">
        <v>7.96</v>
      </c>
      <c r="R16" s="50"/>
      <c r="S16" s="50"/>
      <c r="T16" s="50"/>
      <c r="U16" s="50"/>
    </row>
    <row r="17" spans="1:21" customFormat="1">
      <c r="A17" s="51" t="s">
        <v>138</v>
      </c>
      <c r="B17" s="52">
        <v>50.78</v>
      </c>
      <c r="C17" s="52">
        <v>59.78</v>
      </c>
      <c r="D17" s="52">
        <v>73.31</v>
      </c>
      <c r="E17" s="52">
        <v>8.6</v>
      </c>
      <c r="F17" s="52">
        <v>4.04</v>
      </c>
      <c r="G17" s="52">
        <v>51.83</v>
      </c>
      <c r="H17" s="52">
        <v>17.46</v>
      </c>
      <c r="I17" s="52">
        <v>5.99</v>
      </c>
      <c r="J17" s="52">
        <v>0.75</v>
      </c>
      <c r="K17" s="52">
        <v>290.55</v>
      </c>
      <c r="L17" s="52">
        <v>29.11</v>
      </c>
      <c r="M17" s="52">
        <v>64.94</v>
      </c>
      <c r="N17" s="52">
        <v>243.8</v>
      </c>
      <c r="O17" s="52">
        <v>0</v>
      </c>
      <c r="P17" s="52">
        <v>0.69</v>
      </c>
      <c r="Q17" s="52">
        <v>7.66</v>
      </c>
      <c r="R17" s="50"/>
      <c r="S17" s="50"/>
      <c r="T17" s="50"/>
      <c r="U17" s="50"/>
    </row>
    <row r="18" spans="1:21" customFormat="1">
      <c r="A18" s="51" t="s">
        <v>139</v>
      </c>
      <c r="B18" s="52">
        <v>42.68</v>
      </c>
      <c r="C18" s="52">
        <v>58.98</v>
      </c>
      <c r="D18" s="52">
        <v>65.34</v>
      </c>
      <c r="E18" s="52">
        <v>8.5299999999999994</v>
      </c>
      <c r="F18" s="52">
        <v>4.7699999999999996</v>
      </c>
      <c r="G18" s="52">
        <v>47.01</v>
      </c>
      <c r="H18" s="52">
        <v>14.76</v>
      </c>
      <c r="I18" s="52">
        <v>5.64</v>
      </c>
      <c r="J18" s="52">
        <v>0.73</v>
      </c>
      <c r="K18" s="52">
        <v>351.48</v>
      </c>
      <c r="L18" s="52">
        <v>31.13</v>
      </c>
      <c r="M18" s="52">
        <v>56.11</v>
      </c>
      <c r="N18" s="52">
        <v>316.5</v>
      </c>
      <c r="O18" s="52">
        <v>0</v>
      </c>
      <c r="P18" s="52">
        <v>0.64</v>
      </c>
      <c r="Q18" s="52">
        <v>7.02</v>
      </c>
      <c r="R18" s="50"/>
      <c r="S18" s="50"/>
      <c r="T18" s="50"/>
      <c r="U18" s="50"/>
    </row>
    <row r="19" spans="1:21" customFormat="1">
      <c r="A19" s="51" t="s">
        <v>140</v>
      </c>
      <c r="B19" s="52">
        <v>33.700000000000003</v>
      </c>
      <c r="C19" s="52">
        <v>58.88</v>
      </c>
      <c r="D19" s="52">
        <v>58.04</v>
      </c>
      <c r="E19" s="52">
        <v>8.64</v>
      </c>
      <c r="F19" s="52">
        <v>6.18</v>
      </c>
      <c r="G19" s="52">
        <v>38.72</v>
      </c>
      <c r="H19" s="52">
        <v>14.59</v>
      </c>
      <c r="I19" s="52">
        <v>5.32</v>
      </c>
      <c r="J19" s="52">
        <v>0.65</v>
      </c>
      <c r="K19" s="52">
        <v>262.77999999999997</v>
      </c>
      <c r="L19" s="52">
        <v>32.26</v>
      </c>
      <c r="M19" s="52">
        <v>53.3</v>
      </c>
      <c r="N19" s="52">
        <v>843.5</v>
      </c>
      <c r="O19" s="52">
        <v>0</v>
      </c>
      <c r="P19" s="52">
        <v>0.64</v>
      </c>
      <c r="Q19" s="52">
        <v>6.43</v>
      </c>
      <c r="R19" s="50"/>
      <c r="S19" s="50"/>
      <c r="T19" s="50"/>
      <c r="U19" s="50"/>
    </row>
    <row r="20" spans="1:21" customFormat="1">
      <c r="A20" s="51" t="s">
        <v>141</v>
      </c>
      <c r="B20" s="52">
        <v>21.78</v>
      </c>
      <c r="C20" s="52">
        <v>58.72</v>
      </c>
      <c r="D20" s="52">
        <v>49.5</v>
      </c>
      <c r="E20" s="52">
        <v>8.6199999999999992</v>
      </c>
      <c r="F20" s="52">
        <v>26.04</v>
      </c>
      <c r="G20" s="52">
        <v>41.39</v>
      </c>
      <c r="H20" s="52">
        <v>14.59</v>
      </c>
      <c r="I20" s="52">
        <v>5.14</v>
      </c>
      <c r="J20" s="52">
        <v>1.03</v>
      </c>
      <c r="K20" s="52">
        <v>264.33999999999997</v>
      </c>
      <c r="L20" s="52">
        <v>32.47</v>
      </c>
      <c r="M20" s="52">
        <v>52.64</v>
      </c>
      <c r="N20" s="52">
        <v>952.4</v>
      </c>
      <c r="O20" s="52">
        <v>0</v>
      </c>
      <c r="P20" s="52">
        <v>0.64</v>
      </c>
      <c r="Q20" s="52">
        <v>5.94</v>
      </c>
      <c r="R20" s="50"/>
      <c r="S20" s="50"/>
      <c r="T20" s="50"/>
      <c r="U20" s="50"/>
    </row>
    <row r="21" spans="1:21" customFormat="1">
      <c r="A21" s="51" t="s">
        <v>142</v>
      </c>
      <c r="B21" s="52">
        <v>6.18</v>
      </c>
      <c r="C21" s="52">
        <v>32.99</v>
      </c>
      <c r="D21" s="52">
        <v>23.24</v>
      </c>
      <c r="E21" s="52">
        <v>9.94</v>
      </c>
      <c r="F21" s="52">
        <v>32.049999999999997</v>
      </c>
      <c r="G21" s="52">
        <v>41.39</v>
      </c>
      <c r="H21" s="52">
        <v>14.09</v>
      </c>
      <c r="I21" s="52">
        <v>4.51</v>
      </c>
      <c r="J21" s="52">
        <v>0.7</v>
      </c>
      <c r="K21" s="52">
        <v>262.99</v>
      </c>
      <c r="L21" s="52">
        <v>33.07</v>
      </c>
      <c r="M21" s="52">
        <v>49.53</v>
      </c>
      <c r="N21" s="52">
        <v>927.1</v>
      </c>
      <c r="O21" s="52">
        <v>0</v>
      </c>
      <c r="P21" s="52">
        <v>0.46</v>
      </c>
      <c r="Q21" s="52">
        <v>5</v>
      </c>
      <c r="R21" s="50"/>
      <c r="S21" s="50"/>
      <c r="T21" s="50"/>
      <c r="U21" s="50"/>
    </row>
    <row r="22" spans="1:21" customFormat="1">
      <c r="A22" s="51" t="s">
        <v>143</v>
      </c>
      <c r="B22" s="52">
        <v>4.78</v>
      </c>
      <c r="C22" s="52">
        <v>34.229999999999997</v>
      </c>
      <c r="D22" s="52">
        <v>23.06</v>
      </c>
      <c r="E22" s="52">
        <v>9.56</v>
      </c>
      <c r="F22" s="52">
        <v>25.9</v>
      </c>
      <c r="G22" s="52">
        <v>31.46</v>
      </c>
      <c r="H22" s="52">
        <v>12.68</v>
      </c>
      <c r="I22" s="52">
        <v>3.55</v>
      </c>
      <c r="J22" s="52">
        <v>0.79</v>
      </c>
      <c r="K22" s="52">
        <v>287.66000000000003</v>
      </c>
      <c r="L22" s="52">
        <v>33.909999999999997</v>
      </c>
      <c r="M22" s="52">
        <v>45.63</v>
      </c>
      <c r="N22" s="52">
        <v>840.8</v>
      </c>
      <c r="O22" s="52">
        <v>0</v>
      </c>
      <c r="P22" s="52">
        <v>0.48</v>
      </c>
      <c r="Q22" s="52">
        <v>5</v>
      </c>
      <c r="R22" s="50"/>
      <c r="S22" s="50"/>
      <c r="T22" s="50"/>
      <c r="U22" s="50"/>
    </row>
    <row r="23" spans="1:21" customFormat="1">
      <c r="A23" s="51" t="s">
        <v>144</v>
      </c>
      <c r="B23" s="52">
        <v>3.84</v>
      </c>
      <c r="C23" s="52">
        <v>28.7</v>
      </c>
      <c r="D23" s="52">
        <v>19.37</v>
      </c>
      <c r="E23" s="52">
        <v>13.15</v>
      </c>
      <c r="F23" s="52">
        <v>66.510000000000005</v>
      </c>
      <c r="G23" s="52">
        <v>31.99</v>
      </c>
      <c r="H23" s="52">
        <v>12.54</v>
      </c>
      <c r="I23" s="52">
        <v>4.03</v>
      </c>
      <c r="J23" s="52">
        <v>0.68</v>
      </c>
      <c r="K23" s="52">
        <v>312.3</v>
      </c>
      <c r="L23" s="52">
        <v>34.9</v>
      </c>
      <c r="M23" s="52">
        <v>40.090000000000003</v>
      </c>
      <c r="N23" s="52">
        <v>773.4</v>
      </c>
      <c r="O23" s="52">
        <v>0</v>
      </c>
      <c r="P23" s="52">
        <v>0.51</v>
      </c>
      <c r="Q23" s="52">
        <v>5</v>
      </c>
      <c r="R23" s="50"/>
      <c r="S23" s="50"/>
      <c r="T23" s="50"/>
      <c r="U23" s="50"/>
    </row>
    <row r="24" spans="1:21" customFormat="1">
      <c r="A24" s="51" t="s">
        <v>145</v>
      </c>
      <c r="B24" s="52">
        <v>4.47</v>
      </c>
      <c r="C24" s="52">
        <v>30.69</v>
      </c>
      <c r="D24" s="52">
        <v>20.97</v>
      </c>
      <c r="E24" s="52">
        <v>10.63</v>
      </c>
      <c r="F24" s="52">
        <v>47.49</v>
      </c>
      <c r="G24" s="52">
        <v>31.99</v>
      </c>
      <c r="H24" s="52">
        <v>12.54</v>
      </c>
      <c r="I24" s="52">
        <v>3.58</v>
      </c>
      <c r="J24" s="52">
        <v>0.85</v>
      </c>
      <c r="K24" s="52">
        <v>354.46</v>
      </c>
      <c r="L24" s="52">
        <v>34.72</v>
      </c>
      <c r="M24" s="52">
        <v>35.479999999999997</v>
      </c>
      <c r="N24" s="52">
        <v>646.70000000000005</v>
      </c>
      <c r="O24" s="52">
        <v>0</v>
      </c>
      <c r="P24" s="52">
        <v>0.46</v>
      </c>
      <c r="Q24" s="52">
        <v>5</v>
      </c>
      <c r="R24" s="50"/>
      <c r="S24" s="50"/>
      <c r="T24" s="50"/>
      <c r="U24" s="50"/>
    </row>
    <row r="25" spans="1:21" customFormat="1">
      <c r="A25" s="51" t="s">
        <v>146</v>
      </c>
      <c r="B25" s="52">
        <v>6.49</v>
      </c>
      <c r="C25" s="52">
        <v>46.86</v>
      </c>
      <c r="D25" s="52">
        <v>31.03</v>
      </c>
      <c r="E25" s="52">
        <v>10.83</v>
      </c>
      <c r="F25" s="52">
        <v>20.7</v>
      </c>
      <c r="G25" s="52">
        <v>32.72</v>
      </c>
      <c r="H25" s="52">
        <v>14.39</v>
      </c>
      <c r="I25" s="52">
        <v>3.36</v>
      </c>
      <c r="J25" s="52">
        <v>0.66</v>
      </c>
      <c r="K25" s="52">
        <v>330.5</v>
      </c>
      <c r="L25" s="52">
        <v>34.72</v>
      </c>
      <c r="M25" s="52">
        <v>36.26</v>
      </c>
      <c r="N25" s="52">
        <v>414.4</v>
      </c>
      <c r="O25" s="52">
        <v>0</v>
      </c>
      <c r="P25" s="52">
        <v>0.51</v>
      </c>
      <c r="Q25" s="52">
        <v>5</v>
      </c>
      <c r="R25" s="50"/>
      <c r="S25" s="50"/>
      <c r="T25" s="50"/>
      <c r="U25" s="50"/>
    </row>
    <row r="26" spans="1:21" customFormat="1">
      <c r="A26" s="51" t="s">
        <v>147</v>
      </c>
      <c r="B26" s="52">
        <v>6.98</v>
      </c>
      <c r="C26" s="52">
        <v>51.74</v>
      </c>
      <c r="D26" s="52">
        <v>33.979999999999997</v>
      </c>
      <c r="E26" s="52">
        <v>10.48</v>
      </c>
      <c r="F26" s="52">
        <v>15.2</v>
      </c>
      <c r="G26" s="52">
        <v>44.2</v>
      </c>
      <c r="H26" s="52">
        <v>15.68</v>
      </c>
      <c r="I26" s="52">
        <v>3.76</v>
      </c>
      <c r="J26" s="52">
        <v>0.25</v>
      </c>
      <c r="K26" s="52">
        <v>175.89</v>
      </c>
      <c r="L26" s="52">
        <v>34.340000000000003</v>
      </c>
      <c r="M26" s="52">
        <v>43.7</v>
      </c>
      <c r="N26" s="52">
        <v>156</v>
      </c>
      <c r="O26" s="52">
        <v>0</v>
      </c>
      <c r="P26" s="52">
        <v>0.52</v>
      </c>
      <c r="Q26" s="52">
        <v>4.74</v>
      </c>
      <c r="R26" s="50"/>
      <c r="S26" s="50"/>
      <c r="T26" s="50"/>
      <c r="U26" s="50"/>
    </row>
    <row r="27" spans="1:21" customFormat="1">
      <c r="A27" s="51" t="s">
        <v>148</v>
      </c>
      <c r="B27" s="52">
        <v>8.39</v>
      </c>
      <c r="C27" s="52">
        <v>53.25</v>
      </c>
      <c r="D27" s="52">
        <v>35.909999999999997</v>
      </c>
      <c r="E27" s="52">
        <v>7.35</v>
      </c>
      <c r="F27" s="52">
        <v>11.49</v>
      </c>
      <c r="G27" s="52">
        <v>44.2</v>
      </c>
      <c r="H27" s="52">
        <v>18.23</v>
      </c>
      <c r="I27" s="52">
        <v>3.81</v>
      </c>
      <c r="J27" s="52">
        <v>0.25</v>
      </c>
      <c r="K27" s="52">
        <v>186.91</v>
      </c>
      <c r="L27" s="52">
        <v>31.46</v>
      </c>
      <c r="M27" s="52">
        <v>60.6</v>
      </c>
      <c r="N27" s="52">
        <v>5</v>
      </c>
      <c r="O27" s="52">
        <v>0</v>
      </c>
      <c r="P27" s="52">
        <v>0.53</v>
      </c>
      <c r="Q27" s="52">
        <v>4.74</v>
      </c>
      <c r="R27" s="50"/>
      <c r="S27" s="50"/>
      <c r="T27" s="50"/>
      <c r="U27" s="50"/>
    </row>
    <row r="28" spans="1:21" customFormat="1">
      <c r="A28" s="51" t="s">
        <v>149</v>
      </c>
      <c r="B28" s="52">
        <v>10.14</v>
      </c>
      <c r="C28" s="52">
        <v>53.22</v>
      </c>
      <c r="D28" s="52">
        <v>37.26</v>
      </c>
      <c r="E28" s="52">
        <v>7.15</v>
      </c>
      <c r="F28" s="52">
        <v>6.94</v>
      </c>
      <c r="G28" s="52">
        <v>39.25</v>
      </c>
      <c r="H28" s="52">
        <v>18.23</v>
      </c>
      <c r="I28" s="52">
        <v>4.1399999999999997</v>
      </c>
      <c r="J28" s="52">
        <v>0.22</v>
      </c>
      <c r="K28" s="52">
        <v>167.71</v>
      </c>
      <c r="L28" s="52">
        <v>29.09</v>
      </c>
      <c r="M28" s="52">
        <v>68.2</v>
      </c>
      <c r="N28" s="52">
        <v>0</v>
      </c>
      <c r="O28" s="52">
        <v>0</v>
      </c>
      <c r="P28" s="52">
        <v>0.57999999999999996</v>
      </c>
      <c r="Q28" s="52">
        <v>4.88</v>
      </c>
      <c r="R28" s="50"/>
      <c r="S28" s="50"/>
      <c r="T28" s="50"/>
      <c r="U28" s="50"/>
    </row>
    <row r="29" spans="1:21" customFormat="1">
      <c r="A29" s="51" t="s">
        <v>150</v>
      </c>
      <c r="B29" s="52">
        <v>12.74</v>
      </c>
      <c r="C29" s="52">
        <v>54.33</v>
      </c>
      <c r="D29" s="52">
        <v>39.880000000000003</v>
      </c>
      <c r="E29" s="52">
        <v>7.03</v>
      </c>
      <c r="F29" s="52">
        <v>6.07</v>
      </c>
      <c r="G29" s="52">
        <v>41.08</v>
      </c>
      <c r="H29" s="52">
        <v>14.35</v>
      </c>
      <c r="I29" s="52">
        <v>4.7300000000000004</v>
      </c>
      <c r="J29" s="52">
        <v>0.25</v>
      </c>
      <c r="K29" s="52">
        <v>180.12</v>
      </c>
      <c r="L29" s="52">
        <v>28.29</v>
      </c>
      <c r="M29" s="52">
        <v>72.87</v>
      </c>
      <c r="N29" s="52">
        <v>0</v>
      </c>
      <c r="O29" s="52">
        <v>0</v>
      </c>
      <c r="P29" s="52">
        <v>0.62</v>
      </c>
      <c r="Q29" s="52">
        <v>5.07</v>
      </c>
      <c r="R29" s="50"/>
      <c r="S29" s="50"/>
      <c r="T29" s="50"/>
      <c r="U29" s="50"/>
    </row>
    <row r="30" spans="1:21" customFormat="1">
      <c r="A30" s="51" t="s">
        <v>151</v>
      </c>
      <c r="B30" s="52">
        <v>13.91</v>
      </c>
      <c r="C30" s="52">
        <v>45.23</v>
      </c>
      <c r="D30" s="52">
        <v>36.11</v>
      </c>
      <c r="E30" s="52">
        <v>7.84</v>
      </c>
      <c r="F30" s="52">
        <v>12.2</v>
      </c>
      <c r="G30" s="52">
        <v>41.08</v>
      </c>
      <c r="H30" s="52">
        <v>16.48</v>
      </c>
      <c r="I30" s="52">
        <v>5.15</v>
      </c>
      <c r="J30" s="52">
        <v>0.17</v>
      </c>
      <c r="K30" s="52">
        <v>236.61</v>
      </c>
      <c r="L30" s="52">
        <v>27.54</v>
      </c>
      <c r="M30" s="52">
        <v>75.28</v>
      </c>
      <c r="N30" s="52">
        <v>0</v>
      </c>
      <c r="O30" s="52">
        <v>0</v>
      </c>
      <c r="P30" s="52">
        <v>0.63</v>
      </c>
      <c r="Q30" s="52">
        <v>4.96</v>
      </c>
      <c r="R30" s="50"/>
      <c r="S30" s="50"/>
      <c r="T30" s="50"/>
      <c r="U30" s="50"/>
    </row>
    <row r="31" spans="1:21" customFormat="1">
      <c r="A31" s="51" t="s">
        <v>152</v>
      </c>
      <c r="B31" s="52">
        <v>23.85</v>
      </c>
      <c r="C31" s="52">
        <v>47.9</v>
      </c>
      <c r="D31" s="52">
        <v>45.29</v>
      </c>
      <c r="E31" s="52">
        <v>7.99</v>
      </c>
      <c r="F31" s="52">
        <v>11.59</v>
      </c>
      <c r="G31" s="52">
        <v>40.53</v>
      </c>
      <c r="H31" s="52">
        <v>20.67</v>
      </c>
      <c r="I31" s="52">
        <v>5.75</v>
      </c>
      <c r="J31" s="52">
        <v>0.72</v>
      </c>
      <c r="K31" s="52">
        <v>297.52999999999997</v>
      </c>
      <c r="L31" s="52">
        <v>28.83</v>
      </c>
      <c r="M31" s="52">
        <v>68.17</v>
      </c>
      <c r="N31" s="52">
        <v>0</v>
      </c>
      <c r="O31" s="52">
        <v>0</v>
      </c>
      <c r="P31" s="52">
        <v>0.76</v>
      </c>
      <c r="Q31" s="52">
        <v>5.07</v>
      </c>
      <c r="R31" s="50"/>
      <c r="S31" s="50"/>
      <c r="T31" s="50"/>
      <c r="U31" s="50"/>
    </row>
    <row r="32" spans="1:21" customFormat="1">
      <c r="A32" s="51" t="s">
        <v>153</v>
      </c>
      <c r="B32" s="52">
        <v>25.73</v>
      </c>
      <c r="C32" s="52">
        <v>50.97</v>
      </c>
      <c r="D32" s="52">
        <v>48.48</v>
      </c>
      <c r="E32" s="52">
        <v>10.39</v>
      </c>
      <c r="F32" s="52">
        <v>5.86</v>
      </c>
      <c r="G32" s="52">
        <v>62.09</v>
      </c>
      <c r="H32" s="52">
        <v>22.65</v>
      </c>
      <c r="I32" s="52">
        <v>6.88</v>
      </c>
      <c r="J32" s="52">
        <v>0.24</v>
      </c>
      <c r="K32" s="52">
        <v>60.56</v>
      </c>
      <c r="L32" s="52">
        <v>28.41</v>
      </c>
      <c r="M32" s="52">
        <v>64.52</v>
      </c>
      <c r="N32" s="52">
        <v>0</v>
      </c>
      <c r="O32" s="52">
        <v>0</v>
      </c>
      <c r="P32" s="52">
        <v>0.78</v>
      </c>
      <c r="Q32" s="52">
        <v>5.59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3.84</v>
      </c>
      <c r="C34" s="41">
        <f t="shared" si="0"/>
        <v>28.7</v>
      </c>
      <c r="D34" s="41">
        <f t="shared" si="0"/>
        <v>19.37</v>
      </c>
      <c r="E34" s="41">
        <f t="shared" si="0"/>
        <v>7.03</v>
      </c>
      <c r="F34" s="41">
        <f t="shared" si="0"/>
        <v>3.64</v>
      </c>
      <c r="G34" s="41">
        <f t="shared" si="0"/>
        <v>31.46</v>
      </c>
      <c r="H34" s="41">
        <f t="shared" si="0"/>
        <v>12.54</v>
      </c>
      <c r="I34" s="41">
        <f t="shared" si="0"/>
        <v>3.36</v>
      </c>
      <c r="J34" s="41">
        <f t="shared" si="0"/>
        <v>0.17</v>
      </c>
      <c r="K34" s="41">
        <f t="shared" si="0"/>
        <v>47.33</v>
      </c>
      <c r="L34" s="41">
        <f t="shared" si="0"/>
        <v>22.61</v>
      </c>
      <c r="M34" s="41">
        <f t="shared" si="0"/>
        <v>35.479999999999997</v>
      </c>
      <c r="N34" s="41">
        <f t="shared" si="0"/>
        <v>0</v>
      </c>
      <c r="O34" s="41">
        <f t="shared" si="0"/>
        <v>0</v>
      </c>
      <c r="P34" s="41">
        <f t="shared" si="0"/>
        <v>0.46</v>
      </c>
      <c r="Q34" s="41">
        <f t="shared" si="0"/>
        <v>4.74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60.11</v>
      </c>
      <c r="C35" s="33">
        <f t="shared" si="1"/>
        <v>59.78</v>
      </c>
      <c r="D35" s="33">
        <f t="shared" si="1"/>
        <v>79.3</v>
      </c>
      <c r="E35" s="33">
        <f t="shared" si="1"/>
        <v>13.15</v>
      </c>
      <c r="F35" s="33">
        <f t="shared" si="1"/>
        <v>66.510000000000005</v>
      </c>
      <c r="G35" s="33">
        <f t="shared" si="1"/>
        <v>67.97</v>
      </c>
      <c r="H35" s="33">
        <f t="shared" si="1"/>
        <v>22.65</v>
      </c>
      <c r="I35" s="33">
        <f t="shared" si="1"/>
        <v>6.88</v>
      </c>
      <c r="J35" s="33">
        <f t="shared" si="1"/>
        <v>1.03</v>
      </c>
      <c r="K35" s="33">
        <f t="shared" si="1"/>
        <v>356.31</v>
      </c>
      <c r="L35" s="33">
        <f t="shared" si="1"/>
        <v>34.9</v>
      </c>
      <c r="M35" s="33">
        <f t="shared" si="1"/>
        <v>92.93</v>
      </c>
      <c r="N35" s="33">
        <f t="shared" si="1"/>
        <v>952.4</v>
      </c>
      <c r="O35" s="33">
        <f t="shared" si="1"/>
        <v>0</v>
      </c>
      <c r="P35" s="33">
        <f t="shared" si="1"/>
        <v>0.78</v>
      </c>
      <c r="Q35" s="33">
        <f t="shared" si="1"/>
        <v>8.06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30.517083333333332</v>
      </c>
      <c r="C36" s="41">
        <f t="shared" si="2"/>
        <v>50.740416666666682</v>
      </c>
      <c r="D36" s="41">
        <f t="shared" si="2"/>
        <v>51.93333333333333</v>
      </c>
      <c r="E36" s="41">
        <f t="shared" si="2"/>
        <v>9.0341666666666658</v>
      </c>
      <c r="F36" s="41">
        <f t="shared" si="2"/>
        <v>13.919166666666664</v>
      </c>
      <c r="G36" s="41">
        <f t="shared" si="2"/>
        <v>47.644583333333337</v>
      </c>
      <c r="H36" s="41">
        <f t="shared" si="2"/>
        <v>17.142083333333339</v>
      </c>
      <c r="I36" s="41">
        <f t="shared" si="2"/>
        <v>5.1870833333333337</v>
      </c>
      <c r="J36" s="41">
        <f t="shared" si="2"/>
        <v>0.52583333333333349</v>
      </c>
      <c r="K36" s="41">
        <f t="shared" si="2"/>
        <v>205.54374999999996</v>
      </c>
      <c r="L36" s="41">
        <f t="shared" si="2"/>
        <v>28.955416666666668</v>
      </c>
      <c r="M36" s="41">
        <f t="shared" si="2"/>
        <v>66.061666666666682</v>
      </c>
      <c r="N36" s="41">
        <f t="shared" si="2"/>
        <v>262.13749999999999</v>
      </c>
      <c r="O36" s="41">
        <f t="shared" si="2"/>
        <v>0</v>
      </c>
      <c r="P36" s="41">
        <f t="shared" si="2"/>
        <v>0.63791666666666669</v>
      </c>
      <c r="Q36" s="41">
        <f t="shared" si="2"/>
        <v>6.2041666666666657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22.526579948289228</v>
      </c>
      <c r="C37" s="41">
        <f t="shared" ref="C37:Q37" si="3">STDEV(C9:C32)</f>
        <v>9.6436654041673506</v>
      </c>
      <c r="D37" s="41">
        <f t="shared" si="3"/>
        <v>21.469755403857061</v>
      </c>
      <c r="E37" s="41">
        <f t="shared" si="3"/>
        <v>1.370791319121816</v>
      </c>
      <c r="F37" s="41">
        <f t="shared" si="3"/>
        <v>15.875932815227687</v>
      </c>
      <c r="G37" s="41">
        <f t="shared" si="3"/>
        <v>11.669158152701266</v>
      </c>
      <c r="H37" s="41">
        <f t="shared" si="3"/>
        <v>3.2267590136054181</v>
      </c>
      <c r="I37" s="41">
        <f t="shared" si="3"/>
        <v>1.1007328750967855</v>
      </c>
      <c r="J37" s="41">
        <f t="shared" si="3"/>
        <v>0.24836713124738916</v>
      </c>
      <c r="K37" s="41">
        <f t="shared" si="3"/>
        <v>108.58798763785586</v>
      </c>
      <c r="L37" s="41">
        <f t="shared" si="3"/>
        <v>4.3579312794297254</v>
      </c>
      <c r="M37" s="41">
        <f t="shared" si="3"/>
        <v>18.761540139492727</v>
      </c>
      <c r="N37" s="41">
        <f t="shared" si="3"/>
        <v>356.32010012066405</v>
      </c>
      <c r="O37" s="41">
        <f t="shared" si="3"/>
        <v>0</v>
      </c>
      <c r="P37" s="41">
        <f t="shared" si="3"/>
        <v>0.10689202868830519</v>
      </c>
      <c r="Q37" s="41">
        <f t="shared" si="3"/>
        <v>1.3098586603694791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154</v>
      </c>
      <c r="B9" s="52">
        <v>28.81</v>
      </c>
      <c r="C9" s="52">
        <v>51.36</v>
      </c>
      <c r="D9" s="52">
        <v>51.26</v>
      </c>
      <c r="E9" s="52">
        <v>9.76</v>
      </c>
      <c r="F9" s="52">
        <v>5.33</v>
      </c>
      <c r="G9" s="52">
        <v>67.58</v>
      </c>
      <c r="H9" s="52">
        <v>25.54</v>
      </c>
      <c r="I9" s="52">
        <v>7.7</v>
      </c>
      <c r="J9" s="52">
        <v>0.41</v>
      </c>
      <c r="K9" s="52">
        <v>49.87</v>
      </c>
      <c r="L9" s="52">
        <v>27.19</v>
      </c>
      <c r="M9" s="52">
        <v>67.8</v>
      </c>
      <c r="N9" s="52">
        <v>0</v>
      </c>
      <c r="O9" s="52">
        <v>0</v>
      </c>
      <c r="P9" s="52">
        <v>0.73</v>
      </c>
      <c r="Q9" s="52">
        <v>5.87</v>
      </c>
      <c r="R9" s="50"/>
      <c r="S9" s="50"/>
      <c r="T9" s="50"/>
      <c r="U9" s="50"/>
    </row>
    <row r="10" spans="1:21" customFormat="1">
      <c r="A10" s="51" t="s">
        <v>155</v>
      </c>
      <c r="B10" s="52">
        <v>35.090000000000003</v>
      </c>
      <c r="C10" s="52">
        <v>53.54</v>
      </c>
      <c r="D10" s="52">
        <v>56.65</v>
      </c>
      <c r="E10" s="52">
        <v>9.11</v>
      </c>
      <c r="F10" s="52">
        <v>4.3600000000000003</v>
      </c>
      <c r="G10" s="52">
        <v>67.650000000000006</v>
      </c>
      <c r="H10" s="52">
        <v>25.54</v>
      </c>
      <c r="I10" s="52">
        <v>7.13</v>
      </c>
      <c r="J10" s="52">
        <v>0.28000000000000003</v>
      </c>
      <c r="K10" s="52">
        <v>356.67</v>
      </c>
      <c r="L10" s="52">
        <v>26.54</v>
      </c>
      <c r="M10" s="52">
        <v>76.75</v>
      </c>
      <c r="N10" s="52">
        <v>0</v>
      </c>
      <c r="O10" s="52">
        <v>0</v>
      </c>
      <c r="P10" s="52">
        <v>0.76</v>
      </c>
      <c r="Q10" s="52">
        <v>6.28</v>
      </c>
      <c r="R10" s="50"/>
      <c r="S10" s="50"/>
      <c r="T10" s="50"/>
      <c r="U10" s="50"/>
    </row>
    <row r="11" spans="1:21" customFormat="1">
      <c r="A11" s="51" t="s">
        <v>156</v>
      </c>
      <c r="B11" s="52">
        <v>34.44</v>
      </c>
      <c r="C11" s="52">
        <v>54.08</v>
      </c>
      <c r="D11" s="52">
        <v>57.18</v>
      </c>
      <c r="E11" s="52">
        <v>8.2899999999999991</v>
      </c>
      <c r="F11" s="52">
        <v>3.81</v>
      </c>
      <c r="G11" s="52">
        <v>67.650000000000006</v>
      </c>
      <c r="H11" s="52">
        <v>27.08</v>
      </c>
      <c r="I11" s="52">
        <v>7.48</v>
      </c>
      <c r="J11" s="52">
        <v>0.22</v>
      </c>
      <c r="K11" s="52">
        <v>223.76</v>
      </c>
      <c r="L11" s="52">
        <v>25.06</v>
      </c>
      <c r="M11" s="52">
        <v>82.29</v>
      </c>
      <c r="N11" s="52">
        <v>0</v>
      </c>
      <c r="O11" s="52">
        <v>0</v>
      </c>
      <c r="P11" s="52">
        <v>0.77</v>
      </c>
      <c r="Q11" s="52">
        <v>6.45</v>
      </c>
      <c r="R11" s="50"/>
      <c r="S11" s="50"/>
      <c r="T11" s="50"/>
      <c r="U11" s="50"/>
    </row>
    <row r="12" spans="1:21" customFormat="1">
      <c r="A12" s="51" t="s">
        <v>157</v>
      </c>
      <c r="B12" s="52">
        <v>37.32</v>
      </c>
      <c r="C12" s="52">
        <v>53.82</v>
      </c>
      <c r="D12" s="52">
        <v>59.36</v>
      </c>
      <c r="E12" s="52">
        <v>7.92</v>
      </c>
      <c r="F12" s="52">
        <v>3.71</v>
      </c>
      <c r="G12" s="52">
        <v>65.7</v>
      </c>
      <c r="H12" s="52">
        <v>27.08</v>
      </c>
      <c r="I12" s="52">
        <v>8.64</v>
      </c>
      <c r="J12" s="52">
        <v>0.27</v>
      </c>
      <c r="K12" s="52">
        <v>188.51</v>
      </c>
      <c r="L12" s="52">
        <v>24.75</v>
      </c>
      <c r="M12" s="52">
        <v>85.3</v>
      </c>
      <c r="N12" s="52">
        <v>0</v>
      </c>
      <c r="O12" s="52">
        <v>0</v>
      </c>
      <c r="P12" s="52">
        <v>0.75</v>
      </c>
      <c r="Q12" s="52">
        <v>6.58</v>
      </c>
      <c r="R12" s="50"/>
      <c r="S12" s="50"/>
      <c r="T12" s="50"/>
      <c r="U12" s="50"/>
    </row>
    <row r="13" spans="1:21" customFormat="1">
      <c r="A13" s="51" t="s">
        <v>158</v>
      </c>
      <c r="B13" s="52">
        <v>44.13</v>
      </c>
      <c r="C13" s="52">
        <v>54.18</v>
      </c>
      <c r="D13" s="52">
        <v>64.819999999999993</v>
      </c>
      <c r="E13" s="52">
        <v>7.9</v>
      </c>
      <c r="F13" s="52">
        <v>3.75</v>
      </c>
      <c r="G13" s="52">
        <v>65.7</v>
      </c>
      <c r="H13" s="52">
        <v>25.16</v>
      </c>
      <c r="I13" s="52">
        <v>9.76</v>
      </c>
      <c r="J13" s="52">
        <v>0.28000000000000003</v>
      </c>
      <c r="K13" s="52">
        <v>172</v>
      </c>
      <c r="L13" s="52">
        <v>24.65</v>
      </c>
      <c r="M13" s="52">
        <v>83.78</v>
      </c>
      <c r="N13" s="52">
        <v>0</v>
      </c>
      <c r="O13" s="52">
        <v>0</v>
      </c>
      <c r="P13" s="52">
        <v>0.74</v>
      </c>
      <c r="Q13" s="52">
        <v>6.99</v>
      </c>
      <c r="R13" s="50"/>
      <c r="S13" s="50"/>
      <c r="T13" s="50"/>
      <c r="U13" s="50"/>
    </row>
    <row r="14" spans="1:21" customFormat="1">
      <c r="A14" s="51" t="s">
        <v>159</v>
      </c>
      <c r="B14" s="52">
        <v>47.09</v>
      </c>
      <c r="C14" s="52">
        <v>54.05</v>
      </c>
      <c r="D14" s="52">
        <v>66.760000000000005</v>
      </c>
      <c r="E14" s="52">
        <v>7.76</v>
      </c>
      <c r="F14" s="52">
        <v>3.73</v>
      </c>
      <c r="G14" s="52">
        <v>65.459999999999994</v>
      </c>
      <c r="H14" s="52">
        <v>22.35</v>
      </c>
      <c r="I14" s="52">
        <v>9.82</v>
      </c>
      <c r="J14" s="52">
        <v>0.25</v>
      </c>
      <c r="K14" s="52">
        <v>176.55</v>
      </c>
      <c r="L14" s="52">
        <v>24.64</v>
      </c>
      <c r="M14" s="52">
        <v>84.1</v>
      </c>
      <c r="N14" s="52">
        <v>17.7</v>
      </c>
      <c r="O14" s="52">
        <v>0</v>
      </c>
      <c r="P14" s="52">
        <v>0.72</v>
      </c>
      <c r="Q14" s="52">
        <v>7.12</v>
      </c>
      <c r="R14" s="50"/>
      <c r="S14" s="50"/>
      <c r="T14" s="50"/>
      <c r="U14" s="50"/>
    </row>
    <row r="15" spans="1:21" customFormat="1">
      <c r="A15" s="51" t="s">
        <v>160</v>
      </c>
      <c r="B15" s="52">
        <v>50.44</v>
      </c>
      <c r="C15" s="52">
        <v>55.67</v>
      </c>
      <c r="D15" s="52">
        <v>70.010000000000005</v>
      </c>
      <c r="E15" s="52">
        <v>7.95</v>
      </c>
      <c r="F15" s="52">
        <v>4.03</v>
      </c>
      <c r="G15" s="52">
        <v>71.930000000000007</v>
      </c>
      <c r="H15" s="52">
        <v>29.14</v>
      </c>
      <c r="I15" s="52">
        <v>9.6199999999999992</v>
      </c>
      <c r="J15" s="52">
        <v>0.35</v>
      </c>
      <c r="K15" s="52">
        <v>335.38</v>
      </c>
      <c r="L15" s="52">
        <v>26.27</v>
      </c>
      <c r="M15" s="52">
        <v>76.739999999999995</v>
      </c>
      <c r="N15" s="52">
        <v>57.5</v>
      </c>
      <c r="O15" s="52">
        <v>0</v>
      </c>
      <c r="P15" s="52">
        <v>0.76</v>
      </c>
      <c r="Q15" s="52">
        <v>7.36</v>
      </c>
      <c r="R15" s="50"/>
      <c r="S15" s="50"/>
      <c r="T15" s="50"/>
      <c r="U15" s="50"/>
    </row>
    <row r="16" spans="1:21" customFormat="1">
      <c r="A16" s="51" t="s">
        <v>161</v>
      </c>
      <c r="B16" s="52">
        <v>49.53</v>
      </c>
      <c r="C16" s="52">
        <v>51.78</v>
      </c>
      <c r="D16" s="52">
        <v>67.91</v>
      </c>
      <c r="E16" s="52">
        <v>9.34</v>
      </c>
      <c r="F16" s="52">
        <v>6.65</v>
      </c>
      <c r="G16" s="52">
        <v>88.43</v>
      </c>
      <c r="H16" s="52">
        <v>32.89</v>
      </c>
      <c r="I16" s="52">
        <v>9.7100000000000009</v>
      </c>
      <c r="J16" s="52">
        <v>0.55000000000000004</v>
      </c>
      <c r="K16" s="52">
        <v>322.88</v>
      </c>
      <c r="L16" s="52">
        <v>29.04</v>
      </c>
      <c r="M16" s="52">
        <v>67.13</v>
      </c>
      <c r="N16" s="52">
        <v>101</v>
      </c>
      <c r="O16" s="52">
        <v>0</v>
      </c>
      <c r="P16" s="52">
        <v>0.76</v>
      </c>
      <c r="Q16" s="52">
        <v>7.2</v>
      </c>
      <c r="R16" s="50"/>
      <c r="S16" s="50"/>
      <c r="T16" s="50"/>
      <c r="U16" s="50"/>
    </row>
    <row r="17" spans="1:21" customFormat="1">
      <c r="A17" s="51" t="s">
        <v>162</v>
      </c>
      <c r="B17" s="52">
        <v>46.51</v>
      </c>
      <c r="C17" s="52">
        <v>51.18</v>
      </c>
      <c r="D17" s="52">
        <v>64.5</v>
      </c>
      <c r="E17" s="52">
        <v>16.84</v>
      </c>
      <c r="F17" s="52">
        <v>11.23</v>
      </c>
      <c r="G17" s="52">
        <v>92.31</v>
      </c>
      <c r="H17" s="52">
        <v>37.81</v>
      </c>
      <c r="I17" s="52">
        <v>9.39</v>
      </c>
      <c r="J17" s="52">
        <v>0.56999999999999995</v>
      </c>
      <c r="K17" s="52">
        <v>352.54</v>
      </c>
      <c r="L17" s="52">
        <v>31.24</v>
      </c>
      <c r="M17" s="52">
        <v>56.5</v>
      </c>
      <c r="N17" s="52">
        <v>221.8</v>
      </c>
      <c r="O17" s="52">
        <v>0</v>
      </c>
      <c r="P17" s="52">
        <v>0.81</v>
      </c>
      <c r="Q17" s="52">
        <v>7.11</v>
      </c>
      <c r="R17" s="50"/>
      <c r="S17" s="50"/>
      <c r="T17" s="50"/>
      <c r="U17" s="50"/>
    </row>
    <row r="18" spans="1:21" customFormat="1">
      <c r="A18" s="51" t="s">
        <v>163</v>
      </c>
      <c r="B18" s="52">
        <v>42.43</v>
      </c>
      <c r="C18" s="52">
        <v>52.16</v>
      </c>
      <c r="D18" s="52">
        <v>62.63</v>
      </c>
      <c r="E18" s="52">
        <v>23.34</v>
      </c>
      <c r="F18" s="52">
        <v>10.53</v>
      </c>
      <c r="G18" s="52">
        <v>108.72</v>
      </c>
      <c r="H18" s="52">
        <v>43.94</v>
      </c>
      <c r="I18" s="52">
        <v>9.69</v>
      </c>
      <c r="J18" s="52">
        <v>0.87</v>
      </c>
      <c r="K18" s="52">
        <v>317.63</v>
      </c>
      <c r="L18" s="52">
        <v>32.46</v>
      </c>
      <c r="M18" s="52">
        <v>51.46</v>
      </c>
      <c r="N18" s="52">
        <v>332.2</v>
      </c>
      <c r="O18" s="52">
        <v>0</v>
      </c>
      <c r="P18" s="52">
        <v>0.84</v>
      </c>
      <c r="Q18" s="52">
        <v>6.76</v>
      </c>
      <c r="R18" s="50"/>
      <c r="S18" s="50"/>
      <c r="T18" s="50"/>
      <c r="U18" s="50"/>
    </row>
    <row r="19" spans="1:21" customFormat="1">
      <c r="A19" s="51" t="s">
        <v>164</v>
      </c>
      <c r="B19" s="52">
        <v>34.61</v>
      </c>
      <c r="C19" s="52">
        <v>49.9</v>
      </c>
      <c r="D19" s="52">
        <v>53.69</v>
      </c>
      <c r="E19" s="52">
        <v>29.52</v>
      </c>
      <c r="F19" s="52">
        <v>16.7</v>
      </c>
      <c r="G19" s="52">
        <v>114.63</v>
      </c>
      <c r="H19" s="52">
        <v>43.94</v>
      </c>
      <c r="I19" s="52">
        <v>9.25</v>
      </c>
      <c r="J19" s="52">
        <v>0.76</v>
      </c>
      <c r="K19" s="52">
        <v>321.02999999999997</v>
      </c>
      <c r="L19" s="52">
        <v>33.61</v>
      </c>
      <c r="M19" s="52">
        <v>48.26</v>
      </c>
      <c r="N19" s="52">
        <v>695.1</v>
      </c>
      <c r="O19" s="52">
        <v>0</v>
      </c>
      <c r="P19" s="52">
        <v>0.84</v>
      </c>
      <c r="Q19" s="52">
        <v>6.33</v>
      </c>
      <c r="R19" s="50"/>
      <c r="S19" s="50"/>
      <c r="T19" s="50"/>
      <c r="U19" s="50"/>
    </row>
    <row r="20" spans="1:21" customFormat="1">
      <c r="A20" s="51" t="s">
        <v>165</v>
      </c>
      <c r="B20" s="52">
        <v>28.66</v>
      </c>
      <c r="C20" s="52">
        <v>55.69</v>
      </c>
      <c r="D20" s="52">
        <v>50.23</v>
      </c>
      <c r="E20" s="52">
        <v>18.14</v>
      </c>
      <c r="F20" s="52">
        <v>14.08</v>
      </c>
      <c r="G20" s="52">
        <v>114.63</v>
      </c>
      <c r="H20" s="52">
        <v>40.14</v>
      </c>
      <c r="I20" s="52">
        <v>8.5</v>
      </c>
      <c r="J20" s="52">
        <v>1.4</v>
      </c>
      <c r="K20" s="52">
        <v>323.47000000000003</v>
      </c>
      <c r="L20" s="52">
        <v>34.229999999999997</v>
      </c>
      <c r="M20" s="52">
        <v>42.58</v>
      </c>
      <c r="N20" s="52">
        <v>873.2</v>
      </c>
      <c r="O20" s="52">
        <v>0</v>
      </c>
      <c r="P20" s="52">
        <v>0.81</v>
      </c>
      <c r="Q20" s="52">
        <v>6.07</v>
      </c>
      <c r="R20" s="50"/>
      <c r="S20" s="50"/>
      <c r="T20" s="50"/>
      <c r="U20" s="50"/>
    </row>
    <row r="21" spans="1:21" customFormat="1">
      <c r="A21" s="51" t="s">
        <v>166</v>
      </c>
      <c r="B21" s="52">
        <v>22.47</v>
      </c>
      <c r="C21" s="52">
        <v>56.07</v>
      </c>
      <c r="D21" s="52">
        <v>47.54</v>
      </c>
      <c r="E21" s="52">
        <v>12</v>
      </c>
      <c r="F21" s="52">
        <v>9.7200000000000006</v>
      </c>
      <c r="G21" s="52">
        <v>89.19</v>
      </c>
      <c r="H21" s="52">
        <v>35.479999999999997</v>
      </c>
      <c r="I21" s="52">
        <v>7.8</v>
      </c>
      <c r="J21" s="52">
        <v>1.3</v>
      </c>
      <c r="K21" s="52">
        <v>307.12</v>
      </c>
      <c r="L21" s="52">
        <v>34.9</v>
      </c>
      <c r="M21" s="52">
        <v>40.69</v>
      </c>
      <c r="N21" s="52">
        <v>927.6</v>
      </c>
      <c r="O21" s="52">
        <v>0</v>
      </c>
      <c r="P21" s="52">
        <v>0.76</v>
      </c>
      <c r="Q21" s="52">
        <v>5.67</v>
      </c>
      <c r="R21" s="50"/>
      <c r="S21" s="50"/>
      <c r="T21" s="50"/>
      <c r="U21" s="50"/>
    </row>
    <row r="22" spans="1:21" customFormat="1">
      <c r="A22" s="51" t="s">
        <v>167</v>
      </c>
      <c r="B22" s="52">
        <v>15.97</v>
      </c>
      <c r="C22" s="52">
        <v>56.71</v>
      </c>
      <c r="D22" s="52">
        <v>43.79</v>
      </c>
      <c r="E22" s="52">
        <v>9.5399999999999991</v>
      </c>
      <c r="F22" s="52">
        <v>10.31</v>
      </c>
      <c r="G22" s="52">
        <v>68.510000000000005</v>
      </c>
      <c r="H22" s="52">
        <v>29.43</v>
      </c>
      <c r="I22" s="52">
        <v>7.03</v>
      </c>
      <c r="J22" s="52">
        <v>1.41</v>
      </c>
      <c r="K22" s="52">
        <v>306.61</v>
      </c>
      <c r="L22" s="52">
        <v>35.96</v>
      </c>
      <c r="M22" s="52">
        <v>37.44</v>
      </c>
      <c r="N22" s="52">
        <v>852.7</v>
      </c>
      <c r="O22" s="52">
        <v>0</v>
      </c>
      <c r="P22" s="52">
        <v>0.68</v>
      </c>
      <c r="Q22" s="52">
        <v>5.4</v>
      </c>
      <c r="R22" s="50"/>
      <c r="S22" s="50"/>
      <c r="T22" s="50"/>
      <c r="U22" s="50"/>
    </row>
    <row r="23" spans="1:21" customFormat="1">
      <c r="A23" s="51" t="s">
        <v>168</v>
      </c>
      <c r="B23" s="52">
        <v>11.93</v>
      </c>
      <c r="C23" s="52">
        <v>52.64</v>
      </c>
      <c r="D23" s="52">
        <v>38.42</v>
      </c>
      <c r="E23" s="52">
        <v>8.4600000000000009</v>
      </c>
      <c r="F23" s="52">
        <v>10.69</v>
      </c>
      <c r="G23" s="52">
        <v>47.88</v>
      </c>
      <c r="H23" s="52">
        <v>23.3</v>
      </c>
      <c r="I23" s="52">
        <v>6.22</v>
      </c>
      <c r="J23" s="52">
        <v>1.1299999999999999</v>
      </c>
      <c r="K23" s="52">
        <v>313.77999999999997</v>
      </c>
      <c r="L23" s="52">
        <v>35.72</v>
      </c>
      <c r="M23" s="52">
        <v>36.840000000000003</v>
      </c>
      <c r="N23" s="52">
        <v>723.4</v>
      </c>
      <c r="O23" s="52">
        <v>0</v>
      </c>
      <c r="P23" s="52">
        <v>0.59</v>
      </c>
      <c r="Q23" s="52">
        <v>5.01</v>
      </c>
      <c r="R23" s="50"/>
      <c r="S23" s="50"/>
      <c r="T23" s="50"/>
      <c r="U23" s="50"/>
    </row>
    <row r="24" spans="1:21" customFormat="1">
      <c r="A24" s="51" t="s">
        <v>169</v>
      </c>
      <c r="B24" s="52">
        <v>10.02</v>
      </c>
      <c r="C24" s="52">
        <v>52.19</v>
      </c>
      <c r="D24" s="52">
        <v>36.31</v>
      </c>
      <c r="E24" s="52">
        <v>7.75</v>
      </c>
      <c r="F24" s="52">
        <v>16</v>
      </c>
      <c r="G24" s="52">
        <v>37.369999999999997</v>
      </c>
      <c r="H24" s="52">
        <v>21.31</v>
      </c>
      <c r="I24" s="52">
        <v>5.36</v>
      </c>
      <c r="J24" s="52">
        <v>1.1299999999999999</v>
      </c>
      <c r="K24" s="52">
        <v>354.71</v>
      </c>
      <c r="L24" s="52">
        <v>35.29</v>
      </c>
      <c r="M24" s="52">
        <v>38.229999999999997</v>
      </c>
      <c r="N24" s="52">
        <v>307.39999999999998</v>
      </c>
      <c r="O24" s="52">
        <v>0</v>
      </c>
      <c r="P24" s="52">
        <v>0.56000000000000005</v>
      </c>
      <c r="Q24" s="52">
        <v>4.79</v>
      </c>
      <c r="R24" s="50"/>
      <c r="S24" s="50"/>
      <c r="T24" s="50"/>
      <c r="U24" s="50"/>
    </row>
    <row r="25" spans="1:21" customFormat="1">
      <c r="A25" s="51" t="s">
        <v>170</v>
      </c>
      <c r="B25" s="52">
        <v>11.19</v>
      </c>
      <c r="C25" s="52">
        <v>52.9</v>
      </c>
      <c r="D25" s="52">
        <v>37.340000000000003</v>
      </c>
      <c r="E25" s="52">
        <v>9.1199999999999992</v>
      </c>
      <c r="F25" s="52">
        <v>21.94</v>
      </c>
      <c r="G25" s="52">
        <v>37.369999999999997</v>
      </c>
      <c r="H25" s="52">
        <v>19.899999999999999</v>
      </c>
      <c r="I25" s="52">
        <v>4.4800000000000004</v>
      </c>
      <c r="J25" s="52">
        <v>0.84</v>
      </c>
      <c r="K25" s="52">
        <v>358.58</v>
      </c>
      <c r="L25" s="52">
        <v>34.43</v>
      </c>
      <c r="M25" s="52">
        <v>37.47</v>
      </c>
      <c r="N25" s="52">
        <v>214.2</v>
      </c>
      <c r="O25" s="52">
        <v>0</v>
      </c>
      <c r="P25" s="52">
        <v>0.53</v>
      </c>
      <c r="Q25" s="52">
        <v>4.8899999999999997</v>
      </c>
      <c r="R25" s="50"/>
      <c r="S25" s="50"/>
      <c r="T25" s="50"/>
      <c r="U25" s="50"/>
    </row>
    <row r="26" spans="1:21" customFormat="1">
      <c r="A26" s="51" t="s">
        <v>171</v>
      </c>
      <c r="B26" s="52">
        <v>12.77</v>
      </c>
      <c r="C26" s="52">
        <v>45.08</v>
      </c>
      <c r="D26" s="52">
        <v>35.14</v>
      </c>
      <c r="E26" s="52">
        <v>9.4</v>
      </c>
      <c r="F26" s="52">
        <v>24.75</v>
      </c>
      <c r="G26" s="52">
        <v>35.26</v>
      </c>
      <c r="H26" s="52">
        <v>17.2</v>
      </c>
      <c r="I26" s="52">
        <v>3.9</v>
      </c>
      <c r="J26" s="52">
        <v>0.66</v>
      </c>
      <c r="K26" s="52">
        <v>357.28</v>
      </c>
      <c r="L26" s="52">
        <v>34.67</v>
      </c>
      <c r="M26" s="52">
        <v>38.9</v>
      </c>
      <c r="N26" s="52">
        <v>141.30000000000001</v>
      </c>
      <c r="O26" s="52">
        <v>0</v>
      </c>
      <c r="P26" s="52">
        <v>0.5</v>
      </c>
      <c r="Q26" s="52">
        <v>4.66</v>
      </c>
      <c r="R26" s="50"/>
      <c r="S26" s="50"/>
      <c r="T26" s="50"/>
      <c r="U26" s="50"/>
    </row>
    <row r="27" spans="1:21" customFormat="1">
      <c r="A27" s="51" t="s">
        <v>172</v>
      </c>
      <c r="B27" s="52">
        <v>11.41</v>
      </c>
      <c r="C27" s="52">
        <v>43.66</v>
      </c>
      <c r="D27" s="52">
        <v>33.32</v>
      </c>
      <c r="E27" s="52">
        <v>10.56</v>
      </c>
      <c r="F27" s="52">
        <v>29.81</v>
      </c>
      <c r="G27" s="52">
        <v>39.590000000000003</v>
      </c>
      <c r="H27" s="52">
        <v>17.2</v>
      </c>
      <c r="I27" s="52">
        <v>3.52</v>
      </c>
      <c r="J27" s="52">
        <v>0.26</v>
      </c>
      <c r="K27" s="52">
        <v>216.91</v>
      </c>
      <c r="L27" s="52">
        <v>32.950000000000003</v>
      </c>
      <c r="M27" s="52">
        <v>48.13</v>
      </c>
      <c r="N27" s="52">
        <v>1.8</v>
      </c>
      <c r="O27" s="52">
        <v>0</v>
      </c>
      <c r="P27" s="52">
        <v>0.47</v>
      </c>
      <c r="Q27" s="52">
        <v>4.83</v>
      </c>
      <c r="R27" s="50"/>
      <c r="S27" s="50"/>
      <c r="T27" s="50"/>
      <c r="U27" s="50"/>
    </row>
    <row r="28" spans="1:21" customFormat="1">
      <c r="A28" s="51" t="s">
        <v>173</v>
      </c>
      <c r="B28" s="52">
        <v>12.32</v>
      </c>
      <c r="C28" s="52">
        <v>45.29</v>
      </c>
      <c r="D28" s="52">
        <v>34.9</v>
      </c>
      <c r="E28" s="52">
        <v>10.69</v>
      </c>
      <c r="F28" s="52">
        <v>24.48</v>
      </c>
      <c r="G28" s="52">
        <v>39.590000000000003</v>
      </c>
      <c r="H28" s="52">
        <v>14.97</v>
      </c>
      <c r="I28" s="52">
        <v>3.94</v>
      </c>
      <c r="J28" s="52">
        <v>0.2</v>
      </c>
      <c r="K28" s="52">
        <v>211.17</v>
      </c>
      <c r="L28" s="52">
        <v>31.22</v>
      </c>
      <c r="M28" s="52">
        <v>55.37</v>
      </c>
      <c r="N28" s="52">
        <v>0</v>
      </c>
      <c r="O28" s="52">
        <v>0</v>
      </c>
      <c r="P28" s="52">
        <v>0.48</v>
      </c>
      <c r="Q28" s="52">
        <v>4.83</v>
      </c>
      <c r="R28" s="50"/>
      <c r="S28" s="50"/>
      <c r="T28" s="50"/>
      <c r="U28" s="50"/>
    </row>
    <row r="29" spans="1:21" customFormat="1">
      <c r="A29" s="51" t="s">
        <v>174</v>
      </c>
      <c r="B29" s="52">
        <v>14.9</v>
      </c>
      <c r="C29" s="52">
        <v>47.95</v>
      </c>
      <c r="D29" s="52">
        <v>38.35</v>
      </c>
      <c r="E29" s="52">
        <v>10.65</v>
      </c>
      <c r="F29" s="52">
        <v>19.850000000000001</v>
      </c>
      <c r="G29" s="52">
        <v>32.32</v>
      </c>
      <c r="H29" s="52">
        <v>15.13</v>
      </c>
      <c r="I29" s="52">
        <v>3.98</v>
      </c>
      <c r="J29" s="52">
        <v>0.27</v>
      </c>
      <c r="K29" s="52">
        <v>175.15</v>
      </c>
      <c r="L29" s="52">
        <v>29.94</v>
      </c>
      <c r="M29" s="52">
        <v>62.31</v>
      </c>
      <c r="N29" s="52">
        <v>0</v>
      </c>
      <c r="O29" s="52">
        <v>0</v>
      </c>
      <c r="P29" s="52">
        <v>0.5</v>
      </c>
      <c r="Q29" s="52">
        <v>4.84</v>
      </c>
      <c r="R29" s="50"/>
      <c r="S29" s="50"/>
      <c r="T29" s="50"/>
      <c r="U29" s="50"/>
    </row>
    <row r="30" spans="1:21" customFormat="1">
      <c r="A30" s="51" t="s">
        <v>175</v>
      </c>
      <c r="B30" s="52">
        <v>16.440000000000001</v>
      </c>
      <c r="C30" s="52">
        <v>52.67</v>
      </c>
      <c r="D30" s="52">
        <v>42.05</v>
      </c>
      <c r="E30" s="52">
        <v>10.77</v>
      </c>
      <c r="F30" s="52">
        <v>16.02</v>
      </c>
      <c r="G30" s="52">
        <v>34.1</v>
      </c>
      <c r="H30" s="52">
        <v>15.49</v>
      </c>
      <c r="I30" s="52">
        <v>4.2</v>
      </c>
      <c r="J30" s="52">
        <v>0.35</v>
      </c>
      <c r="K30" s="52">
        <v>217.97</v>
      </c>
      <c r="L30" s="52">
        <v>29.38</v>
      </c>
      <c r="M30" s="52">
        <v>60.75</v>
      </c>
      <c r="N30" s="52">
        <v>0</v>
      </c>
      <c r="O30" s="52">
        <v>0</v>
      </c>
      <c r="P30" s="52">
        <v>0.5</v>
      </c>
      <c r="Q30" s="52">
        <v>5.08</v>
      </c>
      <c r="R30" s="50"/>
      <c r="S30" s="50"/>
      <c r="T30" s="50"/>
      <c r="U30" s="50"/>
    </row>
    <row r="31" spans="1:21" customFormat="1">
      <c r="A31" s="51" t="s">
        <v>176</v>
      </c>
      <c r="B31" s="52">
        <v>16.77</v>
      </c>
      <c r="C31" s="52">
        <v>53.2</v>
      </c>
      <c r="D31" s="52">
        <v>42.6</v>
      </c>
      <c r="E31" s="52">
        <v>9.84</v>
      </c>
      <c r="F31" s="52">
        <v>5.43</v>
      </c>
      <c r="G31" s="52">
        <v>35.97</v>
      </c>
      <c r="H31" s="52">
        <v>15.49</v>
      </c>
      <c r="I31" s="52">
        <v>4.3600000000000003</v>
      </c>
      <c r="J31" s="52">
        <v>0.33</v>
      </c>
      <c r="K31" s="52">
        <v>223.63</v>
      </c>
      <c r="L31" s="52">
        <v>28.83</v>
      </c>
      <c r="M31" s="52">
        <v>68.290000000000006</v>
      </c>
      <c r="N31" s="52">
        <v>0</v>
      </c>
      <c r="O31" s="52">
        <v>0</v>
      </c>
      <c r="P31" s="52">
        <v>0.51</v>
      </c>
      <c r="Q31" s="52">
        <v>5.18</v>
      </c>
      <c r="R31" s="50"/>
      <c r="S31" s="50"/>
      <c r="T31" s="50"/>
      <c r="U31" s="50"/>
    </row>
    <row r="32" spans="1:21" customFormat="1">
      <c r="A32" s="51" t="s">
        <v>177</v>
      </c>
      <c r="B32" s="52">
        <v>17.28</v>
      </c>
      <c r="C32" s="52">
        <v>53.44</v>
      </c>
      <c r="D32" s="52">
        <v>43.08</v>
      </c>
      <c r="E32" s="52">
        <v>9.43</v>
      </c>
      <c r="F32" s="52">
        <v>4.37</v>
      </c>
      <c r="G32" s="52">
        <v>35.97</v>
      </c>
      <c r="H32" s="52">
        <v>15.07</v>
      </c>
      <c r="I32" s="52">
        <v>4.29</v>
      </c>
      <c r="J32" s="52">
        <v>0.41</v>
      </c>
      <c r="K32" s="52">
        <v>225.04</v>
      </c>
      <c r="L32" s="52">
        <v>27.81</v>
      </c>
      <c r="M32" s="52">
        <v>71.94</v>
      </c>
      <c r="N32" s="52">
        <v>0</v>
      </c>
      <c r="O32" s="52">
        <v>0</v>
      </c>
      <c r="P32" s="52">
        <v>0.5</v>
      </c>
      <c r="Q32" s="52">
        <v>5.23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10.02</v>
      </c>
      <c r="C34" s="41">
        <f t="shared" si="0"/>
        <v>43.66</v>
      </c>
      <c r="D34" s="41">
        <f t="shared" si="0"/>
        <v>33.32</v>
      </c>
      <c r="E34" s="41">
        <f t="shared" si="0"/>
        <v>7.75</v>
      </c>
      <c r="F34" s="41">
        <f t="shared" si="0"/>
        <v>3.71</v>
      </c>
      <c r="G34" s="41">
        <f t="shared" si="0"/>
        <v>32.32</v>
      </c>
      <c r="H34" s="41">
        <f t="shared" si="0"/>
        <v>14.97</v>
      </c>
      <c r="I34" s="41">
        <f t="shared" si="0"/>
        <v>3.52</v>
      </c>
      <c r="J34" s="41">
        <f t="shared" si="0"/>
        <v>0.2</v>
      </c>
      <c r="K34" s="41">
        <f t="shared" si="0"/>
        <v>49.87</v>
      </c>
      <c r="L34" s="41">
        <f t="shared" si="0"/>
        <v>24.64</v>
      </c>
      <c r="M34" s="41">
        <f t="shared" si="0"/>
        <v>36.840000000000003</v>
      </c>
      <c r="N34" s="41">
        <f t="shared" si="0"/>
        <v>0</v>
      </c>
      <c r="O34" s="41">
        <f t="shared" si="0"/>
        <v>0</v>
      </c>
      <c r="P34" s="41">
        <f t="shared" si="0"/>
        <v>0.47</v>
      </c>
      <c r="Q34" s="41">
        <f t="shared" si="0"/>
        <v>4.66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50.44</v>
      </c>
      <c r="C35" s="33">
        <f t="shared" si="1"/>
        <v>56.71</v>
      </c>
      <c r="D35" s="33">
        <f t="shared" si="1"/>
        <v>70.010000000000005</v>
      </c>
      <c r="E35" s="33">
        <f t="shared" si="1"/>
        <v>29.52</v>
      </c>
      <c r="F35" s="33">
        <f t="shared" si="1"/>
        <v>29.81</v>
      </c>
      <c r="G35" s="33">
        <f t="shared" si="1"/>
        <v>114.63</v>
      </c>
      <c r="H35" s="33">
        <f t="shared" si="1"/>
        <v>43.94</v>
      </c>
      <c r="I35" s="33">
        <f t="shared" si="1"/>
        <v>9.82</v>
      </c>
      <c r="J35" s="33">
        <f t="shared" si="1"/>
        <v>1.41</v>
      </c>
      <c r="K35" s="33">
        <f t="shared" si="1"/>
        <v>358.58</v>
      </c>
      <c r="L35" s="33">
        <f t="shared" si="1"/>
        <v>35.96</v>
      </c>
      <c r="M35" s="33">
        <f t="shared" si="1"/>
        <v>85.3</v>
      </c>
      <c r="N35" s="33">
        <f t="shared" si="1"/>
        <v>927.6</v>
      </c>
      <c r="O35" s="33">
        <f t="shared" si="1"/>
        <v>0</v>
      </c>
      <c r="P35" s="33">
        <f t="shared" si="1"/>
        <v>0.84</v>
      </c>
      <c r="Q35" s="33">
        <f t="shared" si="1"/>
        <v>7.36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27.188750000000002</v>
      </c>
      <c r="C36" s="41">
        <f t="shared" si="2"/>
        <v>52.050416666666685</v>
      </c>
      <c r="D36" s="41">
        <f t="shared" si="2"/>
        <v>49.909999999999989</v>
      </c>
      <c r="E36" s="41">
        <f t="shared" si="2"/>
        <v>11.420000000000002</v>
      </c>
      <c r="F36" s="41">
        <f t="shared" si="2"/>
        <v>11.719999999999999</v>
      </c>
      <c r="G36" s="41">
        <f t="shared" si="2"/>
        <v>63.479583333333323</v>
      </c>
      <c r="H36" s="41">
        <f t="shared" si="2"/>
        <v>25.857500000000005</v>
      </c>
      <c r="I36" s="41">
        <f t="shared" si="2"/>
        <v>6.9070833333333326</v>
      </c>
      <c r="J36" s="41">
        <f t="shared" si="2"/>
        <v>0.60416666666666641</v>
      </c>
      <c r="K36" s="41">
        <f t="shared" si="2"/>
        <v>267.01</v>
      </c>
      <c r="L36" s="41">
        <f t="shared" si="2"/>
        <v>30.44916666666667</v>
      </c>
      <c r="M36" s="41">
        <f t="shared" si="2"/>
        <v>59.127083333333339</v>
      </c>
      <c r="N36" s="41">
        <f t="shared" si="2"/>
        <v>227.78749999999999</v>
      </c>
      <c r="O36" s="41">
        <f t="shared" si="2"/>
        <v>0</v>
      </c>
      <c r="P36" s="41">
        <f t="shared" si="2"/>
        <v>0.66125</v>
      </c>
      <c r="Q36" s="41">
        <f t="shared" si="2"/>
        <v>5.8554166666666676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14.278075108513317</v>
      </c>
      <c r="C37" s="41">
        <f t="shared" ref="C37:Q37" si="3">STDEV(C9:C32)</f>
        <v>3.4539901049257247</v>
      </c>
      <c r="D37" s="41">
        <f t="shared" si="3"/>
        <v>12.059524469678925</v>
      </c>
      <c r="E37" s="41">
        <f t="shared" si="3"/>
        <v>5.3598312757350683</v>
      </c>
      <c r="F37" s="41">
        <f t="shared" si="3"/>
        <v>7.8954967902733904</v>
      </c>
      <c r="G37" s="41">
        <f t="shared" si="3"/>
        <v>26.742275191679898</v>
      </c>
      <c r="H37" s="41">
        <f t="shared" si="3"/>
        <v>9.2311986361939518</v>
      </c>
      <c r="I37" s="41">
        <f t="shared" si="3"/>
        <v>2.3396980094367588</v>
      </c>
      <c r="J37" s="41">
        <f t="shared" si="3"/>
        <v>0.40355934498848689</v>
      </c>
      <c r="K37" s="41">
        <f t="shared" si="3"/>
        <v>81.804386349919909</v>
      </c>
      <c r="L37" s="41">
        <f t="shared" si="3"/>
        <v>3.9348188364093817</v>
      </c>
      <c r="M37" s="41">
        <f t="shared" si="3"/>
        <v>17.052803793222488</v>
      </c>
      <c r="N37" s="41">
        <f t="shared" si="3"/>
        <v>326.0378296435793</v>
      </c>
      <c r="O37" s="41">
        <f t="shared" si="3"/>
        <v>0</v>
      </c>
      <c r="P37" s="41">
        <f t="shared" si="3"/>
        <v>0.13358965398627984</v>
      </c>
      <c r="Q37" s="41">
        <f t="shared" si="3"/>
        <v>0.92586025411231254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H38" sqref="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178</v>
      </c>
      <c r="B9" s="52">
        <v>18.920000000000002</v>
      </c>
      <c r="C9" s="52">
        <v>54.13</v>
      </c>
      <c r="D9" s="52">
        <v>44.76</v>
      </c>
      <c r="E9" s="52">
        <v>9.65</v>
      </c>
      <c r="F9" s="52">
        <v>4.04</v>
      </c>
      <c r="G9" s="52">
        <v>33.22</v>
      </c>
      <c r="H9" s="52">
        <v>16.46</v>
      </c>
      <c r="I9" s="52">
        <v>4.09</v>
      </c>
      <c r="J9" s="52">
        <v>0.27</v>
      </c>
      <c r="K9" s="52">
        <v>211.26</v>
      </c>
      <c r="L9" s="52">
        <v>27.04</v>
      </c>
      <c r="M9" s="52">
        <v>74.67</v>
      </c>
      <c r="N9" s="52">
        <v>0</v>
      </c>
      <c r="O9" s="52">
        <v>0</v>
      </c>
      <c r="P9" s="52">
        <v>0.48</v>
      </c>
      <c r="Q9" s="52">
        <v>5.34</v>
      </c>
      <c r="R9" s="50"/>
      <c r="S9" s="50"/>
      <c r="T9" s="50"/>
      <c r="U9" s="50"/>
    </row>
    <row r="10" spans="1:21" customFormat="1">
      <c r="A10" s="51" t="s">
        <v>179</v>
      </c>
      <c r="B10" s="52">
        <v>19.920000000000002</v>
      </c>
      <c r="C10" s="52">
        <v>54.18</v>
      </c>
      <c r="D10" s="52">
        <v>45.5</v>
      </c>
      <c r="E10" s="52">
        <v>9.35</v>
      </c>
      <c r="F10" s="52">
        <v>3.8</v>
      </c>
      <c r="G10" s="52">
        <v>29.8</v>
      </c>
      <c r="H10" s="52">
        <v>16.46</v>
      </c>
      <c r="I10" s="52">
        <v>3.89</v>
      </c>
      <c r="J10" s="52">
        <v>0.22</v>
      </c>
      <c r="K10" s="52">
        <v>206.66</v>
      </c>
      <c r="L10" s="52">
        <v>26.47</v>
      </c>
      <c r="M10" s="52">
        <v>77.44</v>
      </c>
      <c r="N10" s="52">
        <v>0</v>
      </c>
      <c r="O10" s="52">
        <v>0</v>
      </c>
      <c r="P10" s="52">
        <v>0.47</v>
      </c>
      <c r="Q10" s="52">
        <v>5.41</v>
      </c>
      <c r="R10" s="50"/>
      <c r="S10" s="50"/>
      <c r="T10" s="50"/>
      <c r="U10" s="50"/>
    </row>
    <row r="11" spans="1:21" customFormat="1">
      <c r="A11" s="51" t="s">
        <v>180</v>
      </c>
      <c r="B11" s="52">
        <v>20.74</v>
      </c>
      <c r="C11" s="52">
        <v>53.31</v>
      </c>
      <c r="D11" s="52">
        <v>45.46</v>
      </c>
      <c r="E11" s="52">
        <v>6.37</v>
      </c>
      <c r="F11" s="52">
        <v>6.59</v>
      </c>
      <c r="G11" s="52">
        <v>28.51</v>
      </c>
      <c r="H11" s="52">
        <v>11.68</v>
      </c>
      <c r="I11" s="52">
        <v>3.87</v>
      </c>
      <c r="J11" s="52">
        <v>0.2</v>
      </c>
      <c r="K11" s="52">
        <v>217.95</v>
      </c>
      <c r="L11" s="52">
        <v>26.16</v>
      </c>
      <c r="M11" s="52">
        <v>77.98</v>
      </c>
      <c r="N11" s="52">
        <v>0</v>
      </c>
      <c r="O11" s="52">
        <v>0</v>
      </c>
      <c r="P11" s="52">
        <v>0.46</v>
      </c>
      <c r="Q11" s="52">
        <v>5.48</v>
      </c>
      <c r="R11" s="50"/>
      <c r="S11" s="50"/>
      <c r="T11" s="50"/>
      <c r="U11" s="50"/>
    </row>
    <row r="12" spans="1:21" customFormat="1">
      <c r="A12" s="51" t="s">
        <v>181</v>
      </c>
      <c r="B12" s="52">
        <v>23.89</v>
      </c>
      <c r="C12" s="52">
        <v>49.75</v>
      </c>
      <c r="D12" s="52">
        <v>45.89</v>
      </c>
      <c r="E12" s="52">
        <v>6.5</v>
      </c>
      <c r="F12" s="52">
        <v>4.8600000000000003</v>
      </c>
      <c r="G12" s="52">
        <v>22.75</v>
      </c>
      <c r="H12" s="52">
        <v>10.28</v>
      </c>
      <c r="I12" s="52">
        <v>3.73</v>
      </c>
      <c r="J12" s="52">
        <v>0.24</v>
      </c>
      <c r="K12" s="52">
        <v>228.1</v>
      </c>
      <c r="L12" s="52">
        <v>26.07</v>
      </c>
      <c r="M12" s="52">
        <v>80.28</v>
      </c>
      <c r="N12" s="52">
        <v>0</v>
      </c>
      <c r="O12" s="52">
        <v>0</v>
      </c>
      <c r="P12" s="52">
        <v>0.44</v>
      </c>
      <c r="Q12" s="52">
        <v>5.39</v>
      </c>
      <c r="R12" s="50"/>
      <c r="S12" s="50"/>
      <c r="T12" s="50"/>
      <c r="U12" s="50"/>
    </row>
    <row r="13" spans="1:21" customFormat="1">
      <c r="A13" s="51" t="s">
        <v>182</v>
      </c>
      <c r="B13" s="52">
        <v>25.64</v>
      </c>
      <c r="C13" s="52">
        <v>49.79</v>
      </c>
      <c r="D13" s="52">
        <v>47.35</v>
      </c>
      <c r="E13" s="52">
        <v>6.84</v>
      </c>
      <c r="F13" s="52">
        <v>5.27</v>
      </c>
      <c r="G13" s="52">
        <v>21.35</v>
      </c>
      <c r="H13" s="52">
        <v>10.73</v>
      </c>
      <c r="I13" s="52">
        <v>3.77</v>
      </c>
      <c r="J13" s="52">
        <v>0.43</v>
      </c>
      <c r="K13" s="52">
        <v>253.49</v>
      </c>
      <c r="L13" s="52">
        <v>25.82</v>
      </c>
      <c r="M13" s="52">
        <v>78.930000000000007</v>
      </c>
      <c r="N13" s="52">
        <v>0</v>
      </c>
      <c r="O13" s="52">
        <v>0</v>
      </c>
      <c r="P13" s="52">
        <v>0.43</v>
      </c>
      <c r="Q13" s="52">
        <v>5.43</v>
      </c>
      <c r="R13" s="50"/>
      <c r="S13" s="50"/>
      <c r="T13" s="50"/>
      <c r="U13" s="50"/>
    </row>
    <row r="14" spans="1:21" customFormat="1">
      <c r="A14" s="51" t="s">
        <v>183</v>
      </c>
      <c r="B14" s="52">
        <v>27.16</v>
      </c>
      <c r="C14" s="52">
        <v>50.6</v>
      </c>
      <c r="D14" s="52">
        <v>48.69</v>
      </c>
      <c r="E14" s="52">
        <v>7.03</v>
      </c>
      <c r="F14" s="52">
        <v>5.13</v>
      </c>
      <c r="G14" s="52">
        <v>21.35</v>
      </c>
      <c r="H14" s="52">
        <v>10.73</v>
      </c>
      <c r="I14" s="52">
        <v>3.74</v>
      </c>
      <c r="J14" s="52">
        <v>0.34</v>
      </c>
      <c r="K14" s="52">
        <v>247.53</v>
      </c>
      <c r="L14" s="52">
        <v>25.96</v>
      </c>
      <c r="M14" s="52">
        <v>78.069999999999993</v>
      </c>
      <c r="N14" s="52">
        <v>14.4</v>
      </c>
      <c r="O14" s="52">
        <v>0</v>
      </c>
      <c r="P14" s="52">
        <v>0.43</v>
      </c>
      <c r="Q14" s="52">
        <v>5.58</v>
      </c>
      <c r="R14" s="50"/>
      <c r="S14" s="50"/>
      <c r="T14" s="50"/>
      <c r="U14" s="50"/>
    </row>
    <row r="15" spans="1:21" customFormat="1">
      <c r="A15" s="51" t="s">
        <v>184</v>
      </c>
      <c r="B15" s="52">
        <v>28.11</v>
      </c>
      <c r="C15" s="52">
        <v>50.22</v>
      </c>
      <c r="D15" s="52">
        <v>50.13</v>
      </c>
      <c r="E15" s="52">
        <v>7.01</v>
      </c>
      <c r="F15" s="52">
        <v>5.53</v>
      </c>
      <c r="G15" s="52">
        <v>21.46</v>
      </c>
      <c r="H15" s="52">
        <v>10.130000000000001</v>
      </c>
      <c r="I15" s="52">
        <v>3.73</v>
      </c>
      <c r="J15" s="52">
        <v>0.25</v>
      </c>
      <c r="K15" s="52">
        <v>249.28</v>
      </c>
      <c r="L15" s="52">
        <v>26.94</v>
      </c>
      <c r="M15" s="52">
        <v>77.14</v>
      </c>
      <c r="N15" s="52">
        <v>82.1</v>
      </c>
      <c r="O15" s="52">
        <v>0</v>
      </c>
      <c r="P15" s="52">
        <v>0.45</v>
      </c>
      <c r="Q15" s="52">
        <v>5.67</v>
      </c>
      <c r="R15" s="50"/>
      <c r="S15" s="50"/>
      <c r="T15" s="50"/>
      <c r="U15" s="50"/>
    </row>
    <row r="16" spans="1:21" customFormat="1">
      <c r="A16" s="51" t="s">
        <v>185</v>
      </c>
      <c r="B16" s="52">
        <v>28.57</v>
      </c>
      <c r="C16" s="52">
        <v>50.88</v>
      </c>
      <c r="D16" s="52">
        <v>50.12</v>
      </c>
      <c r="E16" s="52">
        <v>7.03</v>
      </c>
      <c r="F16" s="52">
        <v>4.2</v>
      </c>
      <c r="G16" s="52">
        <v>21.46</v>
      </c>
      <c r="H16" s="52">
        <v>8.83</v>
      </c>
      <c r="I16" s="52">
        <v>4.08</v>
      </c>
      <c r="J16" s="52">
        <v>0.4</v>
      </c>
      <c r="K16" s="52">
        <v>256.94</v>
      </c>
      <c r="L16" s="52">
        <v>28.19</v>
      </c>
      <c r="M16" s="52">
        <v>75.69</v>
      </c>
      <c r="N16" s="52">
        <v>134.9</v>
      </c>
      <c r="O16" s="52">
        <v>0</v>
      </c>
      <c r="P16" s="52">
        <v>0.49</v>
      </c>
      <c r="Q16" s="52">
        <v>5.69</v>
      </c>
      <c r="R16" s="50"/>
      <c r="S16" s="50"/>
      <c r="T16" s="50"/>
      <c r="U16" s="50"/>
    </row>
    <row r="17" spans="1:21" customFormat="1">
      <c r="A17" s="51" t="s">
        <v>186</v>
      </c>
      <c r="B17" s="52">
        <v>26.75</v>
      </c>
      <c r="C17" s="52">
        <v>55.06</v>
      </c>
      <c r="D17" s="52">
        <v>49.64</v>
      </c>
      <c r="E17" s="52">
        <v>6.76</v>
      </c>
      <c r="F17" s="52">
        <v>4.9400000000000004</v>
      </c>
      <c r="G17" s="52">
        <v>30.79</v>
      </c>
      <c r="H17" s="52">
        <v>11.06</v>
      </c>
      <c r="I17" s="52">
        <v>4.71</v>
      </c>
      <c r="J17" s="52">
        <v>0.95</v>
      </c>
      <c r="K17" s="52">
        <v>292.05</v>
      </c>
      <c r="L17" s="52">
        <v>31.28</v>
      </c>
      <c r="M17" s="52">
        <v>67.28</v>
      </c>
      <c r="N17" s="52">
        <v>200.1</v>
      </c>
      <c r="O17" s="52">
        <v>0</v>
      </c>
      <c r="P17" s="52">
        <v>0.55000000000000004</v>
      </c>
      <c r="Q17" s="52">
        <v>5.73</v>
      </c>
      <c r="R17" s="50"/>
      <c r="S17" s="50"/>
      <c r="T17" s="50"/>
      <c r="U17" s="50"/>
    </row>
    <row r="18" spans="1:21" customFormat="1">
      <c r="A18" s="51" t="s">
        <v>187</v>
      </c>
      <c r="B18" s="52">
        <v>21.69</v>
      </c>
      <c r="C18" s="52">
        <v>56.63</v>
      </c>
      <c r="D18" s="52">
        <v>47.08</v>
      </c>
      <c r="E18" s="52">
        <v>6.51</v>
      </c>
      <c r="F18" s="52">
        <v>7.06</v>
      </c>
      <c r="G18" s="52">
        <v>45.09</v>
      </c>
      <c r="H18" s="52">
        <v>22.69</v>
      </c>
      <c r="I18" s="52">
        <v>5.05</v>
      </c>
      <c r="J18" s="52">
        <v>0.92</v>
      </c>
      <c r="K18" s="52">
        <v>306.45999999999998</v>
      </c>
      <c r="L18" s="52">
        <v>33.19</v>
      </c>
      <c r="M18" s="52">
        <v>55.57</v>
      </c>
      <c r="N18" s="52">
        <v>364.9</v>
      </c>
      <c r="O18" s="52">
        <v>0</v>
      </c>
      <c r="P18" s="52">
        <v>0.57999999999999996</v>
      </c>
      <c r="Q18" s="52">
        <v>5.54</v>
      </c>
      <c r="R18" s="50"/>
      <c r="S18" s="50"/>
      <c r="T18" s="50"/>
      <c r="U18" s="50"/>
    </row>
    <row r="19" spans="1:21" customFormat="1">
      <c r="A19" s="51" t="s">
        <v>188</v>
      </c>
      <c r="B19" s="52">
        <v>15.09</v>
      </c>
      <c r="C19" s="52">
        <v>56.69</v>
      </c>
      <c r="D19" s="52">
        <v>41.55</v>
      </c>
      <c r="E19" s="52">
        <v>7.33</v>
      </c>
      <c r="F19" s="52">
        <v>9.2899999999999991</v>
      </c>
      <c r="G19" s="52">
        <v>48.41</v>
      </c>
      <c r="H19" s="52">
        <v>22.69</v>
      </c>
      <c r="I19" s="52">
        <v>5.2</v>
      </c>
      <c r="J19" s="52">
        <v>1.1499999999999999</v>
      </c>
      <c r="K19" s="52">
        <v>302.62</v>
      </c>
      <c r="L19" s="52">
        <v>34.81</v>
      </c>
      <c r="M19" s="52">
        <v>44.56</v>
      </c>
      <c r="N19" s="52">
        <v>773.8</v>
      </c>
      <c r="O19" s="52">
        <v>0</v>
      </c>
      <c r="P19" s="52">
        <v>0.57999999999999996</v>
      </c>
      <c r="Q19" s="52">
        <v>5.23</v>
      </c>
      <c r="R19" s="50"/>
      <c r="S19" s="50"/>
      <c r="T19" s="50"/>
      <c r="U19" s="50"/>
    </row>
    <row r="20" spans="1:21" customFormat="1">
      <c r="A20" s="51" t="s">
        <v>189</v>
      </c>
      <c r="B20" s="52">
        <v>10.77</v>
      </c>
      <c r="C20" s="52">
        <v>52.49</v>
      </c>
      <c r="D20" s="52">
        <v>37.409999999999997</v>
      </c>
      <c r="E20" s="52">
        <v>7.7</v>
      </c>
      <c r="F20" s="52">
        <v>51.17</v>
      </c>
      <c r="G20" s="52">
        <v>48.41</v>
      </c>
      <c r="H20" s="52">
        <v>23.13</v>
      </c>
      <c r="I20" s="52">
        <v>5</v>
      </c>
      <c r="J20" s="52">
        <v>0.71</v>
      </c>
      <c r="K20" s="52">
        <v>323.83</v>
      </c>
      <c r="L20" s="52">
        <v>35.67</v>
      </c>
      <c r="M20" s="52">
        <v>39.29</v>
      </c>
      <c r="N20" s="52">
        <v>825.9</v>
      </c>
      <c r="O20" s="52">
        <v>0</v>
      </c>
      <c r="P20" s="52">
        <v>0.55000000000000004</v>
      </c>
      <c r="Q20" s="52">
        <v>4.8600000000000003</v>
      </c>
      <c r="R20" s="50"/>
      <c r="S20" s="50"/>
      <c r="T20" s="50"/>
      <c r="U20" s="50"/>
    </row>
    <row r="21" spans="1:21" customFormat="1">
      <c r="A21" s="51" t="s">
        <v>190</v>
      </c>
      <c r="B21" s="52">
        <v>15.67</v>
      </c>
      <c r="C21" s="52">
        <v>28.92</v>
      </c>
      <c r="D21" s="52">
        <v>28.3</v>
      </c>
      <c r="E21" s="11" t="s">
        <v>12</v>
      </c>
      <c r="F21" s="52">
        <v>63.85</v>
      </c>
      <c r="G21" s="11" t="s">
        <v>12</v>
      </c>
      <c r="H21" s="11" t="s">
        <v>12</v>
      </c>
      <c r="I21" s="52">
        <v>10</v>
      </c>
      <c r="J21" s="52">
        <v>0.72</v>
      </c>
      <c r="K21" s="52">
        <v>321.42</v>
      </c>
      <c r="L21" s="52">
        <v>36.450000000000003</v>
      </c>
      <c r="M21" s="52">
        <v>36.07</v>
      </c>
      <c r="N21" s="52">
        <v>738.9</v>
      </c>
      <c r="O21" s="52">
        <v>0</v>
      </c>
      <c r="P21" s="52">
        <v>0.49</v>
      </c>
      <c r="Q21" s="52">
        <v>5</v>
      </c>
      <c r="R21" s="50"/>
      <c r="S21" s="50"/>
      <c r="T21" s="50"/>
      <c r="U21" s="50"/>
    </row>
    <row r="22" spans="1:21" customFormat="1">
      <c r="A22" s="51" t="s">
        <v>191</v>
      </c>
      <c r="B22" s="52">
        <v>24.72</v>
      </c>
      <c r="C22" s="52">
        <v>34.299999999999997</v>
      </c>
      <c r="D22" s="52">
        <v>35.950000000000003</v>
      </c>
      <c r="E22" s="52">
        <v>9.9600000000000009</v>
      </c>
      <c r="F22" s="52">
        <v>25.9</v>
      </c>
      <c r="G22" s="52">
        <v>17.72</v>
      </c>
      <c r="H22" s="52">
        <v>10.16</v>
      </c>
      <c r="I22" s="52">
        <v>47.93</v>
      </c>
      <c r="J22" s="52">
        <v>1.31</v>
      </c>
      <c r="K22" s="52">
        <v>299.12</v>
      </c>
      <c r="L22" s="52">
        <v>36.93</v>
      </c>
      <c r="M22" s="52">
        <v>33.49</v>
      </c>
      <c r="N22" s="52">
        <v>805.3</v>
      </c>
      <c r="O22" s="52">
        <v>0</v>
      </c>
      <c r="P22" s="52">
        <v>0.46</v>
      </c>
      <c r="Q22" s="52">
        <v>5</v>
      </c>
      <c r="R22" s="50"/>
      <c r="S22" s="50"/>
      <c r="T22" s="50"/>
      <c r="U22" s="50"/>
    </row>
    <row r="23" spans="1:21" customFormat="1">
      <c r="A23" s="51" t="s">
        <v>192</v>
      </c>
      <c r="B23" s="52">
        <v>7.04</v>
      </c>
      <c r="C23" s="52">
        <v>38.28</v>
      </c>
      <c r="D23" s="52">
        <v>26.75</v>
      </c>
      <c r="E23" s="52">
        <v>15.99</v>
      </c>
      <c r="F23" s="52">
        <v>33.1</v>
      </c>
      <c r="G23" s="52">
        <v>28.45</v>
      </c>
      <c r="H23" s="52">
        <v>11.25</v>
      </c>
      <c r="I23" s="52">
        <v>66.040000000000006</v>
      </c>
      <c r="J23" s="52">
        <v>1.1100000000000001</v>
      </c>
      <c r="K23" s="52">
        <v>55.69</v>
      </c>
      <c r="L23" s="52">
        <v>37.11</v>
      </c>
      <c r="M23" s="52">
        <v>33.020000000000003</v>
      </c>
      <c r="N23" s="52">
        <v>670.7</v>
      </c>
      <c r="O23" s="52">
        <v>0</v>
      </c>
      <c r="P23" s="52">
        <v>0.49</v>
      </c>
      <c r="Q23" s="52">
        <v>5</v>
      </c>
      <c r="R23" s="50"/>
      <c r="S23" s="50"/>
      <c r="T23" s="50"/>
      <c r="U23" s="50"/>
    </row>
    <row r="24" spans="1:21" customFormat="1">
      <c r="A24" s="51" t="s">
        <v>193</v>
      </c>
      <c r="B24" s="52">
        <v>7.48</v>
      </c>
      <c r="C24" s="52">
        <v>38.68</v>
      </c>
      <c r="D24" s="52">
        <v>27.55</v>
      </c>
      <c r="E24" s="52">
        <v>15.65</v>
      </c>
      <c r="F24" s="52">
        <v>39.44</v>
      </c>
      <c r="G24" s="52">
        <v>34.869999999999997</v>
      </c>
      <c r="H24" s="52">
        <v>13.72</v>
      </c>
      <c r="I24" s="52">
        <v>45.51</v>
      </c>
      <c r="J24" s="52">
        <v>0.38</v>
      </c>
      <c r="K24" s="52">
        <v>342.75</v>
      </c>
      <c r="L24" s="52">
        <v>37.119999999999997</v>
      </c>
      <c r="M24" s="52">
        <v>34.229999999999997</v>
      </c>
      <c r="N24" s="52">
        <v>500.7</v>
      </c>
      <c r="O24" s="52">
        <v>0</v>
      </c>
      <c r="P24" s="52">
        <v>0.47</v>
      </c>
      <c r="Q24" s="52">
        <v>5</v>
      </c>
      <c r="R24" s="50"/>
      <c r="S24" s="50"/>
      <c r="T24" s="50"/>
      <c r="U24" s="50"/>
    </row>
    <row r="25" spans="1:21" customFormat="1">
      <c r="A25" s="51" t="s">
        <v>194</v>
      </c>
      <c r="B25" s="52">
        <v>8.69</v>
      </c>
      <c r="C25" s="52">
        <v>44.96</v>
      </c>
      <c r="D25" s="52">
        <v>31.81</v>
      </c>
      <c r="E25" s="52">
        <v>15.13</v>
      </c>
      <c r="F25" s="52">
        <v>36.270000000000003</v>
      </c>
      <c r="G25" s="52">
        <v>34.869999999999997</v>
      </c>
      <c r="H25" s="52">
        <v>13.72</v>
      </c>
      <c r="I25" s="52">
        <v>38.58</v>
      </c>
      <c r="J25" s="52">
        <v>0.78</v>
      </c>
      <c r="K25" s="52">
        <v>334.57</v>
      </c>
      <c r="L25" s="52">
        <v>36.57</v>
      </c>
      <c r="M25" s="52">
        <v>32.17</v>
      </c>
      <c r="N25" s="52">
        <v>341.8</v>
      </c>
      <c r="O25" s="52">
        <v>0</v>
      </c>
      <c r="P25" s="52">
        <v>0.51</v>
      </c>
      <c r="Q25" s="52">
        <v>5</v>
      </c>
      <c r="R25" s="50"/>
      <c r="S25" s="50"/>
      <c r="T25" s="50"/>
      <c r="U25" s="50"/>
    </row>
    <row r="26" spans="1:21" customFormat="1">
      <c r="A26" s="51" t="s">
        <v>195</v>
      </c>
      <c r="B26" s="52">
        <v>11.03</v>
      </c>
      <c r="C26" s="52">
        <v>54.42</v>
      </c>
      <c r="D26" s="52">
        <v>37.99</v>
      </c>
      <c r="E26" s="52">
        <v>15.59</v>
      </c>
      <c r="F26" s="52">
        <v>24.46</v>
      </c>
      <c r="G26" s="52">
        <v>38.299999999999997</v>
      </c>
      <c r="H26" s="52">
        <v>16.28</v>
      </c>
      <c r="I26" s="52">
        <v>29.66</v>
      </c>
      <c r="J26" s="52">
        <v>0.56999999999999995</v>
      </c>
      <c r="K26" s="52">
        <v>356.91</v>
      </c>
      <c r="L26" s="52">
        <v>34.74</v>
      </c>
      <c r="M26" s="52">
        <v>38.51</v>
      </c>
      <c r="N26" s="52">
        <v>61.7</v>
      </c>
      <c r="O26" s="52">
        <v>0</v>
      </c>
      <c r="P26" s="52">
        <v>0.57999999999999996</v>
      </c>
      <c r="Q26" s="52">
        <v>4.82</v>
      </c>
      <c r="R26" s="50"/>
      <c r="S26" s="50"/>
      <c r="T26" s="50"/>
      <c r="U26" s="50"/>
    </row>
    <row r="27" spans="1:21" customFormat="1">
      <c r="A27" s="51" t="s">
        <v>196</v>
      </c>
      <c r="B27" s="52">
        <v>10.42</v>
      </c>
      <c r="C27" s="52">
        <v>52.49</v>
      </c>
      <c r="D27" s="52">
        <v>37.1</v>
      </c>
      <c r="E27" s="52">
        <v>10.15</v>
      </c>
      <c r="F27" s="52">
        <v>24.86</v>
      </c>
      <c r="G27" s="52">
        <v>49.47</v>
      </c>
      <c r="H27" s="52">
        <v>19.649999999999999</v>
      </c>
      <c r="I27" s="52">
        <v>25</v>
      </c>
      <c r="J27" s="52">
        <v>0.23</v>
      </c>
      <c r="K27" s="52">
        <v>186.78</v>
      </c>
      <c r="L27" s="52">
        <v>33.44</v>
      </c>
      <c r="M27" s="52">
        <v>49.06</v>
      </c>
      <c r="N27" s="52">
        <v>3.8</v>
      </c>
      <c r="O27" s="52">
        <v>0</v>
      </c>
      <c r="P27" s="52">
        <v>0.57999999999999996</v>
      </c>
      <c r="Q27" s="52">
        <v>4.93</v>
      </c>
      <c r="R27" s="50"/>
      <c r="S27" s="50"/>
      <c r="T27" s="50"/>
      <c r="U27" s="50"/>
    </row>
    <row r="28" spans="1:21" customFormat="1">
      <c r="A28" s="51" t="s">
        <v>197</v>
      </c>
      <c r="B28" s="52">
        <v>10.68</v>
      </c>
      <c r="C28" s="52">
        <v>51.82</v>
      </c>
      <c r="D28" s="52">
        <v>36.99</v>
      </c>
      <c r="E28" s="52">
        <v>9.31</v>
      </c>
      <c r="F28" s="52">
        <v>21.18</v>
      </c>
      <c r="G28" s="52">
        <v>49.47</v>
      </c>
      <c r="H28" s="52">
        <v>20.76</v>
      </c>
      <c r="I28" s="52">
        <v>19.3</v>
      </c>
      <c r="J28" s="52">
        <v>0.26</v>
      </c>
      <c r="K28" s="52">
        <v>173.05</v>
      </c>
      <c r="L28" s="52">
        <v>31.79</v>
      </c>
      <c r="M28" s="52">
        <v>58.59</v>
      </c>
      <c r="N28" s="52">
        <v>0</v>
      </c>
      <c r="O28" s="52">
        <v>0</v>
      </c>
      <c r="P28" s="52">
        <v>0.6</v>
      </c>
      <c r="Q28" s="52">
        <v>4.9400000000000004</v>
      </c>
      <c r="R28" s="50"/>
      <c r="S28" s="50"/>
      <c r="T28" s="50"/>
      <c r="U28" s="50"/>
    </row>
    <row r="29" spans="1:21" customFormat="1">
      <c r="A29" s="51" t="s">
        <v>198</v>
      </c>
      <c r="B29" s="52">
        <v>13.23</v>
      </c>
      <c r="C29" s="52">
        <v>55.17</v>
      </c>
      <c r="D29" s="52">
        <v>40.08</v>
      </c>
      <c r="E29" s="52">
        <v>8.81</v>
      </c>
      <c r="F29" s="52">
        <v>8.26</v>
      </c>
      <c r="G29" s="52">
        <v>49.85</v>
      </c>
      <c r="H29" s="52">
        <v>22.49</v>
      </c>
      <c r="I29" s="52">
        <v>20.14</v>
      </c>
      <c r="J29" s="52">
        <v>0.2</v>
      </c>
      <c r="K29" s="52">
        <v>205.48</v>
      </c>
      <c r="L29" s="52">
        <v>29.94</v>
      </c>
      <c r="M29" s="52">
        <v>68.17</v>
      </c>
      <c r="N29" s="52">
        <v>0</v>
      </c>
      <c r="O29" s="52">
        <v>0</v>
      </c>
      <c r="P29" s="52">
        <v>0.64</v>
      </c>
      <c r="Q29" s="52">
        <v>5.07</v>
      </c>
      <c r="R29" s="50"/>
      <c r="S29" s="50"/>
      <c r="T29" s="50"/>
      <c r="U29" s="50"/>
    </row>
    <row r="30" spans="1:21" customFormat="1">
      <c r="A30" s="51" t="s">
        <v>199</v>
      </c>
      <c r="B30" s="52">
        <v>14.75</v>
      </c>
      <c r="C30" s="52">
        <v>53.89</v>
      </c>
      <c r="D30" s="52">
        <v>41.33</v>
      </c>
      <c r="E30" s="52">
        <v>8.1300000000000008</v>
      </c>
      <c r="F30" s="52">
        <v>8.77</v>
      </c>
      <c r="G30" s="52">
        <v>51.26</v>
      </c>
      <c r="H30" s="52">
        <v>24.91</v>
      </c>
      <c r="I30" s="52">
        <v>18.940000000000001</v>
      </c>
      <c r="J30" s="52">
        <v>0.2</v>
      </c>
      <c r="K30" s="52">
        <v>187.78</v>
      </c>
      <c r="L30" s="52">
        <v>28.94</v>
      </c>
      <c r="M30" s="52">
        <v>73.08</v>
      </c>
      <c r="N30" s="52">
        <v>0</v>
      </c>
      <c r="O30" s="52">
        <v>0</v>
      </c>
      <c r="P30" s="52">
        <v>0.67</v>
      </c>
      <c r="Q30" s="52">
        <v>5.18</v>
      </c>
      <c r="R30" s="50"/>
      <c r="S30" s="50"/>
      <c r="T30" s="50"/>
      <c r="U30" s="50"/>
    </row>
    <row r="31" spans="1:21" customFormat="1">
      <c r="A31" s="51" t="s">
        <v>200</v>
      </c>
      <c r="B31" s="52">
        <v>19.72</v>
      </c>
      <c r="C31" s="52">
        <v>49.86</v>
      </c>
      <c r="D31" s="52">
        <v>43.21</v>
      </c>
      <c r="E31" s="52">
        <v>8.2899999999999991</v>
      </c>
      <c r="F31" s="52">
        <v>14.84</v>
      </c>
      <c r="G31" s="52">
        <v>53.23</v>
      </c>
      <c r="H31" s="52">
        <v>26.22</v>
      </c>
      <c r="I31" s="52">
        <v>16.510000000000002</v>
      </c>
      <c r="J31" s="52">
        <v>0.21</v>
      </c>
      <c r="K31" s="52">
        <v>169.13</v>
      </c>
      <c r="L31" s="52">
        <v>28.14</v>
      </c>
      <c r="M31" s="52">
        <v>73.72</v>
      </c>
      <c r="N31" s="52">
        <v>0</v>
      </c>
      <c r="O31" s="52">
        <v>0</v>
      </c>
      <c r="P31" s="52">
        <v>0.68</v>
      </c>
      <c r="Q31" s="52">
        <v>4.9800000000000004</v>
      </c>
      <c r="R31" s="50"/>
      <c r="S31" s="50"/>
      <c r="T31" s="50"/>
      <c r="U31" s="50"/>
    </row>
    <row r="32" spans="1:21" customFormat="1">
      <c r="A32" s="51" t="s">
        <v>201</v>
      </c>
      <c r="B32" s="52">
        <v>19.22</v>
      </c>
      <c r="C32" s="52">
        <v>49.5</v>
      </c>
      <c r="D32" s="52">
        <v>42.63</v>
      </c>
      <c r="E32" s="52">
        <v>8.86</v>
      </c>
      <c r="F32" s="52">
        <v>7.95</v>
      </c>
      <c r="G32" s="52">
        <v>62.26</v>
      </c>
      <c r="H32" s="52">
        <v>26.22</v>
      </c>
      <c r="I32" s="52">
        <v>14.3</v>
      </c>
      <c r="J32" s="52">
        <v>0.19</v>
      </c>
      <c r="K32" s="52">
        <v>201.42</v>
      </c>
      <c r="L32" s="52">
        <v>27.73</v>
      </c>
      <c r="M32" s="52">
        <v>78.319999999999993</v>
      </c>
      <c r="N32" s="52">
        <v>0</v>
      </c>
      <c r="O32" s="52">
        <v>0</v>
      </c>
      <c r="P32" s="52">
        <v>0.68</v>
      </c>
      <c r="Q32" s="52">
        <v>5.27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7.04</v>
      </c>
      <c r="C34" s="41">
        <f t="shared" si="0"/>
        <v>28.92</v>
      </c>
      <c r="D34" s="41">
        <f t="shared" si="0"/>
        <v>26.75</v>
      </c>
      <c r="E34" s="41">
        <f t="shared" si="0"/>
        <v>6.37</v>
      </c>
      <c r="F34" s="41">
        <f t="shared" si="0"/>
        <v>3.8</v>
      </c>
      <c r="G34" s="41">
        <f t="shared" si="0"/>
        <v>17.72</v>
      </c>
      <c r="H34" s="41">
        <f t="shared" si="0"/>
        <v>8.83</v>
      </c>
      <c r="I34" s="41">
        <f t="shared" si="0"/>
        <v>3.73</v>
      </c>
      <c r="J34" s="41">
        <f t="shared" si="0"/>
        <v>0.19</v>
      </c>
      <c r="K34" s="41">
        <f t="shared" si="0"/>
        <v>55.69</v>
      </c>
      <c r="L34" s="41">
        <f t="shared" si="0"/>
        <v>25.82</v>
      </c>
      <c r="M34" s="41">
        <f t="shared" si="0"/>
        <v>32.17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4.82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28.57</v>
      </c>
      <c r="C35" s="33">
        <f t="shared" si="1"/>
        <v>56.69</v>
      </c>
      <c r="D35" s="33">
        <f t="shared" si="1"/>
        <v>50.13</v>
      </c>
      <c r="E35" s="33">
        <f t="shared" si="1"/>
        <v>15.99</v>
      </c>
      <c r="F35" s="33">
        <f t="shared" si="1"/>
        <v>63.85</v>
      </c>
      <c r="G35" s="33">
        <f t="shared" si="1"/>
        <v>62.26</v>
      </c>
      <c r="H35" s="33">
        <f t="shared" si="1"/>
        <v>26.22</v>
      </c>
      <c r="I35" s="33">
        <f t="shared" si="1"/>
        <v>66.040000000000006</v>
      </c>
      <c r="J35" s="33">
        <f t="shared" si="1"/>
        <v>1.31</v>
      </c>
      <c r="K35" s="33">
        <f t="shared" si="1"/>
        <v>356.91</v>
      </c>
      <c r="L35" s="33">
        <f t="shared" si="1"/>
        <v>37.119999999999997</v>
      </c>
      <c r="M35" s="33">
        <f t="shared" si="1"/>
        <v>80.28</v>
      </c>
      <c r="N35" s="33">
        <f t="shared" si="1"/>
        <v>825.9</v>
      </c>
      <c r="O35" s="33">
        <f t="shared" si="1"/>
        <v>0</v>
      </c>
      <c r="P35" s="33">
        <f t="shared" si="1"/>
        <v>0.68</v>
      </c>
      <c r="Q35" s="33">
        <f t="shared" si="1"/>
        <v>5.73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17.912500000000005</v>
      </c>
      <c r="C36" s="41">
        <f t="shared" si="2"/>
        <v>49.417499999999997</v>
      </c>
      <c r="D36" s="41">
        <f t="shared" si="2"/>
        <v>40.969583333333333</v>
      </c>
      <c r="E36" s="41">
        <f t="shared" si="2"/>
        <v>9.3021739130434771</v>
      </c>
      <c r="F36" s="41">
        <f t="shared" si="2"/>
        <v>17.531666666666663</v>
      </c>
      <c r="G36" s="41">
        <f t="shared" si="2"/>
        <v>36.623913043478261</v>
      </c>
      <c r="H36" s="41">
        <f t="shared" si="2"/>
        <v>16.532608695652176</v>
      </c>
      <c r="I36" s="41">
        <f t="shared" si="2"/>
        <v>16.782083333333336</v>
      </c>
      <c r="J36" s="41">
        <f t="shared" si="2"/>
        <v>0.5099999999999999</v>
      </c>
      <c r="K36" s="41">
        <f t="shared" si="2"/>
        <v>247.09458333333328</v>
      </c>
      <c r="L36" s="41">
        <f t="shared" si="2"/>
        <v>31.104166666666671</v>
      </c>
      <c r="M36" s="41">
        <f t="shared" si="2"/>
        <v>59.805416666666666</v>
      </c>
      <c r="N36" s="41">
        <f t="shared" si="2"/>
        <v>229.95833333333334</v>
      </c>
      <c r="O36" s="41">
        <f t="shared" si="2"/>
        <v>0</v>
      </c>
      <c r="P36" s="41">
        <f t="shared" si="2"/>
        <v>0.53166666666666662</v>
      </c>
      <c r="Q36" s="41">
        <f t="shared" si="2"/>
        <v>5.230833333333333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6.9754783223867065</v>
      </c>
      <c r="C37" s="41">
        <f t="shared" ref="C37:Q37" si="3">STDEV(C9:C32)</f>
        <v>7.2594359883922808</v>
      </c>
      <c r="D37" s="41">
        <f t="shared" si="3"/>
        <v>7.1415066484702399</v>
      </c>
      <c r="E37" s="41">
        <f t="shared" si="3"/>
        <v>3.1726128556783957</v>
      </c>
      <c r="F37" s="41">
        <f t="shared" si="3"/>
        <v>16.694385066651101</v>
      </c>
      <c r="G37" s="41">
        <f t="shared" si="3"/>
        <v>12.989106533459069</v>
      </c>
      <c r="H37" s="41">
        <f t="shared" si="3"/>
        <v>5.9733203933607282</v>
      </c>
      <c r="I37" s="41">
        <f t="shared" si="3"/>
        <v>17.316338848705531</v>
      </c>
      <c r="J37" s="41">
        <f t="shared" si="3"/>
        <v>0.35508725198426799</v>
      </c>
      <c r="K37" s="41">
        <f t="shared" si="3"/>
        <v>70.726588320595781</v>
      </c>
      <c r="L37" s="41">
        <f t="shared" si="3"/>
        <v>4.2578295314444548</v>
      </c>
      <c r="M37" s="41">
        <f t="shared" si="3"/>
        <v>18.655800118990108</v>
      </c>
      <c r="N37" s="41">
        <f t="shared" si="3"/>
        <v>311.08113427440321</v>
      </c>
      <c r="O37" s="41">
        <f t="shared" si="3"/>
        <v>0</v>
      </c>
      <c r="P37" s="41">
        <f t="shared" si="3"/>
        <v>8.1168995294394738E-2</v>
      </c>
      <c r="Q37" s="41">
        <f t="shared" si="3"/>
        <v>0.28606652717682979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P38" sqref="P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202</v>
      </c>
      <c r="B9" s="52">
        <v>21.99</v>
      </c>
      <c r="C9" s="52">
        <v>48.99</v>
      </c>
      <c r="D9" s="52">
        <v>44.58</v>
      </c>
      <c r="E9" s="52">
        <v>8.49</v>
      </c>
      <c r="F9" s="52">
        <v>7.83</v>
      </c>
      <c r="G9" s="52">
        <v>62.26</v>
      </c>
      <c r="H9" s="52">
        <v>26.83</v>
      </c>
      <c r="I9" s="52">
        <v>13.53</v>
      </c>
      <c r="J9" s="52">
        <v>0.19</v>
      </c>
      <c r="K9" s="52">
        <v>194.85</v>
      </c>
      <c r="L9" s="52">
        <v>26.76</v>
      </c>
      <c r="M9" s="52">
        <v>81.25</v>
      </c>
      <c r="N9" s="52">
        <v>0</v>
      </c>
      <c r="O9" s="52">
        <v>0</v>
      </c>
      <c r="P9" s="52">
        <v>0.69</v>
      </c>
      <c r="Q9" s="52">
        <v>5.36</v>
      </c>
      <c r="R9" s="50"/>
      <c r="S9" s="50"/>
      <c r="T9" s="50"/>
      <c r="U9" s="50"/>
    </row>
    <row r="10" spans="1:21" customFormat="1">
      <c r="A10" s="51" t="s">
        <v>203</v>
      </c>
      <c r="B10" s="52">
        <v>31.78</v>
      </c>
      <c r="C10" s="52">
        <v>50.33</v>
      </c>
      <c r="D10" s="52">
        <v>53.13</v>
      </c>
      <c r="E10" s="52">
        <v>8.74</v>
      </c>
      <c r="F10" s="52">
        <v>4.9000000000000004</v>
      </c>
      <c r="G10" s="52">
        <v>58.42</v>
      </c>
      <c r="H10" s="52">
        <v>26.83</v>
      </c>
      <c r="I10" s="52">
        <v>12.68</v>
      </c>
      <c r="J10" s="52">
        <v>0.18</v>
      </c>
      <c r="K10" s="52">
        <v>207.96</v>
      </c>
      <c r="L10" s="52">
        <v>26.79</v>
      </c>
      <c r="M10" s="52">
        <v>77.650000000000006</v>
      </c>
      <c r="N10" s="52">
        <v>0</v>
      </c>
      <c r="O10" s="52">
        <v>0</v>
      </c>
      <c r="P10" s="52">
        <v>0.72</v>
      </c>
      <c r="Q10" s="52">
        <v>5.76</v>
      </c>
      <c r="R10" s="50"/>
      <c r="S10" s="50"/>
      <c r="T10" s="50"/>
      <c r="U10" s="50"/>
    </row>
    <row r="11" spans="1:21" customFormat="1">
      <c r="A11" s="51" t="s">
        <v>204</v>
      </c>
      <c r="B11" s="52">
        <v>38.590000000000003</v>
      </c>
      <c r="C11" s="52">
        <v>54.24</v>
      </c>
      <c r="D11" s="52">
        <v>59.23</v>
      </c>
      <c r="E11" s="52">
        <v>8.27</v>
      </c>
      <c r="F11" s="52">
        <v>4.05</v>
      </c>
      <c r="G11" s="52">
        <v>60.65</v>
      </c>
      <c r="H11" s="52">
        <v>28.38</v>
      </c>
      <c r="I11" s="52">
        <v>12.31</v>
      </c>
      <c r="J11" s="52">
        <v>0.28000000000000003</v>
      </c>
      <c r="K11" s="52">
        <v>205.57</v>
      </c>
      <c r="L11" s="52">
        <v>26.51</v>
      </c>
      <c r="M11" s="52">
        <v>84.21</v>
      </c>
      <c r="N11" s="52">
        <v>0</v>
      </c>
      <c r="O11" s="52">
        <v>0</v>
      </c>
      <c r="P11" s="52">
        <v>0.74</v>
      </c>
      <c r="Q11" s="52">
        <v>6.45</v>
      </c>
      <c r="R11" s="50"/>
      <c r="S11" s="50"/>
      <c r="T11" s="50"/>
      <c r="U11" s="50"/>
    </row>
    <row r="12" spans="1:21" customFormat="1">
      <c r="A12" s="51" t="s">
        <v>205</v>
      </c>
      <c r="B12" s="52">
        <v>36.880000000000003</v>
      </c>
      <c r="C12" s="52">
        <v>54.57</v>
      </c>
      <c r="D12" s="52">
        <v>59.42</v>
      </c>
      <c r="E12" s="52">
        <v>7.72</v>
      </c>
      <c r="F12" s="52">
        <v>4.1100000000000003</v>
      </c>
      <c r="G12" s="52">
        <v>60.65</v>
      </c>
      <c r="H12" s="52">
        <v>28.38</v>
      </c>
      <c r="I12" s="52">
        <v>12.03</v>
      </c>
      <c r="J12" s="52">
        <v>0.23</v>
      </c>
      <c r="K12" s="52">
        <v>217.45</v>
      </c>
      <c r="L12" s="52">
        <v>25.89</v>
      </c>
      <c r="M12" s="52">
        <v>84.35</v>
      </c>
      <c r="N12" s="52">
        <v>0</v>
      </c>
      <c r="O12" s="52">
        <v>0</v>
      </c>
      <c r="P12" s="52">
        <v>0.75</v>
      </c>
      <c r="Q12" s="52">
        <v>6.52</v>
      </c>
      <c r="R12" s="50"/>
      <c r="S12" s="50"/>
      <c r="T12" s="50"/>
      <c r="U12" s="50"/>
    </row>
    <row r="13" spans="1:21" customFormat="1">
      <c r="A13" s="51" t="s">
        <v>206</v>
      </c>
      <c r="B13" s="52">
        <v>35.79</v>
      </c>
      <c r="C13" s="52">
        <v>53.24</v>
      </c>
      <c r="D13" s="52">
        <v>57.62</v>
      </c>
      <c r="E13" s="52">
        <v>7.47</v>
      </c>
      <c r="F13" s="52">
        <v>3.89</v>
      </c>
      <c r="G13" s="52">
        <v>57.06</v>
      </c>
      <c r="H13" s="52">
        <v>26.32</v>
      </c>
      <c r="I13" s="52">
        <v>11.13</v>
      </c>
      <c r="J13" s="52">
        <v>0.22</v>
      </c>
      <c r="K13" s="52">
        <v>199.03</v>
      </c>
      <c r="L13" s="52">
        <v>25.59</v>
      </c>
      <c r="M13" s="52">
        <v>84.25</v>
      </c>
      <c r="N13" s="52">
        <v>0</v>
      </c>
      <c r="O13" s="52">
        <v>0</v>
      </c>
      <c r="P13" s="52">
        <v>0.72</v>
      </c>
      <c r="Q13" s="52">
        <v>6.4</v>
      </c>
      <c r="R13" s="50"/>
      <c r="S13" s="50"/>
      <c r="T13" s="50"/>
      <c r="U13" s="50"/>
    </row>
    <row r="14" spans="1:21" customFormat="1">
      <c r="A14" s="51" t="s">
        <v>207</v>
      </c>
      <c r="B14" s="52">
        <v>35.090000000000003</v>
      </c>
      <c r="C14" s="52">
        <v>53.08</v>
      </c>
      <c r="D14" s="52">
        <v>57.11</v>
      </c>
      <c r="E14" s="52">
        <v>7.39</v>
      </c>
      <c r="F14" s="52">
        <v>3.71</v>
      </c>
      <c r="G14" s="52">
        <v>57.06</v>
      </c>
      <c r="H14" s="52">
        <v>25.5</v>
      </c>
      <c r="I14" s="52">
        <v>10.36</v>
      </c>
      <c r="J14" s="52">
        <v>0.22</v>
      </c>
      <c r="K14" s="52">
        <v>212.8</v>
      </c>
      <c r="L14" s="52">
        <v>25.66</v>
      </c>
      <c r="M14" s="52">
        <v>81.05</v>
      </c>
      <c r="N14" s="52">
        <v>17.8</v>
      </c>
      <c r="O14" s="52">
        <v>0</v>
      </c>
      <c r="P14" s="52">
        <v>0.7</v>
      </c>
      <c r="Q14" s="52">
        <v>6.36</v>
      </c>
      <c r="R14" s="50"/>
      <c r="S14" s="50"/>
      <c r="T14" s="50"/>
      <c r="U14" s="50"/>
    </row>
    <row r="15" spans="1:21" customFormat="1">
      <c r="A15" s="51" t="s">
        <v>208</v>
      </c>
      <c r="B15" s="52">
        <v>35.03</v>
      </c>
      <c r="C15" s="52">
        <v>52.7</v>
      </c>
      <c r="D15" s="52">
        <v>56.65</v>
      </c>
      <c r="E15" s="52">
        <v>7.24</v>
      </c>
      <c r="F15" s="52">
        <v>3.74</v>
      </c>
      <c r="G15" s="52">
        <v>52.43</v>
      </c>
      <c r="H15" s="52">
        <v>25.5</v>
      </c>
      <c r="I15" s="52">
        <v>9.99</v>
      </c>
      <c r="J15" s="52">
        <v>0.22</v>
      </c>
      <c r="K15" s="52">
        <v>220.08</v>
      </c>
      <c r="L15" s="52">
        <v>27.78</v>
      </c>
      <c r="M15" s="52">
        <v>79</v>
      </c>
      <c r="N15" s="52">
        <v>67.099999999999994</v>
      </c>
      <c r="O15" s="52">
        <v>0</v>
      </c>
      <c r="P15" s="52">
        <v>0.7</v>
      </c>
      <c r="Q15" s="52">
        <v>6.38</v>
      </c>
      <c r="R15" s="50"/>
      <c r="S15" s="50"/>
      <c r="T15" s="50"/>
      <c r="U15" s="50"/>
    </row>
    <row r="16" spans="1:21" customFormat="1">
      <c r="A16" s="51" t="s">
        <v>209</v>
      </c>
      <c r="B16" s="52">
        <v>34.57</v>
      </c>
      <c r="C16" s="52">
        <v>53.7</v>
      </c>
      <c r="D16" s="52">
        <v>56.56</v>
      </c>
      <c r="E16" s="52">
        <v>7.54</v>
      </c>
      <c r="F16" s="52">
        <v>9.59</v>
      </c>
      <c r="G16" s="52">
        <v>51.29</v>
      </c>
      <c r="H16" s="52">
        <v>27.71</v>
      </c>
      <c r="I16" s="52">
        <v>9.74</v>
      </c>
      <c r="J16" s="52">
        <v>0.84</v>
      </c>
      <c r="K16" s="52">
        <v>307.55</v>
      </c>
      <c r="L16" s="52">
        <v>30.93</v>
      </c>
      <c r="M16" s="52">
        <v>66.66</v>
      </c>
      <c r="N16" s="52">
        <v>103.2</v>
      </c>
      <c r="O16" s="52">
        <v>0</v>
      </c>
      <c r="P16" s="52">
        <v>0.74</v>
      </c>
      <c r="Q16" s="52">
        <v>6.35</v>
      </c>
      <c r="R16" s="50"/>
      <c r="S16" s="50"/>
      <c r="T16" s="50"/>
      <c r="U16" s="50"/>
    </row>
    <row r="17" spans="1:21" customFormat="1">
      <c r="A17" s="51" t="s">
        <v>210</v>
      </c>
      <c r="B17" s="52">
        <v>29.12</v>
      </c>
      <c r="C17" s="52">
        <v>50.16</v>
      </c>
      <c r="D17" s="52">
        <v>50.91</v>
      </c>
      <c r="E17" s="52">
        <v>10.29</v>
      </c>
      <c r="F17" s="52">
        <v>12.87</v>
      </c>
      <c r="G17" s="52">
        <v>51.72</v>
      </c>
      <c r="H17" s="52">
        <v>27.71</v>
      </c>
      <c r="I17" s="52">
        <v>11.15</v>
      </c>
      <c r="J17" s="52">
        <v>1.1499999999999999</v>
      </c>
      <c r="K17" s="52">
        <v>311.39</v>
      </c>
      <c r="L17" s="52">
        <v>32.81</v>
      </c>
      <c r="M17" s="52">
        <v>51.64</v>
      </c>
      <c r="N17" s="52">
        <v>170.5</v>
      </c>
      <c r="O17" s="52">
        <v>0</v>
      </c>
      <c r="P17" s="52">
        <v>0.83</v>
      </c>
      <c r="Q17" s="52">
        <v>5.91</v>
      </c>
      <c r="R17" s="50"/>
      <c r="S17" s="50"/>
      <c r="T17" s="50"/>
      <c r="U17" s="50"/>
    </row>
    <row r="18" spans="1:21" customFormat="1">
      <c r="A18" s="51" t="s">
        <v>211</v>
      </c>
      <c r="B18" s="52">
        <v>25.86</v>
      </c>
      <c r="C18" s="52">
        <v>48.85</v>
      </c>
      <c r="D18" s="52">
        <v>47.61</v>
      </c>
      <c r="E18" s="52">
        <v>10.26</v>
      </c>
      <c r="F18" s="52">
        <v>17.86</v>
      </c>
      <c r="G18" s="52">
        <v>64.739999999999995</v>
      </c>
      <c r="H18" s="52">
        <v>27.47</v>
      </c>
      <c r="I18" s="52">
        <v>10.25</v>
      </c>
      <c r="J18" s="52">
        <v>0.99</v>
      </c>
      <c r="K18" s="52">
        <v>304.42</v>
      </c>
      <c r="L18" s="52">
        <v>34.57</v>
      </c>
      <c r="M18" s="52">
        <v>48.22</v>
      </c>
      <c r="N18" s="52">
        <v>375.5</v>
      </c>
      <c r="O18" s="52">
        <v>0</v>
      </c>
      <c r="P18" s="52">
        <v>0.84</v>
      </c>
      <c r="Q18" s="52">
        <v>5.75</v>
      </c>
      <c r="R18" s="50"/>
      <c r="S18" s="50"/>
      <c r="T18" s="50"/>
      <c r="U18" s="50"/>
    </row>
    <row r="19" spans="1:21" customFormat="1">
      <c r="A19" s="51" t="s">
        <v>212</v>
      </c>
      <c r="B19" s="52">
        <v>18.79</v>
      </c>
      <c r="C19" s="52">
        <v>43.32</v>
      </c>
      <c r="D19" s="52">
        <v>39.049999999999997</v>
      </c>
      <c r="E19" s="52">
        <v>11.58</v>
      </c>
      <c r="F19" s="52">
        <v>26.97</v>
      </c>
      <c r="G19" s="52">
        <v>64.739999999999995</v>
      </c>
      <c r="H19" s="52">
        <v>28.66</v>
      </c>
      <c r="I19" s="52">
        <v>9.5399999999999991</v>
      </c>
      <c r="J19" s="52">
        <v>0.7</v>
      </c>
      <c r="K19" s="52">
        <v>295.94</v>
      </c>
      <c r="L19" s="52">
        <v>35.950000000000003</v>
      </c>
      <c r="M19" s="52">
        <v>43.28</v>
      </c>
      <c r="N19" s="52">
        <v>767.8</v>
      </c>
      <c r="O19" s="52">
        <v>0</v>
      </c>
      <c r="P19" s="52">
        <v>0.82</v>
      </c>
      <c r="Q19" s="52">
        <v>5.21</v>
      </c>
      <c r="R19" s="50"/>
      <c r="S19" s="50"/>
      <c r="T19" s="50"/>
      <c r="U19" s="50"/>
    </row>
    <row r="20" spans="1:21" customFormat="1">
      <c r="A20" s="51" t="s">
        <v>213</v>
      </c>
      <c r="B20" s="52">
        <v>12.68</v>
      </c>
      <c r="C20" s="52">
        <v>43.6</v>
      </c>
      <c r="D20" s="52">
        <v>34.299999999999997</v>
      </c>
      <c r="E20" s="52">
        <v>12.52</v>
      </c>
      <c r="F20" s="52">
        <v>39.71</v>
      </c>
      <c r="G20" s="52">
        <v>57.92</v>
      </c>
      <c r="H20" s="52">
        <v>28.66</v>
      </c>
      <c r="I20" s="52">
        <v>8.83</v>
      </c>
      <c r="J20" s="52">
        <v>0.68</v>
      </c>
      <c r="K20" s="52">
        <v>315.72000000000003</v>
      </c>
      <c r="L20" s="52">
        <v>37.479999999999997</v>
      </c>
      <c r="M20" s="52">
        <v>37.26</v>
      </c>
      <c r="N20" s="52">
        <v>875.1</v>
      </c>
      <c r="O20" s="52">
        <v>0</v>
      </c>
      <c r="P20" s="52">
        <v>0.82</v>
      </c>
      <c r="Q20" s="52">
        <v>4.75</v>
      </c>
      <c r="R20" s="50"/>
      <c r="S20" s="50"/>
      <c r="T20" s="50"/>
      <c r="U20" s="50"/>
    </row>
    <row r="21" spans="1:21" customFormat="1">
      <c r="A21" s="51" t="s">
        <v>214</v>
      </c>
      <c r="B21" s="52">
        <v>8.2899999999999991</v>
      </c>
      <c r="C21" s="52">
        <v>50.25</v>
      </c>
      <c r="D21" s="52">
        <v>33.729999999999997</v>
      </c>
      <c r="E21" s="52">
        <v>12.13</v>
      </c>
      <c r="F21" s="52">
        <v>38.22</v>
      </c>
      <c r="G21" s="52">
        <v>57.92</v>
      </c>
      <c r="H21" s="52">
        <v>25.26</v>
      </c>
      <c r="I21" s="52">
        <v>8.56</v>
      </c>
      <c r="J21" s="52">
        <v>0.57999999999999996</v>
      </c>
      <c r="K21" s="52">
        <v>349.29</v>
      </c>
      <c r="L21" s="52">
        <v>37.99</v>
      </c>
      <c r="M21" s="52">
        <v>34.229999999999997</v>
      </c>
      <c r="N21" s="52">
        <v>824</v>
      </c>
      <c r="O21" s="52">
        <v>0</v>
      </c>
      <c r="P21" s="52">
        <v>0.8</v>
      </c>
      <c r="Q21" s="52">
        <v>4.9000000000000004</v>
      </c>
      <c r="R21" s="50"/>
      <c r="S21" s="50"/>
      <c r="T21" s="50"/>
      <c r="U21" s="50"/>
    </row>
    <row r="22" spans="1:21" customFormat="1">
      <c r="A22" s="51" t="s">
        <v>215</v>
      </c>
      <c r="B22" s="52">
        <v>6.84</v>
      </c>
      <c r="C22" s="52">
        <v>50.93</v>
      </c>
      <c r="D22" s="52">
        <v>32.909999999999997</v>
      </c>
      <c r="E22" s="52">
        <v>10.59</v>
      </c>
      <c r="F22" s="52">
        <v>21.19</v>
      </c>
      <c r="G22" s="52">
        <v>54.27</v>
      </c>
      <c r="H22" s="52">
        <v>26.32</v>
      </c>
      <c r="I22" s="52">
        <v>8.3699999999999992</v>
      </c>
      <c r="J22" s="52">
        <v>0.69</v>
      </c>
      <c r="K22" s="52">
        <v>305.95999999999998</v>
      </c>
      <c r="L22" s="52">
        <v>37.86</v>
      </c>
      <c r="M22" s="52">
        <v>34.47</v>
      </c>
      <c r="N22" s="52">
        <v>699.8</v>
      </c>
      <c r="O22" s="52">
        <v>0</v>
      </c>
      <c r="P22" s="52">
        <v>0.79</v>
      </c>
      <c r="Q22" s="52">
        <v>4.67</v>
      </c>
      <c r="R22" s="50"/>
      <c r="S22" s="50"/>
      <c r="T22" s="50"/>
      <c r="U22" s="50"/>
    </row>
    <row r="23" spans="1:21" customFormat="1">
      <c r="A23" s="51" t="s">
        <v>216</v>
      </c>
      <c r="B23" s="52">
        <v>9.65</v>
      </c>
      <c r="C23" s="52">
        <v>47.43</v>
      </c>
      <c r="D23" s="52">
        <v>31.25</v>
      </c>
      <c r="E23" s="52">
        <v>10.88</v>
      </c>
      <c r="F23" s="52">
        <v>32.24</v>
      </c>
      <c r="G23" s="52">
        <v>51.29</v>
      </c>
      <c r="H23" s="52">
        <v>26.32</v>
      </c>
      <c r="I23" s="52">
        <v>8.1</v>
      </c>
      <c r="J23" s="52">
        <v>0.56000000000000005</v>
      </c>
      <c r="K23" s="52">
        <v>271.58999999999997</v>
      </c>
      <c r="L23" s="52">
        <v>37.159999999999997</v>
      </c>
      <c r="M23" s="52">
        <v>35.92</v>
      </c>
      <c r="N23" s="52">
        <v>272.60000000000002</v>
      </c>
      <c r="O23" s="52">
        <v>0</v>
      </c>
      <c r="P23" s="52">
        <v>2.6</v>
      </c>
      <c r="Q23" s="52">
        <v>5.53</v>
      </c>
      <c r="R23" s="50"/>
      <c r="S23" s="50"/>
      <c r="T23" s="50"/>
      <c r="U23" s="50"/>
    </row>
    <row r="24" spans="1:21" customFormat="1">
      <c r="A24" s="51" t="s">
        <v>217</v>
      </c>
      <c r="B24" s="52">
        <v>6.09</v>
      </c>
      <c r="C24" s="52">
        <v>52.62</v>
      </c>
      <c r="D24" s="52">
        <v>33.04</v>
      </c>
      <c r="E24" s="52">
        <v>9.51</v>
      </c>
      <c r="F24" s="52">
        <v>15.18</v>
      </c>
      <c r="G24" s="52">
        <v>50.74</v>
      </c>
      <c r="H24" s="52">
        <v>23.83</v>
      </c>
      <c r="I24" s="52">
        <v>6.96</v>
      </c>
      <c r="J24" s="52">
        <v>2.4700000000000002</v>
      </c>
      <c r="K24" s="52">
        <v>249.45</v>
      </c>
      <c r="L24" s="52">
        <v>29.73</v>
      </c>
      <c r="M24" s="52">
        <v>96.65</v>
      </c>
      <c r="N24" s="52">
        <v>54.9</v>
      </c>
      <c r="O24" s="52">
        <v>0</v>
      </c>
      <c r="P24" s="30" t="s">
        <v>8</v>
      </c>
      <c r="Q24" s="52">
        <v>5.48</v>
      </c>
      <c r="R24" s="50"/>
      <c r="S24" s="50"/>
      <c r="T24" s="50"/>
      <c r="U24" s="50"/>
    </row>
    <row r="25" spans="1:21" customFormat="1">
      <c r="A25" s="51" t="s">
        <v>218</v>
      </c>
      <c r="B25" s="52">
        <v>9.4600000000000009</v>
      </c>
      <c r="C25" s="52">
        <v>55.68</v>
      </c>
      <c r="D25" s="52">
        <v>38.03</v>
      </c>
      <c r="E25" s="52">
        <v>7.75</v>
      </c>
      <c r="F25" s="52">
        <v>7.67</v>
      </c>
      <c r="G25" s="52">
        <v>50.52</v>
      </c>
      <c r="H25" s="52">
        <v>23.76</v>
      </c>
      <c r="I25" s="52">
        <v>6.71</v>
      </c>
      <c r="J25" s="52">
        <v>0.39</v>
      </c>
      <c r="K25" s="52">
        <v>261.47000000000003</v>
      </c>
      <c r="L25" s="52">
        <v>31.61</v>
      </c>
      <c r="M25" s="52">
        <v>71.239999999999995</v>
      </c>
      <c r="N25" s="52">
        <v>319.3</v>
      </c>
      <c r="O25" s="52">
        <v>0</v>
      </c>
      <c r="P25" s="30" t="s">
        <v>8</v>
      </c>
      <c r="Q25" s="52">
        <v>5.5</v>
      </c>
      <c r="R25" s="50"/>
      <c r="S25" s="50"/>
      <c r="T25" s="50"/>
      <c r="U25" s="50"/>
    </row>
    <row r="26" spans="1:21" customFormat="1">
      <c r="A26" s="51" t="s">
        <v>219</v>
      </c>
      <c r="B26" s="52">
        <v>13.3</v>
      </c>
      <c r="C26" s="52">
        <v>76.17</v>
      </c>
      <c r="D26" s="52">
        <v>51.81</v>
      </c>
      <c r="E26" s="52">
        <v>8.3699999999999992</v>
      </c>
      <c r="F26" s="52">
        <v>7.87</v>
      </c>
      <c r="G26" s="52">
        <v>54.75</v>
      </c>
      <c r="H26" s="52">
        <v>22.42</v>
      </c>
      <c r="I26" s="52">
        <v>6.17</v>
      </c>
      <c r="J26" s="52">
        <v>0.33</v>
      </c>
      <c r="K26" s="52">
        <v>192.09</v>
      </c>
      <c r="L26" s="52">
        <v>31.52</v>
      </c>
      <c r="M26" s="52">
        <v>77.849999999999994</v>
      </c>
      <c r="N26" s="52">
        <v>104.2</v>
      </c>
      <c r="O26" s="52">
        <v>0</v>
      </c>
      <c r="P26" s="30" t="s">
        <v>8</v>
      </c>
      <c r="Q26" s="52">
        <v>6.54</v>
      </c>
      <c r="R26" s="50"/>
      <c r="S26" s="50"/>
      <c r="T26" s="50"/>
      <c r="U26" s="50"/>
    </row>
    <row r="27" spans="1:21" customFormat="1">
      <c r="A27" s="51" t="s">
        <v>220</v>
      </c>
      <c r="B27" s="52">
        <v>22.26</v>
      </c>
      <c r="C27" s="52">
        <v>79.56</v>
      </c>
      <c r="D27" s="52">
        <v>65.03</v>
      </c>
      <c r="E27" s="52">
        <v>7.73</v>
      </c>
      <c r="F27" s="52">
        <v>3.97</v>
      </c>
      <c r="G27" s="52">
        <v>54.75</v>
      </c>
      <c r="H27" s="52">
        <v>22.42</v>
      </c>
      <c r="I27" s="52">
        <v>7.16</v>
      </c>
      <c r="J27" s="52">
        <v>0.22</v>
      </c>
      <c r="K27" s="52">
        <v>256.13</v>
      </c>
      <c r="L27" s="52">
        <v>28.88</v>
      </c>
      <c r="M27" s="52">
        <v>77.260000000000005</v>
      </c>
      <c r="N27" s="52">
        <v>0.7</v>
      </c>
      <c r="O27" s="52">
        <v>0</v>
      </c>
      <c r="P27" s="30" t="s">
        <v>8</v>
      </c>
      <c r="Q27" s="52">
        <v>6.92</v>
      </c>
      <c r="R27" s="50"/>
      <c r="S27" s="50"/>
      <c r="T27" s="50"/>
      <c r="U27" s="50"/>
    </row>
    <row r="28" spans="1:21" customFormat="1">
      <c r="A28" s="51" t="s">
        <v>221</v>
      </c>
      <c r="B28" s="52">
        <v>32.450000000000003</v>
      </c>
      <c r="C28" s="30" t="s">
        <v>8</v>
      </c>
      <c r="D28" s="52">
        <v>79.72</v>
      </c>
      <c r="E28" s="52">
        <v>8.16</v>
      </c>
      <c r="F28" s="52">
        <v>4.3</v>
      </c>
      <c r="G28" s="52">
        <v>37.18</v>
      </c>
      <c r="H28" s="52">
        <v>19.100000000000001</v>
      </c>
      <c r="I28" s="52">
        <v>0</v>
      </c>
      <c r="J28" s="52">
        <v>0.17</v>
      </c>
      <c r="K28" s="52">
        <v>182.16</v>
      </c>
      <c r="L28" s="52">
        <v>28.07</v>
      </c>
      <c r="M28" s="52">
        <v>81.069999999999993</v>
      </c>
      <c r="N28" s="52">
        <v>0</v>
      </c>
      <c r="O28" s="52">
        <v>0</v>
      </c>
      <c r="P28" s="30" t="s">
        <v>8</v>
      </c>
      <c r="Q28" s="52">
        <v>7.09</v>
      </c>
      <c r="R28" s="50"/>
      <c r="S28" s="50"/>
      <c r="T28" s="50"/>
      <c r="U28" s="50"/>
    </row>
    <row r="29" spans="1:21" customFormat="1">
      <c r="A29" s="51" t="s">
        <v>222</v>
      </c>
      <c r="B29" s="52">
        <v>33.799999999999997</v>
      </c>
      <c r="C29" s="30" t="s">
        <v>8</v>
      </c>
      <c r="D29" s="52">
        <v>81.77</v>
      </c>
      <c r="E29" s="52">
        <v>7.54</v>
      </c>
      <c r="F29" s="52">
        <v>4.79</v>
      </c>
      <c r="G29" s="52">
        <v>30.09</v>
      </c>
      <c r="H29" s="52">
        <v>13.37</v>
      </c>
      <c r="I29" s="52">
        <v>0</v>
      </c>
      <c r="J29" s="52">
        <v>0.4</v>
      </c>
      <c r="K29" s="52">
        <v>346.73</v>
      </c>
      <c r="L29" s="52">
        <v>29.65</v>
      </c>
      <c r="M29" s="52">
        <v>66.56</v>
      </c>
      <c r="N29" s="52">
        <v>0</v>
      </c>
      <c r="O29" s="52">
        <v>0</v>
      </c>
      <c r="P29" s="30" t="s">
        <v>8</v>
      </c>
      <c r="Q29" s="30" t="s">
        <v>8</v>
      </c>
      <c r="R29" s="50"/>
      <c r="S29" s="50"/>
      <c r="T29" s="50"/>
      <c r="U29" s="50"/>
    </row>
    <row r="30" spans="1:21" customFormat="1">
      <c r="A30" s="51" t="s">
        <v>223</v>
      </c>
      <c r="B30" s="30" t="s">
        <v>8</v>
      </c>
      <c r="C30" s="30" t="s">
        <v>8</v>
      </c>
      <c r="D30" s="30" t="s">
        <v>8</v>
      </c>
      <c r="E30" s="30" t="s">
        <v>8</v>
      </c>
      <c r="F30" s="30" t="s">
        <v>8</v>
      </c>
      <c r="G30" s="52">
        <v>42.31</v>
      </c>
      <c r="H30" s="52">
        <v>23.98</v>
      </c>
      <c r="I30" s="52">
        <v>0</v>
      </c>
      <c r="J30" s="52">
        <v>0.71</v>
      </c>
      <c r="K30" s="52">
        <v>67.81</v>
      </c>
      <c r="L30" s="52">
        <v>28.81</v>
      </c>
      <c r="M30" s="52">
        <v>58.91</v>
      </c>
      <c r="N30" s="52">
        <v>0</v>
      </c>
      <c r="O30" s="52">
        <v>0</v>
      </c>
      <c r="P30" s="30" t="s">
        <v>8</v>
      </c>
      <c r="Q30" s="30" t="s">
        <v>8</v>
      </c>
      <c r="R30" s="50"/>
      <c r="S30" s="50"/>
      <c r="T30" s="50"/>
      <c r="U30" s="50"/>
    </row>
    <row r="31" spans="1:21" customFormat="1">
      <c r="A31" s="51" t="s">
        <v>224</v>
      </c>
      <c r="B31" s="30" t="s">
        <v>8</v>
      </c>
      <c r="C31" s="30" t="s">
        <v>8</v>
      </c>
      <c r="D31" s="30" t="s">
        <v>8</v>
      </c>
      <c r="E31" s="52">
        <v>6.29</v>
      </c>
      <c r="F31" s="52">
        <v>5.53</v>
      </c>
      <c r="G31" s="52">
        <v>87.34</v>
      </c>
      <c r="H31" s="52">
        <v>31.03</v>
      </c>
      <c r="I31" s="52">
        <v>0</v>
      </c>
      <c r="J31" s="52">
        <v>0.5</v>
      </c>
      <c r="K31" s="52">
        <v>195.21</v>
      </c>
      <c r="L31" s="52">
        <v>29.38</v>
      </c>
      <c r="M31" s="52">
        <v>65.349999999999994</v>
      </c>
      <c r="N31" s="52">
        <v>0</v>
      </c>
      <c r="O31" s="52">
        <v>0</v>
      </c>
      <c r="P31" s="52">
        <v>0.42</v>
      </c>
      <c r="Q31" s="30" t="s">
        <v>8</v>
      </c>
      <c r="R31" s="50"/>
      <c r="S31" s="50"/>
      <c r="T31" s="50"/>
      <c r="U31" s="50"/>
    </row>
    <row r="32" spans="1:21" customFormat="1">
      <c r="A32" s="51" t="s">
        <v>225</v>
      </c>
      <c r="B32" s="30" t="s">
        <v>8</v>
      </c>
      <c r="C32" s="30" t="s">
        <v>8</v>
      </c>
      <c r="D32" s="30" t="s">
        <v>8</v>
      </c>
      <c r="E32" s="52">
        <v>5.58</v>
      </c>
      <c r="F32" s="52">
        <v>4.2699999999999996</v>
      </c>
      <c r="G32" s="52">
        <v>89.22</v>
      </c>
      <c r="H32" s="52">
        <v>32.229999999999997</v>
      </c>
      <c r="I32" s="52">
        <v>0</v>
      </c>
      <c r="J32" s="52">
        <v>0.25</v>
      </c>
      <c r="K32" s="52">
        <v>180.91</v>
      </c>
      <c r="L32" s="52">
        <v>28.17</v>
      </c>
      <c r="M32" s="52">
        <v>76.900000000000006</v>
      </c>
      <c r="N32" s="52">
        <v>0</v>
      </c>
      <c r="O32" s="52">
        <v>0</v>
      </c>
      <c r="P32" s="52">
        <v>0.1</v>
      </c>
      <c r="Q32" s="30" t="s">
        <v>8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6.09</v>
      </c>
      <c r="C34" s="41">
        <f t="shared" si="0"/>
        <v>43.32</v>
      </c>
      <c r="D34" s="41">
        <f t="shared" si="0"/>
        <v>31.25</v>
      </c>
      <c r="E34" s="41">
        <f t="shared" si="0"/>
        <v>5.58</v>
      </c>
      <c r="F34" s="41">
        <f t="shared" si="0"/>
        <v>3.71</v>
      </c>
      <c r="G34" s="41">
        <f t="shared" si="0"/>
        <v>30.09</v>
      </c>
      <c r="H34" s="41">
        <f t="shared" si="0"/>
        <v>13.37</v>
      </c>
      <c r="I34" s="41">
        <f t="shared" si="0"/>
        <v>0</v>
      </c>
      <c r="J34" s="41">
        <f t="shared" si="0"/>
        <v>0.17</v>
      </c>
      <c r="K34" s="41">
        <f t="shared" si="0"/>
        <v>67.81</v>
      </c>
      <c r="L34" s="41">
        <f t="shared" si="0"/>
        <v>25.59</v>
      </c>
      <c r="M34" s="41">
        <f t="shared" si="0"/>
        <v>34.229999999999997</v>
      </c>
      <c r="N34" s="41">
        <f t="shared" si="0"/>
        <v>0</v>
      </c>
      <c r="O34" s="41">
        <f t="shared" si="0"/>
        <v>0</v>
      </c>
      <c r="P34" s="41">
        <f t="shared" si="0"/>
        <v>0.1</v>
      </c>
      <c r="Q34" s="41">
        <f t="shared" si="0"/>
        <v>4.67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38.590000000000003</v>
      </c>
      <c r="C35" s="33">
        <f t="shared" si="1"/>
        <v>79.56</v>
      </c>
      <c r="D35" s="33">
        <f t="shared" si="1"/>
        <v>81.77</v>
      </c>
      <c r="E35" s="33">
        <f t="shared" si="1"/>
        <v>12.52</v>
      </c>
      <c r="F35" s="33">
        <f t="shared" si="1"/>
        <v>39.71</v>
      </c>
      <c r="G35" s="33">
        <f t="shared" si="1"/>
        <v>89.22</v>
      </c>
      <c r="H35" s="33">
        <f t="shared" si="1"/>
        <v>32.229999999999997</v>
      </c>
      <c r="I35" s="33">
        <f t="shared" si="1"/>
        <v>13.53</v>
      </c>
      <c r="J35" s="33">
        <f t="shared" si="1"/>
        <v>2.4700000000000002</v>
      </c>
      <c r="K35" s="33">
        <f t="shared" si="1"/>
        <v>349.29</v>
      </c>
      <c r="L35" s="33">
        <f t="shared" si="1"/>
        <v>37.99</v>
      </c>
      <c r="M35" s="33">
        <f t="shared" si="1"/>
        <v>96.65</v>
      </c>
      <c r="N35" s="33">
        <f t="shared" si="1"/>
        <v>875.1</v>
      </c>
      <c r="O35" s="33">
        <f t="shared" si="1"/>
        <v>0</v>
      </c>
      <c r="P35" s="33">
        <f t="shared" si="1"/>
        <v>2.6</v>
      </c>
      <c r="Q35" s="33">
        <f t="shared" si="1"/>
        <v>7.09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23.72904761904762</v>
      </c>
      <c r="C36" s="41">
        <f t="shared" si="2"/>
        <v>53.653684210526308</v>
      </c>
      <c r="D36" s="41">
        <f t="shared" si="2"/>
        <v>50.640952380952371</v>
      </c>
      <c r="E36" s="41">
        <f t="shared" si="2"/>
        <v>8.7843478260869556</v>
      </c>
      <c r="F36" s="41">
        <f t="shared" si="2"/>
        <v>12.367826086956523</v>
      </c>
      <c r="G36" s="41">
        <f t="shared" si="2"/>
        <v>56.638333333333321</v>
      </c>
      <c r="H36" s="41">
        <f t="shared" si="2"/>
        <v>25.749583333333334</v>
      </c>
      <c r="I36" s="41">
        <f t="shared" si="2"/>
        <v>7.6487500000000006</v>
      </c>
      <c r="J36" s="41">
        <f t="shared" si="2"/>
        <v>0.54875000000000007</v>
      </c>
      <c r="K36" s="41">
        <f t="shared" si="2"/>
        <v>243.81500000000005</v>
      </c>
      <c r="L36" s="41">
        <f t="shared" si="2"/>
        <v>30.647916666666664</v>
      </c>
      <c r="M36" s="41">
        <f t="shared" si="2"/>
        <v>66.467916666666653</v>
      </c>
      <c r="N36" s="41">
        <f t="shared" si="2"/>
        <v>193.85416666666666</v>
      </c>
      <c r="O36" s="41">
        <f t="shared" si="2"/>
        <v>0</v>
      </c>
      <c r="P36" s="41">
        <f t="shared" si="2"/>
        <v>0.81058823529411761</v>
      </c>
      <c r="Q36" s="41">
        <f t="shared" si="2"/>
        <v>5.8915000000000015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11.58977950815369</v>
      </c>
      <c r="C37" s="41">
        <f t="shared" ref="C37:Q37" si="3">STDEV(C9:C32)</f>
        <v>9.1880624305710352</v>
      </c>
      <c r="D37" s="41">
        <f t="shared" si="3"/>
        <v>14.550489649754759</v>
      </c>
      <c r="E37" s="41">
        <f t="shared" si="3"/>
        <v>1.8520205822706657</v>
      </c>
      <c r="F37" s="41">
        <f t="shared" si="3"/>
        <v>11.541632528499804</v>
      </c>
      <c r="G37" s="41">
        <f t="shared" si="3"/>
        <v>12.64713910480288</v>
      </c>
      <c r="H37" s="41">
        <f t="shared" si="3"/>
        <v>3.8752116118002835</v>
      </c>
      <c r="I37" s="41">
        <f t="shared" si="3"/>
        <v>4.4330755959187558</v>
      </c>
      <c r="J37" s="41">
        <f t="shared" si="3"/>
        <v>0.49433585221244952</v>
      </c>
      <c r="K37" s="41">
        <f t="shared" si="3"/>
        <v>65.997318588481477</v>
      </c>
      <c r="L37" s="41">
        <f t="shared" si="3"/>
        <v>4.1500214553313262</v>
      </c>
      <c r="M37" s="41">
        <f t="shared" si="3"/>
        <v>18.84048715772979</v>
      </c>
      <c r="N37" s="41">
        <f t="shared" si="3"/>
        <v>294.72033608765986</v>
      </c>
      <c r="O37" s="41">
        <f t="shared" si="3"/>
        <v>0</v>
      </c>
      <c r="P37" s="41">
        <f t="shared" si="3"/>
        <v>0.49563684523342411</v>
      </c>
      <c r="Q37" s="41">
        <f t="shared" si="3"/>
        <v>0.70950891096365443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f t="shared" ref="G38:O38" si="4">COUNT(G9:G32)</f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226</v>
      </c>
      <c r="B9" s="30" t="s">
        <v>8</v>
      </c>
      <c r="C9" s="30" t="s">
        <v>8</v>
      </c>
      <c r="D9" s="30" t="s">
        <v>8</v>
      </c>
      <c r="E9" s="52">
        <v>4.12</v>
      </c>
      <c r="F9" s="52">
        <v>4.71</v>
      </c>
      <c r="G9" s="52">
        <v>89.22</v>
      </c>
      <c r="H9" s="52">
        <v>32.229999999999997</v>
      </c>
      <c r="I9" s="52">
        <v>0</v>
      </c>
      <c r="J9" s="52">
        <v>0.24</v>
      </c>
      <c r="K9" s="52">
        <v>241.29</v>
      </c>
      <c r="L9" s="52">
        <v>27.44</v>
      </c>
      <c r="M9" s="52">
        <v>77.47</v>
      </c>
      <c r="N9" s="52">
        <v>0</v>
      </c>
      <c r="O9" s="52">
        <v>0</v>
      </c>
      <c r="P9" s="52">
        <v>0.1</v>
      </c>
      <c r="Q9" s="30" t="s">
        <v>8</v>
      </c>
      <c r="R9" s="50"/>
      <c r="S9" s="50"/>
      <c r="T9" s="50"/>
      <c r="U9" s="50"/>
    </row>
    <row r="10" spans="1:21" customFormat="1">
      <c r="A10" s="51" t="s">
        <v>227</v>
      </c>
      <c r="B10" s="30" t="s">
        <v>8</v>
      </c>
      <c r="C10" s="30" t="s">
        <v>8</v>
      </c>
      <c r="D10" s="30" t="s">
        <v>8</v>
      </c>
      <c r="E10" s="52">
        <v>0</v>
      </c>
      <c r="F10" s="52">
        <v>4.63</v>
      </c>
      <c r="G10" s="52">
        <v>86.58</v>
      </c>
      <c r="H10" s="52">
        <v>30.96</v>
      </c>
      <c r="I10" s="52">
        <v>0</v>
      </c>
      <c r="J10" s="52">
        <v>0.37</v>
      </c>
      <c r="K10" s="52">
        <v>299.05</v>
      </c>
      <c r="L10" s="52">
        <v>27.59</v>
      </c>
      <c r="M10" s="52">
        <v>76.41</v>
      </c>
      <c r="N10" s="52">
        <v>0</v>
      </c>
      <c r="O10" s="52">
        <v>0</v>
      </c>
      <c r="P10" s="52">
        <v>0.1</v>
      </c>
      <c r="Q10" s="30" t="s">
        <v>8</v>
      </c>
      <c r="R10" s="50"/>
      <c r="S10" s="50"/>
      <c r="T10" s="50"/>
      <c r="U10" s="50"/>
    </row>
    <row r="11" spans="1:21" customFormat="1">
      <c r="A11" s="51" t="s">
        <v>228</v>
      </c>
      <c r="B11" s="30" t="s">
        <v>8</v>
      </c>
      <c r="C11" s="30" t="s">
        <v>8</v>
      </c>
      <c r="D11" s="30" t="s">
        <v>8</v>
      </c>
      <c r="E11" s="52">
        <v>13.09</v>
      </c>
      <c r="F11" s="52">
        <v>3.96</v>
      </c>
      <c r="G11" s="52">
        <v>70.48</v>
      </c>
      <c r="H11" s="52">
        <v>26.32</v>
      </c>
      <c r="I11" s="52">
        <v>0</v>
      </c>
      <c r="J11" s="52">
        <v>0.25</v>
      </c>
      <c r="K11" s="52">
        <v>223.62</v>
      </c>
      <c r="L11" s="52">
        <v>26.85</v>
      </c>
      <c r="M11" s="52">
        <v>79.099999999999994</v>
      </c>
      <c r="N11" s="52">
        <v>0</v>
      </c>
      <c r="O11" s="52">
        <v>0</v>
      </c>
      <c r="P11" s="52">
        <v>0.1</v>
      </c>
      <c r="Q11" s="30" t="s">
        <v>8</v>
      </c>
      <c r="R11" s="50"/>
      <c r="S11" s="50"/>
      <c r="T11" s="50"/>
      <c r="U11" s="50"/>
    </row>
    <row r="12" spans="1:21" customFormat="1">
      <c r="A12" s="51" t="s">
        <v>229</v>
      </c>
      <c r="B12" s="30" t="s">
        <v>8</v>
      </c>
      <c r="C12" s="30" t="s">
        <v>8</v>
      </c>
      <c r="D12" s="30" t="s">
        <v>8</v>
      </c>
      <c r="E12" s="52">
        <v>12.02</v>
      </c>
      <c r="F12" s="52">
        <v>3.87</v>
      </c>
      <c r="G12" s="52">
        <v>67.33</v>
      </c>
      <c r="H12" s="52">
        <v>24.89</v>
      </c>
      <c r="I12" s="52">
        <v>0</v>
      </c>
      <c r="J12" s="52">
        <v>0.26</v>
      </c>
      <c r="K12" s="52">
        <v>181.21</v>
      </c>
      <c r="L12" s="52">
        <v>26.77</v>
      </c>
      <c r="M12" s="52">
        <v>83.34</v>
      </c>
      <c r="N12" s="52">
        <v>0</v>
      </c>
      <c r="O12" s="52">
        <v>0</v>
      </c>
      <c r="P12" s="52">
        <v>0.1</v>
      </c>
      <c r="Q12" s="30" t="s">
        <v>8</v>
      </c>
      <c r="R12" s="50"/>
      <c r="S12" s="50"/>
      <c r="T12" s="50"/>
      <c r="U12" s="50"/>
    </row>
    <row r="13" spans="1:21" customFormat="1">
      <c r="A13" s="51" t="s">
        <v>230</v>
      </c>
      <c r="B13" s="30" t="s">
        <v>8</v>
      </c>
      <c r="C13" s="30" t="s">
        <v>8</v>
      </c>
      <c r="D13" s="30" t="s">
        <v>8</v>
      </c>
      <c r="E13" s="52">
        <v>12.42</v>
      </c>
      <c r="F13" s="52">
        <v>3.99</v>
      </c>
      <c r="G13" s="52">
        <v>64.61</v>
      </c>
      <c r="H13" s="52">
        <v>25.54</v>
      </c>
      <c r="I13" s="52">
        <v>0</v>
      </c>
      <c r="J13" s="52">
        <v>0.17</v>
      </c>
      <c r="K13" s="52">
        <v>197.52</v>
      </c>
      <c r="L13" s="52">
        <v>26.11</v>
      </c>
      <c r="M13" s="52">
        <v>85.97</v>
      </c>
      <c r="N13" s="52">
        <v>0</v>
      </c>
      <c r="O13" s="52">
        <v>0</v>
      </c>
      <c r="P13" s="52">
        <v>0.1</v>
      </c>
      <c r="Q13" s="30" t="s">
        <v>8</v>
      </c>
      <c r="R13" s="50"/>
      <c r="S13" s="50"/>
      <c r="T13" s="50"/>
      <c r="U13" s="50"/>
    </row>
    <row r="14" spans="1:21" customFormat="1">
      <c r="A14" s="51" t="s">
        <v>231</v>
      </c>
      <c r="B14" s="30" t="s">
        <v>8</v>
      </c>
      <c r="C14" s="30" t="s">
        <v>8</v>
      </c>
      <c r="D14" s="30" t="s">
        <v>8</v>
      </c>
      <c r="E14" s="52">
        <v>12.24</v>
      </c>
      <c r="F14" s="52">
        <v>4.01</v>
      </c>
      <c r="G14" s="52">
        <v>58.41</v>
      </c>
      <c r="H14" s="52">
        <v>25.54</v>
      </c>
      <c r="I14" s="52">
        <v>0</v>
      </c>
      <c r="J14" s="52">
        <v>0.3</v>
      </c>
      <c r="K14" s="52">
        <v>167.57</v>
      </c>
      <c r="L14" s="52">
        <v>25.85</v>
      </c>
      <c r="M14" s="52">
        <v>85.82</v>
      </c>
      <c r="N14" s="52">
        <v>12.9</v>
      </c>
      <c r="O14" s="52">
        <v>0</v>
      </c>
      <c r="P14" s="52">
        <v>0.1</v>
      </c>
      <c r="Q14" s="30" t="s">
        <v>8</v>
      </c>
      <c r="R14" s="50"/>
      <c r="S14" s="50"/>
      <c r="T14" s="50"/>
      <c r="U14" s="50"/>
    </row>
    <row r="15" spans="1:21" customFormat="1">
      <c r="A15" s="51" t="s">
        <v>232</v>
      </c>
      <c r="B15" s="30" t="s">
        <v>8</v>
      </c>
      <c r="C15" s="30" t="s">
        <v>8</v>
      </c>
      <c r="D15" s="30" t="s">
        <v>8</v>
      </c>
      <c r="E15" s="52">
        <v>12.58</v>
      </c>
      <c r="F15" s="52">
        <v>3.95</v>
      </c>
      <c r="G15" s="52">
        <v>55.52</v>
      </c>
      <c r="H15" s="52">
        <v>27.3</v>
      </c>
      <c r="I15" s="52">
        <v>0</v>
      </c>
      <c r="J15" s="52">
        <v>0.2</v>
      </c>
      <c r="K15" s="52">
        <v>161.51</v>
      </c>
      <c r="L15" s="52">
        <v>26.59</v>
      </c>
      <c r="M15" s="52">
        <v>85.26</v>
      </c>
      <c r="N15" s="52">
        <v>55.9</v>
      </c>
      <c r="O15" s="52">
        <v>0</v>
      </c>
      <c r="P15" s="52">
        <v>0.1</v>
      </c>
      <c r="Q15" s="30" t="s">
        <v>8</v>
      </c>
      <c r="R15" s="50"/>
      <c r="S15" s="50"/>
      <c r="T15" s="50"/>
      <c r="U15" s="50"/>
    </row>
    <row r="16" spans="1:21" customFormat="1">
      <c r="A16" s="51" t="s">
        <v>233</v>
      </c>
      <c r="B16" s="30" t="s">
        <v>8</v>
      </c>
      <c r="C16" s="30" t="s">
        <v>8</v>
      </c>
      <c r="D16" s="30" t="s">
        <v>8</v>
      </c>
      <c r="E16" s="30" t="s">
        <v>8</v>
      </c>
      <c r="F16" s="30" t="s">
        <v>8</v>
      </c>
      <c r="G16" s="52">
        <v>47.98</v>
      </c>
      <c r="H16" s="52">
        <v>22.53</v>
      </c>
      <c r="I16" s="52">
        <v>0</v>
      </c>
      <c r="J16" s="52">
        <v>0.39</v>
      </c>
      <c r="K16" s="52">
        <v>240.25</v>
      </c>
      <c r="L16" s="52">
        <v>30.6</v>
      </c>
      <c r="M16" s="52">
        <v>62.9</v>
      </c>
      <c r="N16" s="52">
        <v>116.6</v>
      </c>
      <c r="O16" s="52">
        <v>0</v>
      </c>
      <c r="P16" s="52">
        <v>1.1200000000000001</v>
      </c>
      <c r="Q16" s="30" t="s">
        <v>8</v>
      </c>
      <c r="R16" s="50"/>
      <c r="S16" s="50"/>
      <c r="T16" s="50"/>
      <c r="U16" s="50"/>
    </row>
    <row r="17" spans="1:21" customFormat="1">
      <c r="A17" s="51" t="s">
        <v>234</v>
      </c>
      <c r="B17" s="30" t="s">
        <v>8</v>
      </c>
      <c r="C17" s="30" t="s">
        <v>8</v>
      </c>
      <c r="D17" s="30" t="s">
        <v>8</v>
      </c>
      <c r="E17" s="52">
        <v>5.56</v>
      </c>
      <c r="F17" s="52">
        <v>6.07</v>
      </c>
      <c r="G17" s="52">
        <v>75.41</v>
      </c>
      <c r="H17" s="52">
        <v>22.53</v>
      </c>
      <c r="I17" s="52">
        <v>0</v>
      </c>
      <c r="J17" s="52">
        <v>0.85</v>
      </c>
      <c r="K17" s="52">
        <v>267.75</v>
      </c>
      <c r="L17" s="52">
        <v>32.56</v>
      </c>
      <c r="M17" s="52">
        <v>58.58</v>
      </c>
      <c r="N17" s="52">
        <v>177.7</v>
      </c>
      <c r="O17" s="52">
        <v>0</v>
      </c>
      <c r="P17" s="52">
        <v>1.18</v>
      </c>
      <c r="Q17" s="30" t="s">
        <v>8</v>
      </c>
      <c r="R17" s="50"/>
      <c r="S17" s="50"/>
      <c r="T17" s="50"/>
      <c r="U17" s="50"/>
    </row>
    <row r="18" spans="1:21" customFormat="1">
      <c r="A18" s="51" t="s">
        <v>235</v>
      </c>
      <c r="B18" s="30" t="s">
        <v>8</v>
      </c>
      <c r="C18" s="30" t="s">
        <v>8</v>
      </c>
      <c r="D18" s="30" t="s">
        <v>8</v>
      </c>
      <c r="E18" s="52">
        <v>0.06</v>
      </c>
      <c r="F18" s="52">
        <v>9.9700000000000006</v>
      </c>
      <c r="G18" s="52">
        <v>75.41</v>
      </c>
      <c r="H18" s="52">
        <v>20.59</v>
      </c>
      <c r="I18" s="52">
        <v>0</v>
      </c>
      <c r="J18" s="52">
        <v>0.99</v>
      </c>
      <c r="K18" s="52">
        <v>289.61</v>
      </c>
      <c r="L18" s="52">
        <v>34</v>
      </c>
      <c r="M18" s="52">
        <v>50.97</v>
      </c>
      <c r="N18" s="52">
        <v>362.1</v>
      </c>
      <c r="O18" s="52">
        <v>0</v>
      </c>
      <c r="P18" s="52">
        <v>0.7</v>
      </c>
      <c r="Q18" s="30" t="s">
        <v>8</v>
      </c>
      <c r="R18" s="50"/>
      <c r="S18" s="50"/>
      <c r="T18" s="50"/>
      <c r="U18" s="50"/>
    </row>
    <row r="19" spans="1:21" customFormat="1">
      <c r="A19" s="51" t="s">
        <v>236</v>
      </c>
      <c r="B19" s="30" t="s">
        <v>8</v>
      </c>
      <c r="C19" s="30" t="s">
        <v>8</v>
      </c>
      <c r="D19" s="30" t="s">
        <v>8</v>
      </c>
      <c r="E19" s="52">
        <v>18.28</v>
      </c>
      <c r="F19" s="52">
        <v>13.14</v>
      </c>
      <c r="G19" s="52">
        <v>62.21</v>
      </c>
      <c r="H19" s="52">
        <v>24.01</v>
      </c>
      <c r="I19" s="52">
        <v>0</v>
      </c>
      <c r="J19" s="52">
        <v>0.78</v>
      </c>
      <c r="K19" s="52">
        <v>287.14999999999998</v>
      </c>
      <c r="L19" s="52">
        <v>35.81</v>
      </c>
      <c r="M19" s="52">
        <v>47.86</v>
      </c>
      <c r="N19" s="52">
        <v>742.8</v>
      </c>
      <c r="O19" s="52">
        <v>0</v>
      </c>
      <c r="P19" s="52">
        <v>0.68</v>
      </c>
      <c r="Q19" s="30" t="s">
        <v>8</v>
      </c>
      <c r="R19" s="50"/>
      <c r="S19" s="50"/>
      <c r="T19" s="50"/>
      <c r="U19" s="50"/>
    </row>
    <row r="20" spans="1:21" customFormat="1">
      <c r="A20" s="51" t="s">
        <v>237</v>
      </c>
      <c r="B20" s="30" t="s">
        <v>8</v>
      </c>
      <c r="C20" s="30" t="s">
        <v>8</v>
      </c>
      <c r="D20" s="30" t="s">
        <v>8</v>
      </c>
      <c r="E20" s="52">
        <v>14.52</v>
      </c>
      <c r="F20" s="52">
        <v>24.77</v>
      </c>
      <c r="G20" s="52">
        <v>67.95</v>
      </c>
      <c r="H20" s="52">
        <v>26.86</v>
      </c>
      <c r="I20" s="52">
        <v>0</v>
      </c>
      <c r="J20" s="52">
        <v>0.74</v>
      </c>
      <c r="K20" s="52">
        <v>311.95</v>
      </c>
      <c r="L20" s="52">
        <v>36.93</v>
      </c>
      <c r="M20" s="52">
        <v>40.65</v>
      </c>
      <c r="N20" s="52">
        <v>797.7</v>
      </c>
      <c r="O20" s="52">
        <v>0</v>
      </c>
      <c r="P20" s="52">
        <v>0.56000000000000005</v>
      </c>
      <c r="Q20" s="30" t="s">
        <v>8</v>
      </c>
      <c r="R20" s="50"/>
      <c r="S20" s="50"/>
      <c r="T20" s="50"/>
      <c r="U20" s="50"/>
    </row>
    <row r="21" spans="1:21" customFormat="1">
      <c r="A21" s="51" t="s">
        <v>238</v>
      </c>
      <c r="B21" s="52">
        <v>4.66</v>
      </c>
      <c r="C21" s="52">
        <v>69.22</v>
      </c>
      <c r="D21" s="52">
        <v>41.26</v>
      </c>
      <c r="E21" s="52">
        <v>18.23</v>
      </c>
      <c r="F21" s="52">
        <v>55.87</v>
      </c>
      <c r="G21" s="52">
        <v>67.95</v>
      </c>
      <c r="H21" s="52">
        <v>26.86</v>
      </c>
      <c r="I21" s="52">
        <v>2.0299999999999998</v>
      </c>
      <c r="J21" s="52">
        <v>0.59</v>
      </c>
      <c r="K21" s="52">
        <v>289.75</v>
      </c>
      <c r="L21" s="52">
        <v>38</v>
      </c>
      <c r="M21" s="52">
        <v>39.159999999999997</v>
      </c>
      <c r="N21" s="52">
        <v>821</v>
      </c>
      <c r="O21" s="52">
        <v>0</v>
      </c>
      <c r="P21" s="52">
        <v>0.62</v>
      </c>
      <c r="Q21" s="52">
        <v>0.08</v>
      </c>
      <c r="R21" s="50"/>
      <c r="S21" s="50"/>
      <c r="T21" s="50"/>
      <c r="U21" s="50"/>
    </row>
    <row r="22" spans="1:21" customFormat="1">
      <c r="A22" s="51" t="s">
        <v>239</v>
      </c>
      <c r="B22" s="52">
        <v>4.22</v>
      </c>
      <c r="C22" s="52">
        <v>70.75</v>
      </c>
      <c r="D22" s="52">
        <v>41.69</v>
      </c>
      <c r="E22" s="52">
        <v>15.96</v>
      </c>
      <c r="F22" s="52">
        <v>41.93</v>
      </c>
      <c r="G22" s="52">
        <v>59.34</v>
      </c>
      <c r="H22" s="52">
        <v>25.27</v>
      </c>
      <c r="I22" s="52">
        <v>7.29</v>
      </c>
      <c r="J22" s="52">
        <v>0.76</v>
      </c>
      <c r="K22" s="52">
        <v>267</v>
      </c>
      <c r="L22" s="52">
        <v>38.32</v>
      </c>
      <c r="M22" s="52">
        <v>35.53</v>
      </c>
      <c r="N22" s="52">
        <v>722.1</v>
      </c>
      <c r="O22" s="52">
        <v>0</v>
      </c>
      <c r="P22" s="52">
        <v>0.66</v>
      </c>
      <c r="Q22" s="52">
        <v>4.82</v>
      </c>
      <c r="R22" s="50"/>
      <c r="S22" s="50"/>
      <c r="T22" s="50"/>
      <c r="U22" s="50"/>
    </row>
    <row r="23" spans="1:21" customFormat="1">
      <c r="A23" s="51" t="s">
        <v>240</v>
      </c>
      <c r="B23" s="52">
        <v>4.16</v>
      </c>
      <c r="C23" s="52">
        <v>50.3</v>
      </c>
      <c r="D23" s="52">
        <v>30.97</v>
      </c>
      <c r="E23" s="52">
        <v>20.96</v>
      </c>
      <c r="F23" s="52">
        <v>61.36</v>
      </c>
      <c r="G23" s="52">
        <v>47.29</v>
      </c>
      <c r="H23" s="52">
        <v>25.46</v>
      </c>
      <c r="I23" s="52">
        <v>5.95</v>
      </c>
      <c r="J23" s="52">
        <v>0.46</v>
      </c>
      <c r="K23" s="52">
        <v>256.35000000000002</v>
      </c>
      <c r="L23" s="52">
        <v>39.29</v>
      </c>
      <c r="M23" s="52">
        <v>33.92</v>
      </c>
      <c r="N23" s="52">
        <v>641</v>
      </c>
      <c r="O23" s="52">
        <v>0</v>
      </c>
      <c r="P23" s="52">
        <v>0.6</v>
      </c>
      <c r="Q23" s="52">
        <v>4.6399999999999997</v>
      </c>
      <c r="R23" s="50"/>
      <c r="S23" s="50"/>
      <c r="T23" s="50"/>
      <c r="U23" s="50"/>
    </row>
    <row r="24" spans="1:21" customFormat="1">
      <c r="A24" s="51" t="s">
        <v>241</v>
      </c>
      <c r="B24" s="52">
        <v>4.29</v>
      </c>
      <c r="C24" s="52">
        <v>46.03</v>
      </c>
      <c r="D24" s="52">
        <v>28.84</v>
      </c>
      <c r="E24" s="52">
        <v>17.68</v>
      </c>
      <c r="F24" s="52">
        <v>62.6</v>
      </c>
      <c r="G24" s="52">
        <v>47.29</v>
      </c>
      <c r="H24" s="52">
        <v>25.46</v>
      </c>
      <c r="I24" s="52">
        <v>5.44</v>
      </c>
      <c r="J24" s="52">
        <v>0.56999999999999995</v>
      </c>
      <c r="K24" s="52">
        <v>253.03</v>
      </c>
      <c r="L24" s="52">
        <v>39.090000000000003</v>
      </c>
      <c r="M24" s="52">
        <v>32.659999999999997</v>
      </c>
      <c r="N24" s="52">
        <v>583.4</v>
      </c>
      <c r="O24" s="52">
        <v>0</v>
      </c>
      <c r="P24" s="52">
        <v>0.46</v>
      </c>
      <c r="Q24" s="52">
        <v>4.1399999999999997</v>
      </c>
      <c r="R24" s="50"/>
      <c r="S24" s="50"/>
      <c r="T24" s="50"/>
      <c r="U24" s="50"/>
    </row>
    <row r="25" spans="1:21" customFormat="1">
      <c r="A25" s="51" t="s">
        <v>242</v>
      </c>
      <c r="B25" s="52">
        <v>6.11</v>
      </c>
      <c r="C25" s="52">
        <v>58.03</v>
      </c>
      <c r="D25" s="52">
        <v>36.57</v>
      </c>
      <c r="E25" s="52">
        <v>5.71</v>
      </c>
      <c r="F25" s="52">
        <v>10.64</v>
      </c>
      <c r="G25" s="52">
        <v>45.48</v>
      </c>
      <c r="H25" s="52">
        <v>23.03</v>
      </c>
      <c r="I25" s="52">
        <v>5.74</v>
      </c>
      <c r="J25" s="52">
        <v>0.36</v>
      </c>
      <c r="K25" s="52">
        <v>195.96</v>
      </c>
      <c r="L25" s="52">
        <v>38.39</v>
      </c>
      <c r="M25" s="52">
        <v>37.06</v>
      </c>
      <c r="N25" s="52">
        <v>312.3</v>
      </c>
      <c r="O25" s="52">
        <v>0</v>
      </c>
      <c r="P25" s="52">
        <v>0.46</v>
      </c>
      <c r="Q25" s="52">
        <v>4.42</v>
      </c>
      <c r="R25" s="50"/>
      <c r="S25" s="50"/>
      <c r="T25" s="50"/>
      <c r="U25" s="50"/>
    </row>
    <row r="26" spans="1:21" customFormat="1">
      <c r="A26" s="51" t="s">
        <v>243</v>
      </c>
      <c r="B26" s="52">
        <v>6.67</v>
      </c>
      <c r="C26" s="52">
        <v>56.77</v>
      </c>
      <c r="D26" s="52">
        <v>36.19</v>
      </c>
      <c r="E26" s="52">
        <v>7.14</v>
      </c>
      <c r="F26" s="52">
        <v>12.28</v>
      </c>
      <c r="G26" s="52">
        <v>41.58</v>
      </c>
      <c r="H26" s="52">
        <v>21.34</v>
      </c>
      <c r="I26" s="52">
        <v>5.41</v>
      </c>
      <c r="J26" s="52">
        <v>0.35</v>
      </c>
      <c r="K26" s="52">
        <v>288.89999999999998</v>
      </c>
      <c r="L26" s="52">
        <v>37.29</v>
      </c>
      <c r="M26" s="52">
        <v>46.14</v>
      </c>
      <c r="N26" s="52">
        <v>113.4</v>
      </c>
      <c r="O26" s="52">
        <v>0</v>
      </c>
      <c r="P26" s="52">
        <v>0.42</v>
      </c>
      <c r="Q26" s="52">
        <v>4.45</v>
      </c>
      <c r="R26" s="50"/>
      <c r="S26" s="50"/>
      <c r="T26" s="50"/>
      <c r="U26" s="50"/>
    </row>
    <row r="27" spans="1:21" customFormat="1">
      <c r="A27" s="51" t="s">
        <v>244</v>
      </c>
      <c r="B27" s="52">
        <v>8.9</v>
      </c>
      <c r="C27" s="52">
        <v>60.63</v>
      </c>
      <c r="D27" s="52">
        <v>39.549999999999997</v>
      </c>
      <c r="E27" s="52">
        <v>7.4</v>
      </c>
      <c r="F27" s="52">
        <v>10.08</v>
      </c>
      <c r="G27" s="52">
        <v>37.799999999999997</v>
      </c>
      <c r="H27" s="52">
        <v>22.57</v>
      </c>
      <c r="I27" s="52">
        <v>4.9400000000000004</v>
      </c>
      <c r="J27" s="52">
        <v>0.27</v>
      </c>
      <c r="K27" s="52">
        <v>179.35</v>
      </c>
      <c r="L27" s="52">
        <v>34.549999999999997</v>
      </c>
      <c r="M27" s="52">
        <v>61.26</v>
      </c>
      <c r="N27" s="52">
        <v>4.5999999999999996</v>
      </c>
      <c r="O27" s="52">
        <v>0</v>
      </c>
      <c r="P27" s="52">
        <v>0.4</v>
      </c>
      <c r="Q27" s="52">
        <v>4.74</v>
      </c>
      <c r="R27" s="50"/>
      <c r="S27" s="50"/>
      <c r="T27" s="50"/>
      <c r="U27" s="50"/>
    </row>
    <row r="28" spans="1:21" customFormat="1">
      <c r="A28" s="51" t="s">
        <v>245</v>
      </c>
      <c r="B28" s="52">
        <v>11.36</v>
      </c>
      <c r="C28" s="52">
        <v>62.05</v>
      </c>
      <c r="D28" s="52">
        <v>42.03</v>
      </c>
      <c r="E28" s="52">
        <v>7.38</v>
      </c>
      <c r="F28" s="52">
        <v>4.82</v>
      </c>
      <c r="G28" s="52">
        <v>37.42</v>
      </c>
      <c r="H28" s="52">
        <v>22.57</v>
      </c>
      <c r="I28" s="52">
        <v>5.13</v>
      </c>
      <c r="J28" s="52">
        <v>0.26</v>
      </c>
      <c r="K28" s="52">
        <v>201.34</v>
      </c>
      <c r="L28" s="52">
        <v>31.83</v>
      </c>
      <c r="M28" s="52">
        <v>64.72</v>
      </c>
      <c r="N28" s="52">
        <v>0</v>
      </c>
      <c r="O28" s="52">
        <v>0</v>
      </c>
      <c r="P28" s="52">
        <v>0.44</v>
      </c>
      <c r="Q28" s="52">
        <v>4.54</v>
      </c>
      <c r="R28" s="50"/>
      <c r="S28" s="50"/>
      <c r="T28" s="50"/>
      <c r="U28" s="50"/>
    </row>
    <row r="29" spans="1:21" customFormat="1">
      <c r="A29" s="51" t="s">
        <v>246</v>
      </c>
      <c r="B29" s="52">
        <v>16.309999999999999</v>
      </c>
      <c r="C29" s="52">
        <v>61.6</v>
      </c>
      <c r="D29" s="52">
        <v>46.61</v>
      </c>
      <c r="E29" s="52">
        <v>7.1</v>
      </c>
      <c r="F29" s="52">
        <v>3.9</v>
      </c>
      <c r="G29" s="52">
        <v>38.82</v>
      </c>
      <c r="H29" s="52">
        <v>21.82</v>
      </c>
      <c r="I29" s="52">
        <v>5.64</v>
      </c>
      <c r="J29" s="52">
        <v>1.1299999999999999</v>
      </c>
      <c r="K29" s="52">
        <v>196.4</v>
      </c>
      <c r="L29" s="52">
        <v>31.68</v>
      </c>
      <c r="M29" s="52">
        <v>65.12</v>
      </c>
      <c r="N29" s="52">
        <v>0</v>
      </c>
      <c r="O29" s="52">
        <v>0</v>
      </c>
      <c r="P29" s="52">
        <v>0.53</v>
      </c>
      <c r="Q29" s="52">
        <v>4.62</v>
      </c>
      <c r="R29" s="50"/>
      <c r="S29" s="50"/>
      <c r="T29" s="50"/>
      <c r="U29" s="50"/>
    </row>
    <row r="30" spans="1:21" customFormat="1">
      <c r="A30" s="51" t="s">
        <v>247</v>
      </c>
      <c r="B30" s="52">
        <v>17.510000000000002</v>
      </c>
      <c r="C30" s="52">
        <v>63.23</v>
      </c>
      <c r="D30" s="52">
        <v>48.42</v>
      </c>
      <c r="E30" s="52">
        <v>6.68</v>
      </c>
      <c r="F30" s="52">
        <v>4.2</v>
      </c>
      <c r="G30" s="52">
        <v>50.17</v>
      </c>
      <c r="H30" s="52">
        <v>22.66</v>
      </c>
      <c r="I30" s="52">
        <v>6.12</v>
      </c>
      <c r="J30" s="52">
        <v>0.8</v>
      </c>
      <c r="K30" s="52">
        <v>79.72</v>
      </c>
      <c r="L30" s="52">
        <v>31.18</v>
      </c>
      <c r="M30" s="52">
        <v>51.03</v>
      </c>
      <c r="N30" s="52">
        <v>0</v>
      </c>
      <c r="O30" s="52">
        <v>0</v>
      </c>
      <c r="P30" s="52">
        <v>0.54</v>
      </c>
      <c r="Q30" s="52">
        <v>4.76</v>
      </c>
      <c r="R30" s="50"/>
      <c r="S30" s="50"/>
      <c r="T30" s="50"/>
      <c r="U30" s="50"/>
    </row>
    <row r="31" spans="1:21" customFormat="1">
      <c r="A31" s="51" t="s">
        <v>248</v>
      </c>
      <c r="B31" s="52">
        <v>18.760000000000002</v>
      </c>
      <c r="C31" s="52">
        <v>65.61</v>
      </c>
      <c r="D31" s="52">
        <v>50.42</v>
      </c>
      <c r="E31" s="52">
        <v>6.53</v>
      </c>
      <c r="F31" s="52">
        <v>3.78</v>
      </c>
      <c r="G31" s="52">
        <v>56.74</v>
      </c>
      <c r="H31" s="52">
        <v>25.04</v>
      </c>
      <c r="I31" s="52">
        <v>6.06</v>
      </c>
      <c r="J31" s="52">
        <v>0.57999999999999996</v>
      </c>
      <c r="K31" s="52">
        <v>53.76</v>
      </c>
      <c r="L31" s="52">
        <v>30.24</v>
      </c>
      <c r="M31" s="52">
        <v>54.98</v>
      </c>
      <c r="N31" s="52">
        <v>0</v>
      </c>
      <c r="O31" s="52">
        <v>0</v>
      </c>
      <c r="P31" s="52">
        <v>0.53</v>
      </c>
      <c r="Q31" s="52">
        <v>4.82</v>
      </c>
      <c r="R31" s="50"/>
      <c r="S31" s="50"/>
      <c r="T31" s="50"/>
      <c r="U31" s="50"/>
    </row>
    <row r="32" spans="1:21" customFormat="1">
      <c r="A32" s="51" t="s">
        <v>249</v>
      </c>
      <c r="B32" s="52">
        <v>24.03</v>
      </c>
      <c r="C32" s="52">
        <v>68.48</v>
      </c>
      <c r="D32" s="52">
        <v>55.1</v>
      </c>
      <c r="E32" s="52">
        <v>6.54</v>
      </c>
      <c r="F32" s="52">
        <v>3.85</v>
      </c>
      <c r="G32" s="52">
        <v>60.89</v>
      </c>
      <c r="H32" s="52">
        <v>25.04</v>
      </c>
      <c r="I32" s="52">
        <v>5.41</v>
      </c>
      <c r="J32" s="52">
        <v>0.51</v>
      </c>
      <c r="K32" s="52">
        <v>53.15</v>
      </c>
      <c r="L32" s="52">
        <v>29.31</v>
      </c>
      <c r="M32" s="52">
        <v>59.76</v>
      </c>
      <c r="N32" s="52">
        <v>0</v>
      </c>
      <c r="O32" s="52">
        <v>0</v>
      </c>
      <c r="P32" s="52">
        <v>0.48</v>
      </c>
      <c r="Q32" s="52">
        <v>5.14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4.16</v>
      </c>
      <c r="C34" s="41">
        <f t="shared" si="0"/>
        <v>46.03</v>
      </c>
      <c r="D34" s="41">
        <f t="shared" si="0"/>
        <v>28.84</v>
      </c>
      <c r="E34" s="41">
        <f t="shared" si="0"/>
        <v>0</v>
      </c>
      <c r="F34" s="41">
        <f t="shared" si="0"/>
        <v>3.78</v>
      </c>
      <c r="G34" s="41">
        <f t="shared" si="0"/>
        <v>37.42</v>
      </c>
      <c r="H34" s="41">
        <f t="shared" si="0"/>
        <v>20.59</v>
      </c>
      <c r="I34" s="41">
        <f t="shared" si="0"/>
        <v>0</v>
      </c>
      <c r="J34" s="41">
        <f t="shared" si="0"/>
        <v>0.17</v>
      </c>
      <c r="K34" s="41">
        <f t="shared" si="0"/>
        <v>53.15</v>
      </c>
      <c r="L34" s="41">
        <f t="shared" si="0"/>
        <v>25.85</v>
      </c>
      <c r="M34" s="41">
        <f t="shared" si="0"/>
        <v>32.659999999999997</v>
      </c>
      <c r="N34" s="41">
        <f t="shared" si="0"/>
        <v>0</v>
      </c>
      <c r="O34" s="41">
        <f t="shared" si="0"/>
        <v>0</v>
      </c>
      <c r="P34" s="41">
        <f t="shared" si="0"/>
        <v>0.1</v>
      </c>
      <c r="Q34" s="41">
        <f t="shared" si="0"/>
        <v>0.08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24.03</v>
      </c>
      <c r="C35" s="33">
        <f t="shared" si="1"/>
        <v>70.75</v>
      </c>
      <c r="D35" s="33">
        <f t="shared" si="1"/>
        <v>55.1</v>
      </c>
      <c r="E35" s="33">
        <f t="shared" si="1"/>
        <v>20.96</v>
      </c>
      <c r="F35" s="33">
        <f t="shared" si="1"/>
        <v>62.6</v>
      </c>
      <c r="G35" s="33">
        <f t="shared" si="1"/>
        <v>89.22</v>
      </c>
      <c r="H35" s="33">
        <f t="shared" si="1"/>
        <v>32.229999999999997</v>
      </c>
      <c r="I35" s="33">
        <f t="shared" si="1"/>
        <v>7.29</v>
      </c>
      <c r="J35" s="33">
        <f t="shared" si="1"/>
        <v>1.1299999999999999</v>
      </c>
      <c r="K35" s="33">
        <f t="shared" si="1"/>
        <v>311.95</v>
      </c>
      <c r="L35" s="33">
        <f t="shared" si="1"/>
        <v>39.29</v>
      </c>
      <c r="M35" s="33">
        <f t="shared" si="1"/>
        <v>85.97</v>
      </c>
      <c r="N35" s="33">
        <f t="shared" si="1"/>
        <v>821</v>
      </c>
      <c r="O35" s="33">
        <f t="shared" si="1"/>
        <v>0</v>
      </c>
      <c r="P35" s="33">
        <f t="shared" si="1"/>
        <v>1.18</v>
      </c>
      <c r="Q35" s="33">
        <f t="shared" si="1"/>
        <v>5.14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10.581666666666667</v>
      </c>
      <c r="C36" s="41">
        <f t="shared" si="2"/>
        <v>61.058333333333337</v>
      </c>
      <c r="D36" s="41">
        <f t="shared" si="2"/>
        <v>41.470833333333339</v>
      </c>
      <c r="E36" s="41">
        <f t="shared" si="2"/>
        <v>10.095652173913043</v>
      </c>
      <c r="F36" s="41">
        <f t="shared" si="2"/>
        <v>15.58173913043478</v>
      </c>
      <c r="G36" s="41">
        <f t="shared" si="2"/>
        <v>58.82833333333334</v>
      </c>
      <c r="H36" s="41">
        <f t="shared" si="2"/>
        <v>24.850833333333327</v>
      </c>
      <c r="I36" s="41">
        <f t="shared" si="2"/>
        <v>2.7150000000000003</v>
      </c>
      <c r="J36" s="41">
        <f t="shared" si="2"/>
        <v>0.50749999999999995</v>
      </c>
      <c r="K36" s="41">
        <f t="shared" si="2"/>
        <v>215.96624999999997</v>
      </c>
      <c r="L36" s="41">
        <f t="shared" si="2"/>
        <v>32.344583333333325</v>
      </c>
      <c r="M36" s="41">
        <f t="shared" si="2"/>
        <v>58.986250000000005</v>
      </c>
      <c r="N36" s="41">
        <f t="shared" si="2"/>
        <v>227.64583333333329</v>
      </c>
      <c r="O36" s="41">
        <f t="shared" si="2"/>
        <v>0</v>
      </c>
      <c r="P36" s="41">
        <f t="shared" si="2"/>
        <v>0.46166666666666667</v>
      </c>
      <c r="Q36" s="41">
        <f t="shared" si="2"/>
        <v>4.2641666666666662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6.8995979241656906</v>
      </c>
      <c r="C37" s="41">
        <f t="shared" ref="C37:Q37" si="3">STDEV(C9:C32)</f>
        <v>7.4569648143480363</v>
      </c>
      <c r="D37" s="41">
        <f t="shared" si="3"/>
        <v>7.7831361502502894</v>
      </c>
      <c r="E37" s="41">
        <f t="shared" si="3"/>
        <v>5.7959247643079159</v>
      </c>
      <c r="F37" s="41">
        <f t="shared" si="3"/>
        <v>19.626461648446586</v>
      </c>
      <c r="G37" s="41">
        <f t="shared" si="3"/>
        <v>14.623478937376129</v>
      </c>
      <c r="H37" s="41">
        <f t="shared" si="3"/>
        <v>2.7944897903563688</v>
      </c>
      <c r="I37" s="41">
        <f t="shared" si="3"/>
        <v>2.9008514492187949</v>
      </c>
      <c r="J37" s="41">
        <f t="shared" si="3"/>
        <v>0.27035001467501829</v>
      </c>
      <c r="K37" s="41">
        <f t="shared" si="3"/>
        <v>74.462298415547892</v>
      </c>
      <c r="L37" s="41">
        <f t="shared" si="3"/>
        <v>4.6809298399641577</v>
      </c>
      <c r="M37" s="41">
        <f t="shared" si="3"/>
        <v>17.921582037236266</v>
      </c>
      <c r="N37" s="41">
        <f t="shared" si="3"/>
        <v>307.94074667075961</v>
      </c>
      <c r="O37" s="41">
        <f t="shared" si="3"/>
        <v>0</v>
      </c>
      <c r="P37" s="41">
        <f t="shared" si="3"/>
        <v>0.30105129805063296</v>
      </c>
      <c r="Q37" s="41">
        <f t="shared" si="3"/>
        <v>1.3410542551110758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P38" sqref="P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250</v>
      </c>
      <c r="B9" s="52">
        <v>25.43</v>
      </c>
      <c r="C9" s="52">
        <v>65.33</v>
      </c>
      <c r="D9" s="52">
        <v>55.44</v>
      </c>
      <c r="E9" s="52">
        <v>5.68</v>
      </c>
      <c r="F9" s="52">
        <v>3.6</v>
      </c>
      <c r="G9" s="52">
        <v>60.38</v>
      </c>
      <c r="H9" s="52">
        <v>27.01</v>
      </c>
      <c r="I9" s="52">
        <v>4.95</v>
      </c>
      <c r="J9" s="52">
        <v>0.32</v>
      </c>
      <c r="K9" s="52">
        <v>342.42</v>
      </c>
      <c r="L9" s="52">
        <v>28.05</v>
      </c>
      <c r="M9" s="52">
        <v>71.650000000000006</v>
      </c>
      <c r="N9" s="52">
        <v>0</v>
      </c>
      <c r="O9" s="52">
        <v>0</v>
      </c>
      <c r="P9" s="52">
        <v>0.44</v>
      </c>
      <c r="Q9" s="52">
        <v>5.14</v>
      </c>
      <c r="R9" s="50"/>
      <c r="S9" s="50"/>
      <c r="T9" s="50"/>
      <c r="U9" s="50"/>
    </row>
    <row r="10" spans="1:21" customFormat="1">
      <c r="A10" s="51" t="s">
        <v>251</v>
      </c>
      <c r="B10" s="52">
        <v>25.29</v>
      </c>
      <c r="C10" s="52">
        <v>61.47</v>
      </c>
      <c r="D10" s="52">
        <v>53.59</v>
      </c>
      <c r="E10" s="52">
        <v>5.46</v>
      </c>
      <c r="F10" s="52">
        <v>3.62</v>
      </c>
      <c r="G10" s="52">
        <v>55.38</v>
      </c>
      <c r="H10" s="52">
        <v>22.7</v>
      </c>
      <c r="I10" s="52">
        <v>4.6500000000000004</v>
      </c>
      <c r="J10" s="52">
        <v>0.23</v>
      </c>
      <c r="K10" s="52">
        <v>181.07</v>
      </c>
      <c r="L10" s="52">
        <v>27</v>
      </c>
      <c r="M10" s="52">
        <v>75</v>
      </c>
      <c r="N10" s="52">
        <v>0</v>
      </c>
      <c r="O10" s="52">
        <v>0</v>
      </c>
      <c r="P10" s="52">
        <v>0.4</v>
      </c>
      <c r="Q10" s="52">
        <v>5.09</v>
      </c>
      <c r="R10" s="50"/>
      <c r="S10" s="50"/>
      <c r="T10" s="50"/>
      <c r="U10" s="50"/>
    </row>
    <row r="11" spans="1:21" customFormat="1">
      <c r="A11" s="51" t="s">
        <v>252</v>
      </c>
      <c r="B11" s="52">
        <v>29.65</v>
      </c>
      <c r="C11" s="52">
        <v>61.54</v>
      </c>
      <c r="D11" s="52">
        <v>57.51</v>
      </c>
      <c r="E11" s="52">
        <v>6.27</v>
      </c>
      <c r="F11" s="52">
        <v>3.56</v>
      </c>
      <c r="G11" s="52">
        <v>53.67</v>
      </c>
      <c r="H11" s="52">
        <v>22.19</v>
      </c>
      <c r="I11" s="52">
        <v>4.38</v>
      </c>
      <c r="J11" s="52">
        <v>0.37</v>
      </c>
      <c r="K11" s="52">
        <v>186.27</v>
      </c>
      <c r="L11" s="52">
        <v>27.47</v>
      </c>
      <c r="M11" s="52">
        <v>71.88</v>
      </c>
      <c r="N11" s="52">
        <v>0</v>
      </c>
      <c r="O11" s="52">
        <v>0</v>
      </c>
      <c r="P11" s="52">
        <v>0.4</v>
      </c>
      <c r="Q11" s="52">
        <v>5.31</v>
      </c>
      <c r="R11" s="50"/>
      <c r="S11" s="50"/>
      <c r="T11" s="50"/>
      <c r="U11" s="50"/>
    </row>
    <row r="12" spans="1:21" customFormat="1">
      <c r="A12" s="51" t="s">
        <v>253</v>
      </c>
      <c r="B12" s="52">
        <v>31.81</v>
      </c>
      <c r="C12" s="52">
        <v>61.73</v>
      </c>
      <c r="D12" s="52">
        <v>59.03</v>
      </c>
      <c r="E12" s="52">
        <v>5.69</v>
      </c>
      <c r="F12" s="52">
        <v>3.69</v>
      </c>
      <c r="G12" s="52">
        <v>58.15</v>
      </c>
      <c r="H12" s="52">
        <v>24.06</v>
      </c>
      <c r="I12" s="52">
        <v>4.83</v>
      </c>
      <c r="J12" s="52">
        <v>0.48</v>
      </c>
      <c r="K12" s="52">
        <v>161.57</v>
      </c>
      <c r="L12" s="52">
        <v>27.54</v>
      </c>
      <c r="M12" s="52">
        <v>76.349999999999994</v>
      </c>
      <c r="N12" s="52">
        <v>0</v>
      </c>
      <c r="O12" s="52">
        <v>0</v>
      </c>
      <c r="P12" s="52">
        <v>0.39</v>
      </c>
      <c r="Q12" s="52">
        <v>5.39</v>
      </c>
      <c r="R12" s="50"/>
      <c r="S12" s="50"/>
      <c r="T12" s="50"/>
      <c r="U12" s="50"/>
    </row>
    <row r="13" spans="1:21" customFormat="1">
      <c r="A13" s="51" t="s">
        <v>254</v>
      </c>
      <c r="B13" s="52">
        <v>31.1</v>
      </c>
      <c r="C13" s="52">
        <v>59.48</v>
      </c>
      <c r="D13" s="52">
        <v>57.31</v>
      </c>
      <c r="E13" s="52">
        <v>5.79</v>
      </c>
      <c r="F13" s="52">
        <v>3.7</v>
      </c>
      <c r="G13" s="52">
        <v>58.76</v>
      </c>
      <c r="H13" s="52">
        <v>25.8</v>
      </c>
      <c r="I13" s="52">
        <v>4.99</v>
      </c>
      <c r="J13" s="52">
        <v>0.27</v>
      </c>
      <c r="K13" s="52">
        <v>212.42</v>
      </c>
      <c r="L13" s="52">
        <v>25.99</v>
      </c>
      <c r="M13" s="52">
        <v>80.739999999999995</v>
      </c>
      <c r="N13" s="52">
        <v>0</v>
      </c>
      <c r="O13" s="52">
        <v>0</v>
      </c>
      <c r="P13" s="52">
        <v>0.38</v>
      </c>
      <c r="Q13" s="52">
        <v>5.25</v>
      </c>
      <c r="R13" s="50"/>
      <c r="S13" s="50"/>
      <c r="T13" s="50"/>
      <c r="U13" s="50"/>
    </row>
    <row r="14" spans="1:21" customFormat="1">
      <c r="A14" s="51" t="s">
        <v>255</v>
      </c>
      <c r="B14" s="52">
        <v>30.88</v>
      </c>
      <c r="C14" s="52">
        <v>58.37</v>
      </c>
      <c r="D14" s="52">
        <v>57.65</v>
      </c>
      <c r="E14" s="52">
        <v>5.5</v>
      </c>
      <c r="F14" s="52">
        <v>3.62</v>
      </c>
      <c r="G14" s="52">
        <v>60.86</v>
      </c>
      <c r="H14" s="52">
        <v>26.31</v>
      </c>
      <c r="I14" s="52">
        <v>4.95</v>
      </c>
      <c r="J14" s="52">
        <v>0.6</v>
      </c>
      <c r="K14" s="52">
        <v>307.55</v>
      </c>
      <c r="L14" s="52">
        <v>26.58</v>
      </c>
      <c r="M14" s="52">
        <v>77.53</v>
      </c>
      <c r="N14" s="52">
        <v>28.5</v>
      </c>
      <c r="O14" s="52">
        <v>0</v>
      </c>
      <c r="P14" s="52">
        <v>0.39</v>
      </c>
      <c r="Q14" s="52">
        <v>5.26</v>
      </c>
      <c r="R14" s="50"/>
      <c r="S14" s="50"/>
      <c r="T14" s="50"/>
      <c r="U14" s="50"/>
    </row>
    <row r="15" spans="1:21" customFormat="1">
      <c r="A15" s="51" t="s">
        <v>256</v>
      </c>
      <c r="B15" s="52">
        <v>35.229999999999997</v>
      </c>
      <c r="C15" s="52">
        <v>59.12</v>
      </c>
      <c r="D15" s="52">
        <v>60.27</v>
      </c>
      <c r="E15" s="52">
        <v>5.55</v>
      </c>
      <c r="F15" s="52">
        <v>3.69</v>
      </c>
      <c r="G15" s="52">
        <v>72.58</v>
      </c>
      <c r="H15" s="52">
        <v>26.37</v>
      </c>
      <c r="I15" s="52">
        <v>5.83</v>
      </c>
      <c r="J15" s="52">
        <v>0.63</v>
      </c>
      <c r="K15" s="52">
        <v>127.27</v>
      </c>
      <c r="L15" s="52">
        <v>29.08</v>
      </c>
      <c r="M15" s="52">
        <v>71.06</v>
      </c>
      <c r="N15" s="52">
        <v>79.5</v>
      </c>
      <c r="O15" s="52">
        <v>0</v>
      </c>
      <c r="P15" s="52">
        <v>0.47</v>
      </c>
      <c r="Q15" s="52">
        <v>5.45</v>
      </c>
      <c r="R15" s="50"/>
      <c r="S15" s="50"/>
      <c r="T15" s="50"/>
      <c r="U15" s="50"/>
    </row>
    <row r="16" spans="1:21" customFormat="1">
      <c r="A16" s="51" t="s">
        <v>257</v>
      </c>
      <c r="B16" s="52">
        <v>34.54</v>
      </c>
      <c r="C16" s="52">
        <v>59.63</v>
      </c>
      <c r="D16" s="52">
        <v>58.73</v>
      </c>
      <c r="E16" s="52">
        <v>5.88</v>
      </c>
      <c r="F16" s="52">
        <v>4.92</v>
      </c>
      <c r="G16" s="52">
        <v>77.540000000000006</v>
      </c>
      <c r="H16" s="52">
        <v>29.12</v>
      </c>
      <c r="I16" s="52">
        <v>6.24</v>
      </c>
      <c r="J16" s="52">
        <v>0.28999999999999998</v>
      </c>
      <c r="K16" s="52">
        <v>161.69999999999999</v>
      </c>
      <c r="L16" s="52">
        <v>31.75</v>
      </c>
      <c r="M16" s="52">
        <v>60.84</v>
      </c>
      <c r="N16" s="52">
        <v>118.6</v>
      </c>
      <c r="O16" s="52">
        <v>0</v>
      </c>
      <c r="P16" s="52">
        <v>0.48</v>
      </c>
      <c r="Q16" s="52">
        <v>5.34</v>
      </c>
      <c r="R16" s="50"/>
      <c r="S16" s="50"/>
      <c r="T16" s="50"/>
      <c r="U16" s="50"/>
    </row>
    <row r="17" spans="1:21" customFormat="1">
      <c r="A17" s="51" t="s">
        <v>258</v>
      </c>
      <c r="B17" s="52">
        <v>25.07</v>
      </c>
      <c r="C17" s="52">
        <v>54.82</v>
      </c>
      <c r="D17" s="52">
        <v>42</v>
      </c>
      <c r="E17" s="52">
        <v>17.53</v>
      </c>
      <c r="F17" s="52">
        <v>33.450000000000003</v>
      </c>
      <c r="G17" s="52">
        <v>79.61</v>
      </c>
      <c r="H17" s="52">
        <v>29.14</v>
      </c>
      <c r="I17" s="52">
        <v>6.2</v>
      </c>
      <c r="J17" s="52">
        <v>0.41</v>
      </c>
      <c r="K17" s="52">
        <v>311.2</v>
      </c>
      <c r="L17" s="52">
        <v>33.08</v>
      </c>
      <c r="M17" s="52">
        <v>52.61</v>
      </c>
      <c r="N17" s="52">
        <v>218.3</v>
      </c>
      <c r="O17" s="52">
        <v>0</v>
      </c>
      <c r="P17" s="52">
        <v>0.63</v>
      </c>
      <c r="Q17" s="52">
        <v>4.72</v>
      </c>
      <c r="R17" s="50"/>
      <c r="S17" s="50"/>
      <c r="T17" s="50"/>
      <c r="U17" s="50"/>
    </row>
    <row r="18" spans="1:21" customFormat="1">
      <c r="A18" s="51" t="s">
        <v>259</v>
      </c>
      <c r="B18" s="52">
        <v>9.48</v>
      </c>
      <c r="C18" s="52">
        <v>44.65</v>
      </c>
      <c r="D18" s="52">
        <v>31.9</v>
      </c>
      <c r="E18" s="52">
        <v>67.040000000000006</v>
      </c>
      <c r="F18" s="52">
        <v>57.53</v>
      </c>
      <c r="G18" s="52">
        <v>78.14</v>
      </c>
      <c r="H18" s="52">
        <v>32.340000000000003</v>
      </c>
      <c r="I18" s="52">
        <v>5.63</v>
      </c>
      <c r="J18" s="52">
        <v>0.5</v>
      </c>
      <c r="K18" s="52">
        <v>45.67</v>
      </c>
      <c r="L18" s="52">
        <v>35.64</v>
      </c>
      <c r="M18" s="52">
        <v>48.47</v>
      </c>
      <c r="N18" s="52">
        <v>305.5</v>
      </c>
      <c r="O18" s="52">
        <v>0</v>
      </c>
      <c r="P18" s="11" t="s">
        <v>12</v>
      </c>
      <c r="Q18" s="52">
        <v>3.93</v>
      </c>
      <c r="R18" s="50"/>
      <c r="S18" s="50"/>
      <c r="T18" s="50"/>
      <c r="U18" s="50"/>
    </row>
    <row r="19" spans="1:21" customFormat="1">
      <c r="A19" s="51" t="s">
        <v>260</v>
      </c>
      <c r="B19" s="52">
        <v>8.99</v>
      </c>
      <c r="C19" s="52">
        <v>50.62</v>
      </c>
      <c r="D19" s="52">
        <v>33.51</v>
      </c>
      <c r="E19" s="52">
        <v>66.72</v>
      </c>
      <c r="F19" s="52">
        <v>81.05</v>
      </c>
      <c r="G19" s="52">
        <v>201.73</v>
      </c>
      <c r="H19" s="52">
        <v>47.06</v>
      </c>
      <c r="I19" s="52">
        <v>7.82</v>
      </c>
      <c r="J19" s="52">
        <v>0.68</v>
      </c>
      <c r="K19" s="52">
        <v>308.5</v>
      </c>
      <c r="L19" s="52">
        <v>37.11</v>
      </c>
      <c r="M19" s="52">
        <v>42.75</v>
      </c>
      <c r="N19" s="52">
        <v>577.29999999999995</v>
      </c>
      <c r="O19" s="52">
        <v>0</v>
      </c>
      <c r="P19" s="11" t="s">
        <v>12</v>
      </c>
      <c r="Q19" s="52">
        <v>4.3099999999999996</v>
      </c>
      <c r="R19" s="50"/>
      <c r="S19" s="50"/>
      <c r="T19" s="50"/>
      <c r="U19" s="50"/>
    </row>
    <row r="20" spans="1:21" customFormat="1">
      <c r="A20" s="51" t="s">
        <v>261</v>
      </c>
      <c r="B20" s="52">
        <v>5.59</v>
      </c>
      <c r="C20" s="52">
        <v>47.83</v>
      </c>
      <c r="D20" s="52">
        <v>29.77</v>
      </c>
      <c r="E20" s="52">
        <v>67.64</v>
      </c>
      <c r="F20" s="52">
        <v>74.13</v>
      </c>
      <c r="G20" s="52">
        <v>234.8</v>
      </c>
      <c r="H20" s="52">
        <v>64.400000000000006</v>
      </c>
      <c r="I20" s="52">
        <v>8.59</v>
      </c>
      <c r="J20" s="52">
        <v>0.63</v>
      </c>
      <c r="K20" s="52">
        <v>288.5</v>
      </c>
      <c r="L20" s="52">
        <v>37.78</v>
      </c>
      <c r="M20" s="52">
        <v>41.42</v>
      </c>
      <c r="N20" s="52">
        <v>714.4</v>
      </c>
      <c r="O20" s="52">
        <v>0</v>
      </c>
      <c r="P20" s="11" t="s">
        <v>12</v>
      </c>
      <c r="Q20" s="52">
        <v>4.63</v>
      </c>
      <c r="R20" s="50"/>
      <c r="S20" s="50"/>
      <c r="T20" s="50"/>
      <c r="U20" s="50"/>
    </row>
    <row r="21" spans="1:21" customFormat="1">
      <c r="A21" s="51" t="s">
        <v>262</v>
      </c>
      <c r="B21" s="52">
        <v>4.2699999999999996</v>
      </c>
      <c r="C21" s="52">
        <v>45.6</v>
      </c>
      <c r="D21" s="52">
        <v>51.57</v>
      </c>
      <c r="E21" s="52">
        <v>51.33</v>
      </c>
      <c r="F21" s="52">
        <v>124.07</v>
      </c>
      <c r="G21" s="52">
        <v>104.13</v>
      </c>
      <c r="H21" s="52">
        <v>43.44</v>
      </c>
      <c r="I21" s="52">
        <v>7.12</v>
      </c>
      <c r="J21" s="52">
        <v>0.95</v>
      </c>
      <c r="K21" s="52">
        <v>283.82</v>
      </c>
      <c r="L21" s="52">
        <v>38.68</v>
      </c>
      <c r="M21" s="52">
        <v>34.25</v>
      </c>
      <c r="N21" s="52">
        <v>756.5</v>
      </c>
      <c r="O21" s="52">
        <v>0</v>
      </c>
      <c r="P21" s="30" t="s">
        <v>8</v>
      </c>
      <c r="Q21" s="52">
        <v>6.23</v>
      </c>
      <c r="R21" s="50"/>
      <c r="S21" s="50"/>
      <c r="T21" s="50"/>
      <c r="U21" s="50"/>
    </row>
    <row r="22" spans="1:21" customFormat="1">
      <c r="A22" s="51" t="s">
        <v>263</v>
      </c>
      <c r="B22" s="52">
        <v>5.57</v>
      </c>
      <c r="C22" s="52">
        <v>28.46</v>
      </c>
      <c r="D22" s="52">
        <v>20.5</v>
      </c>
      <c r="E22" s="52">
        <v>42.53</v>
      </c>
      <c r="F22" s="52">
        <v>119.1</v>
      </c>
      <c r="G22" s="52">
        <v>63.83</v>
      </c>
      <c r="H22" s="52">
        <v>33.33</v>
      </c>
      <c r="I22" s="52">
        <v>6.3</v>
      </c>
      <c r="J22" s="52">
        <v>0.79</v>
      </c>
      <c r="K22" s="52">
        <v>308.08</v>
      </c>
      <c r="L22" s="52">
        <v>38.92</v>
      </c>
      <c r="M22" s="52">
        <v>31.35</v>
      </c>
      <c r="N22" s="52">
        <v>679.2</v>
      </c>
      <c r="O22" s="52">
        <v>0</v>
      </c>
      <c r="P22" s="30" t="s">
        <v>8</v>
      </c>
      <c r="Q22" s="52">
        <v>3.78</v>
      </c>
      <c r="R22" s="50"/>
      <c r="S22" s="50"/>
      <c r="T22" s="50"/>
      <c r="U22" s="50"/>
    </row>
    <row r="23" spans="1:21" customFormat="1">
      <c r="A23" s="51" t="s">
        <v>264</v>
      </c>
      <c r="B23" s="52">
        <v>5.77</v>
      </c>
      <c r="C23" s="52">
        <v>32.97</v>
      </c>
      <c r="D23" s="52">
        <v>22.84</v>
      </c>
      <c r="E23" s="52">
        <v>18.52</v>
      </c>
      <c r="F23" s="52">
        <v>66.59</v>
      </c>
      <c r="G23" s="52">
        <v>59.35</v>
      </c>
      <c r="H23" s="52">
        <v>33</v>
      </c>
      <c r="I23" s="52">
        <v>2.57</v>
      </c>
      <c r="J23" s="52">
        <v>0.54</v>
      </c>
      <c r="K23" s="52">
        <v>335.42</v>
      </c>
      <c r="L23" s="52">
        <v>39.44</v>
      </c>
      <c r="M23" s="52">
        <v>29.41</v>
      </c>
      <c r="N23" s="52">
        <v>647.29999999999995</v>
      </c>
      <c r="O23" s="52">
        <v>0</v>
      </c>
      <c r="P23" s="30" t="s">
        <v>8</v>
      </c>
      <c r="Q23" s="52">
        <v>3.32</v>
      </c>
      <c r="R23" s="50"/>
      <c r="S23" s="50"/>
      <c r="T23" s="50"/>
      <c r="U23" s="50"/>
    </row>
    <row r="24" spans="1:21" customFormat="1">
      <c r="A24" s="51" t="s">
        <v>265</v>
      </c>
      <c r="B24" s="52">
        <v>4.7</v>
      </c>
      <c r="C24" s="52">
        <v>31.02</v>
      </c>
      <c r="D24" s="52">
        <v>21.5</v>
      </c>
      <c r="E24" s="52">
        <v>19.100000000000001</v>
      </c>
      <c r="F24" s="52">
        <v>66.87</v>
      </c>
      <c r="G24" s="52">
        <v>61.97</v>
      </c>
      <c r="H24" s="52">
        <v>28.06</v>
      </c>
      <c r="I24" s="52">
        <v>2.9</v>
      </c>
      <c r="J24" s="52">
        <v>0.41</v>
      </c>
      <c r="K24" s="52">
        <v>223.44</v>
      </c>
      <c r="L24" s="52">
        <v>37.93</v>
      </c>
      <c r="M24" s="52">
        <v>38.880000000000003</v>
      </c>
      <c r="N24" s="52">
        <v>245.8</v>
      </c>
      <c r="O24" s="52">
        <v>0</v>
      </c>
      <c r="P24" s="30" t="s">
        <v>8</v>
      </c>
      <c r="Q24" s="52">
        <v>3.43</v>
      </c>
      <c r="R24" s="50"/>
      <c r="S24" s="50"/>
      <c r="T24" s="50"/>
      <c r="U24" s="50"/>
    </row>
    <row r="25" spans="1:21" customFormat="1">
      <c r="A25" s="51" t="s">
        <v>266</v>
      </c>
      <c r="B25" s="52">
        <v>5.35</v>
      </c>
      <c r="C25" s="52">
        <v>35.229999999999997</v>
      </c>
      <c r="D25" s="52">
        <v>24.05</v>
      </c>
      <c r="E25" s="52">
        <v>10.52</v>
      </c>
      <c r="F25" s="52">
        <v>61.58</v>
      </c>
      <c r="G25" s="52">
        <v>58.31</v>
      </c>
      <c r="H25" s="52">
        <v>27.14</v>
      </c>
      <c r="I25" s="52">
        <v>3.22</v>
      </c>
      <c r="J25" s="52">
        <v>0.59</v>
      </c>
      <c r="K25" s="52">
        <v>251.92</v>
      </c>
      <c r="L25" s="52">
        <v>36.229999999999997</v>
      </c>
      <c r="M25" s="52">
        <v>40.909999999999997</v>
      </c>
      <c r="N25" s="52">
        <v>157.80000000000001</v>
      </c>
      <c r="O25" s="52">
        <v>0</v>
      </c>
      <c r="P25" s="30" t="s">
        <v>8</v>
      </c>
      <c r="Q25" s="52">
        <v>3.58</v>
      </c>
      <c r="R25" s="50"/>
      <c r="S25" s="50"/>
      <c r="T25" s="50"/>
      <c r="U25" s="50"/>
    </row>
    <row r="26" spans="1:21" customFormat="1">
      <c r="A26" s="51" t="s">
        <v>267</v>
      </c>
      <c r="B26" s="52">
        <v>6.51</v>
      </c>
      <c r="C26" s="52">
        <v>58.86</v>
      </c>
      <c r="D26" s="52">
        <v>38.020000000000003</v>
      </c>
      <c r="E26" s="52">
        <v>12.74</v>
      </c>
      <c r="F26" s="52">
        <v>68.22</v>
      </c>
      <c r="G26" s="52">
        <v>39.64</v>
      </c>
      <c r="H26" s="52">
        <v>26.1</v>
      </c>
      <c r="I26" s="52">
        <v>3.62</v>
      </c>
      <c r="J26" s="52">
        <v>0.22</v>
      </c>
      <c r="K26" s="52">
        <v>224.26</v>
      </c>
      <c r="L26" s="52">
        <v>36.11</v>
      </c>
      <c r="M26" s="52">
        <v>44.61</v>
      </c>
      <c r="N26" s="52">
        <v>74.900000000000006</v>
      </c>
      <c r="O26" s="52">
        <v>0</v>
      </c>
      <c r="P26" s="30" t="s">
        <v>8</v>
      </c>
      <c r="Q26" s="52">
        <v>3.92</v>
      </c>
      <c r="R26" s="50"/>
      <c r="S26" s="50"/>
      <c r="T26" s="50"/>
      <c r="U26" s="50"/>
    </row>
    <row r="27" spans="1:21" customFormat="1">
      <c r="A27" s="51" t="s">
        <v>268</v>
      </c>
      <c r="B27" s="52">
        <v>11.27</v>
      </c>
      <c r="C27" s="52">
        <v>73.37</v>
      </c>
      <c r="D27" s="52">
        <v>50</v>
      </c>
      <c r="E27" s="52">
        <v>12.25</v>
      </c>
      <c r="F27" s="52">
        <v>4.4000000000000004</v>
      </c>
      <c r="G27" s="52">
        <v>41.33</v>
      </c>
      <c r="H27" s="52">
        <v>25.05</v>
      </c>
      <c r="I27" s="52">
        <v>4.75</v>
      </c>
      <c r="J27" s="52">
        <v>0.27</v>
      </c>
      <c r="K27" s="52">
        <v>300.97000000000003</v>
      </c>
      <c r="L27" s="52">
        <v>33.409999999999997</v>
      </c>
      <c r="M27" s="52">
        <v>58.86</v>
      </c>
      <c r="N27" s="52">
        <v>0</v>
      </c>
      <c r="O27" s="52">
        <v>0</v>
      </c>
      <c r="P27" s="30" t="s">
        <v>8</v>
      </c>
      <c r="Q27" s="52">
        <v>4.59</v>
      </c>
      <c r="R27" s="50"/>
      <c r="S27" s="50"/>
      <c r="T27" s="50"/>
      <c r="U27" s="50"/>
    </row>
    <row r="28" spans="1:21" customFormat="1">
      <c r="A28" s="51" t="s">
        <v>269</v>
      </c>
      <c r="B28" s="52">
        <v>13.7</v>
      </c>
      <c r="C28" s="52">
        <v>79.91</v>
      </c>
      <c r="D28" s="52">
        <v>56.06</v>
      </c>
      <c r="E28" s="52">
        <v>12.06</v>
      </c>
      <c r="F28" s="52">
        <v>7.31</v>
      </c>
      <c r="G28" s="52">
        <v>84.4</v>
      </c>
      <c r="H28" s="52">
        <v>28.28</v>
      </c>
      <c r="I28" s="52">
        <v>5.05</v>
      </c>
      <c r="J28" s="52">
        <v>3.59</v>
      </c>
      <c r="K28" s="52">
        <v>346.16</v>
      </c>
      <c r="L28" s="52">
        <v>30.72</v>
      </c>
      <c r="M28" s="52">
        <v>65.13</v>
      </c>
      <c r="N28" s="52">
        <v>0</v>
      </c>
      <c r="O28" s="52">
        <v>0</v>
      </c>
      <c r="P28" s="30" t="s">
        <v>8</v>
      </c>
      <c r="Q28" s="52">
        <v>4.87</v>
      </c>
      <c r="R28" s="50"/>
      <c r="S28" s="50"/>
      <c r="T28" s="50"/>
      <c r="U28" s="50"/>
    </row>
    <row r="29" spans="1:21" customFormat="1">
      <c r="A29" s="51" t="s">
        <v>270</v>
      </c>
      <c r="B29" s="52">
        <v>15.66</v>
      </c>
      <c r="C29" s="30" t="s">
        <v>8</v>
      </c>
      <c r="D29" s="52">
        <v>60.07</v>
      </c>
      <c r="E29" s="52">
        <v>10.039999999999999</v>
      </c>
      <c r="F29" s="52">
        <v>5.28</v>
      </c>
      <c r="G29" s="52">
        <v>89.27</v>
      </c>
      <c r="H29" s="52">
        <v>21.28</v>
      </c>
      <c r="I29" s="52">
        <v>0</v>
      </c>
      <c r="J29" s="52">
        <v>1.27</v>
      </c>
      <c r="K29" s="52">
        <v>1.24</v>
      </c>
      <c r="L29" s="52">
        <v>27.69</v>
      </c>
      <c r="M29" s="52">
        <v>65.84</v>
      </c>
      <c r="N29" s="52">
        <v>0</v>
      </c>
      <c r="O29" s="52">
        <v>0</v>
      </c>
      <c r="P29" s="30" t="s">
        <v>8</v>
      </c>
      <c r="Q29" s="30" t="s">
        <v>8</v>
      </c>
      <c r="R29" s="50"/>
      <c r="S29" s="50"/>
      <c r="T29" s="50"/>
      <c r="U29" s="50"/>
    </row>
    <row r="30" spans="1:21" customFormat="1">
      <c r="A30" s="51" t="s">
        <v>271</v>
      </c>
      <c r="B30" s="52">
        <v>23.11</v>
      </c>
      <c r="C30" s="52">
        <v>4.43</v>
      </c>
      <c r="D30" s="52">
        <v>65.260000000000005</v>
      </c>
      <c r="E30" s="52">
        <v>8.42</v>
      </c>
      <c r="F30" s="52">
        <v>1.44</v>
      </c>
      <c r="G30" s="52">
        <v>80.81</v>
      </c>
      <c r="H30" s="52">
        <v>19.89</v>
      </c>
      <c r="I30" s="52">
        <v>0</v>
      </c>
      <c r="J30" s="52">
        <v>0.39</v>
      </c>
      <c r="K30" s="52">
        <v>217.78</v>
      </c>
      <c r="L30" s="52">
        <v>28.48</v>
      </c>
      <c r="M30" s="52">
        <v>63.56</v>
      </c>
      <c r="N30" s="52">
        <v>0</v>
      </c>
      <c r="O30" s="52">
        <v>0</v>
      </c>
      <c r="P30" s="30" t="s">
        <v>8</v>
      </c>
      <c r="Q30" s="30" t="s">
        <v>8</v>
      </c>
      <c r="R30" s="50"/>
      <c r="S30" s="50"/>
      <c r="T30" s="50"/>
      <c r="U30" s="50"/>
    </row>
    <row r="31" spans="1:21" customFormat="1">
      <c r="A31" s="51" t="s">
        <v>272</v>
      </c>
      <c r="B31" s="52">
        <v>25.74</v>
      </c>
      <c r="C31" s="30" t="s">
        <v>8</v>
      </c>
      <c r="D31" s="52">
        <v>65.319999999999993</v>
      </c>
      <c r="E31" s="52">
        <v>0</v>
      </c>
      <c r="F31" s="52">
        <v>3.02</v>
      </c>
      <c r="G31" s="52">
        <v>12.88</v>
      </c>
      <c r="H31" s="52">
        <v>17.329999999999998</v>
      </c>
      <c r="I31" s="52">
        <v>0</v>
      </c>
      <c r="J31" s="52">
        <v>0.11</v>
      </c>
      <c r="K31" s="52">
        <v>186.18</v>
      </c>
      <c r="L31" s="52">
        <v>28.16</v>
      </c>
      <c r="M31" s="52">
        <v>67.28</v>
      </c>
      <c r="N31" s="52">
        <v>0</v>
      </c>
      <c r="O31" s="52">
        <v>0</v>
      </c>
      <c r="P31" s="30" t="s">
        <v>8</v>
      </c>
      <c r="Q31" s="30" t="s">
        <v>8</v>
      </c>
      <c r="R31" s="50"/>
      <c r="S31" s="50"/>
      <c r="T31" s="50"/>
      <c r="U31" s="50"/>
    </row>
    <row r="32" spans="1:21" customFormat="1">
      <c r="A32" s="51" t="s">
        <v>273</v>
      </c>
      <c r="B32" s="52">
        <v>30.36</v>
      </c>
      <c r="C32" s="52">
        <v>51.71</v>
      </c>
      <c r="D32" s="52">
        <v>52.69</v>
      </c>
      <c r="E32" s="52">
        <v>4</v>
      </c>
      <c r="F32" s="52">
        <v>1.4</v>
      </c>
      <c r="G32" s="52">
        <v>12.77</v>
      </c>
      <c r="H32" s="52">
        <v>17.329999999999998</v>
      </c>
      <c r="I32" s="52">
        <v>0</v>
      </c>
      <c r="J32" s="52">
        <v>0.24</v>
      </c>
      <c r="K32" s="52">
        <v>225.91</v>
      </c>
      <c r="L32" s="52">
        <v>27.31</v>
      </c>
      <c r="M32" s="52">
        <v>66.930000000000007</v>
      </c>
      <c r="N32" s="52">
        <v>0</v>
      </c>
      <c r="O32" s="52">
        <v>0</v>
      </c>
      <c r="P32" s="30" t="s">
        <v>8</v>
      </c>
      <c r="Q32" s="30" t="s">
        <v>8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4.2699999999999996</v>
      </c>
      <c r="C34" s="41">
        <f t="shared" si="0"/>
        <v>4.43</v>
      </c>
      <c r="D34" s="41">
        <f t="shared" si="0"/>
        <v>20.5</v>
      </c>
      <c r="E34" s="41">
        <f t="shared" si="0"/>
        <v>0</v>
      </c>
      <c r="F34" s="41">
        <f t="shared" si="0"/>
        <v>1.4</v>
      </c>
      <c r="G34" s="41">
        <f t="shared" si="0"/>
        <v>12.77</v>
      </c>
      <c r="H34" s="41">
        <f t="shared" si="0"/>
        <v>17.329999999999998</v>
      </c>
      <c r="I34" s="41">
        <f t="shared" si="0"/>
        <v>0</v>
      </c>
      <c r="J34" s="41">
        <f t="shared" si="0"/>
        <v>0.11</v>
      </c>
      <c r="K34" s="41">
        <f t="shared" si="0"/>
        <v>1.24</v>
      </c>
      <c r="L34" s="41">
        <f t="shared" si="0"/>
        <v>25.99</v>
      </c>
      <c r="M34" s="41">
        <f t="shared" si="0"/>
        <v>29.41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3.32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35.229999999999997</v>
      </c>
      <c r="C35" s="33">
        <f t="shared" si="1"/>
        <v>79.91</v>
      </c>
      <c r="D35" s="33">
        <f t="shared" si="1"/>
        <v>65.319999999999993</v>
      </c>
      <c r="E35" s="33">
        <f t="shared" si="1"/>
        <v>67.64</v>
      </c>
      <c r="F35" s="33">
        <f t="shared" si="1"/>
        <v>124.07</v>
      </c>
      <c r="G35" s="33">
        <f t="shared" si="1"/>
        <v>234.8</v>
      </c>
      <c r="H35" s="33">
        <f t="shared" si="1"/>
        <v>64.400000000000006</v>
      </c>
      <c r="I35" s="33">
        <f t="shared" si="1"/>
        <v>8.59</v>
      </c>
      <c r="J35" s="33">
        <f t="shared" si="1"/>
        <v>3.59</v>
      </c>
      <c r="K35" s="33">
        <f t="shared" si="1"/>
        <v>346.16</v>
      </c>
      <c r="L35" s="33">
        <f t="shared" si="1"/>
        <v>39.44</v>
      </c>
      <c r="M35" s="33">
        <f t="shared" si="1"/>
        <v>80.739999999999995</v>
      </c>
      <c r="N35" s="33">
        <f t="shared" si="1"/>
        <v>756.5</v>
      </c>
      <c r="O35" s="33">
        <f t="shared" si="1"/>
        <v>0</v>
      </c>
      <c r="P35" s="33">
        <f t="shared" si="1"/>
        <v>0.63</v>
      </c>
      <c r="Q35" s="33">
        <f t="shared" si="1"/>
        <v>6.23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18.544583333333332</v>
      </c>
      <c r="C36" s="41">
        <f t="shared" si="2"/>
        <v>51.188636363636377</v>
      </c>
      <c r="D36" s="41">
        <f t="shared" si="2"/>
        <v>46.857916666666675</v>
      </c>
      <c r="E36" s="41">
        <f t="shared" si="2"/>
        <v>19.427500000000002</v>
      </c>
      <c r="F36" s="41">
        <f t="shared" si="2"/>
        <v>33.576666666666668</v>
      </c>
      <c r="G36" s="41">
        <f t="shared" si="2"/>
        <v>75.012083333333337</v>
      </c>
      <c r="H36" s="41">
        <f t="shared" si="2"/>
        <v>29.030416666666664</v>
      </c>
      <c r="I36" s="41">
        <f t="shared" si="2"/>
        <v>4.3579166666666671</v>
      </c>
      <c r="J36" s="41">
        <f t="shared" si="2"/>
        <v>0.61583333333333334</v>
      </c>
      <c r="K36" s="41">
        <f t="shared" si="2"/>
        <v>230.80500000000004</v>
      </c>
      <c r="L36" s="41">
        <f t="shared" si="2"/>
        <v>32.08958333333333</v>
      </c>
      <c r="M36" s="41">
        <f t="shared" si="2"/>
        <v>57.387916666666655</v>
      </c>
      <c r="N36" s="41">
        <f t="shared" si="2"/>
        <v>191.81666666666669</v>
      </c>
      <c r="O36" s="41">
        <f t="shared" si="2"/>
        <v>0</v>
      </c>
      <c r="P36" s="41">
        <f t="shared" si="2"/>
        <v>0.44222222222222224</v>
      </c>
      <c r="Q36" s="41">
        <f t="shared" si="2"/>
        <v>4.6770000000000014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11.350068752584981</v>
      </c>
      <c r="C37" s="41">
        <f t="shared" ref="C37:Q37" si="3">STDEV(C9:C32)</f>
        <v>16.831939111178563</v>
      </c>
      <c r="D37" s="41">
        <f t="shared" si="3"/>
        <v>14.981718708846918</v>
      </c>
      <c r="E37" s="41">
        <f t="shared" si="3"/>
        <v>21.810040218849348</v>
      </c>
      <c r="F37" s="41">
        <f t="shared" si="3"/>
        <v>39.889197586037888</v>
      </c>
      <c r="G37" s="41">
        <f t="shared" si="3"/>
        <v>49.144421858628455</v>
      </c>
      <c r="H37" s="41">
        <f t="shared" si="3"/>
        <v>10.24996011833883</v>
      </c>
      <c r="I37" s="41">
        <f t="shared" si="3"/>
        <v>2.4422672630279356</v>
      </c>
      <c r="J37" s="41">
        <f t="shared" si="3"/>
        <v>0.68494313738388191</v>
      </c>
      <c r="K37" s="41">
        <f t="shared" si="3"/>
        <v>90.149371938297847</v>
      </c>
      <c r="L37" s="41">
        <f t="shared" si="3"/>
        <v>4.7456675703641311</v>
      </c>
      <c r="M37" s="41">
        <f t="shared" si="3"/>
        <v>16.068635660589106</v>
      </c>
      <c r="N37" s="41">
        <f t="shared" si="3"/>
        <v>269.16212290327383</v>
      </c>
      <c r="O37" s="41">
        <f t="shared" si="3"/>
        <v>0</v>
      </c>
      <c r="P37" s="41">
        <f t="shared" si="3"/>
        <v>7.9337534902745976E-2</v>
      </c>
      <c r="Q37" s="41">
        <f t="shared" si="3"/>
        <v>0.79901979423474601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O38" si="4">COUNT(B9:B32)</f>
        <v>24</v>
      </c>
      <c r="C38" s="46"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C39" sqref="C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274</v>
      </c>
      <c r="B9" s="9" t="s">
        <v>4</v>
      </c>
      <c r="C9" s="9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  <c r="R9" s="50"/>
      <c r="S9" s="50"/>
      <c r="T9" s="50"/>
      <c r="U9" s="50"/>
    </row>
    <row r="10" spans="1:21" customFormat="1">
      <c r="A10" s="51" t="s">
        <v>275</v>
      </c>
      <c r="B10" s="52">
        <v>41.92</v>
      </c>
      <c r="C10" s="52">
        <v>44.12</v>
      </c>
      <c r="D10" s="52">
        <v>56.68</v>
      </c>
      <c r="E10" s="52">
        <v>5.59</v>
      </c>
      <c r="F10" s="52">
        <v>3.18</v>
      </c>
      <c r="G10" s="52">
        <v>16.86</v>
      </c>
      <c r="H10" s="52">
        <v>11.96</v>
      </c>
      <c r="I10" s="52">
        <v>0</v>
      </c>
      <c r="J10" s="52">
        <v>0.23</v>
      </c>
      <c r="K10" s="52">
        <v>233.24</v>
      </c>
      <c r="L10" s="52">
        <v>26.75</v>
      </c>
      <c r="M10" s="52">
        <v>70.23</v>
      </c>
      <c r="N10" s="52">
        <v>0</v>
      </c>
      <c r="O10" s="52">
        <v>0</v>
      </c>
      <c r="P10" s="30" t="s">
        <v>8</v>
      </c>
      <c r="Q10" s="52">
        <v>4.72</v>
      </c>
      <c r="R10" s="50"/>
      <c r="S10" s="50"/>
      <c r="T10" s="50"/>
      <c r="U10" s="50"/>
    </row>
    <row r="11" spans="1:21" customFormat="1">
      <c r="A11" s="51" t="s">
        <v>276</v>
      </c>
      <c r="B11" s="52">
        <v>39.24</v>
      </c>
      <c r="C11" s="52">
        <v>49.09</v>
      </c>
      <c r="D11" s="52">
        <v>57.73</v>
      </c>
      <c r="E11" s="52">
        <v>5.65</v>
      </c>
      <c r="F11" s="52">
        <v>4.42</v>
      </c>
      <c r="G11" s="52">
        <v>23.19</v>
      </c>
      <c r="H11" s="52">
        <v>9.5399999999999991</v>
      </c>
      <c r="I11" s="52">
        <v>0</v>
      </c>
      <c r="J11" s="52">
        <v>0.56999999999999995</v>
      </c>
      <c r="K11" s="52">
        <v>255.9</v>
      </c>
      <c r="L11" s="52">
        <v>26.73</v>
      </c>
      <c r="M11" s="52">
        <v>68.650000000000006</v>
      </c>
      <c r="N11" s="52">
        <v>0</v>
      </c>
      <c r="O11" s="52">
        <v>0</v>
      </c>
      <c r="P11" s="30" t="s">
        <v>8</v>
      </c>
      <c r="Q11" s="52">
        <v>4.55</v>
      </c>
      <c r="R11" s="50"/>
      <c r="S11" s="50"/>
      <c r="T11" s="50"/>
      <c r="U11" s="50"/>
    </row>
    <row r="12" spans="1:21" customFormat="1">
      <c r="A12" s="53">
        <v>45056.166666666664</v>
      </c>
      <c r="B12" s="52">
        <v>36.99</v>
      </c>
      <c r="C12" s="52">
        <v>53.09</v>
      </c>
      <c r="D12" s="52">
        <v>57.39</v>
      </c>
      <c r="E12" s="52">
        <v>0.01</v>
      </c>
      <c r="F12" s="52">
        <v>4.59</v>
      </c>
      <c r="G12" s="52">
        <v>23.19</v>
      </c>
      <c r="H12" s="52">
        <v>12.21</v>
      </c>
      <c r="I12" s="52">
        <v>4.68</v>
      </c>
      <c r="J12" s="52">
        <v>0.32</v>
      </c>
      <c r="K12" s="52">
        <v>237.44</v>
      </c>
      <c r="L12" s="52">
        <v>26.75</v>
      </c>
      <c r="M12" s="52">
        <v>71.73</v>
      </c>
      <c r="N12" s="52">
        <v>0</v>
      </c>
      <c r="O12" s="52">
        <v>0</v>
      </c>
      <c r="P12" s="30" t="s">
        <v>8</v>
      </c>
      <c r="Q12" s="52">
        <v>4.29</v>
      </c>
      <c r="R12" s="50"/>
      <c r="S12" s="50"/>
      <c r="T12" s="50"/>
      <c r="U12" s="50"/>
    </row>
    <row r="13" spans="1:21" customFormat="1">
      <c r="A13" s="51" t="s">
        <v>277</v>
      </c>
      <c r="B13" s="52">
        <v>34.56</v>
      </c>
      <c r="C13" s="52">
        <v>53.15</v>
      </c>
      <c r="D13" s="52">
        <v>56.6</v>
      </c>
      <c r="E13" s="52">
        <v>0</v>
      </c>
      <c r="F13" s="52">
        <v>4.4000000000000004</v>
      </c>
      <c r="G13" s="52">
        <v>28.58</v>
      </c>
      <c r="H13" s="52">
        <v>12.43</v>
      </c>
      <c r="I13" s="52">
        <v>4.59</v>
      </c>
      <c r="J13" s="52">
        <v>0.32</v>
      </c>
      <c r="K13" s="52">
        <v>291.61</v>
      </c>
      <c r="L13" s="52">
        <v>26.58</v>
      </c>
      <c r="M13" s="52">
        <v>71.290000000000006</v>
      </c>
      <c r="N13" s="52">
        <v>0</v>
      </c>
      <c r="O13" s="52">
        <v>0</v>
      </c>
      <c r="P13" s="30" t="s">
        <v>8</v>
      </c>
      <c r="Q13" s="52">
        <v>4.1900000000000004</v>
      </c>
      <c r="R13" s="50"/>
      <c r="S13" s="50"/>
      <c r="T13" s="50"/>
      <c r="U13" s="50"/>
    </row>
    <row r="14" spans="1:21" customFormat="1">
      <c r="A14" s="51" t="s">
        <v>278</v>
      </c>
      <c r="B14" s="52">
        <v>34.229999999999997</v>
      </c>
      <c r="C14" s="52">
        <v>54.46</v>
      </c>
      <c r="D14" s="52">
        <v>57.25</v>
      </c>
      <c r="E14" s="52">
        <v>0</v>
      </c>
      <c r="F14" s="52">
        <v>4.62</v>
      </c>
      <c r="G14" s="52">
        <v>31.75</v>
      </c>
      <c r="H14" s="52">
        <v>12.43</v>
      </c>
      <c r="I14" s="52">
        <v>4.54</v>
      </c>
      <c r="J14" s="52">
        <v>0.56000000000000005</v>
      </c>
      <c r="K14" s="52">
        <v>56.73</v>
      </c>
      <c r="L14" s="52">
        <v>26.54</v>
      </c>
      <c r="M14" s="52">
        <v>75.05</v>
      </c>
      <c r="N14" s="52">
        <v>23.4</v>
      </c>
      <c r="O14" s="52">
        <v>0</v>
      </c>
      <c r="P14" s="30" t="s">
        <v>8</v>
      </c>
      <c r="Q14" s="52">
        <v>4.16</v>
      </c>
      <c r="R14" s="50"/>
      <c r="S14" s="50"/>
      <c r="T14" s="50"/>
      <c r="U14" s="50"/>
    </row>
    <row r="15" spans="1:21" customFormat="1">
      <c r="A15" s="51" t="s">
        <v>279</v>
      </c>
      <c r="B15" s="52">
        <v>34.85</v>
      </c>
      <c r="C15" s="52">
        <v>65.88</v>
      </c>
      <c r="D15" s="52">
        <v>63.49</v>
      </c>
      <c r="E15" s="52">
        <v>0</v>
      </c>
      <c r="F15" s="52">
        <v>4.05</v>
      </c>
      <c r="G15" s="52">
        <v>65.040000000000006</v>
      </c>
      <c r="H15" s="52">
        <v>17.96</v>
      </c>
      <c r="I15" s="52">
        <v>5.56</v>
      </c>
      <c r="J15" s="52">
        <v>0.25</v>
      </c>
      <c r="K15" s="52">
        <v>181.67</v>
      </c>
      <c r="L15" s="52">
        <v>27.22</v>
      </c>
      <c r="M15" s="52">
        <v>75.34</v>
      </c>
      <c r="N15" s="52">
        <v>80.3</v>
      </c>
      <c r="O15" s="52">
        <v>0</v>
      </c>
      <c r="P15" s="30" t="s">
        <v>8</v>
      </c>
      <c r="Q15" s="52">
        <v>4.5</v>
      </c>
      <c r="R15" s="50"/>
      <c r="S15" s="50"/>
      <c r="T15" s="50"/>
      <c r="U15" s="50"/>
    </row>
    <row r="16" spans="1:21" customFormat="1">
      <c r="A16" s="51" t="s">
        <v>280</v>
      </c>
      <c r="B16" s="52">
        <v>34.15</v>
      </c>
      <c r="C16" s="52">
        <v>78.760000000000005</v>
      </c>
      <c r="D16" s="52">
        <v>69.510000000000005</v>
      </c>
      <c r="E16" s="52">
        <v>0</v>
      </c>
      <c r="F16" s="52">
        <v>4.62</v>
      </c>
      <c r="G16" s="52">
        <v>69.08</v>
      </c>
      <c r="H16" s="52">
        <v>23.31</v>
      </c>
      <c r="I16" s="52">
        <v>6.21</v>
      </c>
      <c r="J16" s="52">
        <v>0.89</v>
      </c>
      <c r="K16" s="52">
        <v>325.97000000000003</v>
      </c>
      <c r="L16" s="52">
        <v>30.47</v>
      </c>
      <c r="M16" s="52">
        <v>70.209999999999994</v>
      </c>
      <c r="N16" s="52">
        <v>128.80000000000001</v>
      </c>
      <c r="O16" s="52">
        <v>0</v>
      </c>
      <c r="P16" s="30" t="s">
        <v>8</v>
      </c>
      <c r="Q16" s="52">
        <v>4.92</v>
      </c>
      <c r="R16" s="50"/>
      <c r="S16" s="50"/>
      <c r="T16" s="50"/>
      <c r="U16" s="50"/>
    </row>
    <row r="17" spans="1:21" customFormat="1">
      <c r="A17" s="51" t="s">
        <v>281</v>
      </c>
      <c r="B17" s="52">
        <v>33.159999999999997</v>
      </c>
      <c r="C17" s="30" t="s">
        <v>8</v>
      </c>
      <c r="D17" s="52">
        <v>74.28</v>
      </c>
      <c r="E17" s="52">
        <v>0</v>
      </c>
      <c r="F17" s="52">
        <v>4.82</v>
      </c>
      <c r="G17" s="52">
        <v>69.08</v>
      </c>
      <c r="H17" s="52">
        <v>23.31</v>
      </c>
      <c r="I17" s="52">
        <v>0</v>
      </c>
      <c r="J17" s="52">
        <v>0.59</v>
      </c>
      <c r="K17" s="52">
        <v>299.81</v>
      </c>
      <c r="L17" s="52">
        <v>31.99</v>
      </c>
      <c r="M17" s="52">
        <v>55.74</v>
      </c>
      <c r="N17" s="52">
        <v>155.9</v>
      </c>
      <c r="O17" s="52">
        <v>0</v>
      </c>
      <c r="P17" s="30" t="s">
        <v>8</v>
      </c>
      <c r="Q17" s="30" t="s">
        <v>8</v>
      </c>
      <c r="R17" s="50"/>
      <c r="S17" s="50"/>
      <c r="T17" s="50"/>
      <c r="U17" s="50"/>
    </row>
    <row r="18" spans="1:21" customFormat="1">
      <c r="A18" s="51" t="s">
        <v>282</v>
      </c>
      <c r="B18" s="9" t="s">
        <v>4</v>
      </c>
      <c r="C18" s="9" t="s">
        <v>4</v>
      </c>
      <c r="D18" s="9" t="s">
        <v>4</v>
      </c>
      <c r="E18" s="9" t="s">
        <v>4</v>
      </c>
      <c r="F18" s="9" t="s">
        <v>4</v>
      </c>
      <c r="G18" s="9" t="s">
        <v>4</v>
      </c>
      <c r="H18" s="9" t="s">
        <v>4</v>
      </c>
      <c r="I18" s="9" t="s">
        <v>4</v>
      </c>
      <c r="J18" s="9" t="s">
        <v>4</v>
      </c>
      <c r="K18" s="9" t="s">
        <v>4</v>
      </c>
      <c r="L18" s="9" t="s">
        <v>4</v>
      </c>
      <c r="M18" s="9" t="s">
        <v>4</v>
      </c>
      <c r="N18" s="9" t="s">
        <v>4</v>
      </c>
      <c r="O18" s="9" t="s">
        <v>4</v>
      </c>
      <c r="P18" s="9" t="s">
        <v>4</v>
      </c>
      <c r="Q18" s="9" t="s">
        <v>4</v>
      </c>
      <c r="R18" s="50"/>
      <c r="S18" s="50"/>
      <c r="T18" s="50"/>
      <c r="U18" s="50"/>
    </row>
    <row r="19" spans="1:21" customFormat="1">
      <c r="A19" s="51" t="s">
        <v>283</v>
      </c>
      <c r="B19" s="52">
        <v>6</v>
      </c>
      <c r="C19" s="52">
        <v>54.64</v>
      </c>
      <c r="D19" s="52">
        <v>34.71</v>
      </c>
      <c r="E19" s="52">
        <v>28.64</v>
      </c>
      <c r="F19" s="52">
        <v>25.35</v>
      </c>
      <c r="G19" s="52">
        <v>84.03</v>
      </c>
      <c r="H19" s="52">
        <v>27.93</v>
      </c>
      <c r="I19" s="52">
        <v>0</v>
      </c>
      <c r="J19" s="52">
        <v>0.88</v>
      </c>
      <c r="K19" s="52">
        <v>296.83999999999997</v>
      </c>
      <c r="L19" s="52">
        <v>36.369999999999997</v>
      </c>
      <c r="M19" s="52">
        <v>40.98</v>
      </c>
      <c r="N19" s="52">
        <v>681.5</v>
      </c>
      <c r="O19" s="52">
        <v>0</v>
      </c>
      <c r="P19" s="52">
        <v>0.6</v>
      </c>
      <c r="Q19" s="30" t="s">
        <v>8</v>
      </c>
      <c r="R19" s="50"/>
      <c r="S19" s="50"/>
      <c r="T19" s="50"/>
      <c r="U19" s="50"/>
    </row>
    <row r="20" spans="1:21" customFormat="1">
      <c r="A20" s="51" t="s">
        <v>284</v>
      </c>
      <c r="B20" s="52">
        <v>4.62</v>
      </c>
      <c r="C20" s="52">
        <v>48.87</v>
      </c>
      <c r="D20" s="52">
        <v>30.38</v>
      </c>
      <c r="E20" s="52">
        <v>16.09</v>
      </c>
      <c r="F20" s="52">
        <v>51.76</v>
      </c>
      <c r="G20" s="52">
        <v>84.03</v>
      </c>
      <c r="H20" s="52">
        <v>29</v>
      </c>
      <c r="I20" s="52">
        <v>6.33</v>
      </c>
      <c r="J20" s="52">
        <v>0.59</v>
      </c>
      <c r="K20" s="52">
        <v>351.39</v>
      </c>
      <c r="L20" s="52">
        <v>37.75</v>
      </c>
      <c r="M20" s="52">
        <v>39.96</v>
      </c>
      <c r="N20" s="52">
        <v>833</v>
      </c>
      <c r="O20" s="52">
        <v>0</v>
      </c>
      <c r="P20" s="52">
        <v>0.41</v>
      </c>
      <c r="Q20" s="52">
        <v>4.63</v>
      </c>
      <c r="R20" s="50"/>
      <c r="S20" s="50"/>
      <c r="T20" s="50"/>
      <c r="U20" s="50"/>
    </row>
    <row r="21" spans="1:21" customFormat="1">
      <c r="A21" s="51" t="s">
        <v>285</v>
      </c>
      <c r="B21" s="52">
        <v>6.24</v>
      </c>
      <c r="C21" s="52">
        <v>41.61</v>
      </c>
      <c r="D21" s="52">
        <v>28.09</v>
      </c>
      <c r="E21" s="52">
        <v>40.369999999999997</v>
      </c>
      <c r="F21" s="52">
        <v>74.09</v>
      </c>
      <c r="G21" s="52">
        <v>76.739999999999995</v>
      </c>
      <c r="H21" s="52">
        <v>29</v>
      </c>
      <c r="I21" s="52">
        <v>5.21</v>
      </c>
      <c r="J21" s="52">
        <v>1.06</v>
      </c>
      <c r="K21" s="52">
        <v>341.09</v>
      </c>
      <c r="L21" s="52">
        <v>38.54</v>
      </c>
      <c r="M21" s="52">
        <v>34.020000000000003</v>
      </c>
      <c r="N21" s="52">
        <v>846.6</v>
      </c>
      <c r="O21" s="52">
        <v>0</v>
      </c>
      <c r="P21" s="52">
        <v>0.48</v>
      </c>
      <c r="Q21" s="52">
        <v>4.3</v>
      </c>
      <c r="R21" s="50"/>
      <c r="S21" s="50"/>
      <c r="T21" s="50"/>
      <c r="U21" s="50"/>
    </row>
    <row r="22" spans="1:21" customFormat="1">
      <c r="A22" s="51" t="s">
        <v>286</v>
      </c>
      <c r="B22" s="52">
        <v>4.8899999999999997</v>
      </c>
      <c r="C22" s="52">
        <v>39.56</v>
      </c>
      <c r="D22" s="52">
        <v>25.54</v>
      </c>
      <c r="E22" s="52">
        <v>32.14</v>
      </c>
      <c r="F22" s="52">
        <v>80.77</v>
      </c>
      <c r="G22" s="52">
        <v>70.33</v>
      </c>
      <c r="H22" s="52">
        <v>27.86</v>
      </c>
      <c r="I22" s="52">
        <v>4.22</v>
      </c>
      <c r="J22" s="52">
        <v>0.7</v>
      </c>
      <c r="K22" s="52">
        <v>341.03</v>
      </c>
      <c r="L22" s="52">
        <v>38.85</v>
      </c>
      <c r="M22" s="52">
        <v>32.24</v>
      </c>
      <c r="N22" s="52">
        <v>752.1</v>
      </c>
      <c r="O22" s="52">
        <v>0</v>
      </c>
      <c r="P22" s="52">
        <v>0.47</v>
      </c>
      <c r="Q22" s="52">
        <v>3.94</v>
      </c>
      <c r="R22" s="50"/>
      <c r="S22" s="50"/>
      <c r="T22" s="50"/>
      <c r="U22" s="50"/>
    </row>
    <row r="23" spans="1:21" customFormat="1">
      <c r="A23" s="51" t="s">
        <v>287</v>
      </c>
      <c r="B23" s="52">
        <v>8.0399999999999991</v>
      </c>
      <c r="C23" s="52">
        <v>38.78</v>
      </c>
      <c r="D23" s="52">
        <v>27.23</v>
      </c>
      <c r="E23" s="52">
        <v>21.22</v>
      </c>
      <c r="F23" s="52">
        <v>78.7</v>
      </c>
      <c r="G23" s="52">
        <v>70.33</v>
      </c>
      <c r="H23" s="52">
        <v>21.51</v>
      </c>
      <c r="I23" s="52">
        <v>3.64</v>
      </c>
      <c r="J23" s="52">
        <v>0.82</v>
      </c>
      <c r="K23" s="52">
        <v>31.98</v>
      </c>
      <c r="L23" s="52">
        <v>38.36</v>
      </c>
      <c r="M23" s="52">
        <v>31.9</v>
      </c>
      <c r="N23" s="52">
        <v>520.9</v>
      </c>
      <c r="O23" s="52">
        <v>0</v>
      </c>
      <c r="P23" s="52">
        <v>0.51</v>
      </c>
      <c r="Q23" s="52">
        <v>3.92</v>
      </c>
      <c r="R23" s="50"/>
      <c r="S23" s="50"/>
      <c r="T23" s="50"/>
      <c r="U23" s="50"/>
    </row>
    <row r="24" spans="1:21" customFormat="1">
      <c r="A24" s="51" t="s">
        <v>288</v>
      </c>
      <c r="B24" s="52">
        <v>7.24</v>
      </c>
      <c r="C24" s="52">
        <v>44.68</v>
      </c>
      <c r="D24" s="52">
        <v>30.5</v>
      </c>
      <c r="E24" s="52">
        <v>12.46</v>
      </c>
      <c r="F24" s="52">
        <v>60.92</v>
      </c>
      <c r="G24" s="52">
        <v>61.87</v>
      </c>
      <c r="H24" s="52">
        <v>21.51</v>
      </c>
      <c r="I24" s="52">
        <v>2.62</v>
      </c>
      <c r="J24" s="52">
        <v>0.89</v>
      </c>
      <c r="K24" s="52">
        <v>347.61</v>
      </c>
      <c r="L24" s="52">
        <v>38.9</v>
      </c>
      <c r="M24" s="52">
        <v>25.63</v>
      </c>
      <c r="N24" s="52">
        <v>392.7</v>
      </c>
      <c r="O24" s="52">
        <v>0</v>
      </c>
      <c r="P24" s="52">
        <v>0.51</v>
      </c>
      <c r="Q24" s="52">
        <v>3.99</v>
      </c>
      <c r="R24" s="50"/>
      <c r="S24" s="50"/>
      <c r="T24" s="50"/>
      <c r="U24" s="50"/>
    </row>
    <row r="25" spans="1:21" customFormat="1">
      <c r="A25" s="51" t="s">
        <v>289</v>
      </c>
      <c r="B25" s="52">
        <v>7.48</v>
      </c>
      <c r="C25" s="52">
        <v>49.33</v>
      </c>
      <c r="D25" s="52">
        <v>33.04</v>
      </c>
      <c r="E25" s="52">
        <v>22.56</v>
      </c>
      <c r="F25" s="52">
        <v>61.99</v>
      </c>
      <c r="G25" s="52">
        <v>56.34</v>
      </c>
      <c r="H25" s="52">
        <v>20.64</v>
      </c>
      <c r="I25" s="52">
        <v>2.56</v>
      </c>
      <c r="J25" s="52">
        <v>0.43</v>
      </c>
      <c r="K25" s="52">
        <v>66.36</v>
      </c>
      <c r="L25" s="52">
        <v>39.46</v>
      </c>
      <c r="M25" s="52">
        <v>20.57</v>
      </c>
      <c r="N25" s="52">
        <v>338.7</v>
      </c>
      <c r="O25" s="52">
        <v>0</v>
      </c>
      <c r="P25" s="52">
        <v>0.51</v>
      </c>
      <c r="Q25" s="52">
        <v>3.86</v>
      </c>
      <c r="R25" s="50"/>
      <c r="S25" s="50"/>
      <c r="T25" s="50"/>
      <c r="U25" s="50"/>
    </row>
    <row r="26" spans="1:21" customFormat="1">
      <c r="A26" s="51" t="s">
        <v>290</v>
      </c>
      <c r="B26" s="52">
        <v>16.71</v>
      </c>
      <c r="C26" s="52">
        <v>64.12</v>
      </c>
      <c r="D26" s="52">
        <v>48.25</v>
      </c>
      <c r="E26" s="52">
        <v>8.57</v>
      </c>
      <c r="F26" s="52">
        <v>27.83</v>
      </c>
      <c r="G26" s="52">
        <v>64.739999999999995</v>
      </c>
      <c r="H26" s="52">
        <v>20.36</v>
      </c>
      <c r="I26" s="52">
        <v>3.49</v>
      </c>
      <c r="J26" s="52">
        <v>0.36</v>
      </c>
      <c r="K26" s="52">
        <v>161.81</v>
      </c>
      <c r="L26" s="52">
        <v>38.43</v>
      </c>
      <c r="M26" s="52">
        <v>34.799999999999997</v>
      </c>
      <c r="N26" s="52">
        <v>126.2</v>
      </c>
      <c r="O26" s="52">
        <v>0</v>
      </c>
      <c r="P26" s="52">
        <v>0.66</v>
      </c>
      <c r="Q26" s="52">
        <v>4.18</v>
      </c>
      <c r="R26" s="50"/>
      <c r="S26" s="50"/>
      <c r="T26" s="50"/>
      <c r="U26" s="50"/>
    </row>
    <row r="27" spans="1:21" customFormat="1">
      <c r="A27" s="51" t="s">
        <v>291</v>
      </c>
      <c r="B27" s="52">
        <v>7.76</v>
      </c>
      <c r="C27" s="52">
        <v>46.24</v>
      </c>
      <c r="D27" s="52">
        <v>31.68</v>
      </c>
      <c r="E27" s="52">
        <v>14.34</v>
      </c>
      <c r="F27" s="52">
        <v>38.119999999999997</v>
      </c>
      <c r="G27" s="52">
        <v>74.88</v>
      </c>
      <c r="H27" s="52">
        <v>26.98</v>
      </c>
      <c r="I27" s="52">
        <v>4.57</v>
      </c>
      <c r="J27" s="52">
        <v>0.2</v>
      </c>
      <c r="K27" s="52">
        <v>215.41</v>
      </c>
      <c r="L27" s="52">
        <v>33.659999999999997</v>
      </c>
      <c r="M27" s="52">
        <v>49.17</v>
      </c>
      <c r="N27" s="52">
        <v>7.7</v>
      </c>
      <c r="O27" s="52">
        <v>0</v>
      </c>
      <c r="P27" s="52">
        <v>0.6</v>
      </c>
      <c r="Q27" s="52">
        <v>4.33</v>
      </c>
      <c r="R27" s="50"/>
      <c r="S27" s="50"/>
      <c r="T27" s="50"/>
      <c r="U27" s="50"/>
    </row>
    <row r="28" spans="1:21" customFormat="1">
      <c r="A28" s="51" t="s">
        <v>292</v>
      </c>
      <c r="B28" s="52">
        <v>9.0500000000000007</v>
      </c>
      <c r="C28" s="52">
        <v>43.55</v>
      </c>
      <c r="D28" s="52">
        <v>31.36</v>
      </c>
      <c r="E28" s="52">
        <v>12.85</v>
      </c>
      <c r="F28" s="52">
        <v>32.049999999999997</v>
      </c>
      <c r="G28" s="52">
        <v>74.88</v>
      </c>
      <c r="H28" s="52">
        <v>26.98</v>
      </c>
      <c r="I28" s="52">
        <v>4.55</v>
      </c>
      <c r="J28" s="52">
        <v>0.28000000000000003</v>
      </c>
      <c r="K28" s="52">
        <v>168.13</v>
      </c>
      <c r="L28" s="52">
        <v>31.64</v>
      </c>
      <c r="M28" s="52">
        <v>59.63</v>
      </c>
      <c r="N28" s="52">
        <v>0</v>
      </c>
      <c r="O28" s="52">
        <v>0</v>
      </c>
      <c r="P28" s="52">
        <v>0.66</v>
      </c>
      <c r="Q28" s="52">
        <v>4.37</v>
      </c>
      <c r="R28" s="50"/>
      <c r="S28" s="50"/>
      <c r="T28" s="50"/>
      <c r="U28" s="50"/>
    </row>
    <row r="29" spans="1:21" customFormat="1">
      <c r="A29" s="51" t="s">
        <v>293</v>
      </c>
      <c r="B29" s="52">
        <v>12.94</v>
      </c>
      <c r="C29" s="52">
        <v>46.65</v>
      </c>
      <c r="D29" s="52">
        <v>36.1</v>
      </c>
      <c r="E29" s="52">
        <v>11.69</v>
      </c>
      <c r="F29" s="52">
        <v>32.04</v>
      </c>
      <c r="G29" s="52">
        <v>66.430000000000007</v>
      </c>
      <c r="H29" s="52">
        <v>25.08</v>
      </c>
      <c r="I29" s="52">
        <v>4.87</v>
      </c>
      <c r="J29" s="52">
        <v>0.24</v>
      </c>
      <c r="K29" s="52">
        <v>176.65</v>
      </c>
      <c r="L29" s="52">
        <v>30.27</v>
      </c>
      <c r="M29" s="52">
        <v>60.88</v>
      </c>
      <c r="N29" s="52">
        <v>0</v>
      </c>
      <c r="O29" s="52">
        <v>0</v>
      </c>
      <c r="P29" s="52">
        <v>0.7</v>
      </c>
      <c r="Q29" s="52">
        <v>4.3499999999999996</v>
      </c>
      <c r="R29" s="50"/>
      <c r="S29" s="50"/>
      <c r="T29" s="50"/>
      <c r="U29" s="50"/>
    </row>
    <row r="30" spans="1:21" customFormat="1">
      <c r="A30" s="51" t="s">
        <v>294</v>
      </c>
      <c r="B30" s="52">
        <v>46.88</v>
      </c>
      <c r="C30" s="52">
        <v>59.17</v>
      </c>
      <c r="D30" s="52">
        <v>69.86</v>
      </c>
      <c r="E30" s="52">
        <v>10.28</v>
      </c>
      <c r="F30" s="52">
        <v>20.22</v>
      </c>
      <c r="G30" s="52">
        <v>62.99</v>
      </c>
      <c r="H30" s="52">
        <v>25.95</v>
      </c>
      <c r="I30" s="52">
        <v>5.16</v>
      </c>
      <c r="J30" s="52">
        <v>0.23</v>
      </c>
      <c r="K30" s="52">
        <v>290.02999999999997</v>
      </c>
      <c r="L30" s="52">
        <v>29.31</v>
      </c>
      <c r="M30" s="52">
        <v>65.459999999999994</v>
      </c>
      <c r="N30" s="52">
        <v>0</v>
      </c>
      <c r="O30" s="52">
        <v>0</v>
      </c>
      <c r="P30" s="52">
        <v>0.99</v>
      </c>
      <c r="Q30" s="52">
        <v>4.3899999999999997</v>
      </c>
      <c r="R30" s="50"/>
      <c r="S30" s="50"/>
      <c r="T30" s="50"/>
      <c r="U30" s="50"/>
    </row>
    <row r="31" spans="1:21" customFormat="1">
      <c r="A31" s="51" t="s">
        <v>295</v>
      </c>
      <c r="B31" s="52">
        <v>37.58</v>
      </c>
      <c r="C31" s="52">
        <v>56.65</v>
      </c>
      <c r="D31" s="52">
        <v>61.09</v>
      </c>
      <c r="E31" s="52">
        <v>8.68</v>
      </c>
      <c r="F31" s="52">
        <v>4.16</v>
      </c>
      <c r="G31" s="52">
        <v>71.67</v>
      </c>
      <c r="H31" s="52">
        <v>26.07</v>
      </c>
      <c r="I31" s="52">
        <v>7.13</v>
      </c>
      <c r="J31" s="52">
        <v>0.3</v>
      </c>
      <c r="K31" s="52">
        <v>177.2</v>
      </c>
      <c r="L31" s="52">
        <v>29.45</v>
      </c>
      <c r="M31" s="52">
        <v>69.400000000000006</v>
      </c>
      <c r="N31" s="52">
        <v>0</v>
      </c>
      <c r="O31" s="52">
        <v>0</v>
      </c>
      <c r="P31" s="52">
        <v>0.9</v>
      </c>
      <c r="Q31" s="52">
        <v>5.0599999999999996</v>
      </c>
      <c r="R31" s="50"/>
      <c r="S31" s="50"/>
      <c r="T31" s="50"/>
      <c r="U31" s="50"/>
    </row>
    <row r="32" spans="1:21" customFormat="1">
      <c r="A32" s="51" t="s">
        <v>296</v>
      </c>
      <c r="B32" s="52">
        <v>38.130000000000003</v>
      </c>
      <c r="C32" s="52">
        <v>56.3</v>
      </c>
      <c r="D32" s="52">
        <v>61.03</v>
      </c>
      <c r="E32" s="52">
        <v>18.72</v>
      </c>
      <c r="F32" s="52">
        <v>4.34</v>
      </c>
      <c r="G32" s="52">
        <v>82.91</v>
      </c>
      <c r="H32" s="52">
        <v>26.07</v>
      </c>
      <c r="I32" s="52">
        <v>11.01</v>
      </c>
      <c r="J32" s="52">
        <v>0.56000000000000005</v>
      </c>
      <c r="K32" s="52">
        <v>170.18</v>
      </c>
      <c r="L32" s="52">
        <v>29.56</v>
      </c>
      <c r="M32" s="52">
        <v>64.03</v>
      </c>
      <c r="N32" s="52">
        <v>0</v>
      </c>
      <c r="O32" s="52">
        <v>0</v>
      </c>
      <c r="P32" s="52">
        <v>1.1100000000000001</v>
      </c>
      <c r="Q32" s="52">
        <v>5.44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4.62</v>
      </c>
      <c r="C34" s="41">
        <f t="shared" si="0"/>
        <v>38.78</v>
      </c>
      <c r="D34" s="41">
        <f t="shared" si="0"/>
        <v>25.54</v>
      </c>
      <c r="E34" s="41">
        <f t="shared" si="0"/>
        <v>0</v>
      </c>
      <c r="F34" s="41">
        <f t="shared" si="0"/>
        <v>3.18</v>
      </c>
      <c r="G34" s="41">
        <f t="shared" si="0"/>
        <v>16.86</v>
      </c>
      <c r="H34" s="41">
        <f t="shared" si="0"/>
        <v>9.5399999999999991</v>
      </c>
      <c r="I34" s="41">
        <f t="shared" si="0"/>
        <v>0</v>
      </c>
      <c r="J34" s="41">
        <f t="shared" si="0"/>
        <v>0.2</v>
      </c>
      <c r="K34" s="41">
        <f t="shared" si="0"/>
        <v>31.98</v>
      </c>
      <c r="L34" s="41">
        <f t="shared" si="0"/>
        <v>26.54</v>
      </c>
      <c r="M34" s="41">
        <f t="shared" si="0"/>
        <v>20.57</v>
      </c>
      <c r="N34" s="41">
        <f t="shared" si="0"/>
        <v>0</v>
      </c>
      <c r="O34" s="41">
        <f t="shared" si="0"/>
        <v>0</v>
      </c>
      <c r="P34" s="41">
        <f t="shared" si="0"/>
        <v>0.41</v>
      </c>
      <c r="Q34" s="41">
        <f t="shared" si="0"/>
        <v>3.86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46.88</v>
      </c>
      <c r="C35" s="33">
        <f t="shared" si="1"/>
        <v>78.760000000000005</v>
      </c>
      <c r="D35" s="33">
        <f t="shared" si="1"/>
        <v>74.28</v>
      </c>
      <c r="E35" s="33">
        <f t="shared" si="1"/>
        <v>40.369999999999997</v>
      </c>
      <c r="F35" s="33">
        <f t="shared" si="1"/>
        <v>80.77</v>
      </c>
      <c r="G35" s="33">
        <f t="shared" si="1"/>
        <v>84.03</v>
      </c>
      <c r="H35" s="33">
        <f t="shared" si="1"/>
        <v>29</v>
      </c>
      <c r="I35" s="33">
        <f t="shared" si="1"/>
        <v>11.01</v>
      </c>
      <c r="J35" s="33">
        <f t="shared" si="1"/>
        <v>1.06</v>
      </c>
      <c r="K35" s="33">
        <f t="shared" si="1"/>
        <v>351.39</v>
      </c>
      <c r="L35" s="33">
        <f t="shared" si="1"/>
        <v>39.46</v>
      </c>
      <c r="M35" s="33">
        <f t="shared" si="1"/>
        <v>75.34</v>
      </c>
      <c r="N35" s="33">
        <f t="shared" si="1"/>
        <v>846.6</v>
      </c>
      <c r="O35" s="33">
        <f t="shared" si="1"/>
        <v>0</v>
      </c>
      <c r="P35" s="33">
        <f t="shared" si="1"/>
        <v>1.1100000000000001</v>
      </c>
      <c r="Q35" s="33">
        <f t="shared" si="1"/>
        <v>5.44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22.848181818181818</v>
      </c>
      <c r="C36" s="41">
        <f t="shared" si="2"/>
        <v>51.842857142857135</v>
      </c>
      <c r="D36" s="41">
        <f t="shared" si="2"/>
        <v>47.354090909090907</v>
      </c>
      <c r="E36" s="41">
        <f t="shared" si="2"/>
        <v>12.266363636363637</v>
      </c>
      <c r="F36" s="41">
        <f t="shared" si="2"/>
        <v>28.50181818181818</v>
      </c>
      <c r="G36" s="41">
        <f t="shared" si="2"/>
        <v>60.40636363636365</v>
      </c>
      <c r="H36" s="41">
        <f t="shared" si="2"/>
        <v>21.731363636363636</v>
      </c>
      <c r="I36" s="41">
        <f t="shared" si="2"/>
        <v>4.1336363636363638</v>
      </c>
      <c r="J36" s="41">
        <f t="shared" si="2"/>
        <v>0.51227272727272721</v>
      </c>
      <c r="K36" s="41">
        <f t="shared" si="2"/>
        <v>228.09454545454545</v>
      </c>
      <c r="L36" s="41">
        <f t="shared" si="2"/>
        <v>32.43545454545454</v>
      </c>
      <c r="M36" s="41">
        <f t="shared" si="2"/>
        <v>53.950454545454548</v>
      </c>
      <c r="N36" s="41">
        <f t="shared" si="2"/>
        <v>222.17272727272723</v>
      </c>
      <c r="O36" s="41">
        <f t="shared" si="2"/>
        <v>0</v>
      </c>
      <c r="P36" s="41">
        <f t="shared" si="2"/>
        <v>0.65071428571428569</v>
      </c>
      <c r="Q36" s="41">
        <f t="shared" si="2"/>
        <v>4.4045000000000005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15.388235034895251</v>
      </c>
      <c r="C37" s="41">
        <f t="shared" ref="C37:Q37" si="3">STDEV(C9:C32)</f>
        <v>9.679691184566428</v>
      </c>
      <c r="D37" s="41">
        <f t="shared" si="3"/>
        <v>16.410037479743316</v>
      </c>
      <c r="E37" s="41">
        <f t="shared" si="3"/>
        <v>11.384274678551547</v>
      </c>
      <c r="F37" s="41">
        <f t="shared" si="3"/>
        <v>27.679763217464345</v>
      </c>
      <c r="G37" s="41">
        <f t="shared" si="3"/>
        <v>21.140133699053344</v>
      </c>
      <c r="H37" s="41">
        <f t="shared" si="3"/>
        <v>6.3003275012793374</v>
      </c>
      <c r="I37" s="41">
        <f t="shared" si="3"/>
        <v>2.6277177232154205</v>
      </c>
      <c r="J37" s="41">
        <f t="shared" si="3"/>
        <v>0.26486172166194882</v>
      </c>
      <c r="K37" s="41">
        <f t="shared" si="3"/>
        <v>96.632618259510693</v>
      </c>
      <c r="L37" s="41">
        <f t="shared" si="3"/>
        <v>4.9549568517392659</v>
      </c>
      <c r="M37" s="41">
        <f t="shared" si="3"/>
        <v>18.055249461496857</v>
      </c>
      <c r="N37" s="41">
        <f t="shared" si="3"/>
        <v>305.42123788975874</v>
      </c>
      <c r="O37" s="41">
        <f t="shared" si="3"/>
        <v>0</v>
      </c>
      <c r="P37" s="41">
        <f t="shared" si="3"/>
        <v>0.2103281057964248</v>
      </c>
      <c r="Q37" s="41">
        <f t="shared" si="3"/>
        <v>0.40113621521609377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O38" si="4">COUNT(B9:B32)</f>
        <v>22</v>
      </c>
      <c r="C38" s="46">
        <v>22</v>
      </c>
      <c r="D38" s="46">
        <f t="shared" si="4"/>
        <v>22</v>
      </c>
      <c r="E38" s="46">
        <f t="shared" si="4"/>
        <v>22</v>
      </c>
      <c r="F38" s="46">
        <f t="shared" si="4"/>
        <v>22</v>
      </c>
      <c r="G38" s="46">
        <f t="shared" si="4"/>
        <v>22</v>
      </c>
      <c r="H38" s="46">
        <f t="shared" si="4"/>
        <v>22</v>
      </c>
      <c r="I38" s="46">
        <f t="shared" si="4"/>
        <v>22</v>
      </c>
      <c r="J38" s="46">
        <f t="shared" si="4"/>
        <v>22</v>
      </c>
      <c r="K38" s="46">
        <f t="shared" si="4"/>
        <v>22</v>
      </c>
      <c r="L38" s="46">
        <f t="shared" si="4"/>
        <v>22</v>
      </c>
      <c r="M38" s="46">
        <f t="shared" si="4"/>
        <v>22</v>
      </c>
      <c r="N38" s="46">
        <f t="shared" si="4"/>
        <v>22</v>
      </c>
      <c r="O38" s="46">
        <f t="shared" si="4"/>
        <v>22</v>
      </c>
      <c r="P38" s="46">
        <v>22</v>
      </c>
      <c r="Q38" s="46">
        <v>22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297</v>
      </c>
      <c r="B9" s="52">
        <v>48.27</v>
      </c>
      <c r="C9" s="52">
        <v>56.53</v>
      </c>
      <c r="D9" s="52">
        <v>69.319999999999993</v>
      </c>
      <c r="E9" s="52">
        <v>12.33</v>
      </c>
      <c r="F9" s="52">
        <v>4</v>
      </c>
      <c r="G9" s="52">
        <v>121.49</v>
      </c>
      <c r="H9" s="52">
        <v>35.96</v>
      </c>
      <c r="I9" s="52">
        <v>10.27</v>
      </c>
      <c r="J9" s="52">
        <v>0.23</v>
      </c>
      <c r="K9" s="52">
        <v>182.92</v>
      </c>
      <c r="L9" s="52">
        <v>27.24</v>
      </c>
      <c r="M9" s="52">
        <v>73.12</v>
      </c>
      <c r="N9" s="52">
        <v>0</v>
      </c>
      <c r="O9" s="52">
        <v>0</v>
      </c>
      <c r="P9" s="52">
        <v>1.1000000000000001</v>
      </c>
      <c r="Q9" s="52">
        <v>5.82</v>
      </c>
      <c r="R9" s="50"/>
      <c r="S9" s="50"/>
      <c r="T9" s="50"/>
      <c r="U9" s="50"/>
    </row>
    <row r="10" spans="1:21" customFormat="1">
      <c r="A10" s="51" t="s">
        <v>298</v>
      </c>
      <c r="B10" s="52">
        <v>57</v>
      </c>
      <c r="C10" s="52">
        <v>56.4</v>
      </c>
      <c r="D10" s="52">
        <v>76.53</v>
      </c>
      <c r="E10" s="52">
        <v>8.77</v>
      </c>
      <c r="F10" s="52">
        <v>4.22</v>
      </c>
      <c r="G10" s="52">
        <v>134.1</v>
      </c>
      <c r="H10" s="52">
        <v>40.22</v>
      </c>
      <c r="I10" s="52">
        <v>10.17</v>
      </c>
      <c r="J10" s="52">
        <v>0.23</v>
      </c>
      <c r="K10" s="52">
        <v>241.08</v>
      </c>
      <c r="L10" s="52">
        <v>26.08</v>
      </c>
      <c r="M10" s="52">
        <v>76.650000000000006</v>
      </c>
      <c r="N10" s="52">
        <v>0</v>
      </c>
      <c r="O10" s="52">
        <v>0</v>
      </c>
      <c r="P10" s="52">
        <v>1.1200000000000001</v>
      </c>
      <c r="Q10" s="52">
        <v>5.99</v>
      </c>
      <c r="R10" s="50"/>
      <c r="S10" s="50"/>
      <c r="T10" s="50"/>
      <c r="U10" s="50"/>
    </row>
    <row r="11" spans="1:21" customFormat="1">
      <c r="A11" s="51" t="s">
        <v>299</v>
      </c>
      <c r="B11" s="52">
        <v>50.26</v>
      </c>
      <c r="C11" s="52">
        <v>56.78</v>
      </c>
      <c r="D11" s="52">
        <v>70.34</v>
      </c>
      <c r="E11" s="52">
        <v>15.78</v>
      </c>
      <c r="F11" s="52">
        <v>4.37</v>
      </c>
      <c r="G11" s="52">
        <v>149.30000000000001</v>
      </c>
      <c r="H11" s="52">
        <v>41.35</v>
      </c>
      <c r="I11" s="52">
        <v>10.87</v>
      </c>
      <c r="J11" s="52">
        <v>0.33</v>
      </c>
      <c r="K11" s="52">
        <v>101.5</v>
      </c>
      <c r="L11" s="52">
        <v>26.75</v>
      </c>
      <c r="M11" s="52">
        <v>69.790000000000006</v>
      </c>
      <c r="N11" s="52">
        <v>0</v>
      </c>
      <c r="O11" s="52">
        <v>0</v>
      </c>
      <c r="P11" s="52">
        <v>1.1499999999999999</v>
      </c>
      <c r="Q11" s="52">
        <v>6.23</v>
      </c>
      <c r="R11" s="50"/>
      <c r="S11" s="50"/>
      <c r="T11" s="50"/>
      <c r="U11" s="50"/>
    </row>
    <row r="12" spans="1:21" customFormat="1">
      <c r="A12" s="51" t="s">
        <v>300</v>
      </c>
      <c r="B12" s="52">
        <v>50.7</v>
      </c>
      <c r="C12" s="52">
        <v>58.11</v>
      </c>
      <c r="D12" s="52">
        <v>71.98</v>
      </c>
      <c r="E12" s="52">
        <v>10.83</v>
      </c>
      <c r="F12" s="52">
        <v>6.67</v>
      </c>
      <c r="G12" s="52">
        <v>155.52000000000001</v>
      </c>
      <c r="H12" s="52">
        <v>42.93</v>
      </c>
      <c r="I12" s="52">
        <v>10.73</v>
      </c>
      <c r="J12" s="52">
        <v>0.64</v>
      </c>
      <c r="K12" s="52">
        <v>64.86</v>
      </c>
      <c r="L12" s="52">
        <v>27.15</v>
      </c>
      <c r="M12" s="52">
        <v>46.83</v>
      </c>
      <c r="N12" s="52">
        <v>0</v>
      </c>
      <c r="O12" s="52">
        <v>0</v>
      </c>
      <c r="P12" s="52">
        <v>1.0900000000000001</v>
      </c>
      <c r="Q12" s="52">
        <v>6.35</v>
      </c>
      <c r="R12" s="50"/>
      <c r="S12" s="50"/>
      <c r="T12" s="50"/>
      <c r="U12" s="50"/>
    </row>
    <row r="13" spans="1:21" customFormat="1">
      <c r="A13" s="51" t="s">
        <v>301</v>
      </c>
      <c r="B13" s="52">
        <v>52.84</v>
      </c>
      <c r="C13" s="52">
        <v>58.05</v>
      </c>
      <c r="D13" s="52">
        <v>73.84</v>
      </c>
      <c r="E13" s="52">
        <v>8.1</v>
      </c>
      <c r="F13" s="52">
        <v>3.97</v>
      </c>
      <c r="G13" s="52">
        <v>155.52000000000001</v>
      </c>
      <c r="H13" s="52">
        <v>42.93</v>
      </c>
      <c r="I13" s="52">
        <v>10.4</v>
      </c>
      <c r="J13" s="52">
        <v>0.23</v>
      </c>
      <c r="K13" s="52">
        <v>200.72</v>
      </c>
      <c r="L13" s="52">
        <v>25.87</v>
      </c>
      <c r="M13" s="52">
        <v>66.37</v>
      </c>
      <c r="N13" s="52">
        <v>0</v>
      </c>
      <c r="O13" s="52">
        <v>0</v>
      </c>
      <c r="P13" s="52">
        <v>1.04</v>
      </c>
      <c r="Q13" s="52">
        <v>6.34</v>
      </c>
      <c r="R13" s="50"/>
      <c r="S13" s="50"/>
      <c r="T13" s="50"/>
      <c r="U13" s="50"/>
    </row>
    <row r="14" spans="1:21" customFormat="1">
      <c r="A14" s="51" t="s">
        <v>302</v>
      </c>
      <c r="B14" s="52">
        <v>57.63</v>
      </c>
      <c r="C14" s="52">
        <v>59.46</v>
      </c>
      <c r="D14" s="52">
        <v>78.22</v>
      </c>
      <c r="E14" s="52">
        <v>7.56</v>
      </c>
      <c r="F14" s="52">
        <v>4.09</v>
      </c>
      <c r="G14" s="52">
        <v>119.64</v>
      </c>
      <c r="H14" s="52">
        <v>35.75</v>
      </c>
      <c r="I14" s="52">
        <v>10.1</v>
      </c>
      <c r="J14" s="52">
        <v>0.24</v>
      </c>
      <c r="K14" s="52">
        <v>169.56</v>
      </c>
      <c r="L14" s="52">
        <v>23.69</v>
      </c>
      <c r="M14" s="52">
        <v>68.569999999999993</v>
      </c>
      <c r="N14" s="52">
        <v>16.899999999999999</v>
      </c>
      <c r="O14" s="52">
        <v>0</v>
      </c>
      <c r="P14" s="52">
        <v>1.01</v>
      </c>
      <c r="Q14" s="52">
        <v>6.57</v>
      </c>
      <c r="R14" s="50"/>
      <c r="S14" s="50"/>
      <c r="T14" s="50"/>
      <c r="U14" s="50"/>
    </row>
    <row r="15" spans="1:21" customFormat="1">
      <c r="A15" s="51" t="s">
        <v>303</v>
      </c>
      <c r="B15" s="52">
        <v>58.53</v>
      </c>
      <c r="C15" s="52">
        <v>60.7</v>
      </c>
      <c r="D15" s="52">
        <v>79.739999999999995</v>
      </c>
      <c r="E15" s="52">
        <v>7.37</v>
      </c>
      <c r="F15" s="52">
        <v>4.25</v>
      </c>
      <c r="G15" s="52">
        <v>88.96</v>
      </c>
      <c r="H15" s="52">
        <v>30.69</v>
      </c>
      <c r="I15" s="52">
        <v>9.8000000000000007</v>
      </c>
      <c r="J15" s="52">
        <v>0.35</v>
      </c>
      <c r="K15" s="52">
        <v>170.78</v>
      </c>
      <c r="L15" s="52">
        <v>25.89</v>
      </c>
      <c r="M15" s="52">
        <v>70.41</v>
      </c>
      <c r="N15" s="52">
        <v>56.6</v>
      </c>
      <c r="O15" s="52">
        <v>0</v>
      </c>
      <c r="P15" s="52">
        <v>0.98</v>
      </c>
      <c r="Q15" s="52">
        <v>6.69</v>
      </c>
      <c r="R15" s="50"/>
      <c r="S15" s="50"/>
      <c r="T15" s="50"/>
      <c r="U15" s="50"/>
    </row>
    <row r="16" spans="1:21" customFormat="1">
      <c r="A16" s="51" t="s">
        <v>304</v>
      </c>
      <c r="B16" s="52">
        <v>57.22</v>
      </c>
      <c r="C16" s="52">
        <v>59</v>
      </c>
      <c r="D16" s="52">
        <v>76.11</v>
      </c>
      <c r="E16" s="52">
        <v>12.31</v>
      </c>
      <c r="F16" s="52">
        <v>7.74</v>
      </c>
      <c r="G16" s="52">
        <v>86.48</v>
      </c>
      <c r="H16" s="52">
        <v>30.69</v>
      </c>
      <c r="I16" s="52">
        <v>9.59</v>
      </c>
      <c r="J16" s="52">
        <v>0.34</v>
      </c>
      <c r="K16" s="52">
        <v>147.30000000000001</v>
      </c>
      <c r="L16" s="52">
        <v>30.67</v>
      </c>
      <c r="M16" s="52">
        <v>44.77</v>
      </c>
      <c r="N16" s="52">
        <v>89</v>
      </c>
      <c r="O16" s="52">
        <v>0</v>
      </c>
      <c r="P16" s="52">
        <v>0.94</v>
      </c>
      <c r="Q16" s="52">
        <v>6.53</v>
      </c>
      <c r="R16" s="50"/>
      <c r="S16" s="50"/>
      <c r="T16" s="50"/>
      <c r="U16" s="50"/>
    </row>
    <row r="17" spans="1:21" customFormat="1">
      <c r="A17" s="51" t="s">
        <v>305</v>
      </c>
      <c r="B17" s="52">
        <v>48.97</v>
      </c>
      <c r="C17" s="52">
        <v>57.61</v>
      </c>
      <c r="D17" s="52">
        <v>70.72</v>
      </c>
      <c r="E17" s="52">
        <v>15.27</v>
      </c>
      <c r="F17" s="52">
        <v>12.62</v>
      </c>
      <c r="G17" s="52">
        <v>79.790000000000006</v>
      </c>
      <c r="H17" s="52">
        <v>28.81</v>
      </c>
      <c r="I17" s="52">
        <v>9.4600000000000009</v>
      </c>
      <c r="J17" s="52">
        <v>0.96</v>
      </c>
      <c r="K17" s="52">
        <v>58.55</v>
      </c>
      <c r="L17" s="52">
        <v>33.31</v>
      </c>
      <c r="M17" s="52">
        <v>32.1</v>
      </c>
      <c r="N17" s="52">
        <v>126.1</v>
      </c>
      <c r="O17" s="52">
        <v>0</v>
      </c>
      <c r="P17" s="52">
        <v>0.93</v>
      </c>
      <c r="Q17" s="52">
        <v>6.41</v>
      </c>
      <c r="R17" s="50"/>
      <c r="S17" s="50"/>
      <c r="T17" s="50"/>
      <c r="U17" s="50"/>
    </row>
    <row r="18" spans="1:21" customFormat="1">
      <c r="A18" s="51" t="s">
        <v>306</v>
      </c>
      <c r="B18" s="52">
        <v>37.29</v>
      </c>
      <c r="C18" s="52">
        <v>61.99</v>
      </c>
      <c r="D18" s="52">
        <v>63.64</v>
      </c>
      <c r="E18" s="52">
        <v>16.829999999999998</v>
      </c>
      <c r="F18" s="52">
        <v>15.36</v>
      </c>
      <c r="G18" s="52">
        <v>93.57</v>
      </c>
      <c r="H18" s="52">
        <v>28.77</v>
      </c>
      <c r="I18" s="52">
        <v>9.1199999999999992</v>
      </c>
      <c r="J18" s="52">
        <v>0.9</v>
      </c>
      <c r="K18" s="52">
        <v>127.06</v>
      </c>
      <c r="L18" s="52">
        <v>35.950000000000003</v>
      </c>
      <c r="M18" s="52">
        <v>24.25</v>
      </c>
      <c r="N18" s="52">
        <v>262.7</v>
      </c>
      <c r="O18" s="52">
        <v>0</v>
      </c>
      <c r="P18" s="52">
        <v>0.9</v>
      </c>
      <c r="Q18" s="52">
        <v>5.97</v>
      </c>
      <c r="R18" s="50"/>
      <c r="S18" s="50"/>
      <c r="T18" s="50"/>
      <c r="U18" s="50"/>
    </row>
    <row r="19" spans="1:21" customFormat="1">
      <c r="A19" s="51" t="s">
        <v>307</v>
      </c>
      <c r="B19" s="52">
        <v>29.79</v>
      </c>
      <c r="C19" s="52">
        <v>63.66</v>
      </c>
      <c r="D19" s="52">
        <v>56.87</v>
      </c>
      <c r="E19" s="52">
        <v>24.93</v>
      </c>
      <c r="F19" s="52">
        <v>27.25</v>
      </c>
      <c r="G19" s="52">
        <v>93.57</v>
      </c>
      <c r="H19" s="52">
        <v>28.77</v>
      </c>
      <c r="I19" s="52">
        <v>8.9499999999999993</v>
      </c>
      <c r="J19" s="52">
        <v>1.24</v>
      </c>
      <c r="K19" s="52">
        <v>74.92</v>
      </c>
      <c r="L19" s="52">
        <v>37.79</v>
      </c>
      <c r="M19" s="52">
        <v>17.260000000000002</v>
      </c>
      <c r="N19" s="52">
        <v>810.9</v>
      </c>
      <c r="O19" s="52">
        <v>0</v>
      </c>
      <c r="P19" s="52">
        <v>0.86</v>
      </c>
      <c r="Q19" s="52">
        <v>5.67</v>
      </c>
      <c r="R19" s="50"/>
      <c r="S19" s="50"/>
      <c r="T19" s="50"/>
      <c r="U19" s="50"/>
    </row>
    <row r="20" spans="1:21" customFormat="1">
      <c r="A20" s="51" t="s">
        <v>308</v>
      </c>
      <c r="B20" s="52">
        <v>20.170000000000002</v>
      </c>
      <c r="C20" s="52">
        <v>61.06</v>
      </c>
      <c r="D20" s="52">
        <v>47.32</v>
      </c>
      <c r="E20" s="52">
        <v>33.200000000000003</v>
      </c>
      <c r="F20" s="52">
        <v>38.630000000000003</v>
      </c>
      <c r="G20" s="52">
        <v>83.48</v>
      </c>
      <c r="H20" s="52">
        <v>27.83</v>
      </c>
      <c r="I20" s="52">
        <v>8.34</v>
      </c>
      <c r="J20" s="52">
        <v>1.04</v>
      </c>
      <c r="K20" s="52">
        <v>59.41</v>
      </c>
      <c r="L20" s="52">
        <v>39.090000000000003</v>
      </c>
      <c r="M20" s="52">
        <v>12.62</v>
      </c>
      <c r="N20" s="52">
        <v>870.8</v>
      </c>
      <c r="O20" s="52">
        <v>0</v>
      </c>
      <c r="P20" s="52">
        <v>0.75</v>
      </c>
      <c r="Q20" s="52">
        <v>5.19</v>
      </c>
      <c r="R20" s="50"/>
      <c r="S20" s="50"/>
      <c r="T20" s="50"/>
      <c r="U20" s="50"/>
    </row>
    <row r="21" spans="1:21" customFormat="1">
      <c r="A21" s="51" t="s">
        <v>309</v>
      </c>
      <c r="B21" s="52">
        <v>15.35</v>
      </c>
      <c r="C21" s="52">
        <v>58.36</v>
      </c>
      <c r="D21" s="52">
        <v>43.82</v>
      </c>
      <c r="E21" s="52">
        <v>29.61</v>
      </c>
      <c r="F21" s="52">
        <v>46.53</v>
      </c>
      <c r="G21" s="52">
        <v>83.48</v>
      </c>
      <c r="H21" s="52">
        <v>26.91</v>
      </c>
      <c r="I21" s="52">
        <v>6.88</v>
      </c>
      <c r="J21" s="52">
        <v>1.08</v>
      </c>
      <c r="K21" s="52">
        <v>66.260000000000005</v>
      </c>
      <c r="L21" s="52">
        <v>40.049999999999997</v>
      </c>
      <c r="M21" s="52">
        <v>11.11</v>
      </c>
      <c r="N21" s="52">
        <v>862.8</v>
      </c>
      <c r="O21" s="52">
        <v>0</v>
      </c>
      <c r="P21" s="52">
        <v>0.71</v>
      </c>
      <c r="Q21" s="52">
        <v>4.87</v>
      </c>
      <c r="R21" s="50"/>
      <c r="S21" s="50"/>
      <c r="T21" s="50"/>
      <c r="U21" s="50"/>
    </row>
    <row r="22" spans="1:21" customFormat="1">
      <c r="A22" s="51" t="s">
        <v>310</v>
      </c>
      <c r="B22" s="52">
        <v>12.07</v>
      </c>
      <c r="C22" s="52">
        <v>57.68</v>
      </c>
      <c r="D22" s="52">
        <v>41.17</v>
      </c>
      <c r="E22" s="52">
        <v>27.74</v>
      </c>
      <c r="F22" s="52">
        <v>40.299999999999997</v>
      </c>
      <c r="G22" s="52">
        <v>78.52</v>
      </c>
      <c r="H22" s="52">
        <v>23.35</v>
      </c>
      <c r="I22" s="52">
        <v>6.29</v>
      </c>
      <c r="J22" s="52">
        <v>0.88</v>
      </c>
      <c r="K22" s="52">
        <v>59.98</v>
      </c>
      <c r="L22" s="52">
        <v>40.909999999999997</v>
      </c>
      <c r="M22" s="52">
        <v>8.5500000000000007</v>
      </c>
      <c r="N22" s="52">
        <v>830.4</v>
      </c>
      <c r="O22" s="52">
        <v>0</v>
      </c>
      <c r="P22" s="52">
        <v>0.62</v>
      </c>
      <c r="Q22" s="52">
        <v>4.62</v>
      </c>
      <c r="R22" s="50"/>
      <c r="S22" s="50"/>
      <c r="T22" s="50"/>
      <c r="U22" s="50"/>
    </row>
    <row r="23" spans="1:21" customFormat="1">
      <c r="A23" s="51" t="s">
        <v>311</v>
      </c>
      <c r="B23" s="52">
        <v>9.65</v>
      </c>
      <c r="C23" s="52">
        <v>53.24</v>
      </c>
      <c r="D23" s="52">
        <v>36.909999999999997</v>
      </c>
      <c r="E23" s="52">
        <v>16.52</v>
      </c>
      <c r="F23" s="52">
        <v>43.29</v>
      </c>
      <c r="G23" s="52">
        <v>66.91</v>
      </c>
      <c r="H23" s="52">
        <v>19.88</v>
      </c>
      <c r="I23" s="52">
        <v>5.87</v>
      </c>
      <c r="J23" s="52">
        <v>1.29</v>
      </c>
      <c r="K23" s="52">
        <v>46.07</v>
      </c>
      <c r="L23" s="52">
        <v>40.22</v>
      </c>
      <c r="M23" s="52">
        <v>7.22</v>
      </c>
      <c r="N23" s="52">
        <v>730</v>
      </c>
      <c r="O23" s="52">
        <v>0</v>
      </c>
      <c r="P23" s="52">
        <v>0.56999999999999995</v>
      </c>
      <c r="Q23" s="52">
        <v>4.4400000000000004</v>
      </c>
      <c r="R23" s="50"/>
      <c r="S23" s="50"/>
      <c r="T23" s="50"/>
      <c r="U23" s="50"/>
    </row>
    <row r="24" spans="1:21" customFormat="1">
      <c r="A24" s="51" t="s">
        <v>312</v>
      </c>
      <c r="B24" s="52">
        <v>10.07</v>
      </c>
      <c r="C24" s="52">
        <v>57.27</v>
      </c>
      <c r="D24" s="52">
        <v>38.79</v>
      </c>
      <c r="E24" s="52">
        <v>11.99</v>
      </c>
      <c r="F24" s="52">
        <v>35.21</v>
      </c>
      <c r="G24" s="52">
        <v>58.38</v>
      </c>
      <c r="H24" s="52">
        <v>18.690000000000001</v>
      </c>
      <c r="I24" s="52">
        <v>5.74</v>
      </c>
      <c r="J24" s="52">
        <v>1.18</v>
      </c>
      <c r="K24" s="52">
        <v>36.79</v>
      </c>
      <c r="L24" s="52">
        <v>40.18</v>
      </c>
      <c r="M24" s="52">
        <v>7.05</v>
      </c>
      <c r="N24" s="52">
        <v>606.6</v>
      </c>
      <c r="O24" s="52">
        <v>0</v>
      </c>
      <c r="P24" s="52">
        <v>0.56000000000000005</v>
      </c>
      <c r="Q24" s="52">
        <v>4.3600000000000003</v>
      </c>
      <c r="R24" s="50"/>
      <c r="S24" s="50"/>
      <c r="T24" s="50"/>
      <c r="U24" s="50"/>
    </row>
    <row r="25" spans="1:21" customFormat="1">
      <c r="A25" s="51" t="s">
        <v>313</v>
      </c>
      <c r="B25" s="52">
        <v>12.47</v>
      </c>
      <c r="C25" s="52">
        <v>64.260000000000005</v>
      </c>
      <c r="D25" s="52">
        <v>44.92</v>
      </c>
      <c r="E25" s="52">
        <v>12.96</v>
      </c>
      <c r="F25" s="52">
        <v>39.049999999999997</v>
      </c>
      <c r="G25" s="52">
        <v>52.21</v>
      </c>
      <c r="H25" s="52">
        <v>18.690000000000001</v>
      </c>
      <c r="I25" s="52">
        <v>5.41</v>
      </c>
      <c r="J25" s="52">
        <v>0.61</v>
      </c>
      <c r="K25" s="52">
        <v>53.68</v>
      </c>
      <c r="L25" s="52">
        <v>39.880000000000003</v>
      </c>
      <c r="M25" s="52">
        <v>10.14</v>
      </c>
      <c r="N25" s="52">
        <v>397.4</v>
      </c>
      <c r="O25" s="52">
        <v>0</v>
      </c>
      <c r="P25" s="52">
        <v>0.56000000000000005</v>
      </c>
      <c r="Q25" s="52">
        <v>4.4800000000000004</v>
      </c>
      <c r="R25" s="50"/>
      <c r="S25" s="50"/>
      <c r="T25" s="50"/>
      <c r="U25" s="50"/>
    </row>
    <row r="26" spans="1:21" customFormat="1">
      <c r="A26" s="51" t="s">
        <v>314</v>
      </c>
      <c r="B26" s="52">
        <v>15.28</v>
      </c>
      <c r="C26" s="52">
        <v>70.28</v>
      </c>
      <c r="D26" s="52">
        <v>50.32</v>
      </c>
      <c r="E26" s="52">
        <v>11.04</v>
      </c>
      <c r="F26" s="52">
        <v>34.71</v>
      </c>
      <c r="G26" s="52">
        <v>54.47</v>
      </c>
      <c r="H26" s="52">
        <v>16.920000000000002</v>
      </c>
      <c r="I26" s="52">
        <v>4.7300000000000004</v>
      </c>
      <c r="J26" s="52">
        <v>0.26</v>
      </c>
      <c r="K26" s="52">
        <v>164.17</v>
      </c>
      <c r="L26" s="52">
        <v>39.18</v>
      </c>
      <c r="M26" s="52">
        <v>25.1</v>
      </c>
      <c r="N26" s="52">
        <v>161.19999999999999</v>
      </c>
      <c r="O26" s="52">
        <v>0</v>
      </c>
      <c r="P26" s="52">
        <v>0.66</v>
      </c>
      <c r="Q26" s="52">
        <v>4.59</v>
      </c>
      <c r="R26" s="50"/>
      <c r="S26" s="50"/>
      <c r="T26" s="50"/>
      <c r="U26" s="50"/>
    </row>
    <row r="27" spans="1:21" customFormat="1">
      <c r="A27" s="51" t="s">
        <v>315</v>
      </c>
      <c r="B27" s="52">
        <v>10.75</v>
      </c>
      <c r="C27" s="52">
        <v>54.27</v>
      </c>
      <c r="D27" s="52">
        <v>38.19</v>
      </c>
      <c r="E27" s="52">
        <v>12.11</v>
      </c>
      <c r="F27" s="52">
        <v>39.549999999999997</v>
      </c>
      <c r="G27" s="52">
        <v>58.93</v>
      </c>
      <c r="H27" s="52">
        <v>16.43</v>
      </c>
      <c r="I27" s="52">
        <v>4.5999999999999996</v>
      </c>
      <c r="J27" s="52">
        <v>0.24</v>
      </c>
      <c r="K27" s="52">
        <v>178.92</v>
      </c>
      <c r="L27" s="52">
        <v>33.94</v>
      </c>
      <c r="M27" s="52">
        <v>35.799999999999997</v>
      </c>
      <c r="N27" s="52">
        <v>7.1</v>
      </c>
      <c r="O27" s="52">
        <v>0</v>
      </c>
      <c r="P27" s="52">
        <v>0.6</v>
      </c>
      <c r="Q27" s="52">
        <v>4.63</v>
      </c>
      <c r="R27" s="50"/>
      <c r="S27" s="50"/>
      <c r="T27" s="50"/>
      <c r="U27" s="50"/>
    </row>
    <row r="28" spans="1:21" customFormat="1">
      <c r="A28" s="51" t="s">
        <v>316</v>
      </c>
      <c r="B28" s="52">
        <v>13.39</v>
      </c>
      <c r="C28" s="52">
        <v>61.6</v>
      </c>
      <c r="D28" s="52">
        <v>44.27</v>
      </c>
      <c r="E28" s="52">
        <v>10.94</v>
      </c>
      <c r="F28" s="52">
        <v>22.08</v>
      </c>
      <c r="G28" s="52">
        <v>58.93</v>
      </c>
      <c r="H28" s="52">
        <v>16.43</v>
      </c>
      <c r="I28" s="52">
        <v>5.81</v>
      </c>
      <c r="J28" s="52">
        <v>0.26</v>
      </c>
      <c r="K28" s="52">
        <v>171.42</v>
      </c>
      <c r="L28" s="52">
        <v>30.58</v>
      </c>
      <c r="M28" s="52">
        <v>43.77</v>
      </c>
      <c r="N28" s="52">
        <v>0</v>
      </c>
      <c r="O28" s="52">
        <v>0</v>
      </c>
      <c r="P28" s="52">
        <v>0.7</v>
      </c>
      <c r="Q28" s="52">
        <v>4.6900000000000004</v>
      </c>
      <c r="R28" s="50"/>
      <c r="S28" s="50"/>
      <c r="T28" s="50"/>
      <c r="U28" s="50"/>
    </row>
    <row r="29" spans="1:21" customFormat="1">
      <c r="A29" s="51" t="s">
        <v>317</v>
      </c>
      <c r="B29" s="52">
        <v>41.32</v>
      </c>
      <c r="C29" s="52">
        <v>70.400000000000006</v>
      </c>
      <c r="D29" s="52">
        <v>72.09</v>
      </c>
      <c r="E29" s="52">
        <v>10.16</v>
      </c>
      <c r="F29" s="52">
        <v>9.17</v>
      </c>
      <c r="G29" s="52">
        <v>53.07</v>
      </c>
      <c r="H29" s="52">
        <v>16.22</v>
      </c>
      <c r="I29" s="52">
        <v>6.5</v>
      </c>
      <c r="J29" s="52">
        <v>0.27</v>
      </c>
      <c r="K29" s="52">
        <v>210.97</v>
      </c>
      <c r="L29" s="52">
        <v>28.87</v>
      </c>
      <c r="M29" s="52">
        <v>48.18</v>
      </c>
      <c r="N29" s="52">
        <v>0</v>
      </c>
      <c r="O29" s="52">
        <v>0</v>
      </c>
      <c r="P29" s="52">
        <v>0.99</v>
      </c>
      <c r="Q29" s="52">
        <v>4.96</v>
      </c>
      <c r="R29" s="50"/>
      <c r="S29" s="50"/>
      <c r="T29" s="50"/>
      <c r="U29" s="50"/>
    </row>
    <row r="30" spans="1:21" customFormat="1">
      <c r="A30" s="51" t="s">
        <v>318</v>
      </c>
      <c r="B30" s="52">
        <v>58.2</v>
      </c>
      <c r="C30" s="52">
        <v>72.31</v>
      </c>
      <c r="D30" s="52">
        <v>83.17</v>
      </c>
      <c r="E30" s="52">
        <v>11.17</v>
      </c>
      <c r="F30" s="52">
        <v>4.16</v>
      </c>
      <c r="G30" s="52">
        <v>74.400000000000006</v>
      </c>
      <c r="H30" s="52">
        <v>20.96</v>
      </c>
      <c r="I30" s="52">
        <v>8.0399999999999991</v>
      </c>
      <c r="J30" s="52">
        <v>0.27</v>
      </c>
      <c r="K30" s="52">
        <v>181.81</v>
      </c>
      <c r="L30" s="52">
        <v>28.18</v>
      </c>
      <c r="M30" s="52">
        <v>51.24</v>
      </c>
      <c r="N30" s="52">
        <v>0</v>
      </c>
      <c r="O30" s="52">
        <v>0</v>
      </c>
      <c r="P30" s="52">
        <v>1.17</v>
      </c>
      <c r="Q30" s="52">
        <v>5.78</v>
      </c>
      <c r="R30" s="50"/>
      <c r="S30" s="50"/>
      <c r="T30" s="50"/>
      <c r="U30" s="50"/>
    </row>
    <row r="31" spans="1:21" customFormat="1">
      <c r="A31" s="51" t="s">
        <v>319</v>
      </c>
      <c r="B31" s="52">
        <v>52.61</v>
      </c>
      <c r="C31" s="52">
        <v>71.42</v>
      </c>
      <c r="D31" s="52">
        <v>79.239999999999995</v>
      </c>
      <c r="E31" s="52">
        <v>10.25</v>
      </c>
      <c r="F31" s="52">
        <v>3.58</v>
      </c>
      <c r="G31" s="52">
        <v>178.98</v>
      </c>
      <c r="H31" s="52">
        <v>28.41</v>
      </c>
      <c r="I31" s="52">
        <v>9.19</v>
      </c>
      <c r="J31" s="52">
        <v>0.28000000000000003</v>
      </c>
      <c r="K31" s="52">
        <v>218.51</v>
      </c>
      <c r="L31" s="52">
        <v>26.89</v>
      </c>
      <c r="M31" s="52">
        <v>57.38</v>
      </c>
      <c r="N31" s="52">
        <v>0</v>
      </c>
      <c r="O31" s="52">
        <v>0</v>
      </c>
      <c r="P31" s="52">
        <v>1.05</v>
      </c>
      <c r="Q31" s="52">
        <v>6.58</v>
      </c>
      <c r="R31" s="50"/>
      <c r="S31" s="50"/>
      <c r="T31" s="50"/>
      <c r="U31" s="50"/>
    </row>
    <row r="32" spans="1:21" customFormat="1">
      <c r="A32" s="51" t="s">
        <v>320</v>
      </c>
      <c r="B32" s="52">
        <v>60.94</v>
      </c>
      <c r="C32" s="52">
        <v>68.62</v>
      </c>
      <c r="D32" s="52">
        <v>85.1</v>
      </c>
      <c r="E32" s="52">
        <v>10.09</v>
      </c>
      <c r="F32" s="52">
        <v>3.75</v>
      </c>
      <c r="G32" s="52">
        <v>178.98</v>
      </c>
      <c r="H32" s="52">
        <v>34.61</v>
      </c>
      <c r="I32" s="52">
        <v>9.0399999999999991</v>
      </c>
      <c r="J32" s="52">
        <v>0.24</v>
      </c>
      <c r="K32" s="52">
        <v>190.61</v>
      </c>
      <c r="L32" s="52">
        <v>25.42</v>
      </c>
      <c r="M32" s="52">
        <v>63.41</v>
      </c>
      <c r="N32" s="52">
        <v>0</v>
      </c>
      <c r="O32" s="52">
        <v>0</v>
      </c>
      <c r="P32" s="52">
        <v>1.0900000000000001</v>
      </c>
      <c r="Q32" s="52">
        <v>6.94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9.65</v>
      </c>
      <c r="C34" s="41">
        <f t="shared" si="0"/>
        <v>53.24</v>
      </c>
      <c r="D34" s="41">
        <f t="shared" si="0"/>
        <v>36.909999999999997</v>
      </c>
      <c r="E34" s="41">
        <f t="shared" si="0"/>
        <v>7.37</v>
      </c>
      <c r="F34" s="41">
        <f t="shared" si="0"/>
        <v>3.58</v>
      </c>
      <c r="G34" s="41">
        <f t="shared" si="0"/>
        <v>52.21</v>
      </c>
      <c r="H34" s="41">
        <f t="shared" si="0"/>
        <v>16.22</v>
      </c>
      <c r="I34" s="41">
        <f t="shared" si="0"/>
        <v>4.5999999999999996</v>
      </c>
      <c r="J34" s="41">
        <f t="shared" si="0"/>
        <v>0.23</v>
      </c>
      <c r="K34" s="41">
        <f t="shared" si="0"/>
        <v>36.79</v>
      </c>
      <c r="L34" s="41">
        <f t="shared" si="0"/>
        <v>23.69</v>
      </c>
      <c r="M34" s="41">
        <f t="shared" si="0"/>
        <v>7.05</v>
      </c>
      <c r="N34" s="41">
        <f t="shared" si="0"/>
        <v>0</v>
      </c>
      <c r="O34" s="41">
        <f t="shared" si="0"/>
        <v>0</v>
      </c>
      <c r="P34" s="41">
        <f t="shared" si="0"/>
        <v>0.56000000000000005</v>
      </c>
      <c r="Q34" s="41">
        <f t="shared" si="0"/>
        <v>4.3600000000000003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60.94</v>
      </c>
      <c r="C35" s="33">
        <f t="shared" si="1"/>
        <v>72.31</v>
      </c>
      <c r="D35" s="33">
        <f t="shared" si="1"/>
        <v>85.1</v>
      </c>
      <c r="E35" s="33">
        <f t="shared" si="1"/>
        <v>33.200000000000003</v>
      </c>
      <c r="F35" s="33">
        <f t="shared" si="1"/>
        <v>46.53</v>
      </c>
      <c r="G35" s="33">
        <f t="shared" si="1"/>
        <v>178.98</v>
      </c>
      <c r="H35" s="33">
        <f t="shared" si="1"/>
        <v>42.93</v>
      </c>
      <c r="I35" s="33">
        <f t="shared" si="1"/>
        <v>10.87</v>
      </c>
      <c r="J35" s="33">
        <f t="shared" si="1"/>
        <v>1.29</v>
      </c>
      <c r="K35" s="33">
        <f t="shared" si="1"/>
        <v>241.08</v>
      </c>
      <c r="L35" s="33">
        <f t="shared" si="1"/>
        <v>40.909999999999997</v>
      </c>
      <c r="M35" s="33">
        <f t="shared" si="1"/>
        <v>76.650000000000006</v>
      </c>
      <c r="N35" s="33">
        <f t="shared" si="1"/>
        <v>870.8</v>
      </c>
      <c r="O35" s="33">
        <f t="shared" si="1"/>
        <v>0</v>
      </c>
      <c r="P35" s="33">
        <f t="shared" si="1"/>
        <v>1.17</v>
      </c>
      <c r="Q35" s="33">
        <f t="shared" si="1"/>
        <v>6.94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36.698750000000011</v>
      </c>
      <c r="C36" s="41">
        <f t="shared" si="2"/>
        <v>61.210833333333333</v>
      </c>
      <c r="D36" s="41">
        <f t="shared" si="2"/>
        <v>62.192499999999995</v>
      </c>
      <c r="E36" s="41">
        <f t="shared" si="2"/>
        <v>14.49416666666667</v>
      </c>
      <c r="F36" s="41">
        <f t="shared" si="2"/>
        <v>18.939583333333335</v>
      </c>
      <c r="G36" s="41">
        <f t="shared" si="2"/>
        <v>98.27833333333335</v>
      </c>
      <c r="H36" s="41">
        <f t="shared" si="2"/>
        <v>28.008333333333329</v>
      </c>
      <c r="I36" s="41">
        <f t="shared" si="2"/>
        <v>8.1624999999999996</v>
      </c>
      <c r="J36" s="41">
        <f t="shared" si="2"/>
        <v>0.56624999999999992</v>
      </c>
      <c r="K36" s="41">
        <f t="shared" si="2"/>
        <v>132.41041666666666</v>
      </c>
      <c r="L36" s="41">
        <f t="shared" si="2"/>
        <v>32.240833333333327</v>
      </c>
      <c r="M36" s="41">
        <f t="shared" si="2"/>
        <v>40.487083333333324</v>
      </c>
      <c r="N36" s="41">
        <f t="shared" si="2"/>
        <v>242.85416666666671</v>
      </c>
      <c r="O36" s="41">
        <f t="shared" si="2"/>
        <v>0</v>
      </c>
      <c r="P36" s="41">
        <f t="shared" si="2"/>
        <v>0.88124999999999998</v>
      </c>
      <c r="Q36" s="41">
        <f t="shared" si="2"/>
        <v>5.6124999999999998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19.873719879474645</v>
      </c>
      <c r="C37" s="41">
        <f t="shared" ref="C37:Q37" si="3">STDEV(C9:C32)</f>
        <v>5.588763506915706</v>
      </c>
      <c r="D37" s="41">
        <f t="shared" si="3"/>
        <v>16.541682331245116</v>
      </c>
      <c r="E37" s="41">
        <f t="shared" si="3"/>
        <v>7.1507244489581234</v>
      </c>
      <c r="F37" s="41">
        <f t="shared" si="3"/>
        <v>16.207200621722237</v>
      </c>
      <c r="G37" s="41">
        <f t="shared" si="3"/>
        <v>40.769053338836841</v>
      </c>
      <c r="H37" s="41">
        <f t="shared" si="3"/>
        <v>8.841379327107127</v>
      </c>
      <c r="I37" s="41">
        <f t="shared" si="3"/>
        <v>2.0598591129534607</v>
      </c>
      <c r="J37" s="41">
        <f t="shared" si="3"/>
        <v>0.38855151860299803</v>
      </c>
      <c r="K37" s="41">
        <f t="shared" si="3"/>
        <v>65.362364884519764</v>
      </c>
      <c r="L37" s="41">
        <f t="shared" si="3"/>
        <v>6.065360605550401</v>
      </c>
      <c r="M37" s="41">
        <f t="shared" si="3"/>
        <v>24.296836165330831</v>
      </c>
      <c r="N37" s="41">
        <f t="shared" si="3"/>
        <v>337.22091711281166</v>
      </c>
      <c r="O37" s="41">
        <f t="shared" si="3"/>
        <v>0</v>
      </c>
      <c r="P37" s="41">
        <f t="shared" si="3"/>
        <v>0.21111119056698197</v>
      </c>
      <c r="Q37" s="41">
        <f t="shared" si="3"/>
        <v>0.86681952386671435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12/05/2023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321</v>
      </c>
      <c r="B9" s="52">
        <v>64.459999999999994</v>
      </c>
      <c r="C9" s="52">
        <v>69.42</v>
      </c>
      <c r="D9" s="52">
        <v>88.52</v>
      </c>
      <c r="E9" s="52">
        <v>10.3</v>
      </c>
      <c r="F9" s="52">
        <v>3.92</v>
      </c>
      <c r="G9" s="52">
        <v>133.01</v>
      </c>
      <c r="H9" s="52">
        <v>34.61</v>
      </c>
      <c r="I9" s="52">
        <v>9.6300000000000008</v>
      </c>
      <c r="J9" s="52">
        <v>0.21</v>
      </c>
      <c r="K9" s="52">
        <v>172.27</v>
      </c>
      <c r="L9" s="52">
        <v>24.8</v>
      </c>
      <c r="M9" s="52">
        <v>66.38</v>
      </c>
      <c r="N9" s="52">
        <v>0</v>
      </c>
      <c r="O9" s="52">
        <v>0</v>
      </c>
      <c r="P9" s="52">
        <v>1.1399999999999999</v>
      </c>
      <c r="Q9" s="52">
        <v>7.17</v>
      </c>
      <c r="R9" s="50"/>
      <c r="S9" s="50"/>
      <c r="T9" s="50"/>
      <c r="U9" s="50"/>
    </row>
    <row r="10" spans="1:21" customFormat="1">
      <c r="A10" s="51" t="s">
        <v>322</v>
      </c>
      <c r="B10" s="52">
        <v>66.709999999999994</v>
      </c>
      <c r="C10" s="52">
        <v>68.41</v>
      </c>
      <c r="D10" s="52">
        <v>88.69</v>
      </c>
      <c r="E10" s="52">
        <v>10.5</v>
      </c>
      <c r="F10" s="52">
        <v>3.86</v>
      </c>
      <c r="G10" s="52">
        <v>133.01</v>
      </c>
      <c r="H10" s="52">
        <v>32.44</v>
      </c>
      <c r="I10" s="52">
        <v>9.9600000000000009</v>
      </c>
      <c r="J10" s="52">
        <v>0.2</v>
      </c>
      <c r="K10" s="52">
        <v>215.92</v>
      </c>
      <c r="L10" s="52">
        <v>23.94</v>
      </c>
      <c r="M10" s="52">
        <v>65.33</v>
      </c>
      <c r="N10" s="52">
        <v>0</v>
      </c>
      <c r="O10" s="52">
        <v>0</v>
      </c>
      <c r="P10" s="52">
        <v>1.1499999999999999</v>
      </c>
      <c r="Q10" s="52">
        <v>7.24</v>
      </c>
      <c r="R10" s="50"/>
      <c r="S10" s="50"/>
      <c r="T10" s="50"/>
      <c r="U10" s="50"/>
    </row>
    <row r="11" spans="1:21" customFormat="1">
      <c r="A11" s="51" t="s">
        <v>323</v>
      </c>
      <c r="B11" s="52">
        <v>71.25</v>
      </c>
      <c r="C11" s="52">
        <v>68.73</v>
      </c>
      <c r="D11" s="52">
        <v>93.18</v>
      </c>
      <c r="E11" s="52">
        <v>9.25</v>
      </c>
      <c r="F11" s="52">
        <v>3.79</v>
      </c>
      <c r="G11" s="52">
        <v>103.26</v>
      </c>
      <c r="H11" s="52">
        <v>31.78</v>
      </c>
      <c r="I11" s="52">
        <v>10.4</v>
      </c>
      <c r="J11" s="52">
        <v>0.21</v>
      </c>
      <c r="K11" s="52">
        <v>238.12</v>
      </c>
      <c r="L11" s="52">
        <v>23.52</v>
      </c>
      <c r="M11" s="52">
        <v>65.3</v>
      </c>
      <c r="N11" s="52">
        <v>0</v>
      </c>
      <c r="O11" s="52">
        <v>0</v>
      </c>
      <c r="P11" s="52">
        <v>1.18</v>
      </c>
      <c r="Q11" s="52">
        <v>7.47</v>
      </c>
      <c r="R11" s="50"/>
      <c r="S11" s="50"/>
      <c r="T11" s="50"/>
      <c r="U11" s="50"/>
    </row>
    <row r="12" spans="1:21" customFormat="1">
      <c r="A12" s="51" t="s">
        <v>324</v>
      </c>
      <c r="B12" s="52">
        <v>78.83</v>
      </c>
      <c r="C12" s="52">
        <v>67.17</v>
      </c>
      <c r="D12" s="52">
        <v>99.66</v>
      </c>
      <c r="E12" s="52">
        <v>9.75</v>
      </c>
      <c r="F12" s="52">
        <v>3.93</v>
      </c>
      <c r="G12" s="52">
        <v>106.62</v>
      </c>
      <c r="H12" s="52">
        <v>31.87</v>
      </c>
      <c r="I12" s="52">
        <v>10.95</v>
      </c>
      <c r="J12" s="52">
        <v>0.28000000000000003</v>
      </c>
      <c r="K12" s="52">
        <v>207.11</v>
      </c>
      <c r="L12" s="52">
        <v>23.42</v>
      </c>
      <c r="M12" s="52">
        <v>70.13</v>
      </c>
      <c r="N12" s="52">
        <v>0</v>
      </c>
      <c r="O12" s="52">
        <v>0</v>
      </c>
      <c r="P12" s="52">
        <v>1.22</v>
      </c>
      <c r="Q12" s="52">
        <v>7.84</v>
      </c>
      <c r="R12" s="50"/>
      <c r="S12" s="50"/>
      <c r="T12" s="50"/>
      <c r="U12" s="50"/>
    </row>
    <row r="13" spans="1:21" customFormat="1">
      <c r="A13" s="51" t="s">
        <v>325</v>
      </c>
      <c r="B13" s="52">
        <v>85.84</v>
      </c>
      <c r="C13" s="52">
        <v>68.48</v>
      </c>
      <c r="D13" s="52">
        <v>105.1</v>
      </c>
      <c r="E13" s="52">
        <v>10.15</v>
      </c>
      <c r="F13" s="52">
        <v>3.92</v>
      </c>
      <c r="G13" s="52">
        <v>160.5</v>
      </c>
      <c r="H13" s="52">
        <v>38.76</v>
      </c>
      <c r="I13" s="52">
        <v>12.24</v>
      </c>
      <c r="J13" s="52">
        <v>0.24</v>
      </c>
      <c r="K13" s="52">
        <v>201.47</v>
      </c>
      <c r="L13" s="52">
        <v>22.65</v>
      </c>
      <c r="M13" s="52">
        <v>73.28</v>
      </c>
      <c r="N13" s="52">
        <v>0</v>
      </c>
      <c r="O13" s="52">
        <v>0</v>
      </c>
      <c r="P13" s="52">
        <v>1.27</v>
      </c>
      <c r="Q13" s="52">
        <v>8.17</v>
      </c>
      <c r="R13" s="50"/>
      <c r="S13" s="50"/>
      <c r="T13" s="50"/>
      <c r="U13" s="50"/>
    </row>
    <row r="14" spans="1:21" customFormat="1">
      <c r="A14" s="51" t="s">
        <v>326</v>
      </c>
      <c r="B14" s="52">
        <v>90.35</v>
      </c>
      <c r="C14" s="52">
        <v>66.39</v>
      </c>
      <c r="D14" s="52">
        <v>106.66</v>
      </c>
      <c r="E14" s="52">
        <v>10.45</v>
      </c>
      <c r="F14" s="52">
        <v>3.84</v>
      </c>
      <c r="G14" s="52">
        <v>160.5</v>
      </c>
      <c r="H14" s="52">
        <v>40.54</v>
      </c>
      <c r="I14" s="52">
        <v>13.58</v>
      </c>
      <c r="J14" s="52">
        <v>0.17</v>
      </c>
      <c r="K14" s="52">
        <v>186.01</v>
      </c>
      <c r="L14" s="52">
        <v>21.52</v>
      </c>
      <c r="M14" s="52">
        <v>77.209999999999994</v>
      </c>
      <c r="N14" s="52">
        <v>10.6</v>
      </c>
      <c r="O14" s="52">
        <v>0</v>
      </c>
      <c r="P14" s="52">
        <v>1.3</v>
      </c>
      <c r="Q14" s="52">
        <v>8.32</v>
      </c>
      <c r="R14" s="50"/>
      <c r="S14" s="50"/>
      <c r="T14" s="50"/>
      <c r="U14" s="50"/>
    </row>
    <row r="15" spans="1:21" customFormat="1">
      <c r="A15" s="51" t="s">
        <v>327</v>
      </c>
      <c r="B15" s="52">
        <v>91.97</v>
      </c>
      <c r="C15" s="52">
        <v>64.94</v>
      </c>
      <c r="D15" s="52">
        <v>109.03</v>
      </c>
      <c r="E15" s="52">
        <v>10.210000000000001</v>
      </c>
      <c r="F15" s="52">
        <v>3.68</v>
      </c>
      <c r="G15" s="52">
        <v>169.37</v>
      </c>
      <c r="H15" s="52">
        <v>42.61</v>
      </c>
      <c r="I15" s="52">
        <v>14.9</v>
      </c>
      <c r="J15" s="52">
        <v>0.23</v>
      </c>
      <c r="K15" s="52">
        <v>349.77</v>
      </c>
      <c r="L15" s="52">
        <v>25.13</v>
      </c>
      <c r="M15" s="52">
        <v>70.34</v>
      </c>
      <c r="N15" s="52">
        <v>62.1</v>
      </c>
      <c r="O15" s="52">
        <v>0</v>
      </c>
      <c r="P15" s="52">
        <v>1.36</v>
      </c>
      <c r="Q15" s="52">
        <v>8.49</v>
      </c>
      <c r="R15" s="50"/>
      <c r="S15" s="50"/>
      <c r="T15" s="50"/>
      <c r="U15" s="50"/>
    </row>
    <row r="16" spans="1:21" customFormat="1">
      <c r="A16" s="51" t="s">
        <v>328</v>
      </c>
      <c r="B16" s="52">
        <v>89.6</v>
      </c>
      <c r="C16" s="52">
        <v>64.510000000000005</v>
      </c>
      <c r="D16" s="52">
        <v>106.02</v>
      </c>
      <c r="E16" s="52">
        <v>12.63</v>
      </c>
      <c r="F16" s="52">
        <v>4.3899999999999997</v>
      </c>
      <c r="G16" s="52">
        <v>174.68</v>
      </c>
      <c r="H16" s="52">
        <v>45.57</v>
      </c>
      <c r="I16" s="52">
        <v>15.45</v>
      </c>
      <c r="J16" s="52">
        <v>0.87</v>
      </c>
      <c r="K16" s="52">
        <v>49.99</v>
      </c>
      <c r="L16" s="52">
        <v>29.66</v>
      </c>
      <c r="M16" s="52">
        <v>45.64</v>
      </c>
      <c r="N16" s="52">
        <v>95</v>
      </c>
      <c r="O16" s="52">
        <v>0</v>
      </c>
      <c r="P16" s="52">
        <v>1.38</v>
      </c>
      <c r="Q16" s="52">
        <v>8.43</v>
      </c>
      <c r="R16" s="50"/>
      <c r="S16" s="50"/>
      <c r="T16" s="50"/>
      <c r="U16" s="50"/>
    </row>
    <row r="17" spans="1:21" customFormat="1">
      <c r="A17" s="51" t="s">
        <v>329</v>
      </c>
      <c r="B17" s="52">
        <v>73.59</v>
      </c>
      <c r="C17" s="52">
        <v>69.44</v>
      </c>
      <c r="D17" s="52">
        <v>95.56</v>
      </c>
      <c r="E17" s="52">
        <v>17.34</v>
      </c>
      <c r="F17" s="52">
        <v>12.01</v>
      </c>
      <c r="G17" s="52">
        <v>174.68</v>
      </c>
      <c r="H17" s="52">
        <v>45.57</v>
      </c>
      <c r="I17" s="52">
        <v>15.28</v>
      </c>
      <c r="J17" s="52">
        <v>0.91</v>
      </c>
      <c r="K17" s="52">
        <v>58.74</v>
      </c>
      <c r="L17" s="52">
        <v>33.17</v>
      </c>
      <c r="M17" s="52">
        <v>29.86</v>
      </c>
      <c r="N17" s="52">
        <v>131.30000000000001</v>
      </c>
      <c r="O17" s="52">
        <v>0</v>
      </c>
      <c r="P17" s="52">
        <v>1.32</v>
      </c>
      <c r="Q17" s="52">
        <v>8.14</v>
      </c>
      <c r="R17" s="50"/>
      <c r="S17" s="50"/>
      <c r="T17" s="50"/>
      <c r="U17" s="50"/>
    </row>
    <row r="18" spans="1:21" customFormat="1">
      <c r="A18" s="51" t="s">
        <v>330</v>
      </c>
      <c r="B18" s="52">
        <v>61.81</v>
      </c>
      <c r="C18" s="52">
        <v>68.739999999999995</v>
      </c>
      <c r="D18" s="52">
        <v>86.23</v>
      </c>
      <c r="E18" s="52">
        <v>21.22</v>
      </c>
      <c r="F18" s="52">
        <v>17.13</v>
      </c>
      <c r="G18" s="52">
        <v>144.33000000000001</v>
      </c>
      <c r="H18" s="52">
        <v>44.5</v>
      </c>
      <c r="I18" s="52">
        <v>13.84</v>
      </c>
      <c r="J18" s="52">
        <v>0.86</v>
      </c>
      <c r="K18" s="52">
        <v>140.18</v>
      </c>
      <c r="L18" s="52">
        <v>36.01</v>
      </c>
      <c r="M18" s="52">
        <v>22.77</v>
      </c>
      <c r="N18" s="52">
        <v>231.8</v>
      </c>
      <c r="O18" s="52">
        <v>0</v>
      </c>
      <c r="P18" s="52">
        <v>1.24</v>
      </c>
      <c r="Q18" s="52">
        <v>7.55</v>
      </c>
      <c r="R18" s="50"/>
      <c r="S18" s="50"/>
      <c r="T18" s="50"/>
      <c r="U18" s="50"/>
    </row>
    <row r="19" spans="1:21" customFormat="1">
      <c r="A19" s="51" t="s">
        <v>331</v>
      </c>
      <c r="B19" s="52">
        <v>45.4</v>
      </c>
      <c r="C19" s="52">
        <v>66.98</v>
      </c>
      <c r="D19" s="52">
        <v>71.790000000000006</v>
      </c>
      <c r="E19" s="52">
        <v>26.66</v>
      </c>
      <c r="F19" s="52">
        <v>24.83</v>
      </c>
      <c r="G19" s="52">
        <v>121.59</v>
      </c>
      <c r="H19" s="52">
        <v>40.99</v>
      </c>
      <c r="I19" s="52">
        <v>12.8</v>
      </c>
      <c r="J19" s="52">
        <v>0.9</v>
      </c>
      <c r="K19" s="52">
        <v>76.13</v>
      </c>
      <c r="L19" s="52">
        <v>37.58</v>
      </c>
      <c r="M19" s="52">
        <v>18.5</v>
      </c>
      <c r="N19" s="52">
        <v>705.8</v>
      </c>
      <c r="O19" s="52">
        <v>0</v>
      </c>
      <c r="P19" s="52">
        <v>1.1399999999999999</v>
      </c>
      <c r="Q19" s="52">
        <v>6.87</v>
      </c>
      <c r="R19" s="50"/>
      <c r="S19" s="50"/>
      <c r="T19" s="50"/>
      <c r="U19" s="50"/>
    </row>
    <row r="20" spans="1:21" customFormat="1">
      <c r="A20" s="51" t="s">
        <v>332</v>
      </c>
      <c r="B20" s="52">
        <v>30.54</v>
      </c>
      <c r="C20" s="52">
        <v>62.51</v>
      </c>
      <c r="D20" s="52">
        <v>58.08</v>
      </c>
      <c r="E20" s="52">
        <v>33.22</v>
      </c>
      <c r="F20" s="52">
        <v>44.3</v>
      </c>
      <c r="G20" s="52">
        <v>94.66</v>
      </c>
      <c r="H20" s="52">
        <v>37.57</v>
      </c>
      <c r="I20" s="52">
        <v>11.49</v>
      </c>
      <c r="J20" s="52">
        <v>0.82</v>
      </c>
      <c r="K20" s="52">
        <v>148.53</v>
      </c>
      <c r="L20" s="52">
        <v>38.76</v>
      </c>
      <c r="M20" s="52">
        <v>16.72</v>
      </c>
      <c r="N20" s="52">
        <v>847.7</v>
      </c>
      <c r="O20" s="52">
        <v>0</v>
      </c>
      <c r="P20" s="52">
        <v>1.01</v>
      </c>
      <c r="Q20" s="52">
        <v>6.08</v>
      </c>
      <c r="R20" s="50"/>
      <c r="S20" s="50"/>
      <c r="T20" s="50"/>
      <c r="U20" s="50"/>
    </row>
    <row r="21" spans="1:21" customFormat="1">
      <c r="A21" s="51" t="s">
        <v>333</v>
      </c>
      <c r="B21" s="52">
        <v>17.93</v>
      </c>
      <c r="C21" s="52">
        <v>60.58</v>
      </c>
      <c r="D21" s="52">
        <v>47.38</v>
      </c>
      <c r="E21" s="52">
        <v>35.31</v>
      </c>
      <c r="F21" s="52">
        <v>51.66</v>
      </c>
      <c r="G21" s="52">
        <v>77.790000000000006</v>
      </c>
      <c r="H21" s="52">
        <v>36.82</v>
      </c>
      <c r="I21" s="52">
        <v>9.7799999999999994</v>
      </c>
      <c r="J21" s="52">
        <v>0.61</v>
      </c>
      <c r="K21" s="52">
        <v>93.47</v>
      </c>
      <c r="L21" s="52">
        <v>39.89</v>
      </c>
      <c r="M21" s="52">
        <v>15.23</v>
      </c>
      <c r="N21" s="52">
        <v>859</v>
      </c>
      <c r="O21" s="52">
        <v>0</v>
      </c>
      <c r="P21" s="52">
        <v>0.9</v>
      </c>
      <c r="Q21" s="52">
        <v>5.42</v>
      </c>
      <c r="R21" s="50"/>
      <c r="S21" s="50"/>
      <c r="T21" s="50"/>
      <c r="U21" s="50"/>
    </row>
    <row r="22" spans="1:21" customFormat="1">
      <c r="A22" s="51" t="s">
        <v>334</v>
      </c>
      <c r="B22" s="52">
        <v>12.18</v>
      </c>
      <c r="C22" s="52">
        <v>60.53</v>
      </c>
      <c r="D22" s="52">
        <v>42.74</v>
      </c>
      <c r="E22" s="52">
        <v>27.1</v>
      </c>
      <c r="F22" s="52">
        <v>53.23</v>
      </c>
      <c r="G22" s="52">
        <v>65.62</v>
      </c>
      <c r="H22" s="52">
        <v>31.58</v>
      </c>
      <c r="I22" s="52">
        <v>8.67</v>
      </c>
      <c r="J22" s="52">
        <v>0.52</v>
      </c>
      <c r="K22" s="52">
        <v>317.27</v>
      </c>
      <c r="L22" s="52">
        <v>40.450000000000003</v>
      </c>
      <c r="M22" s="52">
        <v>13.19</v>
      </c>
      <c r="N22" s="52">
        <v>758.3</v>
      </c>
      <c r="O22" s="52">
        <v>0</v>
      </c>
      <c r="P22" s="52">
        <v>0.83</v>
      </c>
      <c r="Q22" s="52">
        <v>4.92</v>
      </c>
      <c r="R22" s="50"/>
      <c r="S22" s="50"/>
      <c r="T22" s="50"/>
      <c r="U22" s="50"/>
    </row>
    <row r="23" spans="1:21" customFormat="1">
      <c r="A23" s="51" t="s">
        <v>335</v>
      </c>
      <c r="B23" s="52">
        <v>8.4</v>
      </c>
      <c r="C23" s="52">
        <v>60.32</v>
      </c>
      <c r="D23" s="52">
        <v>39.61</v>
      </c>
      <c r="E23" s="52">
        <v>20.99</v>
      </c>
      <c r="F23" s="52">
        <v>46.92</v>
      </c>
      <c r="G23" s="52">
        <v>56.51</v>
      </c>
      <c r="H23" s="52">
        <v>27.29</v>
      </c>
      <c r="I23" s="52">
        <v>8.17</v>
      </c>
      <c r="J23" s="52">
        <v>1.19</v>
      </c>
      <c r="K23" s="52">
        <v>317.77999999999997</v>
      </c>
      <c r="L23" s="52">
        <v>39.75</v>
      </c>
      <c r="M23" s="52">
        <v>9.75</v>
      </c>
      <c r="N23" s="52">
        <v>549.20000000000005</v>
      </c>
      <c r="O23" s="52">
        <v>0</v>
      </c>
      <c r="P23" s="52">
        <v>0.71</v>
      </c>
      <c r="Q23" s="52">
        <v>4.57</v>
      </c>
      <c r="R23" s="50"/>
      <c r="S23" s="50"/>
      <c r="T23" s="50"/>
      <c r="U23" s="50"/>
    </row>
    <row r="24" spans="1:21" customFormat="1">
      <c r="A24" s="51" t="s">
        <v>336</v>
      </c>
      <c r="B24" s="52">
        <v>7.95</v>
      </c>
      <c r="C24" s="52">
        <v>67.760000000000005</v>
      </c>
      <c r="D24" s="52">
        <v>43.29</v>
      </c>
      <c r="E24" s="52">
        <v>25.02</v>
      </c>
      <c r="F24" s="52">
        <v>51.26</v>
      </c>
      <c r="G24" s="52">
        <v>54.78</v>
      </c>
      <c r="H24" s="52">
        <v>24.83</v>
      </c>
      <c r="I24" s="52">
        <v>7.78</v>
      </c>
      <c r="J24" s="52">
        <v>0.99</v>
      </c>
      <c r="K24" s="52">
        <v>51.47</v>
      </c>
      <c r="L24" s="52">
        <v>40.03</v>
      </c>
      <c r="M24" s="52">
        <v>10.45</v>
      </c>
      <c r="N24" s="52">
        <v>569.4</v>
      </c>
      <c r="O24" s="52">
        <v>0</v>
      </c>
      <c r="P24" s="52">
        <v>0.64</v>
      </c>
      <c r="Q24" s="52">
        <v>4.59</v>
      </c>
      <c r="R24" s="50"/>
      <c r="S24" s="50"/>
      <c r="T24" s="50"/>
      <c r="U24" s="50"/>
    </row>
    <row r="25" spans="1:21" customFormat="1">
      <c r="A25" s="51" t="s">
        <v>337</v>
      </c>
      <c r="B25" s="52">
        <v>8.4499999999999993</v>
      </c>
      <c r="C25" s="52">
        <v>61.85</v>
      </c>
      <c r="D25" s="52">
        <v>39.85</v>
      </c>
      <c r="E25" s="52">
        <v>27.28</v>
      </c>
      <c r="F25" s="52">
        <v>55.67</v>
      </c>
      <c r="G25" s="52">
        <v>59.14</v>
      </c>
      <c r="H25" s="52">
        <v>24.83</v>
      </c>
      <c r="I25" s="52">
        <v>6.72</v>
      </c>
      <c r="J25" s="52">
        <v>0.81</v>
      </c>
      <c r="K25" s="52">
        <v>304.36</v>
      </c>
      <c r="L25" s="52">
        <v>39.46</v>
      </c>
      <c r="M25" s="52">
        <v>11.87</v>
      </c>
      <c r="N25" s="52">
        <v>380.8</v>
      </c>
      <c r="O25" s="52">
        <v>0</v>
      </c>
      <c r="P25" s="52">
        <v>0.61</v>
      </c>
      <c r="Q25" s="52">
        <v>4.54</v>
      </c>
      <c r="R25" s="50"/>
      <c r="S25" s="50"/>
      <c r="T25" s="50"/>
      <c r="U25" s="50"/>
    </row>
    <row r="26" spans="1:21" customFormat="1">
      <c r="A26" s="51" t="s">
        <v>338</v>
      </c>
      <c r="B26" s="52">
        <v>12.01</v>
      </c>
      <c r="C26" s="52">
        <v>77.72</v>
      </c>
      <c r="D26" s="52">
        <v>52.03</v>
      </c>
      <c r="E26" s="52">
        <v>30.22</v>
      </c>
      <c r="F26" s="52">
        <v>41.04</v>
      </c>
      <c r="G26" s="52">
        <v>71.180000000000007</v>
      </c>
      <c r="H26" s="52">
        <v>23.57</v>
      </c>
      <c r="I26" s="52">
        <v>5.69</v>
      </c>
      <c r="J26" s="52">
        <v>0.44</v>
      </c>
      <c r="K26" s="52">
        <v>152.47999999999999</v>
      </c>
      <c r="L26" s="52">
        <v>38.01</v>
      </c>
      <c r="M26" s="52">
        <v>23.83</v>
      </c>
      <c r="N26" s="52">
        <v>119.6</v>
      </c>
      <c r="O26" s="52">
        <v>0</v>
      </c>
      <c r="P26" s="52">
        <v>0.79</v>
      </c>
      <c r="Q26" s="52">
        <v>4.66</v>
      </c>
      <c r="R26" s="50"/>
      <c r="S26" s="50"/>
      <c r="T26" s="50"/>
      <c r="U26" s="50"/>
    </row>
    <row r="27" spans="1:21" customFormat="1">
      <c r="A27" s="51" t="s">
        <v>339</v>
      </c>
      <c r="B27" s="52">
        <v>8.8699999999999992</v>
      </c>
      <c r="C27" s="52">
        <v>67.7</v>
      </c>
      <c r="D27" s="52">
        <v>43.28</v>
      </c>
      <c r="E27" s="52">
        <v>20.52</v>
      </c>
      <c r="F27" s="52">
        <v>36.68</v>
      </c>
      <c r="G27" s="52">
        <v>93.3</v>
      </c>
      <c r="H27" s="52">
        <v>26.44</v>
      </c>
      <c r="I27" s="52">
        <v>6.15</v>
      </c>
      <c r="J27" s="52">
        <v>0.3</v>
      </c>
      <c r="K27" s="52">
        <v>175.19</v>
      </c>
      <c r="L27" s="52">
        <v>34.25</v>
      </c>
      <c r="M27" s="52">
        <v>34.299999999999997</v>
      </c>
      <c r="N27" s="52">
        <v>18.8</v>
      </c>
      <c r="O27" s="52">
        <v>0</v>
      </c>
      <c r="P27" s="52">
        <v>0.76</v>
      </c>
      <c r="Q27" s="52">
        <v>4.8</v>
      </c>
      <c r="R27" s="50"/>
      <c r="S27" s="50"/>
      <c r="T27" s="50"/>
      <c r="U27" s="50"/>
    </row>
    <row r="28" spans="1:21" customFormat="1">
      <c r="A28" s="51" t="s">
        <v>340</v>
      </c>
      <c r="B28" s="52">
        <v>10.199999999999999</v>
      </c>
      <c r="C28" s="52">
        <v>61.5</v>
      </c>
      <c r="D28" s="52">
        <v>41.66</v>
      </c>
      <c r="E28" s="52">
        <v>19.23</v>
      </c>
      <c r="F28" s="52">
        <v>33.65</v>
      </c>
      <c r="G28" s="52">
        <v>93.3</v>
      </c>
      <c r="H28" s="52">
        <v>26.44</v>
      </c>
      <c r="I28" s="52">
        <v>6.33</v>
      </c>
      <c r="J28" s="52">
        <v>0.24</v>
      </c>
      <c r="K28" s="52">
        <v>233</v>
      </c>
      <c r="L28" s="52">
        <v>31.33</v>
      </c>
      <c r="M28" s="52">
        <v>37.04</v>
      </c>
      <c r="N28" s="52">
        <v>0</v>
      </c>
      <c r="O28" s="52">
        <v>0</v>
      </c>
      <c r="P28" s="52">
        <v>0.75</v>
      </c>
      <c r="Q28" s="52">
        <v>4.75</v>
      </c>
      <c r="R28" s="50"/>
      <c r="S28" s="50"/>
      <c r="T28" s="50"/>
      <c r="U28" s="50"/>
    </row>
    <row r="29" spans="1:21" customFormat="1">
      <c r="A29" s="51" t="s">
        <v>341</v>
      </c>
      <c r="B29" s="52">
        <v>12.57</v>
      </c>
      <c r="C29" s="52">
        <v>64.430000000000007</v>
      </c>
      <c r="D29" s="52">
        <v>44.42</v>
      </c>
      <c r="E29" s="52">
        <v>15.68</v>
      </c>
      <c r="F29" s="52">
        <v>18.39</v>
      </c>
      <c r="G29" s="52">
        <v>89.78</v>
      </c>
      <c r="H29" s="52">
        <v>24.61</v>
      </c>
      <c r="I29" s="52">
        <v>7.04</v>
      </c>
      <c r="J29" s="52">
        <v>0.19</v>
      </c>
      <c r="K29" s="52">
        <v>214.21</v>
      </c>
      <c r="L29" s="52">
        <v>29.9</v>
      </c>
      <c r="M29" s="52">
        <v>47.19</v>
      </c>
      <c r="N29" s="52">
        <v>0</v>
      </c>
      <c r="O29" s="52">
        <v>0</v>
      </c>
      <c r="P29" s="52">
        <v>0.84</v>
      </c>
      <c r="Q29" s="52">
        <v>4.8</v>
      </c>
      <c r="R29" s="50"/>
      <c r="S29" s="50"/>
      <c r="T29" s="50"/>
      <c r="U29" s="50"/>
    </row>
    <row r="30" spans="1:21" customFormat="1">
      <c r="A30" s="51" t="s">
        <v>342</v>
      </c>
      <c r="B30" s="52">
        <v>15.04</v>
      </c>
      <c r="C30" s="52">
        <v>65.010000000000005</v>
      </c>
      <c r="D30" s="52">
        <v>47.38</v>
      </c>
      <c r="E30" s="52">
        <v>12</v>
      </c>
      <c r="F30" s="52">
        <v>11.09</v>
      </c>
      <c r="G30" s="52">
        <v>84.06</v>
      </c>
      <c r="H30" s="52">
        <v>26.32</v>
      </c>
      <c r="I30" s="52">
        <v>8.31</v>
      </c>
      <c r="J30" s="52">
        <v>0.25</v>
      </c>
      <c r="K30" s="52">
        <v>218.16</v>
      </c>
      <c r="L30" s="52">
        <v>28.63</v>
      </c>
      <c r="M30" s="52">
        <v>45.78</v>
      </c>
      <c r="N30" s="52">
        <v>0</v>
      </c>
      <c r="O30" s="52">
        <v>0</v>
      </c>
      <c r="P30" s="52">
        <v>0.87</v>
      </c>
      <c r="Q30" s="52">
        <v>4.93</v>
      </c>
      <c r="R30" s="50"/>
      <c r="S30" s="50"/>
      <c r="T30" s="50"/>
      <c r="U30" s="50"/>
    </row>
    <row r="31" spans="1:21" customFormat="1">
      <c r="A31" s="51" t="s">
        <v>343</v>
      </c>
      <c r="B31" s="52">
        <v>17.510000000000002</v>
      </c>
      <c r="C31" s="52">
        <v>67.3</v>
      </c>
      <c r="D31" s="52">
        <v>49.74</v>
      </c>
      <c r="E31" s="52">
        <v>10.33</v>
      </c>
      <c r="F31" s="52">
        <v>7.55</v>
      </c>
      <c r="G31" s="52">
        <v>84.06</v>
      </c>
      <c r="H31" s="52">
        <v>28.2</v>
      </c>
      <c r="I31" s="52">
        <v>8.31</v>
      </c>
      <c r="J31" s="52">
        <v>0.24</v>
      </c>
      <c r="K31" s="52">
        <v>166.96</v>
      </c>
      <c r="L31" s="52">
        <v>27.24</v>
      </c>
      <c r="M31" s="52">
        <v>51.21</v>
      </c>
      <c r="N31" s="52">
        <v>0</v>
      </c>
      <c r="O31" s="52">
        <v>0</v>
      </c>
      <c r="P31" s="52">
        <v>0.89</v>
      </c>
      <c r="Q31" s="52">
        <v>5</v>
      </c>
      <c r="R31" s="50"/>
      <c r="S31" s="50"/>
      <c r="T31" s="50"/>
      <c r="U31" s="50"/>
    </row>
    <row r="32" spans="1:21" customFormat="1">
      <c r="A32" s="51" t="s">
        <v>344</v>
      </c>
      <c r="B32" s="52">
        <v>20.79</v>
      </c>
      <c r="C32" s="52">
        <v>69.760000000000005</v>
      </c>
      <c r="D32" s="52">
        <v>53.89</v>
      </c>
      <c r="E32" s="52">
        <v>9.68</v>
      </c>
      <c r="F32" s="52">
        <v>7.92</v>
      </c>
      <c r="G32" s="52">
        <v>82.47</v>
      </c>
      <c r="H32" s="52">
        <v>28.3</v>
      </c>
      <c r="I32" s="52">
        <v>8.64</v>
      </c>
      <c r="J32" s="52">
        <v>0.25</v>
      </c>
      <c r="K32" s="52">
        <v>180.12</v>
      </c>
      <c r="L32" s="52">
        <v>26.96</v>
      </c>
      <c r="M32" s="52">
        <v>51.13</v>
      </c>
      <c r="N32" s="52">
        <v>0</v>
      </c>
      <c r="O32" s="52">
        <v>0</v>
      </c>
      <c r="P32" s="52">
        <v>0.9</v>
      </c>
      <c r="Q32" s="52">
        <v>5.14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7.95</v>
      </c>
      <c r="C34" s="41">
        <f t="shared" si="0"/>
        <v>60.32</v>
      </c>
      <c r="D34" s="41">
        <f t="shared" si="0"/>
        <v>39.61</v>
      </c>
      <c r="E34" s="41">
        <f t="shared" si="0"/>
        <v>9.25</v>
      </c>
      <c r="F34" s="41">
        <f t="shared" si="0"/>
        <v>3.68</v>
      </c>
      <c r="G34" s="41">
        <f t="shared" si="0"/>
        <v>54.78</v>
      </c>
      <c r="H34" s="41">
        <f t="shared" si="0"/>
        <v>23.57</v>
      </c>
      <c r="I34" s="41">
        <f t="shared" si="0"/>
        <v>5.69</v>
      </c>
      <c r="J34" s="41">
        <f t="shared" si="0"/>
        <v>0.17</v>
      </c>
      <c r="K34" s="41">
        <f t="shared" si="0"/>
        <v>49.99</v>
      </c>
      <c r="L34" s="41">
        <f t="shared" si="0"/>
        <v>21.52</v>
      </c>
      <c r="M34" s="41">
        <f t="shared" si="0"/>
        <v>9.75</v>
      </c>
      <c r="N34" s="41">
        <f t="shared" si="0"/>
        <v>0</v>
      </c>
      <c r="O34" s="41">
        <f t="shared" si="0"/>
        <v>0</v>
      </c>
      <c r="P34" s="41">
        <f t="shared" si="0"/>
        <v>0.61</v>
      </c>
      <c r="Q34" s="41">
        <f t="shared" si="0"/>
        <v>4.54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91.97</v>
      </c>
      <c r="C35" s="33">
        <f t="shared" si="1"/>
        <v>77.72</v>
      </c>
      <c r="D35" s="33">
        <f t="shared" si="1"/>
        <v>109.03</v>
      </c>
      <c r="E35" s="33">
        <f t="shared" si="1"/>
        <v>35.31</v>
      </c>
      <c r="F35" s="33">
        <f t="shared" si="1"/>
        <v>55.67</v>
      </c>
      <c r="G35" s="33">
        <f t="shared" si="1"/>
        <v>174.68</v>
      </c>
      <c r="H35" s="33">
        <f t="shared" si="1"/>
        <v>45.57</v>
      </c>
      <c r="I35" s="33">
        <f t="shared" si="1"/>
        <v>15.45</v>
      </c>
      <c r="J35" s="33">
        <f t="shared" si="1"/>
        <v>1.19</v>
      </c>
      <c r="K35" s="33">
        <f t="shared" si="1"/>
        <v>349.77</v>
      </c>
      <c r="L35" s="33">
        <f t="shared" si="1"/>
        <v>40.450000000000003</v>
      </c>
      <c r="M35" s="33">
        <f t="shared" si="1"/>
        <v>77.209999999999994</v>
      </c>
      <c r="N35" s="33">
        <f t="shared" si="1"/>
        <v>859</v>
      </c>
      <c r="O35" s="33">
        <f t="shared" si="1"/>
        <v>0</v>
      </c>
      <c r="P35" s="33">
        <f t="shared" si="1"/>
        <v>1.38</v>
      </c>
      <c r="Q35" s="33">
        <f t="shared" si="1"/>
        <v>8.49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41.760416666666664</v>
      </c>
      <c r="C36" s="41">
        <f t="shared" si="2"/>
        <v>66.257500000000007</v>
      </c>
      <c r="D36" s="41">
        <f t="shared" si="2"/>
        <v>68.907916666666665</v>
      </c>
      <c r="E36" s="41">
        <f t="shared" si="2"/>
        <v>18.126666666666669</v>
      </c>
      <c r="F36" s="41">
        <f t="shared" si="2"/>
        <v>22.694166666666664</v>
      </c>
      <c r="G36" s="41">
        <f t="shared" si="2"/>
        <v>107.84166666666668</v>
      </c>
      <c r="H36" s="41">
        <f t="shared" si="2"/>
        <v>33.168333333333344</v>
      </c>
      <c r="I36" s="41">
        <f t="shared" si="2"/>
        <v>10.087916666666667</v>
      </c>
      <c r="J36" s="41">
        <f t="shared" si="2"/>
        <v>0.49708333333333338</v>
      </c>
      <c r="K36" s="41">
        <f t="shared" si="2"/>
        <v>186.19624999999999</v>
      </c>
      <c r="L36" s="41">
        <f t="shared" si="2"/>
        <v>31.502500000000001</v>
      </c>
      <c r="M36" s="41">
        <f t="shared" si="2"/>
        <v>40.517916666666665</v>
      </c>
      <c r="N36" s="41">
        <f t="shared" si="2"/>
        <v>222.47500000000002</v>
      </c>
      <c r="O36" s="41">
        <f t="shared" si="2"/>
        <v>0</v>
      </c>
      <c r="P36" s="41">
        <f t="shared" si="2"/>
        <v>1.0083333333333335</v>
      </c>
      <c r="Q36" s="41">
        <f t="shared" si="2"/>
        <v>6.2454166666666673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32.580832118869701</v>
      </c>
      <c r="C37" s="41">
        <f t="shared" ref="C37:Q37" si="3">STDEV(C9:C32)</f>
        <v>3.9481071414031375</v>
      </c>
      <c r="D37" s="41">
        <f t="shared" si="3"/>
        <v>26.388634737270912</v>
      </c>
      <c r="E37" s="41">
        <f t="shared" si="3"/>
        <v>8.441059930697282</v>
      </c>
      <c r="F37" s="41">
        <f t="shared" si="3"/>
        <v>19.729077617141357</v>
      </c>
      <c r="G37" s="41">
        <f t="shared" si="3"/>
        <v>39.356779612276142</v>
      </c>
      <c r="H37" s="41">
        <f t="shared" si="3"/>
        <v>7.337231835950953</v>
      </c>
      <c r="I37" s="41">
        <f t="shared" si="3"/>
        <v>3.0165485303956077</v>
      </c>
      <c r="J37" s="41">
        <f t="shared" si="3"/>
        <v>0.32820300142583619</v>
      </c>
      <c r="K37" s="41">
        <f t="shared" si="3"/>
        <v>84.059290194093236</v>
      </c>
      <c r="L37" s="41">
        <f t="shared" si="3"/>
        <v>6.6591089951055116</v>
      </c>
      <c r="M37" s="41">
        <f t="shared" si="3"/>
        <v>23.10336696319893</v>
      </c>
      <c r="N37" s="41">
        <f t="shared" si="3"/>
        <v>310.06547309994966</v>
      </c>
      <c r="O37" s="41">
        <f t="shared" si="3"/>
        <v>0</v>
      </c>
      <c r="P37" s="41">
        <f t="shared" si="3"/>
        <v>0.24417859940174302</v>
      </c>
      <c r="Q37" s="41">
        <f t="shared" si="3"/>
        <v>1.5285570893369673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6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13/05/2023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345</v>
      </c>
      <c r="B9" s="52">
        <v>38.4</v>
      </c>
      <c r="C9" s="52">
        <v>70.81</v>
      </c>
      <c r="D9" s="52">
        <v>68.069999999999993</v>
      </c>
      <c r="E9" s="52">
        <v>10.39</v>
      </c>
      <c r="F9" s="52">
        <v>4.47</v>
      </c>
      <c r="G9" s="52">
        <v>82.47</v>
      </c>
      <c r="H9" s="52">
        <v>28.3</v>
      </c>
      <c r="I9" s="52">
        <v>8.6999999999999993</v>
      </c>
      <c r="J9" s="52">
        <v>0.25</v>
      </c>
      <c r="K9" s="52">
        <v>174.59</v>
      </c>
      <c r="L9" s="52">
        <v>26.68</v>
      </c>
      <c r="M9" s="52">
        <v>51.11</v>
      </c>
      <c r="N9" s="52">
        <v>0</v>
      </c>
      <c r="O9" s="52">
        <v>0</v>
      </c>
      <c r="P9" s="52">
        <v>0.92</v>
      </c>
      <c r="Q9" s="52">
        <v>5.51</v>
      </c>
      <c r="R9" s="50"/>
      <c r="S9" s="50"/>
      <c r="T9" s="50"/>
      <c r="U9" s="50"/>
    </row>
    <row r="10" spans="1:21" customFormat="1">
      <c r="A10" s="51" t="s">
        <v>346</v>
      </c>
      <c r="B10" s="52">
        <v>38.36</v>
      </c>
      <c r="C10" s="52">
        <v>70.78</v>
      </c>
      <c r="D10" s="52">
        <v>69.099999999999994</v>
      </c>
      <c r="E10" s="52">
        <v>9.4600000000000009</v>
      </c>
      <c r="F10" s="52">
        <v>3.83</v>
      </c>
      <c r="G10" s="52">
        <v>75.83</v>
      </c>
      <c r="H10" s="52">
        <v>30.14</v>
      </c>
      <c r="I10" s="52">
        <v>8.8800000000000008</v>
      </c>
      <c r="J10" s="52">
        <v>0.31</v>
      </c>
      <c r="K10" s="52">
        <v>211.57</v>
      </c>
      <c r="L10" s="52">
        <v>26.47</v>
      </c>
      <c r="M10" s="52">
        <v>48.7</v>
      </c>
      <c r="N10" s="52">
        <v>0</v>
      </c>
      <c r="O10" s="52">
        <v>0</v>
      </c>
      <c r="P10" s="52">
        <v>0.94</v>
      </c>
      <c r="Q10" s="52">
        <v>5.99</v>
      </c>
      <c r="R10" s="50"/>
      <c r="S10" s="50"/>
      <c r="T10" s="50"/>
      <c r="U10" s="50"/>
    </row>
    <row r="11" spans="1:21" customFormat="1">
      <c r="A11" s="51" t="s">
        <v>347</v>
      </c>
      <c r="B11" s="52">
        <v>43.8</v>
      </c>
      <c r="C11" s="52">
        <v>71.94</v>
      </c>
      <c r="D11" s="52">
        <v>73.64</v>
      </c>
      <c r="E11" s="52">
        <v>8.6999999999999993</v>
      </c>
      <c r="F11" s="52">
        <v>3.84</v>
      </c>
      <c r="G11" s="52">
        <v>98.02</v>
      </c>
      <c r="H11" s="52">
        <v>31.7</v>
      </c>
      <c r="I11" s="52">
        <v>9.32</v>
      </c>
      <c r="J11" s="52">
        <v>0.22</v>
      </c>
      <c r="K11" s="52">
        <v>193.88</v>
      </c>
      <c r="L11" s="52">
        <v>25.25</v>
      </c>
      <c r="M11" s="52">
        <v>60.85</v>
      </c>
      <c r="N11" s="52">
        <v>0</v>
      </c>
      <c r="O11" s="52">
        <v>0</v>
      </c>
      <c r="P11" s="52">
        <v>0.97</v>
      </c>
      <c r="Q11" s="52">
        <v>6.3</v>
      </c>
      <c r="R11" s="50"/>
      <c r="S11" s="50"/>
      <c r="T11" s="50"/>
      <c r="U11" s="50"/>
    </row>
    <row r="12" spans="1:21" customFormat="1">
      <c r="A12" s="51" t="s">
        <v>348</v>
      </c>
      <c r="B12" s="52">
        <v>50.17</v>
      </c>
      <c r="C12" s="52">
        <v>71.680000000000007</v>
      </c>
      <c r="D12" s="52">
        <v>78.13</v>
      </c>
      <c r="E12" s="52">
        <v>9.85</v>
      </c>
      <c r="F12" s="52">
        <v>3.74</v>
      </c>
      <c r="G12" s="52">
        <v>118.21</v>
      </c>
      <c r="H12" s="52">
        <v>33.97</v>
      </c>
      <c r="I12" s="52">
        <v>9.69</v>
      </c>
      <c r="J12" s="52">
        <v>0.44</v>
      </c>
      <c r="K12" s="52">
        <v>157.86000000000001</v>
      </c>
      <c r="L12" s="52">
        <v>25.31</v>
      </c>
      <c r="M12" s="52">
        <v>62.48</v>
      </c>
      <c r="N12" s="52">
        <v>0</v>
      </c>
      <c r="O12" s="52">
        <v>0</v>
      </c>
      <c r="P12" s="52">
        <v>1.05</v>
      </c>
      <c r="Q12" s="52">
        <v>6.58</v>
      </c>
      <c r="R12" s="50"/>
      <c r="S12" s="50"/>
      <c r="T12" s="50"/>
      <c r="U12" s="50"/>
    </row>
    <row r="13" spans="1:21" customFormat="1">
      <c r="A13" s="51" t="s">
        <v>349</v>
      </c>
      <c r="B13" s="52">
        <v>54.65</v>
      </c>
      <c r="C13" s="52">
        <v>70.28</v>
      </c>
      <c r="D13" s="52">
        <v>81.3</v>
      </c>
      <c r="E13" s="52">
        <v>9.83</v>
      </c>
      <c r="F13" s="52">
        <v>3.83</v>
      </c>
      <c r="G13" s="52">
        <v>118.21</v>
      </c>
      <c r="H13" s="52">
        <v>54.77</v>
      </c>
      <c r="I13" s="52">
        <v>10.52</v>
      </c>
      <c r="J13" s="52">
        <v>0.41</v>
      </c>
      <c r="K13" s="52">
        <v>168.21</v>
      </c>
      <c r="L13" s="52">
        <v>25.31</v>
      </c>
      <c r="M13" s="52">
        <v>61.8</v>
      </c>
      <c r="N13" s="52">
        <v>0</v>
      </c>
      <c r="O13" s="52">
        <v>0</v>
      </c>
      <c r="P13" s="52">
        <v>1.1100000000000001</v>
      </c>
      <c r="Q13" s="52">
        <v>6.74</v>
      </c>
      <c r="R13" s="50"/>
      <c r="S13" s="50"/>
      <c r="T13" s="50"/>
      <c r="U13" s="50"/>
    </row>
    <row r="14" spans="1:21" customFormat="1">
      <c r="A14" s="51" t="s">
        <v>350</v>
      </c>
      <c r="B14" s="52">
        <v>54.8</v>
      </c>
      <c r="C14" s="52">
        <v>69.13</v>
      </c>
      <c r="D14" s="52">
        <v>81.2</v>
      </c>
      <c r="E14" s="52">
        <v>9.1300000000000008</v>
      </c>
      <c r="F14" s="52">
        <v>3.84</v>
      </c>
      <c r="G14" s="52">
        <v>199.07</v>
      </c>
      <c r="H14" s="52">
        <v>59.75</v>
      </c>
      <c r="I14" s="52">
        <v>10.82</v>
      </c>
      <c r="J14" s="52">
        <v>0.2</v>
      </c>
      <c r="K14" s="52">
        <v>340.22</v>
      </c>
      <c r="L14" s="52">
        <v>22.88</v>
      </c>
      <c r="M14" s="52">
        <v>63.02</v>
      </c>
      <c r="N14" s="52">
        <v>20</v>
      </c>
      <c r="O14" s="52">
        <v>0</v>
      </c>
      <c r="P14" s="52">
        <v>1.1599999999999999</v>
      </c>
      <c r="Q14" s="52">
        <v>6.78</v>
      </c>
      <c r="R14" s="50"/>
      <c r="S14" s="50"/>
      <c r="T14" s="50"/>
      <c r="U14" s="50"/>
    </row>
    <row r="15" spans="1:21" customFormat="1">
      <c r="A15" s="51" t="s">
        <v>351</v>
      </c>
      <c r="B15" s="52">
        <v>57.5</v>
      </c>
      <c r="C15" s="52">
        <v>69.709999999999994</v>
      </c>
      <c r="D15" s="52">
        <v>83.65</v>
      </c>
      <c r="E15" s="52">
        <v>9.3699999999999992</v>
      </c>
      <c r="F15" s="52">
        <v>4.0199999999999996</v>
      </c>
      <c r="G15" s="52">
        <v>202.35</v>
      </c>
      <c r="H15" s="52">
        <v>62.63</v>
      </c>
      <c r="I15" s="52">
        <v>11.5</v>
      </c>
      <c r="J15" s="52">
        <v>0.72</v>
      </c>
      <c r="K15" s="52">
        <v>62.35</v>
      </c>
      <c r="L15" s="52">
        <v>27.13</v>
      </c>
      <c r="M15" s="52">
        <v>51.73</v>
      </c>
      <c r="N15" s="52">
        <v>78.400000000000006</v>
      </c>
      <c r="O15" s="52">
        <v>0</v>
      </c>
      <c r="P15" s="52">
        <v>1.2</v>
      </c>
      <c r="Q15" s="52">
        <v>6.97</v>
      </c>
      <c r="R15" s="50"/>
      <c r="S15" s="50"/>
      <c r="T15" s="50"/>
      <c r="U15" s="50"/>
    </row>
    <row r="16" spans="1:21" customFormat="1">
      <c r="A16" s="51" t="s">
        <v>352</v>
      </c>
      <c r="B16" s="52">
        <v>55.63</v>
      </c>
      <c r="C16" s="52">
        <v>68.58</v>
      </c>
      <c r="D16" s="52">
        <v>80.84</v>
      </c>
      <c r="E16" s="52">
        <v>10.72</v>
      </c>
      <c r="F16" s="52">
        <v>5.61</v>
      </c>
      <c r="G16" s="52">
        <v>202.35</v>
      </c>
      <c r="H16" s="52">
        <v>62.63</v>
      </c>
      <c r="I16" s="52">
        <v>11.66</v>
      </c>
      <c r="J16" s="52">
        <v>0.89</v>
      </c>
      <c r="K16" s="52">
        <v>46.82</v>
      </c>
      <c r="L16" s="52">
        <v>30.07</v>
      </c>
      <c r="M16" s="52">
        <v>37.74</v>
      </c>
      <c r="N16" s="52">
        <v>118</v>
      </c>
      <c r="O16" s="52">
        <v>0</v>
      </c>
      <c r="P16" s="52">
        <v>1.18</v>
      </c>
      <c r="Q16" s="52">
        <v>6.87</v>
      </c>
      <c r="R16" s="50"/>
      <c r="S16" s="50"/>
      <c r="T16" s="50"/>
      <c r="U16" s="50"/>
    </row>
    <row r="17" spans="1:21" customFormat="1">
      <c r="A17" s="51" t="s">
        <v>353</v>
      </c>
      <c r="B17" s="52">
        <v>48.12</v>
      </c>
      <c r="C17" s="52">
        <v>67.78</v>
      </c>
      <c r="D17" s="52">
        <v>74.849999999999994</v>
      </c>
      <c r="E17" s="52">
        <v>12.31</v>
      </c>
      <c r="F17" s="52">
        <v>11.67</v>
      </c>
      <c r="G17" s="52">
        <v>128.9</v>
      </c>
      <c r="H17" s="52">
        <v>57.96</v>
      </c>
      <c r="I17" s="52">
        <v>11.47</v>
      </c>
      <c r="J17" s="52">
        <v>1.23</v>
      </c>
      <c r="K17" s="52">
        <v>64.81</v>
      </c>
      <c r="L17" s="52">
        <v>32.090000000000003</v>
      </c>
      <c r="M17" s="52">
        <v>29.74</v>
      </c>
      <c r="N17" s="52">
        <v>156.5</v>
      </c>
      <c r="O17" s="52">
        <v>0</v>
      </c>
      <c r="P17" s="52">
        <v>1.1299999999999999</v>
      </c>
      <c r="Q17" s="52">
        <v>6.67</v>
      </c>
      <c r="R17" s="50"/>
      <c r="S17" s="50"/>
      <c r="T17" s="50"/>
      <c r="U17" s="50"/>
    </row>
    <row r="18" spans="1:21" customFormat="1">
      <c r="A18" s="51" t="s">
        <v>354</v>
      </c>
      <c r="B18" s="52">
        <v>37.53</v>
      </c>
      <c r="C18" s="52">
        <v>69.77</v>
      </c>
      <c r="D18" s="52">
        <v>64.77</v>
      </c>
      <c r="E18" s="52">
        <v>13.01</v>
      </c>
      <c r="F18" s="52">
        <v>17.670000000000002</v>
      </c>
      <c r="G18" s="52">
        <v>119.79</v>
      </c>
      <c r="H18" s="52">
        <v>48.76</v>
      </c>
      <c r="I18" s="52">
        <v>10.74</v>
      </c>
      <c r="J18" s="52">
        <v>1</v>
      </c>
      <c r="K18" s="52">
        <v>63.99</v>
      </c>
      <c r="L18" s="52">
        <v>33.869999999999997</v>
      </c>
      <c r="M18" s="52">
        <v>31.6</v>
      </c>
      <c r="N18" s="52">
        <v>256.2</v>
      </c>
      <c r="O18" s="52">
        <v>0</v>
      </c>
      <c r="P18" s="52">
        <v>1.05</v>
      </c>
      <c r="Q18" s="52">
        <v>6.18</v>
      </c>
      <c r="R18" s="50"/>
      <c r="S18" s="50"/>
      <c r="T18" s="50"/>
      <c r="U18" s="50"/>
    </row>
    <row r="19" spans="1:21" customFormat="1">
      <c r="A19" s="51" t="s">
        <v>355</v>
      </c>
      <c r="B19" s="52">
        <v>25.03</v>
      </c>
      <c r="C19" s="52">
        <v>66.430000000000007</v>
      </c>
      <c r="D19" s="52">
        <v>56.14</v>
      </c>
      <c r="E19" s="52">
        <v>10.39</v>
      </c>
      <c r="F19" s="52">
        <v>46.94</v>
      </c>
      <c r="G19" s="52">
        <v>119.79</v>
      </c>
      <c r="H19" s="52">
        <v>47.22</v>
      </c>
      <c r="I19" s="52">
        <v>10</v>
      </c>
      <c r="J19" s="52">
        <v>0.89</v>
      </c>
      <c r="K19" s="52">
        <v>72.599999999999994</v>
      </c>
      <c r="L19" s="52">
        <v>36.58</v>
      </c>
      <c r="M19" s="52">
        <v>25.98</v>
      </c>
      <c r="N19" s="52">
        <v>678.5</v>
      </c>
      <c r="O19" s="52">
        <v>0</v>
      </c>
      <c r="P19" s="52">
        <v>1.01</v>
      </c>
      <c r="Q19" s="52">
        <v>5.81</v>
      </c>
      <c r="R19" s="50"/>
      <c r="S19" s="50"/>
      <c r="T19" s="50"/>
      <c r="U19" s="50"/>
    </row>
    <row r="20" spans="1:21" customFormat="1">
      <c r="A20" s="51" t="s">
        <v>356</v>
      </c>
      <c r="B20" s="52">
        <v>6.09</v>
      </c>
      <c r="C20" s="52">
        <v>47.55</v>
      </c>
      <c r="D20" s="52">
        <v>30.9</v>
      </c>
      <c r="E20" s="11" t="s">
        <v>12</v>
      </c>
      <c r="F20" s="52">
        <v>93.99</v>
      </c>
      <c r="G20" s="11" t="s">
        <v>12</v>
      </c>
      <c r="H20" s="11" t="s">
        <v>12</v>
      </c>
      <c r="I20" s="52">
        <v>17.899999999999999</v>
      </c>
      <c r="J20" s="52">
        <v>0.87</v>
      </c>
      <c r="K20" s="52">
        <v>330.16</v>
      </c>
      <c r="L20" s="52">
        <v>37.479999999999997</v>
      </c>
      <c r="M20" s="52">
        <v>23.99</v>
      </c>
      <c r="N20" s="52">
        <v>771.4</v>
      </c>
      <c r="O20" s="52">
        <v>0</v>
      </c>
      <c r="P20" s="52">
        <v>0.73</v>
      </c>
      <c r="Q20" s="52">
        <v>4.58</v>
      </c>
      <c r="R20" s="50"/>
      <c r="S20" s="50"/>
      <c r="T20" s="50"/>
      <c r="U20" s="50"/>
    </row>
    <row r="21" spans="1:21" customFormat="1">
      <c r="A21" s="51" t="s">
        <v>357</v>
      </c>
      <c r="B21" s="11" t="s">
        <v>12</v>
      </c>
      <c r="C21" s="11" t="s">
        <v>12</v>
      </c>
      <c r="D21" s="11" t="s">
        <v>12</v>
      </c>
      <c r="E21" s="52">
        <v>41.94</v>
      </c>
      <c r="F21" s="52">
        <v>99.82</v>
      </c>
      <c r="G21" s="52">
        <v>93.39</v>
      </c>
      <c r="H21" s="52">
        <v>15.66</v>
      </c>
      <c r="I21" s="52">
        <v>20.81</v>
      </c>
      <c r="J21" s="52">
        <v>0.85</v>
      </c>
      <c r="K21" s="52">
        <v>170.52</v>
      </c>
      <c r="L21" s="52">
        <v>38.92</v>
      </c>
      <c r="M21" s="52">
        <v>20.3</v>
      </c>
      <c r="N21" s="52">
        <v>774.1</v>
      </c>
      <c r="O21" s="52">
        <v>0</v>
      </c>
      <c r="P21" s="52">
        <v>0.59</v>
      </c>
      <c r="Q21" s="52">
        <v>4.43</v>
      </c>
      <c r="R21" s="50"/>
      <c r="S21" s="50"/>
      <c r="T21" s="50"/>
      <c r="U21" s="50"/>
    </row>
    <row r="22" spans="1:21" customFormat="1">
      <c r="A22" s="51" t="s">
        <v>358</v>
      </c>
      <c r="B22" s="52">
        <v>3.86</v>
      </c>
      <c r="C22" s="52">
        <v>45.41</v>
      </c>
      <c r="D22" s="52">
        <v>25.42</v>
      </c>
      <c r="E22" s="52">
        <v>42.79</v>
      </c>
      <c r="F22" s="52">
        <v>90.04</v>
      </c>
      <c r="G22" s="52">
        <v>83.23</v>
      </c>
      <c r="H22" s="52">
        <v>19.23</v>
      </c>
      <c r="I22" s="52">
        <v>22.2</v>
      </c>
      <c r="J22" s="52">
        <v>1.02</v>
      </c>
      <c r="K22" s="52">
        <v>344.89</v>
      </c>
      <c r="L22" s="52">
        <v>39.49</v>
      </c>
      <c r="M22" s="52">
        <v>16.55</v>
      </c>
      <c r="N22" s="52">
        <v>756.2</v>
      </c>
      <c r="O22" s="52">
        <v>0</v>
      </c>
      <c r="P22" s="52">
        <v>0.55000000000000004</v>
      </c>
      <c r="Q22" s="52">
        <v>4.21</v>
      </c>
      <c r="R22" s="50"/>
      <c r="S22" s="50"/>
      <c r="T22" s="50"/>
      <c r="U22" s="50"/>
    </row>
    <row r="23" spans="1:21" customFormat="1">
      <c r="A23" s="51" t="s">
        <v>359</v>
      </c>
      <c r="B23" s="52">
        <v>4.17</v>
      </c>
      <c r="C23" s="52">
        <v>49.65</v>
      </c>
      <c r="D23" s="52">
        <v>28.24</v>
      </c>
      <c r="E23" s="52">
        <v>23.45</v>
      </c>
      <c r="F23" s="52">
        <v>40.72</v>
      </c>
      <c r="G23" s="52">
        <v>79.930000000000007</v>
      </c>
      <c r="H23" s="52">
        <v>20.54</v>
      </c>
      <c r="I23" s="52">
        <v>11.81</v>
      </c>
      <c r="J23" s="52">
        <v>1.91</v>
      </c>
      <c r="K23" s="52">
        <v>41.32</v>
      </c>
      <c r="L23" s="52">
        <v>39.6</v>
      </c>
      <c r="M23" s="52">
        <v>14.65</v>
      </c>
      <c r="N23" s="52">
        <v>653.4</v>
      </c>
      <c r="O23" s="52">
        <v>0</v>
      </c>
      <c r="P23" s="52">
        <v>0.54</v>
      </c>
      <c r="Q23" s="52">
        <v>4.29</v>
      </c>
      <c r="R23" s="50"/>
      <c r="S23" s="50"/>
      <c r="T23" s="50"/>
      <c r="U23" s="50"/>
    </row>
    <row r="24" spans="1:21" customFormat="1">
      <c r="A24" s="51" t="s">
        <v>360</v>
      </c>
      <c r="B24" s="52">
        <v>4.16</v>
      </c>
      <c r="C24" s="52">
        <v>49.44</v>
      </c>
      <c r="D24" s="52">
        <v>28.13</v>
      </c>
      <c r="E24" s="52">
        <v>30.46</v>
      </c>
      <c r="F24" s="52">
        <v>89.16</v>
      </c>
      <c r="G24" s="52">
        <v>73.260000000000005</v>
      </c>
      <c r="H24" s="52">
        <v>22.58</v>
      </c>
      <c r="I24" s="52">
        <v>11.08</v>
      </c>
      <c r="J24" s="52">
        <v>1.35</v>
      </c>
      <c r="K24" s="52">
        <v>46.42</v>
      </c>
      <c r="L24" s="52">
        <v>39.51</v>
      </c>
      <c r="M24" s="52">
        <v>13.88</v>
      </c>
      <c r="N24" s="52">
        <v>511.5</v>
      </c>
      <c r="O24" s="52">
        <v>0</v>
      </c>
      <c r="P24" s="52">
        <v>0.53</v>
      </c>
      <c r="Q24" s="52">
        <v>4.3499999999999996</v>
      </c>
      <c r="R24" s="50"/>
      <c r="S24" s="50"/>
      <c r="T24" s="50"/>
      <c r="U24" s="50"/>
    </row>
    <row r="25" spans="1:21" customFormat="1">
      <c r="A25" s="51" t="s">
        <v>361</v>
      </c>
      <c r="B25" s="52">
        <v>4.17</v>
      </c>
      <c r="C25" s="52">
        <v>51.83</v>
      </c>
      <c r="D25" s="52">
        <v>29.38</v>
      </c>
      <c r="E25" s="52">
        <v>47.86</v>
      </c>
      <c r="F25" s="52">
        <v>107.65</v>
      </c>
      <c r="G25" s="52">
        <v>72.319999999999993</v>
      </c>
      <c r="H25" s="52">
        <v>19.579999999999998</v>
      </c>
      <c r="I25" s="52">
        <v>6.75</v>
      </c>
      <c r="J25" s="52">
        <v>0.61</v>
      </c>
      <c r="K25" s="52">
        <v>338.6</v>
      </c>
      <c r="L25" s="52">
        <v>39.380000000000003</v>
      </c>
      <c r="M25" s="52">
        <v>15.37</v>
      </c>
      <c r="N25" s="52">
        <v>343.8</v>
      </c>
      <c r="O25" s="52">
        <v>0</v>
      </c>
      <c r="P25" s="52">
        <v>0.62</v>
      </c>
      <c r="Q25" s="52">
        <v>4.26</v>
      </c>
      <c r="R25" s="50"/>
      <c r="S25" s="50"/>
      <c r="T25" s="50"/>
      <c r="U25" s="50"/>
    </row>
    <row r="26" spans="1:21" customFormat="1">
      <c r="A26" s="51" t="s">
        <v>362</v>
      </c>
      <c r="B26" s="52">
        <v>6.13</v>
      </c>
      <c r="C26" s="52">
        <v>68.42</v>
      </c>
      <c r="D26" s="52">
        <v>39.03</v>
      </c>
      <c r="E26" s="52">
        <v>44.95</v>
      </c>
      <c r="F26" s="52">
        <v>68.77</v>
      </c>
      <c r="G26" s="52">
        <v>67.11</v>
      </c>
      <c r="H26" s="52">
        <v>21.42</v>
      </c>
      <c r="I26" s="52">
        <v>4.82</v>
      </c>
      <c r="J26" s="52">
        <v>0.32</v>
      </c>
      <c r="K26" s="52">
        <v>164.05</v>
      </c>
      <c r="L26" s="52">
        <v>38.06</v>
      </c>
      <c r="M26" s="52">
        <v>28.98</v>
      </c>
      <c r="N26" s="52">
        <v>81.2</v>
      </c>
      <c r="O26" s="52">
        <v>0</v>
      </c>
      <c r="P26" s="52">
        <v>0.73</v>
      </c>
      <c r="Q26" s="52">
        <v>4.63</v>
      </c>
      <c r="R26" s="50"/>
      <c r="S26" s="50"/>
      <c r="T26" s="50"/>
      <c r="U26" s="50"/>
    </row>
    <row r="27" spans="1:21" customFormat="1">
      <c r="A27" s="51" t="s">
        <v>363</v>
      </c>
      <c r="B27" s="52">
        <v>4.1900000000000004</v>
      </c>
      <c r="C27" s="52">
        <v>69.87</v>
      </c>
      <c r="D27" s="52">
        <v>37.950000000000003</v>
      </c>
      <c r="E27" s="52">
        <v>13.74</v>
      </c>
      <c r="F27" s="52">
        <v>32.72</v>
      </c>
      <c r="G27" s="52">
        <v>72.45</v>
      </c>
      <c r="H27" s="52">
        <v>21.63</v>
      </c>
      <c r="I27" s="52">
        <v>5.62</v>
      </c>
      <c r="J27" s="52">
        <v>0.24</v>
      </c>
      <c r="K27" s="52">
        <v>164.44</v>
      </c>
      <c r="L27" s="52">
        <v>34.369999999999997</v>
      </c>
      <c r="M27" s="52">
        <v>41.72</v>
      </c>
      <c r="N27" s="52">
        <v>13.6</v>
      </c>
      <c r="O27" s="52">
        <v>0</v>
      </c>
      <c r="P27" s="52">
        <v>0.78</v>
      </c>
      <c r="Q27" s="52">
        <v>4.74</v>
      </c>
      <c r="R27" s="50"/>
      <c r="S27" s="50"/>
      <c r="T27" s="50"/>
      <c r="U27" s="50"/>
    </row>
    <row r="28" spans="1:21" customFormat="1">
      <c r="A28" s="51" t="s">
        <v>364</v>
      </c>
      <c r="B28" s="52">
        <v>5.79</v>
      </c>
      <c r="C28" s="52">
        <v>56.16</v>
      </c>
      <c r="D28" s="52">
        <v>32.94</v>
      </c>
      <c r="E28" s="52">
        <v>11.77</v>
      </c>
      <c r="F28" s="52">
        <v>30.07</v>
      </c>
      <c r="G28" s="52">
        <v>78.08</v>
      </c>
      <c r="H28" s="52">
        <v>23.77</v>
      </c>
      <c r="I28" s="52">
        <v>6.38</v>
      </c>
      <c r="J28" s="52">
        <v>0.24</v>
      </c>
      <c r="K28" s="52">
        <v>198.35</v>
      </c>
      <c r="L28" s="52">
        <v>31.65</v>
      </c>
      <c r="M28" s="52">
        <v>43.94</v>
      </c>
      <c r="N28" s="52">
        <v>0</v>
      </c>
      <c r="O28" s="52">
        <v>0</v>
      </c>
      <c r="P28" s="52">
        <v>0.82</v>
      </c>
      <c r="Q28" s="52">
        <v>4.74</v>
      </c>
      <c r="R28" s="50"/>
      <c r="S28" s="50"/>
      <c r="T28" s="50"/>
      <c r="U28" s="50"/>
    </row>
    <row r="29" spans="1:21" customFormat="1">
      <c r="A29" s="51" t="s">
        <v>365</v>
      </c>
      <c r="B29" s="52">
        <v>8.4499999999999993</v>
      </c>
      <c r="C29" s="52">
        <v>59.44</v>
      </c>
      <c r="D29" s="52">
        <v>36.78</v>
      </c>
      <c r="E29" s="52">
        <v>8.66</v>
      </c>
      <c r="F29" s="52">
        <v>16.850000000000001</v>
      </c>
      <c r="G29" s="52">
        <v>80.400000000000006</v>
      </c>
      <c r="H29" s="52">
        <v>26.12</v>
      </c>
      <c r="I29" s="52">
        <v>6.73</v>
      </c>
      <c r="J29" s="52">
        <v>0.21</v>
      </c>
      <c r="K29" s="52">
        <v>218.67</v>
      </c>
      <c r="L29" s="52">
        <v>29.7</v>
      </c>
      <c r="M29" s="52">
        <v>52.46</v>
      </c>
      <c r="N29" s="52">
        <v>0</v>
      </c>
      <c r="O29" s="52">
        <v>0</v>
      </c>
      <c r="P29" s="52">
        <v>0.91</v>
      </c>
      <c r="Q29" s="52">
        <v>4.87</v>
      </c>
      <c r="R29" s="50"/>
      <c r="S29" s="50"/>
      <c r="T29" s="50"/>
      <c r="U29" s="50"/>
    </row>
    <row r="30" spans="1:21" customFormat="1">
      <c r="A30" s="51" t="s">
        <v>366</v>
      </c>
      <c r="B30" s="52">
        <v>11.59</v>
      </c>
      <c r="C30" s="52">
        <v>63.66</v>
      </c>
      <c r="D30" s="52">
        <v>41.5</v>
      </c>
      <c r="E30" s="52">
        <v>7.8</v>
      </c>
      <c r="F30" s="52">
        <v>8.6</v>
      </c>
      <c r="G30" s="52">
        <v>83.47</v>
      </c>
      <c r="H30" s="52">
        <v>25.56</v>
      </c>
      <c r="I30" s="52">
        <v>8.66</v>
      </c>
      <c r="J30" s="52">
        <v>0.19</v>
      </c>
      <c r="K30" s="52">
        <v>187.52</v>
      </c>
      <c r="L30" s="52">
        <v>28.73</v>
      </c>
      <c r="M30" s="52">
        <v>51.71</v>
      </c>
      <c r="N30" s="52">
        <v>0</v>
      </c>
      <c r="O30" s="52">
        <v>0</v>
      </c>
      <c r="P30" s="52">
        <v>1</v>
      </c>
      <c r="Q30" s="52">
        <v>5.03</v>
      </c>
      <c r="R30" s="50"/>
      <c r="S30" s="50"/>
      <c r="T30" s="50"/>
      <c r="U30" s="50"/>
    </row>
    <row r="31" spans="1:21" customFormat="1">
      <c r="A31" s="51" t="s">
        <v>367</v>
      </c>
      <c r="B31" s="52">
        <v>14.95</v>
      </c>
      <c r="C31" s="52">
        <v>64.180000000000007</v>
      </c>
      <c r="D31" s="52">
        <v>44.48</v>
      </c>
      <c r="E31" s="52">
        <v>7.81</v>
      </c>
      <c r="F31" s="52">
        <v>13.57</v>
      </c>
      <c r="G31" s="52">
        <v>93.9</v>
      </c>
      <c r="H31" s="52">
        <v>31.9</v>
      </c>
      <c r="I31" s="52">
        <v>9.2100000000000009</v>
      </c>
      <c r="J31" s="52">
        <v>0.17</v>
      </c>
      <c r="K31" s="52">
        <v>189.66</v>
      </c>
      <c r="L31" s="52">
        <v>28.48</v>
      </c>
      <c r="M31" s="52">
        <v>47.24</v>
      </c>
      <c r="N31" s="52">
        <v>0</v>
      </c>
      <c r="O31" s="52">
        <v>0</v>
      </c>
      <c r="P31" s="52">
        <v>0.99</v>
      </c>
      <c r="Q31" s="52">
        <v>5.07</v>
      </c>
      <c r="R31" s="50"/>
      <c r="S31" s="50"/>
      <c r="T31" s="50"/>
      <c r="U31" s="50"/>
    </row>
    <row r="32" spans="1:21" customFormat="1">
      <c r="A32" s="51" t="s">
        <v>368</v>
      </c>
      <c r="B32" s="52">
        <v>24.98</v>
      </c>
      <c r="C32" s="52">
        <v>68.319999999999993</v>
      </c>
      <c r="D32" s="52">
        <v>53.96</v>
      </c>
      <c r="E32" s="52">
        <v>6.73</v>
      </c>
      <c r="F32" s="52">
        <v>9.51</v>
      </c>
      <c r="G32" s="52">
        <v>92.91</v>
      </c>
      <c r="H32" s="52">
        <v>28.59</v>
      </c>
      <c r="I32" s="52">
        <v>9.14</v>
      </c>
      <c r="J32" s="52">
        <v>0.24</v>
      </c>
      <c r="K32" s="52">
        <v>173.56</v>
      </c>
      <c r="L32" s="52">
        <v>27.71</v>
      </c>
      <c r="M32" s="52">
        <v>51.4</v>
      </c>
      <c r="N32" s="52">
        <v>0</v>
      </c>
      <c r="O32" s="52">
        <v>0</v>
      </c>
      <c r="P32" s="52">
        <v>1.01</v>
      </c>
      <c r="Q32" s="52">
        <v>5.3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3.86</v>
      </c>
      <c r="C34" s="41">
        <f t="shared" si="0"/>
        <v>45.41</v>
      </c>
      <c r="D34" s="41">
        <f t="shared" si="0"/>
        <v>25.42</v>
      </c>
      <c r="E34" s="41">
        <f t="shared" si="0"/>
        <v>6.73</v>
      </c>
      <c r="F34" s="41">
        <f t="shared" si="0"/>
        <v>3.74</v>
      </c>
      <c r="G34" s="41">
        <f t="shared" si="0"/>
        <v>67.11</v>
      </c>
      <c r="H34" s="41">
        <f t="shared" si="0"/>
        <v>15.66</v>
      </c>
      <c r="I34" s="41">
        <f t="shared" si="0"/>
        <v>4.82</v>
      </c>
      <c r="J34" s="41">
        <f t="shared" si="0"/>
        <v>0.17</v>
      </c>
      <c r="K34" s="41">
        <f t="shared" si="0"/>
        <v>41.32</v>
      </c>
      <c r="L34" s="41">
        <f t="shared" si="0"/>
        <v>22.88</v>
      </c>
      <c r="M34" s="41">
        <f t="shared" si="0"/>
        <v>13.88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4.21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57.5</v>
      </c>
      <c r="C35" s="33">
        <f t="shared" si="1"/>
        <v>71.94</v>
      </c>
      <c r="D35" s="33">
        <f t="shared" si="1"/>
        <v>83.65</v>
      </c>
      <c r="E35" s="33">
        <f t="shared" si="1"/>
        <v>47.86</v>
      </c>
      <c r="F35" s="33">
        <f t="shared" si="1"/>
        <v>107.65</v>
      </c>
      <c r="G35" s="33">
        <f t="shared" si="1"/>
        <v>202.35</v>
      </c>
      <c r="H35" s="33">
        <f t="shared" si="1"/>
        <v>62.63</v>
      </c>
      <c r="I35" s="33">
        <f t="shared" si="1"/>
        <v>22.2</v>
      </c>
      <c r="J35" s="33">
        <f t="shared" si="1"/>
        <v>1.91</v>
      </c>
      <c r="K35" s="33">
        <f t="shared" si="1"/>
        <v>344.89</v>
      </c>
      <c r="L35" s="33">
        <f t="shared" si="1"/>
        <v>39.6</v>
      </c>
      <c r="M35" s="33">
        <f t="shared" si="1"/>
        <v>63.02</v>
      </c>
      <c r="N35" s="33">
        <f t="shared" si="1"/>
        <v>774.1</v>
      </c>
      <c r="O35" s="33">
        <f t="shared" si="1"/>
        <v>0</v>
      </c>
      <c r="P35" s="33">
        <f t="shared" si="1"/>
        <v>1.2</v>
      </c>
      <c r="Q35" s="33">
        <f t="shared" si="1"/>
        <v>6.97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26.196521739130436</v>
      </c>
      <c r="C36" s="41">
        <f t="shared" si="2"/>
        <v>63.513913043478269</v>
      </c>
      <c r="D36" s="41">
        <f t="shared" si="2"/>
        <v>53.9304347826087</v>
      </c>
      <c r="E36" s="41">
        <f t="shared" si="2"/>
        <v>17.440000000000001</v>
      </c>
      <c r="F36" s="41">
        <f t="shared" si="2"/>
        <v>33.78875</v>
      </c>
      <c r="G36" s="41">
        <f t="shared" si="2"/>
        <v>105.88869565217392</v>
      </c>
      <c r="H36" s="41">
        <f t="shared" si="2"/>
        <v>34.539565217391299</v>
      </c>
      <c r="I36" s="41">
        <f t="shared" si="2"/>
        <v>10.600416666666666</v>
      </c>
      <c r="J36" s="41">
        <f t="shared" si="2"/>
        <v>0.61583333333333334</v>
      </c>
      <c r="K36" s="41">
        <f t="shared" si="2"/>
        <v>171.87750000000003</v>
      </c>
      <c r="L36" s="41">
        <f t="shared" si="2"/>
        <v>31.863333333333344</v>
      </c>
      <c r="M36" s="41">
        <f t="shared" si="2"/>
        <v>39.455833333333331</v>
      </c>
      <c r="N36" s="41">
        <f t="shared" si="2"/>
        <v>217.20000000000002</v>
      </c>
      <c r="O36" s="41">
        <f t="shared" si="2"/>
        <v>0</v>
      </c>
      <c r="P36" s="41">
        <f t="shared" si="2"/>
        <v>0.89666666666666683</v>
      </c>
      <c r="Q36" s="41">
        <f t="shared" si="2"/>
        <v>5.4541666666666666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20.872663202618881</v>
      </c>
      <c r="C37" s="41">
        <f t="shared" ref="C37:Q37" si="3">STDEV(C9:C32)</f>
        <v>8.8395715338010259</v>
      </c>
      <c r="D37" s="41">
        <f t="shared" si="3"/>
        <v>21.096990194265068</v>
      </c>
      <c r="E37" s="41">
        <f t="shared" si="3"/>
        <v>13.708427732934615</v>
      </c>
      <c r="F37" s="41">
        <f t="shared" si="3"/>
        <v>36.6119395247079</v>
      </c>
      <c r="G37" s="41">
        <f t="shared" si="3"/>
        <v>41.789799462673052</v>
      </c>
      <c r="H37" s="41">
        <f t="shared" si="3"/>
        <v>15.672016891221622</v>
      </c>
      <c r="I37" s="41">
        <f t="shared" si="3"/>
        <v>4.2711992808930699</v>
      </c>
      <c r="J37" s="41">
        <f t="shared" si="3"/>
        <v>0.46010317053486161</v>
      </c>
      <c r="K37" s="41">
        <f t="shared" si="3"/>
        <v>95.633208815038998</v>
      </c>
      <c r="L37" s="41">
        <f t="shared" si="3"/>
        <v>5.5969290233799462</v>
      </c>
      <c r="M37" s="41">
        <f t="shared" si="3"/>
        <v>16.671818428418213</v>
      </c>
      <c r="N37" s="41">
        <f t="shared" si="3"/>
        <v>296.2380946057616</v>
      </c>
      <c r="O37" s="41">
        <f t="shared" si="3"/>
        <v>0</v>
      </c>
      <c r="P37" s="41">
        <f t="shared" si="3"/>
        <v>0.21560161866510691</v>
      </c>
      <c r="Q37" s="41">
        <f t="shared" si="3"/>
        <v>0.97516516624071048</v>
      </c>
      <c r="R37" s="41"/>
      <c r="S37" s="41"/>
      <c r="T37" s="41"/>
      <c r="U37" s="41"/>
    </row>
    <row r="38" spans="1:21" s="1" customFormat="1">
      <c r="A38" s="45" t="s">
        <v>52</v>
      </c>
      <c r="B38" s="46">
        <f>COUNT(B9:B32)+1</f>
        <v>24</v>
      </c>
      <c r="C38" s="46">
        <f t="shared" ref="C38:E38" si="4">COUNT(C9:C32)+1</f>
        <v>24</v>
      </c>
      <c r="D38" s="46">
        <f t="shared" si="4"/>
        <v>24</v>
      </c>
      <c r="E38" s="46">
        <f t="shared" si="4"/>
        <v>24</v>
      </c>
      <c r="F38" s="46">
        <f t="shared" ref="F38:Q38" si="5">COUNT(F9:F32)</f>
        <v>24</v>
      </c>
      <c r="G38" s="46">
        <f>COUNT(G9:G32)+1</f>
        <v>24</v>
      </c>
      <c r="H38" s="46">
        <f>COUNT(H9:H32)+1</f>
        <v>24</v>
      </c>
      <c r="I38" s="46">
        <f t="shared" si="5"/>
        <v>24</v>
      </c>
      <c r="J38" s="46">
        <f t="shared" si="5"/>
        <v>24</v>
      </c>
      <c r="K38" s="46">
        <f t="shared" si="5"/>
        <v>24</v>
      </c>
      <c r="L38" s="46">
        <f t="shared" si="5"/>
        <v>24</v>
      </c>
      <c r="M38" s="46">
        <f t="shared" si="5"/>
        <v>24</v>
      </c>
      <c r="N38" s="46">
        <f t="shared" si="5"/>
        <v>24</v>
      </c>
      <c r="O38" s="46">
        <f t="shared" si="5"/>
        <v>24</v>
      </c>
      <c r="P38" s="46">
        <f t="shared" si="5"/>
        <v>24</v>
      </c>
      <c r="Q38" s="46">
        <f t="shared" si="5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6">IF(C38&gt;=22,"&gt;90%",IF(C38&lt;=22,"&lt;90%"))</f>
        <v>&gt;90%</v>
      </c>
      <c r="D39" s="33" t="str">
        <f t="shared" si="6"/>
        <v>&gt;90%</v>
      </c>
      <c r="E39" s="33" t="str">
        <f t="shared" si="6"/>
        <v>&gt;90%</v>
      </c>
      <c r="F39" s="33" t="str">
        <f t="shared" si="6"/>
        <v>&gt;90%</v>
      </c>
      <c r="G39" s="33" t="str">
        <f t="shared" si="6"/>
        <v>&gt;90%</v>
      </c>
      <c r="H39" s="33" t="str">
        <f t="shared" si="6"/>
        <v>&gt;90%</v>
      </c>
      <c r="I39" s="33" t="str">
        <f t="shared" si="6"/>
        <v>&gt;90%</v>
      </c>
      <c r="J39" s="33" t="str">
        <f t="shared" si="6"/>
        <v>&gt;90%</v>
      </c>
      <c r="K39" s="33" t="str">
        <f t="shared" si="6"/>
        <v>&gt;90%</v>
      </c>
      <c r="L39" s="33" t="str">
        <f t="shared" si="6"/>
        <v>&gt;90%</v>
      </c>
      <c r="M39" s="33" t="str">
        <f t="shared" si="6"/>
        <v>&gt;90%</v>
      </c>
      <c r="N39" s="33" t="str">
        <f t="shared" si="6"/>
        <v>&gt;90%</v>
      </c>
      <c r="O39" s="33" t="str">
        <f t="shared" si="6"/>
        <v>&gt;90%</v>
      </c>
      <c r="P39" s="33" t="str">
        <f t="shared" si="6"/>
        <v>&gt;90%</v>
      </c>
      <c r="Q39" s="33" t="str">
        <f t="shared" si="6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7">IF(C38&gt;=22,"OK",IF(C38&lt;=22,"LESS"))</f>
        <v>OK</v>
      </c>
      <c r="D40" s="33" t="str">
        <f t="shared" si="7"/>
        <v>OK</v>
      </c>
      <c r="E40" s="33" t="str">
        <f t="shared" si="7"/>
        <v>OK</v>
      </c>
      <c r="F40" s="33" t="str">
        <f t="shared" si="7"/>
        <v>OK</v>
      </c>
      <c r="G40" s="33" t="str">
        <f t="shared" si="7"/>
        <v>OK</v>
      </c>
      <c r="H40" s="33" t="str">
        <f t="shared" si="7"/>
        <v>OK</v>
      </c>
      <c r="I40" s="33" t="str">
        <f t="shared" si="7"/>
        <v>OK</v>
      </c>
      <c r="J40" s="33" t="str">
        <f t="shared" si="7"/>
        <v>OK</v>
      </c>
      <c r="K40" s="33" t="str">
        <f t="shared" si="7"/>
        <v>OK</v>
      </c>
      <c r="L40" s="33" t="str">
        <f t="shared" si="7"/>
        <v>OK</v>
      </c>
      <c r="M40" s="33" t="str">
        <f t="shared" si="7"/>
        <v>OK</v>
      </c>
      <c r="N40" s="33" t="str">
        <f t="shared" si="7"/>
        <v>OK</v>
      </c>
      <c r="O40" s="33" t="str">
        <f t="shared" si="7"/>
        <v>OK</v>
      </c>
      <c r="P40" s="33" t="str">
        <f t="shared" si="7"/>
        <v>OK</v>
      </c>
      <c r="Q40" s="33" t="str">
        <f t="shared" si="7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369</v>
      </c>
      <c r="B9" s="52">
        <v>23.96</v>
      </c>
      <c r="C9" s="52">
        <v>67.150000000000006</v>
      </c>
      <c r="D9" s="52">
        <v>53.26</v>
      </c>
      <c r="E9" s="52">
        <v>5.51</v>
      </c>
      <c r="F9" s="52">
        <v>4.37</v>
      </c>
      <c r="G9" s="52">
        <v>101.47</v>
      </c>
      <c r="H9" s="52">
        <v>31.92</v>
      </c>
      <c r="I9" s="52">
        <v>9.3000000000000007</v>
      </c>
      <c r="J9" s="52">
        <v>0.22</v>
      </c>
      <c r="K9" s="52">
        <v>191.16</v>
      </c>
      <c r="L9" s="52">
        <v>26.84</v>
      </c>
      <c r="M9" s="52">
        <v>54.01</v>
      </c>
      <c r="N9" s="52">
        <v>0</v>
      </c>
      <c r="O9" s="52">
        <v>0</v>
      </c>
      <c r="P9" s="52">
        <v>1.01</v>
      </c>
      <c r="Q9" s="52">
        <v>5.56</v>
      </c>
      <c r="R9" s="50"/>
      <c r="S9" s="50"/>
      <c r="T9" s="50"/>
      <c r="U9" s="50"/>
    </row>
    <row r="10" spans="1:21" customFormat="1">
      <c r="A10" s="51" t="s">
        <v>370</v>
      </c>
      <c r="B10" s="52">
        <v>24.59</v>
      </c>
      <c r="C10" s="52">
        <v>65.75</v>
      </c>
      <c r="D10" s="52">
        <v>52.89</v>
      </c>
      <c r="E10" s="52">
        <v>5.46</v>
      </c>
      <c r="F10" s="52">
        <v>4.92</v>
      </c>
      <c r="G10" s="52">
        <v>101.07</v>
      </c>
      <c r="H10" s="52">
        <v>32.049999999999997</v>
      </c>
      <c r="I10" s="52">
        <v>9.3699999999999992</v>
      </c>
      <c r="J10" s="52">
        <v>0.25</v>
      </c>
      <c r="K10" s="52">
        <v>207.47</v>
      </c>
      <c r="L10" s="52">
        <v>25.93</v>
      </c>
      <c r="M10" s="52">
        <v>57.21</v>
      </c>
      <c r="N10" s="52">
        <v>0</v>
      </c>
      <c r="O10" s="52">
        <v>0</v>
      </c>
      <c r="P10" s="52">
        <v>1.03</v>
      </c>
      <c r="Q10" s="52">
        <v>5.59</v>
      </c>
      <c r="R10" s="50"/>
      <c r="S10" s="50"/>
      <c r="T10" s="50"/>
      <c r="U10" s="50"/>
    </row>
    <row r="11" spans="1:21" customFormat="1">
      <c r="A11" s="51" t="s">
        <v>371</v>
      </c>
      <c r="B11" s="52">
        <v>31.64</v>
      </c>
      <c r="C11" s="52">
        <v>65.900000000000006</v>
      </c>
      <c r="D11" s="52">
        <v>57.71</v>
      </c>
      <c r="E11" s="52">
        <v>6.84</v>
      </c>
      <c r="F11" s="52">
        <v>3.97</v>
      </c>
      <c r="G11" s="52">
        <v>94.65</v>
      </c>
      <c r="H11" s="52">
        <v>29.88</v>
      </c>
      <c r="I11" s="52">
        <v>9.39</v>
      </c>
      <c r="J11" s="52">
        <v>0.24</v>
      </c>
      <c r="K11" s="52">
        <v>164.9</v>
      </c>
      <c r="L11" s="52">
        <v>25.55</v>
      </c>
      <c r="M11" s="52">
        <v>62.15</v>
      </c>
      <c r="N11" s="52">
        <v>0</v>
      </c>
      <c r="O11" s="52">
        <v>0</v>
      </c>
      <c r="P11" s="52">
        <v>1.02</v>
      </c>
      <c r="Q11" s="52">
        <v>5.72</v>
      </c>
      <c r="R11" s="50"/>
      <c r="S11" s="50"/>
      <c r="T11" s="50"/>
      <c r="U11" s="50"/>
    </row>
    <row r="12" spans="1:21" customFormat="1">
      <c r="A12" s="51" t="s">
        <v>372</v>
      </c>
      <c r="B12" s="52">
        <v>31.15</v>
      </c>
      <c r="C12" s="52">
        <v>66.38</v>
      </c>
      <c r="D12" s="52">
        <v>58.21</v>
      </c>
      <c r="E12" s="52">
        <v>6.82</v>
      </c>
      <c r="F12" s="52">
        <v>3.69</v>
      </c>
      <c r="G12" s="52">
        <v>93.29</v>
      </c>
      <c r="H12" s="52">
        <v>30.95</v>
      </c>
      <c r="I12" s="52">
        <v>9.44</v>
      </c>
      <c r="J12" s="52">
        <v>0.26</v>
      </c>
      <c r="K12" s="52">
        <v>246.06</v>
      </c>
      <c r="L12" s="52">
        <v>24.63</v>
      </c>
      <c r="M12" s="52">
        <v>67.36</v>
      </c>
      <c r="N12" s="52">
        <v>0</v>
      </c>
      <c r="O12" s="52">
        <v>0</v>
      </c>
      <c r="P12" s="52">
        <v>1.02</v>
      </c>
      <c r="Q12" s="52">
        <v>5.83</v>
      </c>
      <c r="R12" s="50"/>
      <c r="S12" s="50"/>
      <c r="T12" s="50"/>
      <c r="U12" s="50"/>
    </row>
    <row r="13" spans="1:21" customFormat="1">
      <c r="A13" s="51" t="s">
        <v>373</v>
      </c>
      <c r="B13" s="52">
        <v>31.25</v>
      </c>
      <c r="C13" s="52">
        <v>65.12</v>
      </c>
      <c r="D13" s="52">
        <v>57.88</v>
      </c>
      <c r="E13" s="52">
        <v>7.13</v>
      </c>
      <c r="F13" s="52">
        <v>3.63</v>
      </c>
      <c r="G13" s="52">
        <v>88.47</v>
      </c>
      <c r="H13" s="52">
        <v>29.85</v>
      </c>
      <c r="I13" s="52">
        <v>9.44</v>
      </c>
      <c r="J13" s="52">
        <v>0.23</v>
      </c>
      <c r="K13" s="52">
        <v>175.5</v>
      </c>
      <c r="L13" s="52">
        <v>23.69</v>
      </c>
      <c r="M13" s="52">
        <v>69.150000000000006</v>
      </c>
      <c r="N13" s="52">
        <v>0</v>
      </c>
      <c r="O13" s="52">
        <v>0</v>
      </c>
      <c r="P13" s="52">
        <v>1.01</v>
      </c>
      <c r="Q13" s="52">
        <v>5.84</v>
      </c>
      <c r="R13" s="50"/>
      <c r="S13" s="50"/>
      <c r="T13" s="50"/>
      <c r="U13" s="50"/>
    </row>
    <row r="14" spans="1:21" customFormat="1">
      <c r="A14" s="51" t="s">
        <v>374</v>
      </c>
      <c r="B14" s="52">
        <v>32.42</v>
      </c>
      <c r="C14" s="52">
        <v>64.849999999999994</v>
      </c>
      <c r="D14" s="52">
        <v>58.51</v>
      </c>
      <c r="E14" s="52">
        <v>6.74</v>
      </c>
      <c r="F14" s="52">
        <v>3.67</v>
      </c>
      <c r="G14" s="52">
        <v>82.77</v>
      </c>
      <c r="H14" s="52">
        <v>28.83</v>
      </c>
      <c r="I14" s="52">
        <v>9.51</v>
      </c>
      <c r="J14" s="52">
        <v>0.22</v>
      </c>
      <c r="K14" s="52">
        <v>174.76</v>
      </c>
      <c r="L14" s="52">
        <v>23.43</v>
      </c>
      <c r="M14" s="52">
        <v>69.569999999999993</v>
      </c>
      <c r="N14" s="52">
        <v>18.2</v>
      </c>
      <c r="O14" s="52">
        <v>0</v>
      </c>
      <c r="P14" s="52">
        <v>1.01</v>
      </c>
      <c r="Q14" s="52">
        <v>5.86</v>
      </c>
      <c r="R14" s="50"/>
      <c r="S14" s="50"/>
      <c r="T14" s="50"/>
      <c r="U14" s="50"/>
    </row>
    <row r="15" spans="1:21" customFormat="1">
      <c r="A15" s="51" t="s">
        <v>375</v>
      </c>
      <c r="B15" s="52">
        <v>34.29</v>
      </c>
      <c r="C15" s="52">
        <v>65.319999999999993</v>
      </c>
      <c r="D15" s="52">
        <v>60.58</v>
      </c>
      <c r="E15" s="52">
        <v>7.91</v>
      </c>
      <c r="F15" s="52">
        <v>3.73</v>
      </c>
      <c r="G15" s="52">
        <v>77.14</v>
      </c>
      <c r="H15" s="52">
        <v>28.13</v>
      </c>
      <c r="I15" s="52">
        <v>9.58</v>
      </c>
      <c r="J15" s="52">
        <v>0.28999999999999998</v>
      </c>
      <c r="K15" s="52">
        <v>174.95</v>
      </c>
      <c r="L15" s="52">
        <v>26.74</v>
      </c>
      <c r="M15" s="52">
        <v>67.03</v>
      </c>
      <c r="N15" s="52">
        <v>63.3</v>
      </c>
      <c r="O15" s="52">
        <v>0</v>
      </c>
      <c r="P15" s="52">
        <v>1.02</v>
      </c>
      <c r="Q15" s="52">
        <v>5.97</v>
      </c>
      <c r="R15" s="50"/>
      <c r="S15" s="50"/>
      <c r="T15" s="50"/>
      <c r="U15" s="50"/>
    </row>
    <row r="16" spans="1:21" customFormat="1">
      <c r="A16" s="51" t="s">
        <v>376</v>
      </c>
      <c r="B16" s="52">
        <v>34.770000000000003</v>
      </c>
      <c r="C16" s="52">
        <v>68.53</v>
      </c>
      <c r="D16" s="52">
        <v>62.39</v>
      </c>
      <c r="E16" s="52">
        <v>22.78</v>
      </c>
      <c r="F16" s="52">
        <v>8.2200000000000006</v>
      </c>
      <c r="G16" s="52">
        <v>93.01</v>
      </c>
      <c r="H16" s="52">
        <v>32.99</v>
      </c>
      <c r="I16" s="52">
        <v>10.63</v>
      </c>
      <c r="J16" s="52">
        <v>0.44</v>
      </c>
      <c r="K16" s="52">
        <v>311.93</v>
      </c>
      <c r="L16" s="52">
        <v>31.16</v>
      </c>
      <c r="M16" s="52">
        <v>42.55</v>
      </c>
      <c r="N16" s="52">
        <v>100.6</v>
      </c>
      <c r="O16" s="52">
        <v>0</v>
      </c>
      <c r="P16" s="52">
        <v>1.18</v>
      </c>
      <c r="Q16" s="52">
        <v>6.13</v>
      </c>
      <c r="R16" s="50"/>
      <c r="S16" s="50"/>
      <c r="T16" s="50"/>
      <c r="U16" s="50"/>
    </row>
    <row r="17" spans="1:21" customFormat="1">
      <c r="A17" s="51" t="s">
        <v>377</v>
      </c>
      <c r="B17" s="52">
        <v>31.13</v>
      </c>
      <c r="C17" s="52">
        <v>71.23</v>
      </c>
      <c r="D17" s="52">
        <v>60.47</v>
      </c>
      <c r="E17" s="52">
        <v>38.54</v>
      </c>
      <c r="F17" s="52">
        <v>17.329999999999998</v>
      </c>
      <c r="G17" s="52">
        <v>216.61</v>
      </c>
      <c r="H17" s="52">
        <v>49.86</v>
      </c>
      <c r="I17" s="52">
        <v>11.1</v>
      </c>
      <c r="J17" s="52">
        <v>0.62</v>
      </c>
      <c r="K17" s="52">
        <v>86.19</v>
      </c>
      <c r="L17" s="52">
        <v>34.43</v>
      </c>
      <c r="M17" s="52">
        <v>32.92</v>
      </c>
      <c r="N17" s="52">
        <v>137.9</v>
      </c>
      <c r="O17" s="52">
        <v>0</v>
      </c>
      <c r="P17" s="52">
        <v>1.21</v>
      </c>
      <c r="Q17" s="52">
        <v>6.11</v>
      </c>
      <c r="R17" s="50"/>
      <c r="S17" s="50"/>
      <c r="T17" s="50"/>
      <c r="U17" s="50"/>
    </row>
    <row r="18" spans="1:21" customFormat="1">
      <c r="A18" s="51" t="s">
        <v>378</v>
      </c>
      <c r="B18" s="52">
        <v>22.42</v>
      </c>
      <c r="C18" s="52">
        <v>72.02</v>
      </c>
      <c r="D18" s="52">
        <v>53.88</v>
      </c>
      <c r="E18" s="52">
        <v>35.520000000000003</v>
      </c>
      <c r="F18" s="52">
        <v>36.35</v>
      </c>
      <c r="G18" s="52">
        <v>179.78</v>
      </c>
      <c r="H18" s="52">
        <v>53.25</v>
      </c>
      <c r="I18" s="52">
        <v>10.83</v>
      </c>
      <c r="J18" s="52">
        <v>0.92</v>
      </c>
      <c r="K18" s="52">
        <v>54.29</v>
      </c>
      <c r="L18" s="52">
        <v>36.56</v>
      </c>
      <c r="M18" s="52">
        <v>24.61</v>
      </c>
      <c r="N18" s="52">
        <v>191.2</v>
      </c>
      <c r="O18" s="52">
        <v>0</v>
      </c>
      <c r="P18" s="52">
        <v>1.1499999999999999</v>
      </c>
      <c r="Q18" s="52">
        <v>5.92</v>
      </c>
      <c r="R18" s="50"/>
      <c r="S18" s="50"/>
      <c r="T18" s="50"/>
      <c r="U18" s="50"/>
    </row>
    <row r="19" spans="1:21" customFormat="1">
      <c r="A19" s="51" t="s">
        <v>379</v>
      </c>
      <c r="B19" s="52">
        <v>13.19</v>
      </c>
      <c r="C19" s="52">
        <v>70.12</v>
      </c>
      <c r="D19" s="52">
        <v>44.67</v>
      </c>
      <c r="E19" s="52">
        <v>55.65</v>
      </c>
      <c r="F19" s="52">
        <v>42.51</v>
      </c>
      <c r="G19" s="52">
        <v>98.07</v>
      </c>
      <c r="H19" s="52">
        <v>50.5</v>
      </c>
      <c r="I19" s="52">
        <v>9.6300000000000008</v>
      </c>
      <c r="J19" s="52">
        <v>0.82</v>
      </c>
      <c r="K19" s="52">
        <v>314.08</v>
      </c>
      <c r="L19" s="52">
        <v>38.85</v>
      </c>
      <c r="M19" s="52">
        <v>19.72</v>
      </c>
      <c r="N19" s="52">
        <v>588.9</v>
      </c>
      <c r="O19" s="52">
        <v>0</v>
      </c>
      <c r="P19" s="52">
        <v>1.04</v>
      </c>
      <c r="Q19" s="52">
        <v>5.51</v>
      </c>
      <c r="R19" s="50"/>
      <c r="S19" s="50"/>
      <c r="T19" s="50"/>
      <c r="U19" s="50"/>
    </row>
    <row r="20" spans="1:21" customFormat="1">
      <c r="A20" s="51" t="s">
        <v>380</v>
      </c>
      <c r="B20" s="52">
        <v>7.93</v>
      </c>
      <c r="C20" s="52">
        <v>69.069999999999993</v>
      </c>
      <c r="D20" s="52">
        <v>41.4</v>
      </c>
      <c r="E20" s="52">
        <v>32.880000000000003</v>
      </c>
      <c r="F20" s="52">
        <v>56.17</v>
      </c>
      <c r="G20" s="52">
        <v>121.09</v>
      </c>
      <c r="H20" s="52">
        <v>46.25</v>
      </c>
      <c r="I20" s="52">
        <v>8.9700000000000006</v>
      </c>
      <c r="J20" s="52">
        <v>0.73</v>
      </c>
      <c r="K20" s="52">
        <v>294.94</v>
      </c>
      <c r="L20" s="52">
        <v>40.43</v>
      </c>
      <c r="M20" s="52">
        <v>16.170000000000002</v>
      </c>
      <c r="N20" s="52">
        <v>801.8</v>
      </c>
      <c r="O20" s="52">
        <v>0</v>
      </c>
      <c r="P20" s="52">
        <v>1.04</v>
      </c>
      <c r="Q20" s="52">
        <v>5.14</v>
      </c>
      <c r="R20" s="50"/>
      <c r="S20" s="50"/>
      <c r="T20" s="50"/>
      <c r="U20" s="50"/>
    </row>
    <row r="21" spans="1:21" customFormat="1">
      <c r="A21" s="51" t="s">
        <v>381</v>
      </c>
      <c r="B21" s="52">
        <v>4.76</v>
      </c>
      <c r="C21" s="52">
        <v>60.09</v>
      </c>
      <c r="D21" s="52">
        <v>33.85</v>
      </c>
      <c r="E21" s="52">
        <v>17.8</v>
      </c>
      <c r="F21" s="52">
        <v>57.38</v>
      </c>
      <c r="G21" s="52">
        <v>82.32</v>
      </c>
      <c r="H21" s="52">
        <v>37.25</v>
      </c>
      <c r="I21" s="52">
        <v>8.0299999999999994</v>
      </c>
      <c r="J21" s="52">
        <v>0.68</v>
      </c>
      <c r="K21" s="52">
        <v>351.2</v>
      </c>
      <c r="L21" s="52">
        <v>41.3</v>
      </c>
      <c r="M21" s="52">
        <v>13.39</v>
      </c>
      <c r="N21" s="52">
        <v>789.7</v>
      </c>
      <c r="O21" s="52">
        <v>0</v>
      </c>
      <c r="P21" s="52">
        <v>0.85</v>
      </c>
      <c r="Q21" s="52">
        <v>4.83</v>
      </c>
      <c r="R21" s="50"/>
      <c r="S21" s="50"/>
      <c r="T21" s="50"/>
      <c r="U21" s="50"/>
    </row>
    <row r="22" spans="1:21" customFormat="1">
      <c r="A22" s="51" t="s">
        <v>382</v>
      </c>
      <c r="B22" s="52">
        <v>3.59</v>
      </c>
      <c r="C22" s="52">
        <v>57.36</v>
      </c>
      <c r="D22" s="52">
        <v>31.79</v>
      </c>
      <c r="E22" s="52">
        <v>16.82</v>
      </c>
      <c r="F22" s="52">
        <v>61.4</v>
      </c>
      <c r="G22" s="52">
        <v>51.55</v>
      </c>
      <c r="H22" s="52">
        <v>33.85</v>
      </c>
      <c r="I22" s="52">
        <v>7.65</v>
      </c>
      <c r="J22" s="52">
        <v>1</v>
      </c>
      <c r="K22" s="52">
        <v>350.55</v>
      </c>
      <c r="L22" s="52">
        <v>41.58</v>
      </c>
      <c r="M22" s="52">
        <v>11.8</v>
      </c>
      <c r="N22" s="52">
        <v>746</v>
      </c>
      <c r="O22" s="52">
        <v>0</v>
      </c>
      <c r="P22" s="52">
        <v>0.79</v>
      </c>
      <c r="Q22" s="52">
        <v>4.58</v>
      </c>
      <c r="R22" s="50"/>
      <c r="S22" s="50"/>
      <c r="T22" s="50"/>
      <c r="U22" s="50"/>
    </row>
    <row r="23" spans="1:21" customFormat="1">
      <c r="A23" s="51" t="s">
        <v>383</v>
      </c>
      <c r="B23" s="52">
        <v>3.41</v>
      </c>
      <c r="C23" s="52">
        <v>55.12</v>
      </c>
      <c r="D23" s="52">
        <v>30.49</v>
      </c>
      <c r="E23" s="52">
        <v>15.57</v>
      </c>
      <c r="F23" s="52">
        <v>54.12</v>
      </c>
      <c r="G23" s="52">
        <v>75.77</v>
      </c>
      <c r="H23" s="52">
        <v>32.229999999999997</v>
      </c>
      <c r="I23" s="52">
        <v>6.53</v>
      </c>
      <c r="J23" s="52">
        <v>0.88</v>
      </c>
      <c r="K23" s="52">
        <v>305.35000000000002</v>
      </c>
      <c r="L23" s="52">
        <v>41.95</v>
      </c>
      <c r="M23" s="52">
        <v>11.35</v>
      </c>
      <c r="N23" s="52">
        <v>644.79999999999995</v>
      </c>
      <c r="O23" s="52">
        <v>0</v>
      </c>
      <c r="P23" s="52">
        <v>0.64</v>
      </c>
      <c r="Q23" s="52">
        <v>4.54</v>
      </c>
      <c r="R23" s="50"/>
      <c r="S23" s="50"/>
      <c r="T23" s="50"/>
      <c r="U23" s="50"/>
    </row>
    <row r="24" spans="1:21" customFormat="1">
      <c r="A24" s="51" t="s">
        <v>384</v>
      </c>
      <c r="B24" s="52">
        <v>3.63</v>
      </c>
      <c r="C24" s="52">
        <v>52.33</v>
      </c>
      <c r="D24" s="52">
        <v>28.99</v>
      </c>
      <c r="E24" s="52">
        <v>12.46</v>
      </c>
      <c r="F24" s="52">
        <v>56.22</v>
      </c>
      <c r="G24" s="52">
        <v>46.43</v>
      </c>
      <c r="H24" s="52">
        <v>27.99</v>
      </c>
      <c r="I24" s="52">
        <v>6</v>
      </c>
      <c r="J24" s="52">
        <v>0.59</v>
      </c>
      <c r="K24" s="52">
        <v>290.8</v>
      </c>
      <c r="L24" s="52">
        <v>42.04</v>
      </c>
      <c r="M24" s="52">
        <v>11.96</v>
      </c>
      <c r="N24" s="52">
        <v>510.5</v>
      </c>
      <c r="O24" s="52">
        <v>0</v>
      </c>
      <c r="P24" s="52">
        <v>0.57999999999999996</v>
      </c>
      <c r="Q24" s="52">
        <v>4.46</v>
      </c>
      <c r="R24" s="50"/>
      <c r="S24" s="50"/>
      <c r="T24" s="50"/>
      <c r="U24" s="50"/>
    </row>
    <row r="25" spans="1:21" customFormat="1">
      <c r="A25" s="51" t="s">
        <v>385</v>
      </c>
      <c r="B25" s="52">
        <v>3.13</v>
      </c>
      <c r="C25" s="52">
        <v>47.24</v>
      </c>
      <c r="D25" s="52">
        <v>25.96</v>
      </c>
      <c r="E25" s="52">
        <v>16.52</v>
      </c>
      <c r="F25" s="52">
        <v>79.87</v>
      </c>
      <c r="G25" s="52">
        <v>53.4</v>
      </c>
      <c r="H25" s="52">
        <v>24.2</v>
      </c>
      <c r="I25" s="52">
        <v>5.64</v>
      </c>
      <c r="J25" s="52">
        <v>0.67</v>
      </c>
      <c r="K25" s="52">
        <v>259.67</v>
      </c>
      <c r="L25" s="52">
        <v>40.840000000000003</v>
      </c>
      <c r="M25" s="52">
        <v>16.39</v>
      </c>
      <c r="N25" s="52">
        <v>313.2</v>
      </c>
      <c r="O25" s="52">
        <v>0</v>
      </c>
      <c r="P25" s="52">
        <v>0.54</v>
      </c>
      <c r="Q25" s="52">
        <v>4.46</v>
      </c>
      <c r="R25" s="50"/>
      <c r="S25" s="50"/>
      <c r="T25" s="50"/>
      <c r="U25" s="50"/>
    </row>
    <row r="26" spans="1:21" customFormat="1">
      <c r="A26" s="51" t="s">
        <v>386</v>
      </c>
      <c r="B26" s="52">
        <v>2.86</v>
      </c>
      <c r="C26" s="52">
        <v>42.7</v>
      </c>
      <c r="D26" s="52">
        <v>23.5</v>
      </c>
      <c r="E26" s="52">
        <v>25.8</v>
      </c>
      <c r="F26" s="52">
        <v>79.41</v>
      </c>
      <c r="G26" s="52">
        <v>52.31</v>
      </c>
      <c r="H26" s="52">
        <v>24.05</v>
      </c>
      <c r="I26" s="52">
        <v>4.68</v>
      </c>
      <c r="J26" s="52">
        <v>0.24</v>
      </c>
      <c r="K26" s="52">
        <v>197.77</v>
      </c>
      <c r="L26" s="52">
        <v>39.51</v>
      </c>
      <c r="M26" s="52">
        <v>21.05</v>
      </c>
      <c r="N26" s="52">
        <v>110.6</v>
      </c>
      <c r="O26" s="52">
        <v>0</v>
      </c>
      <c r="P26" s="52">
        <v>0.61</v>
      </c>
      <c r="Q26" s="52">
        <v>4.41</v>
      </c>
      <c r="R26" s="50"/>
      <c r="S26" s="50"/>
      <c r="T26" s="50"/>
      <c r="U26" s="50"/>
    </row>
    <row r="27" spans="1:21" customFormat="1">
      <c r="A27" s="51" t="s">
        <v>387</v>
      </c>
      <c r="B27" s="52">
        <v>3.59</v>
      </c>
      <c r="C27" s="52">
        <v>46.6</v>
      </c>
      <c r="D27" s="52">
        <v>26.18</v>
      </c>
      <c r="E27" s="52">
        <v>16.670000000000002</v>
      </c>
      <c r="F27" s="52">
        <v>70.8</v>
      </c>
      <c r="G27" s="52">
        <v>56.98</v>
      </c>
      <c r="H27" s="52">
        <v>21.55</v>
      </c>
      <c r="I27" s="52">
        <v>5.71</v>
      </c>
      <c r="J27" s="52">
        <v>0.19</v>
      </c>
      <c r="K27" s="52">
        <v>165.02</v>
      </c>
      <c r="L27" s="52">
        <v>36.08</v>
      </c>
      <c r="M27" s="52">
        <v>32.049999999999997</v>
      </c>
      <c r="N27" s="52">
        <v>6.6</v>
      </c>
      <c r="O27" s="52">
        <v>0</v>
      </c>
      <c r="P27" s="52">
        <v>0.65</v>
      </c>
      <c r="Q27" s="52">
        <v>4.46</v>
      </c>
      <c r="R27" s="50"/>
      <c r="S27" s="50"/>
      <c r="T27" s="50"/>
      <c r="U27" s="50"/>
    </row>
    <row r="28" spans="1:21" customFormat="1">
      <c r="A28" s="51" t="s">
        <v>388</v>
      </c>
      <c r="B28" s="52">
        <v>5.01</v>
      </c>
      <c r="C28" s="52">
        <v>51.38</v>
      </c>
      <c r="D28" s="52">
        <v>29.81</v>
      </c>
      <c r="E28" s="52">
        <v>14.12</v>
      </c>
      <c r="F28" s="52">
        <v>40.159999999999997</v>
      </c>
      <c r="G28" s="52">
        <v>72.41</v>
      </c>
      <c r="H28" s="52">
        <v>23.27</v>
      </c>
      <c r="I28" s="52">
        <v>6.02</v>
      </c>
      <c r="J28" s="52">
        <v>0.21</v>
      </c>
      <c r="K28" s="52">
        <v>163.15</v>
      </c>
      <c r="L28" s="52">
        <v>32.82</v>
      </c>
      <c r="M28" s="52">
        <v>38.44</v>
      </c>
      <c r="N28" s="52">
        <v>0</v>
      </c>
      <c r="O28" s="52">
        <v>0</v>
      </c>
      <c r="P28" s="52">
        <v>0.71</v>
      </c>
      <c r="Q28" s="52">
        <v>4.5199999999999996</v>
      </c>
      <c r="R28" s="50"/>
      <c r="S28" s="50"/>
      <c r="T28" s="50"/>
      <c r="U28" s="50"/>
    </row>
    <row r="29" spans="1:21" customFormat="1">
      <c r="A29" s="51" t="s">
        <v>389</v>
      </c>
      <c r="B29" s="52">
        <v>6.11</v>
      </c>
      <c r="C29" s="52">
        <v>55.17</v>
      </c>
      <c r="D29" s="52">
        <v>32.68</v>
      </c>
      <c r="E29" s="52">
        <v>12.59</v>
      </c>
      <c r="F29" s="52">
        <v>29.23</v>
      </c>
      <c r="G29" s="52">
        <v>70.010000000000005</v>
      </c>
      <c r="H29" s="52">
        <v>23.6</v>
      </c>
      <c r="I29" s="52">
        <v>6.72</v>
      </c>
      <c r="J29" s="52">
        <v>0.25</v>
      </c>
      <c r="K29" s="52">
        <v>172.65</v>
      </c>
      <c r="L29" s="52">
        <v>31.27</v>
      </c>
      <c r="M29" s="52">
        <v>41.36</v>
      </c>
      <c r="N29" s="52">
        <v>0</v>
      </c>
      <c r="O29" s="52">
        <v>0</v>
      </c>
      <c r="P29" s="52">
        <v>0.76</v>
      </c>
      <c r="Q29" s="52">
        <v>4.62</v>
      </c>
      <c r="R29" s="50"/>
      <c r="S29" s="50"/>
      <c r="T29" s="50"/>
      <c r="U29" s="50"/>
    </row>
    <row r="30" spans="1:21" customFormat="1">
      <c r="A30" s="51" t="s">
        <v>390</v>
      </c>
      <c r="B30" s="52">
        <v>7.67</v>
      </c>
      <c r="C30" s="52">
        <v>56.05</v>
      </c>
      <c r="D30" s="52">
        <v>34.39</v>
      </c>
      <c r="E30" s="52">
        <v>11.55</v>
      </c>
      <c r="F30" s="52">
        <v>17.559999999999999</v>
      </c>
      <c r="G30" s="52">
        <v>70.44</v>
      </c>
      <c r="H30" s="52">
        <v>25.11</v>
      </c>
      <c r="I30" s="52">
        <v>7.03</v>
      </c>
      <c r="J30" s="52">
        <v>0.21</v>
      </c>
      <c r="K30" s="52">
        <v>182.25</v>
      </c>
      <c r="L30" s="52">
        <v>30.17</v>
      </c>
      <c r="M30" s="52">
        <v>47.81</v>
      </c>
      <c r="N30" s="52">
        <v>0</v>
      </c>
      <c r="O30" s="52">
        <v>0</v>
      </c>
      <c r="P30" s="52">
        <v>0.79</v>
      </c>
      <c r="Q30" s="52">
        <v>4.7300000000000004</v>
      </c>
      <c r="R30" s="50"/>
      <c r="S30" s="50"/>
      <c r="T30" s="50"/>
      <c r="U30" s="50"/>
    </row>
    <row r="31" spans="1:21" customFormat="1">
      <c r="A31" s="51" t="s">
        <v>391</v>
      </c>
      <c r="B31" s="52">
        <v>9.75</v>
      </c>
      <c r="C31" s="52">
        <v>58.51</v>
      </c>
      <c r="D31" s="52">
        <v>36.630000000000003</v>
      </c>
      <c r="E31" s="52">
        <v>9.19</v>
      </c>
      <c r="F31" s="52">
        <v>12.13</v>
      </c>
      <c r="G31" s="52">
        <v>60.89</v>
      </c>
      <c r="H31" s="52">
        <v>26.32</v>
      </c>
      <c r="I31" s="52">
        <v>7.31</v>
      </c>
      <c r="J31" s="52">
        <v>0.18</v>
      </c>
      <c r="K31" s="52">
        <v>180.42</v>
      </c>
      <c r="L31" s="52">
        <v>28.8</v>
      </c>
      <c r="M31" s="52">
        <v>48.85</v>
      </c>
      <c r="N31" s="52">
        <v>0</v>
      </c>
      <c r="O31" s="52">
        <v>0</v>
      </c>
      <c r="P31" s="52">
        <v>0.81</v>
      </c>
      <c r="Q31" s="52">
        <v>4.78</v>
      </c>
      <c r="R31" s="50"/>
      <c r="S31" s="50"/>
      <c r="T31" s="50"/>
      <c r="U31" s="50"/>
    </row>
    <row r="32" spans="1:21" customFormat="1">
      <c r="A32" s="51" t="s">
        <v>392</v>
      </c>
      <c r="B32" s="52">
        <v>11.75</v>
      </c>
      <c r="C32" s="52">
        <v>59.45</v>
      </c>
      <c r="D32" s="52">
        <v>39.44</v>
      </c>
      <c r="E32" s="52">
        <v>9.24</v>
      </c>
      <c r="F32" s="52">
        <v>11.84</v>
      </c>
      <c r="G32" s="52">
        <v>83.59</v>
      </c>
      <c r="H32" s="52">
        <v>27.87</v>
      </c>
      <c r="I32" s="52">
        <v>7.32</v>
      </c>
      <c r="J32" s="52">
        <v>0.19</v>
      </c>
      <c r="K32" s="52">
        <v>176.9</v>
      </c>
      <c r="L32" s="52">
        <v>28.46</v>
      </c>
      <c r="M32" s="52">
        <v>47</v>
      </c>
      <c r="N32" s="52">
        <v>0</v>
      </c>
      <c r="O32" s="52">
        <v>0</v>
      </c>
      <c r="P32" s="52">
        <v>0.81</v>
      </c>
      <c r="Q32" s="52">
        <v>4.87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2.86</v>
      </c>
      <c r="C34" s="41">
        <f t="shared" si="0"/>
        <v>42.7</v>
      </c>
      <c r="D34" s="41">
        <f t="shared" si="0"/>
        <v>23.5</v>
      </c>
      <c r="E34" s="41">
        <f t="shared" si="0"/>
        <v>5.46</v>
      </c>
      <c r="F34" s="41">
        <f t="shared" si="0"/>
        <v>3.63</v>
      </c>
      <c r="G34" s="41">
        <f t="shared" si="0"/>
        <v>46.43</v>
      </c>
      <c r="H34" s="41">
        <f t="shared" si="0"/>
        <v>21.55</v>
      </c>
      <c r="I34" s="41">
        <f t="shared" si="0"/>
        <v>4.68</v>
      </c>
      <c r="J34" s="41">
        <f t="shared" si="0"/>
        <v>0.18</v>
      </c>
      <c r="K34" s="41">
        <f t="shared" si="0"/>
        <v>54.29</v>
      </c>
      <c r="L34" s="41">
        <f t="shared" si="0"/>
        <v>23.43</v>
      </c>
      <c r="M34" s="41">
        <f t="shared" si="0"/>
        <v>11.35</v>
      </c>
      <c r="N34" s="41">
        <f t="shared" si="0"/>
        <v>0</v>
      </c>
      <c r="O34" s="41">
        <f t="shared" si="0"/>
        <v>0</v>
      </c>
      <c r="P34" s="41">
        <f t="shared" si="0"/>
        <v>0.54</v>
      </c>
      <c r="Q34" s="41">
        <f t="shared" si="0"/>
        <v>4.41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34.770000000000003</v>
      </c>
      <c r="C35" s="33">
        <f t="shared" si="1"/>
        <v>72.02</v>
      </c>
      <c r="D35" s="33">
        <f t="shared" si="1"/>
        <v>62.39</v>
      </c>
      <c r="E35" s="33">
        <f t="shared" si="1"/>
        <v>55.65</v>
      </c>
      <c r="F35" s="33">
        <f t="shared" si="1"/>
        <v>79.87</v>
      </c>
      <c r="G35" s="33">
        <f t="shared" si="1"/>
        <v>216.61</v>
      </c>
      <c r="H35" s="33">
        <f t="shared" si="1"/>
        <v>53.25</v>
      </c>
      <c r="I35" s="33">
        <f t="shared" si="1"/>
        <v>11.1</v>
      </c>
      <c r="J35" s="33">
        <f t="shared" si="1"/>
        <v>1</v>
      </c>
      <c r="K35" s="33">
        <f t="shared" si="1"/>
        <v>351.2</v>
      </c>
      <c r="L35" s="33">
        <f t="shared" si="1"/>
        <v>42.04</v>
      </c>
      <c r="M35" s="33">
        <f t="shared" si="1"/>
        <v>69.569999999999993</v>
      </c>
      <c r="N35" s="33">
        <f t="shared" si="1"/>
        <v>801.8</v>
      </c>
      <c r="O35" s="33">
        <f t="shared" si="1"/>
        <v>0</v>
      </c>
      <c r="P35" s="33">
        <f t="shared" si="1"/>
        <v>1.21</v>
      </c>
      <c r="Q35" s="33">
        <f t="shared" si="1"/>
        <v>6.13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</v>
      </c>
      <c r="C36" s="41">
        <f t="shared" si="2"/>
        <v>60.560000000000009</v>
      </c>
      <c r="D36" s="41">
        <f t="shared" si="2"/>
        <v>43.148333333333319</v>
      </c>
      <c r="E36" s="41">
        <f t="shared" si="2"/>
        <v>17.087916666666668</v>
      </c>
      <c r="F36" s="41">
        <f t="shared" si="2"/>
        <v>31.611666666666661</v>
      </c>
      <c r="G36" s="41">
        <f t="shared" si="2"/>
        <v>88.48</v>
      </c>
      <c r="H36" s="41">
        <f t="shared" si="2"/>
        <v>32.156250000000007</v>
      </c>
      <c r="I36" s="41">
        <f t="shared" si="2"/>
        <v>8.1595833333333321</v>
      </c>
      <c r="J36" s="41">
        <f t="shared" si="2"/>
        <v>0.43875000000000003</v>
      </c>
      <c r="K36" s="41">
        <f t="shared" si="2"/>
        <v>216.33166666666668</v>
      </c>
      <c r="L36" s="41">
        <f t="shared" si="2"/>
        <v>33.044166666666669</v>
      </c>
      <c r="M36" s="41">
        <f t="shared" si="2"/>
        <v>38.49583333333333</v>
      </c>
      <c r="N36" s="41">
        <f t="shared" si="2"/>
        <v>209.30416666666667</v>
      </c>
      <c r="O36" s="41">
        <f t="shared" si="2"/>
        <v>0</v>
      </c>
      <c r="P36" s="41">
        <f t="shared" si="2"/>
        <v>0.8866666666666666</v>
      </c>
      <c r="Q36" s="41">
        <f t="shared" si="2"/>
        <v>5.1849999999999996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12.463395796596073</v>
      </c>
      <c r="C37" s="41">
        <f t="shared" ref="C37:Q37" si="3">STDEV(C9:C32)</f>
        <v>8.3543604860236513</v>
      </c>
      <c r="D37" s="41">
        <f t="shared" si="3"/>
        <v>13.432211338766098</v>
      </c>
      <c r="E37" s="41">
        <f t="shared" si="3"/>
        <v>12.551305138845354</v>
      </c>
      <c r="F37" s="41">
        <f t="shared" si="3"/>
        <v>26.941381886811495</v>
      </c>
      <c r="G37" s="41">
        <f t="shared" si="3"/>
        <v>39.037958673466811</v>
      </c>
      <c r="H37" s="41">
        <f t="shared" si="3"/>
        <v>9.0299746316269065</v>
      </c>
      <c r="I37" s="41">
        <f t="shared" si="3"/>
        <v>1.8356813192373911</v>
      </c>
      <c r="J37" s="41">
        <f t="shared" si="3"/>
        <v>0.27802584334053798</v>
      </c>
      <c r="K37" s="41">
        <f t="shared" si="3"/>
        <v>78.210503668356324</v>
      </c>
      <c r="L37" s="41">
        <f t="shared" si="3"/>
        <v>6.6114906012951682</v>
      </c>
      <c r="M37" s="41">
        <f t="shared" si="3"/>
        <v>20.522996203975818</v>
      </c>
      <c r="N37" s="41">
        <f t="shared" si="3"/>
        <v>293.05072343132542</v>
      </c>
      <c r="O37" s="41">
        <f t="shared" si="3"/>
        <v>0</v>
      </c>
      <c r="P37" s="41">
        <f t="shared" si="3"/>
        <v>0.19925222527079181</v>
      </c>
      <c r="Q37" s="41">
        <f t="shared" si="3"/>
        <v>0.6331975445583915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393</v>
      </c>
      <c r="B9" s="52">
        <v>18.079999999999998</v>
      </c>
      <c r="C9" s="52">
        <v>66.88</v>
      </c>
      <c r="D9" s="52">
        <v>48.4</v>
      </c>
      <c r="E9" s="52">
        <v>8.43</v>
      </c>
      <c r="F9" s="52">
        <v>8.07</v>
      </c>
      <c r="G9" s="52">
        <v>67.489999999999995</v>
      </c>
      <c r="H9" s="52">
        <v>24.44</v>
      </c>
      <c r="I9" s="52">
        <v>7.33</v>
      </c>
      <c r="J9" s="52">
        <v>0.25</v>
      </c>
      <c r="K9" s="52">
        <v>187.21</v>
      </c>
      <c r="L9" s="52">
        <v>28</v>
      </c>
      <c r="M9" s="52">
        <v>51.25</v>
      </c>
      <c r="N9" s="52">
        <v>0</v>
      </c>
      <c r="O9" s="52">
        <v>0</v>
      </c>
      <c r="P9" s="52">
        <v>0.82</v>
      </c>
      <c r="Q9" s="52">
        <v>5.04</v>
      </c>
      <c r="R9" s="50"/>
      <c r="S9" s="50"/>
      <c r="T9" s="50"/>
      <c r="U9" s="50"/>
    </row>
    <row r="10" spans="1:21" customFormat="1">
      <c r="A10" s="51" t="s">
        <v>394</v>
      </c>
      <c r="B10" s="52">
        <v>14.56</v>
      </c>
      <c r="C10" s="52">
        <v>61.73</v>
      </c>
      <c r="D10" s="52">
        <v>42.86</v>
      </c>
      <c r="E10" s="52">
        <v>7.91</v>
      </c>
      <c r="F10" s="52">
        <v>8.7899999999999991</v>
      </c>
      <c r="G10" s="52">
        <v>61.52</v>
      </c>
      <c r="H10" s="52">
        <v>25.63</v>
      </c>
      <c r="I10" s="52">
        <v>7.47</v>
      </c>
      <c r="J10" s="52">
        <v>0.15</v>
      </c>
      <c r="K10" s="52">
        <v>209.17</v>
      </c>
      <c r="L10" s="52">
        <v>27.11</v>
      </c>
      <c r="M10" s="52">
        <v>49.63</v>
      </c>
      <c r="N10" s="52">
        <v>0</v>
      </c>
      <c r="O10" s="52">
        <v>0</v>
      </c>
      <c r="P10" s="52">
        <v>0.81</v>
      </c>
      <c r="Q10" s="52">
        <v>5.07</v>
      </c>
      <c r="R10" s="50"/>
      <c r="S10" s="50"/>
      <c r="T10" s="50"/>
      <c r="U10" s="50"/>
    </row>
    <row r="11" spans="1:21" customFormat="1">
      <c r="A11" s="51" t="s">
        <v>395</v>
      </c>
      <c r="B11" s="52">
        <v>14.45</v>
      </c>
      <c r="C11" s="52">
        <v>61.45</v>
      </c>
      <c r="D11" s="52">
        <v>42.65</v>
      </c>
      <c r="E11" s="52">
        <v>6.79</v>
      </c>
      <c r="F11" s="52">
        <v>9.09</v>
      </c>
      <c r="G11" s="52">
        <v>63.31</v>
      </c>
      <c r="H11" s="52">
        <v>25.4</v>
      </c>
      <c r="I11" s="52">
        <v>7.34</v>
      </c>
      <c r="J11" s="52">
        <v>0.28000000000000003</v>
      </c>
      <c r="K11" s="52">
        <v>222.55</v>
      </c>
      <c r="L11" s="52">
        <v>26.94</v>
      </c>
      <c r="M11" s="52">
        <v>49</v>
      </c>
      <c r="N11" s="52">
        <v>0</v>
      </c>
      <c r="O11" s="52">
        <v>0</v>
      </c>
      <c r="P11" s="52">
        <v>0.8</v>
      </c>
      <c r="Q11" s="52">
        <v>5.0999999999999996</v>
      </c>
      <c r="R11" s="50"/>
      <c r="S11" s="50"/>
      <c r="T11" s="50"/>
      <c r="U11" s="50"/>
    </row>
    <row r="12" spans="1:21" customFormat="1">
      <c r="A12" s="51" t="s">
        <v>396</v>
      </c>
      <c r="B12" s="52">
        <v>14.57</v>
      </c>
      <c r="C12" s="52">
        <v>61.93</v>
      </c>
      <c r="D12" s="52">
        <v>42.92</v>
      </c>
      <c r="E12" s="52">
        <v>6.28</v>
      </c>
      <c r="F12" s="52">
        <v>8.08</v>
      </c>
      <c r="G12" s="52">
        <v>60.33</v>
      </c>
      <c r="H12" s="52">
        <v>26.56</v>
      </c>
      <c r="I12" s="52">
        <v>7.13</v>
      </c>
      <c r="J12" s="52">
        <v>0.28000000000000003</v>
      </c>
      <c r="K12" s="52">
        <v>205.88</v>
      </c>
      <c r="L12" s="52">
        <v>26.76</v>
      </c>
      <c r="M12" s="52">
        <v>52.04</v>
      </c>
      <c r="N12" s="52">
        <v>0</v>
      </c>
      <c r="O12" s="52">
        <v>0</v>
      </c>
      <c r="P12" s="52">
        <v>0.78</v>
      </c>
      <c r="Q12" s="52">
        <v>5.08</v>
      </c>
      <c r="R12" s="50"/>
      <c r="S12" s="50"/>
      <c r="T12" s="50"/>
      <c r="U12" s="50"/>
    </row>
    <row r="13" spans="1:21" customFormat="1">
      <c r="A13" s="51" t="s">
        <v>397</v>
      </c>
      <c r="B13" s="52">
        <v>15.11</v>
      </c>
      <c r="C13" s="52">
        <v>62.83</v>
      </c>
      <c r="D13" s="52">
        <v>43.83</v>
      </c>
      <c r="E13" s="52">
        <v>6.11</v>
      </c>
      <c r="F13" s="52">
        <v>6.98</v>
      </c>
      <c r="G13" s="52">
        <v>59.46</v>
      </c>
      <c r="H13" s="52">
        <v>23.68</v>
      </c>
      <c r="I13" s="52">
        <v>7.04</v>
      </c>
      <c r="J13" s="52">
        <v>0.38</v>
      </c>
      <c r="K13" s="52">
        <v>225.52</v>
      </c>
      <c r="L13" s="52">
        <v>26.52</v>
      </c>
      <c r="M13" s="52">
        <v>51.9</v>
      </c>
      <c r="N13" s="52">
        <v>0</v>
      </c>
      <c r="O13" s="52">
        <v>0</v>
      </c>
      <c r="P13" s="52">
        <v>0.78</v>
      </c>
      <c r="Q13" s="52">
        <v>5.08</v>
      </c>
      <c r="R13" s="50"/>
      <c r="S13" s="50"/>
      <c r="T13" s="50"/>
      <c r="U13" s="50"/>
    </row>
    <row r="14" spans="1:21" customFormat="1">
      <c r="A14" s="51" t="s">
        <v>398</v>
      </c>
      <c r="B14" s="52">
        <v>15.27</v>
      </c>
      <c r="C14" s="52">
        <v>63.66</v>
      </c>
      <c r="D14" s="52">
        <v>44.46</v>
      </c>
      <c r="E14" s="52">
        <v>6.53</v>
      </c>
      <c r="F14" s="52">
        <v>8.08</v>
      </c>
      <c r="G14" s="52">
        <v>57.92</v>
      </c>
      <c r="H14" s="52">
        <v>26.22</v>
      </c>
      <c r="I14" s="52">
        <v>6.92</v>
      </c>
      <c r="J14" s="52">
        <v>0.28999999999999998</v>
      </c>
      <c r="K14" s="52">
        <v>222.17</v>
      </c>
      <c r="L14" s="52">
        <v>26.93</v>
      </c>
      <c r="M14" s="52">
        <v>52.14</v>
      </c>
      <c r="N14" s="52">
        <v>12.8</v>
      </c>
      <c r="O14" s="52">
        <v>0</v>
      </c>
      <c r="P14" s="52">
        <v>0.77</v>
      </c>
      <c r="Q14" s="52">
        <v>5.1100000000000003</v>
      </c>
      <c r="R14" s="50"/>
      <c r="S14" s="50"/>
      <c r="T14" s="50"/>
      <c r="U14" s="50"/>
    </row>
    <row r="15" spans="1:21" customFormat="1">
      <c r="A15" s="51" t="s">
        <v>399</v>
      </c>
      <c r="B15" s="52">
        <v>15</v>
      </c>
      <c r="C15" s="52">
        <v>63.72</v>
      </c>
      <c r="D15" s="52">
        <v>44.27</v>
      </c>
      <c r="E15" s="52">
        <v>6.06</v>
      </c>
      <c r="F15" s="52">
        <v>7.02</v>
      </c>
      <c r="G15" s="52">
        <v>57.34</v>
      </c>
      <c r="H15" s="52">
        <v>18.98</v>
      </c>
      <c r="I15" s="52">
        <v>7.08</v>
      </c>
      <c r="J15" s="52">
        <v>0.34</v>
      </c>
      <c r="K15" s="52">
        <v>205.43</v>
      </c>
      <c r="L15" s="52">
        <v>28.15</v>
      </c>
      <c r="M15" s="52">
        <v>55.67</v>
      </c>
      <c r="N15" s="52">
        <v>64.099999999999994</v>
      </c>
      <c r="O15" s="52">
        <v>0</v>
      </c>
      <c r="P15" s="52">
        <v>0.78</v>
      </c>
      <c r="Q15" s="52">
        <v>5.1100000000000003</v>
      </c>
      <c r="R15" s="50"/>
      <c r="S15" s="50"/>
      <c r="T15" s="50"/>
      <c r="U15" s="50"/>
    </row>
    <row r="16" spans="1:21" customFormat="1">
      <c r="A16" s="51" t="s">
        <v>400</v>
      </c>
      <c r="B16" s="52">
        <v>14.49</v>
      </c>
      <c r="C16" s="52">
        <v>65.040000000000006</v>
      </c>
      <c r="D16" s="52">
        <v>44.29</v>
      </c>
      <c r="E16" s="52">
        <v>7.21</v>
      </c>
      <c r="F16" s="52">
        <v>14.13</v>
      </c>
      <c r="G16" s="52">
        <v>54.8</v>
      </c>
      <c r="H16" s="52">
        <v>23.93</v>
      </c>
      <c r="I16" s="52">
        <v>7.27</v>
      </c>
      <c r="J16" s="52">
        <v>0.35</v>
      </c>
      <c r="K16" s="52">
        <v>244.37</v>
      </c>
      <c r="L16" s="52">
        <v>31.95</v>
      </c>
      <c r="M16" s="52">
        <v>48.61</v>
      </c>
      <c r="N16" s="52">
        <v>105.9</v>
      </c>
      <c r="O16" s="52">
        <v>0</v>
      </c>
      <c r="P16" s="52">
        <v>0.78</v>
      </c>
      <c r="Q16" s="52">
        <v>5.12</v>
      </c>
      <c r="R16" s="50"/>
      <c r="S16" s="50"/>
      <c r="T16" s="50"/>
      <c r="U16" s="50"/>
    </row>
    <row r="17" spans="1:21" customFormat="1">
      <c r="A17" s="51" t="s">
        <v>401</v>
      </c>
      <c r="B17" s="52">
        <v>11.45</v>
      </c>
      <c r="C17" s="52">
        <v>62.91</v>
      </c>
      <c r="D17" s="52">
        <v>39.71</v>
      </c>
      <c r="E17" s="52">
        <v>14.92</v>
      </c>
      <c r="F17" s="52">
        <v>26.15</v>
      </c>
      <c r="G17" s="52">
        <v>66.19</v>
      </c>
      <c r="H17" s="52">
        <v>24.62</v>
      </c>
      <c r="I17" s="52">
        <v>7.61</v>
      </c>
      <c r="J17" s="52">
        <v>0.81</v>
      </c>
      <c r="K17" s="52">
        <v>302.16000000000003</v>
      </c>
      <c r="L17" s="52">
        <v>35.54</v>
      </c>
      <c r="M17" s="52">
        <v>38.299999999999997</v>
      </c>
      <c r="N17" s="52">
        <v>137.9</v>
      </c>
      <c r="O17" s="52">
        <v>0</v>
      </c>
      <c r="P17" s="52">
        <v>0.94</v>
      </c>
      <c r="Q17" s="52">
        <v>5.03</v>
      </c>
      <c r="R17" s="50"/>
      <c r="S17" s="50"/>
      <c r="T17" s="50"/>
      <c r="U17" s="50"/>
    </row>
    <row r="18" spans="1:21" customFormat="1">
      <c r="A18" s="51" t="s">
        <v>402</v>
      </c>
      <c r="B18" s="52">
        <v>8.75</v>
      </c>
      <c r="C18" s="52">
        <v>63.43</v>
      </c>
      <c r="D18" s="52">
        <v>39.04</v>
      </c>
      <c r="E18" s="52">
        <v>19.239999999999998</v>
      </c>
      <c r="F18" s="52">
        <v>25.82</v>
      </c>
      <c r="G18" s="52">
        <v>78.8</v>
      </c>
      <c r="H18" s="52">
        <v>28.4</v>
      </c>
      <c r="I18" s="52">
        <v>8.5</v>
      </c>
      <c r="J18" s="52">
        <v>1.03</v>
      </c>
      <c r="K18" s="52">
        <v>355.35</v>
      </c>
      <c r="L18" s="52">
        <v>37.979999999999997</v>
      </c>
      <c r="M18" s="52">
        <v>24.45</v>
      </c>
      <c r="N18" s="52">
        <v>171.9</v>
      </c>
      <c r="O18" s="52">
        <v>0</v>
      </c>
      <c r="P18" s="52">
        <v>0.89</v>
      </c>
      <c r="Q18" s="52">
        <v>4.9400000000000004</v>
      </c>
      <c r="R18" s="50"/>
      <c r="S18" s="50"/>
      <c r="T18" s="50"/>
      <c r="U18" s="50"/>
    </row>
    <row r="19" spans="1:21" customFormat="1">
      <c r="A19" s="51" t="s">
        <v>403</v>
      </c>
      <c r="B19" s="52">
        <v>7.37</v>
      </c>
      <c r="C19" s="52">
        <v>59.72</v>
      </c>
      <c r="D19" s="52">
        <v>35.94</v>
      </c>
      <c r="E19" s="52">
        <v>15.27</v>
      </c>
      <c r="F19" s="52">
        <v>38.19</v>
      </c>
      <c r="G19" s="52">
        <v>78.510000000000005</v>
      </c>
      <c r="H19" s="52">
        <v>28.43</v>
      </c>
      <c r="I19" s="52">
        <v>7.17</v>
      </c>
      <c r="J19" s="52">
        <v>2</v>
      </c>
      <c r="K19" s="52">
        <v>327.42</v>
      </c>
      <c r="L19" s="52">
        <v>39.31</v>
      </c>
      <c r="M19" s="52">
        <v>17.899999999999999</v>
      </c>
      <c r="N19" s="52">
        <v>563.70000000000005</v>
      </c>
      <c r="O19" s="52">
        <v>0</v>
      </c>
      <c r="P19" s="52">
        <v>0.77</v>
      </c>
      <c r="Q19" s="52">
        <v>4.79</v>
      </c>
      <c r="R19" s="50"/>
      <c r="S19" s="50"/>
      <c r="T19" s="50"/>
      <c r="U19" s="50"/>
    </row>
    <row r="20" spans="1:21" customFormat="1">
      <c r="A20" s="51" t="s">
        <v>404</v>
      </c>
      <c r="B20" s="52">
        <v>5.24</v>
      </c>
      <c r="C20" s="52">
        <v>41.61</v>
      </c>
      <c r="D20" s="52">
        <v>24.9</v>
      </c>
      <c r="E20" s="52">
        <v>12.76</v>
      </c>
      <c r="F20" s="52">
        <v>59.2</v>
      </c>
      <c r="G20" s="52">
        <v>92.3</v>
      </c>
      <c r="H20" s="52">
        <v>25.33</v>
      </c>
      <c r="I20" s="52">
        <v>5.93</v>
      </c>
      <c r="J20" s="52">
        <v>1.86</v>
      </c>
      <c r="K20" s="52">
        <v>46.88</v>
      </c>
      <c r="L20" s="52">
        <v>40.1</v>
      </c>
      <c r="M20" s="52">
        <v>15.79</v>
      </c>
      <c r="N20" s="52">
        <v>785.9</v>
      </c>
      <c r="O20" s="52">
        <v>0</v>
      </c>
      <c r="P20" s="52">
        <v>0.52</v>
      </c>
      <c r="Q20" s="52">
        <v>4.37</v>
      </c>
      <c r="R20" s="50"/>
      <c r="S20" s="50"/>
      <c r="T20" s="50"/>
      <c r="U20" s="50"/>
    </row>
    <row r="21" spans="1:21" customFormat="1">
      <c r="A21" s="51" t="s">
        <v>405</v>
      </c>
      <c r="B21" s="52">
        <v>4.28</v>
      </c>
      <c r="C21" s="52">
        <v>43.48</v>
      </c>
      <c r="D21" s="52">
        <v>25.11</v>
      </c>
      <c r="E21" s="52">
        <v>22.23</v>
      </c>
      <c r="F21" s="52">
        <v>77.11</v>
      </c>
      <c r="G21" s="52">
        <v>89.54</v>
      </c>
      <c r="H21" s="52">
        <v>23.75</v>
      </c>
      <c r="I21" s="52">
        <v>5.75</v>
      </c>
      <c r="J21" s="52">
        <v>1.28</v>
      </c>
      <c r="K21" s="52">
        <v>46.24</v>
      </c>
      <c r="L21" s="52">
        <v>41.53</v>
      </c>
      <c r="M21" s="52">
        <v>14.97</v>
      </c>
      <c r="N21" s="52">
        <v>790.7</v>
      </c>
      <c r="O21" s="52">
        <v>0</v>
      </c>
      <c r="P21" s="52">
        <v>0.52</v>
      </c>
      <c r="Q21" s="52">
        <v>4.32</v>
      </c>
      <c r="R21" s="50"/>
      <c r="S21" s="50"/>
      <c r="T21" s="50"/>
      <c r="U21" s="50"/>
    </row>
    <row r="22" spans="1:21" customFormat="1">
      <c r="A22" s="51" t="s">
        <v>406</v>
      </c>
      <c r="B22" s="52">
        <v>3.89</v>
      </c>
      <c r="C22" s="52">
        <v>39.42</v>
      </c>
      <c r="D22" s="52">
        <v>22.5</v>
      </c>
      <c r="E22" s="52">
        <v>18.29</v>
      </c>
      <c r="F22" s="52">
        <v>76.53</v>
      </c>
      <c r="G22" s="52">
        <v>77.680000000000007</v>
      </c>
      <c r="H22" s="52">
        <v>24.28</v>
      </c>
      <c r="I22" s="52">
        <v>3.78</v>
      </c>
      <c r="J22" s="52">
        <v>0.95</v>
      </c>
      <c r="K22" s="52">
        <v>28.53</v>
      </c>
      <c r="L22" s="52">
        <v>41.93</v>
      </c>
      <c r="M22" s="52">
        <v>13.82</v>
      </c>
      <c r="N22" s="52">
        <v>750.8</v>
      </c>
      <c r="O22" s="52">
        <v>0</v>
      </c>
      <c r="P22" s="52">
        <v>0.5</v>
      </c>
      <c r="Q22" s="52">
        <v>4.33</v>
      </c>
      <c r="R22" s="50"/>
      <c r="S22" s="50"/>
      <c r="T22" s="50"/>
      <c r="U22" s="50"/>
    </row>
    <row r="23" spans="1:21" customFormat="1">
      <c r="A23" s="51" t="s">
        <v>407</v>
      </c>
      <c r="B23" s="52">
        <v>12.28</v>
      </c>
      <c r="C23" s="52">
        <v>64.290000000000006</v>
      </c>
      <c r="D23" s="52">
        <v>42.39</v>
      </c>
      <c r="E23" s="52">
        <v>8.31</v>
      </c>
      <c r="F23" s="52">
        <v>41.74</v>
      </c>
      <c r="G23" s="52">
        <v>84.9</v>
      </c>
      <c r="H23" s="52">
        <v>22.46</v>
      </c>
      <c r="I23" s="52">
        <v>3.32</v>
      </c>
      <c r="J23" s="52">
        <v>0.78</v>
      </c>
      <c r="K23" s="52">
        <v>312.42</v>
      </c>
      <c r="L23" s="52">
        <v>42.43</v>
      </c>
      <c r="M23" s="52">
        <v>12.42</v>
      </c>
      <c r="N23" s="52">
        <v>675.3</v>
      </c>
      <c r="O23" s="52">
        <v>0</v>
      </c>
      <c r="P23" s="52">
        <v>0.49</v>
      </c>
      <c r="Q23" s="52">
        <v>5.47</v>
      </c>
      <c r="R23" s="50"/>
      <c r="S23" s="50"/>
      <c r="T23" s="50"/>
      <c r="U23" s="50"/>
    </row>
    <row r="24" spans="1:21" customFormat="1">
      <c r="A24" s="51" t="s">
        <v>408</v>
      </c>
      <c r="B24" s="52">
        <v>8.82</v>
      </c>
      <c r="C24" s="52">
        <v>60.73</v>
      </c>
      <c r="D24" s="52">
        <v>37.22</v>
      </c>
      <c r="E24" s="52">
        <v>12.25</v>
      </c>
      <c r="F24" s="52">
        <v>44.22</v>
      </c>
      <c r="G24" s="52">
        <v>70.62</v>
      </c>
      <c r="H24" s="52">
        <v>20.23</v>
      </c>
      <c r="I24" s="52">
        <v>3.43</v>
      </c>
      <c r="J24" s="52">
        <v>0.93</v>
      </c>
      <c r="K24" s="52">
        <v>294.83</v>
      </c>
      <c r="L24" s="52">
        <v>42.38</v>
      </c>
      <c r="M24" s="52">
        <v>13.02</v>
      </c>
      <c r="N24" s="52">
        <v>535.1</v>
      </c>
      <c r="O24" s="52">
        <v>0</v>
      </c>
      <c r="P24" s="52">
        <v>0.46</v>
      </c>
      <c r="Q24" s="52">
        <v>5.34</v>
      </c>
      <c r="R24" s="50"/>
      <c r="S24" s="50"/>
      <c r="T24" s="50"/>
      <c r="U24" s="50"/>
    </row>
    <row r="25" spans="1:21" customFormat="1">
      <c r="A25" s="51" t="s">
        <v>409</v>
      </c>
      <c r="B25" s="52">
        <v>7.19</v>
      </c>
      <c r="C25" s="52">
        <v>56.52</v>
      </c>
      <c r="D25" s="52">
        <v>34.26</v>
      </c>
      <c r="E25" s="52">
        <v>8.43</v>
      </c>
      <c r="F25" s="52">
        <v>51.24</v>
      </c>
      <c r="G25" s="52">
        <v>63.84</v>
      </c>
      <c r="H25" s="52">
        <v>18.25</v>
      </c>
      <c r="I25" s="52">
        <v>3.71</v>
      </c>
      <c r="J25" s="52">
        <v>0.98</v>
      </c>
      <c r="K25" s="52">
        <v>281.76</v>
      </c>
      <c r="L25" s="52">
        <v>40.64</v>
      </c>
      <c r="M25" s="52">
        <v>14.18</v>
      </c>
      <c r="N25" s="52">
        <v>184.3</v>
      </c>
      <c r="O25" s="52">
        <v>0</v>
      </c>
      <c r="P25" s="52">
        <v>0.45</v>
      </c>
      <c r="Q25" s="52">
        <v>5.0199999999999996</v>
      </c>
      <c r="R25" s="50"/>
      <c r="S25" s="50"/>
      <c r="T25" s="50"/>
      <c r="U25" s="50"/>
    </row>
    <row r="26" spans="1:21" customFormat="1">
      <c r="A26" s="51" t="s">
        <v>410</v>
      </c>
      <c r="B26" s="52">
        <v>6.51</v>
      </c>
      <c r="C26" s="52">
        <v>54.39</v>
      </c>
      <c r="D26" s="52">
        <v>32.6</v>
      </c>
      <c r="E26" s="52">
        <v>8.02</v>
      </c>
      <c r="F26" s="52">
        <v>45.86</v>
      </c>
      <c r="G26" s="52">
        <v>56.12</v>
      </c>
      <c r="H26" s="52">
        <v>15.5</v>
      </c>
      <c r="I26" s="52">
        <v>3.73</v>
      </c>
      <c r="J26" s="52">
        <v>1.1399999999999999</v>
      </c>
      <c r="K26" s="52">
        <v>296.52999999999997</v>
      </c>
      <c r="L26" s="52">
        <v>39.25</v>
      </c>
      <c r="M26" s="52">
        <v>25.23</v>
      </c>
      <c r="N26" s="52">
        <v>99.1</v>
      </c>
      <c r="O26" s="52">
        <v>0</v>
      </c>
      <c r="P26" s="52">
        <v>0.53</v>
      </c>
      <c r="Q26" s="52">
        <v>4.78</v>
      </c>
      <c r="R26" s="50"/>
      <c r="S26" s="50"/>
      <c r="T26" s="50"/>
      <c r="U26" s="50"/>
    </row>
    <row r="27" spans="1:21" customFormat="1">
      <c r="A27" s="51" t="s">
        <v>411</v>
      </c>
      <c r="B27" s="52">
        <v>6.4</v>
      </c>
      <c r="C27" s="52">
        <v>59.47</v>
      </c>
      <c r="D27" s="52">
        <v>35.130000000000003</v>
      </c>
      <c r="E27" s="52">
        <v>8.1300000000000008</v>
      </c>
      <c r="F27" s="52">
        <v>34.71</v>
      </c>
      <c r="G27" s="52">
        <v>63.38</v>
      </c>
      <c r="H27" s="52">
        <v>14.24</v>
      </c>
      <c r="I27" s="52">
        <v>4.2</v>
      </c>
      <c r="J27" s="52">
        <v>1.02</v>
      </c>
      <c r="K27" s="52">
        <v>281.26</v>
      </c>
      <c r="L27" s="52">
        <v>38.24</v>
      </c>
      <c r="M27" s="52">
        <v>18.989999999999998</v>
      </c>
      <c r="N27" s="52">
        <v>4.4000000000000004</v>
      </c>
      <c r="O27" s="52">
        <v>0</v>
      </c>
      <c r="P27" s="52">
        <v>0.62</v>
      </c>
      <c r="Q27" s="52">
        <v>4.6900000000000004</v>
      </c>
      <c r="R27" s="50"/>
      <c r="S27" s="50"/>
      <c r="T27" s="50"/>
      <c r="U27" s="50"/>
    </row>
    <row r="28" spans="1:21" customFormat="1">
      <c r="A28" s="51" t="s">
        <v>412</v>
      </c>
      <c r="B28" s="52">
        <v>6.16</v>
      </c>
      <c r="C28" s="52">
        <v>63.98</v>
      </c>
      <c r="D28" s="52">
        <v>37.32</v>
      </c>
      <c r="E28" s="52">
        <v>8.5399999999999991</v>
      </c>
      <c r="F28" s="52">
        <v>31.82</v>
      </c>
      <c r="G28" s="52">
        <v>62.23</v>
      </c>
      <c r="H28" s="52">
        <v>14.47</v>
      </c>
      <c r="I28" s="52">
        <v>5.69</v>
      </c>
      <c r="J28" s="52">
        <v>0.59</v>
      </c>
      <c r="K28" s="52">
        <v>263.41000000000003</v>
      </c>
      <c r="L28" s="52">
        <v>36.770000000000003</v>
      </c>
      <c r="M28" s="52">
        <v>24.78</v>
      </c>
      <c r="N28" s="52">
        <v>0</v>
      </c>
      <c r="O28" s="52">
        <v>0</v>
      </c>
      <c r="P28" s="52">
        <v>0.77</v>
      </c>
      <c r="Q28" s="52">
        <v>4.7699999999999996</v>
      </c>
      <c r="R28" s="50"/>
      <c r="S28" s="50"/>
      <c r="T28" s="50"/>
      <c r="U28" s="50"/>
    </row>
    <row r="29" spans="1:21" customFormat="1">
      <c r="A29" s="51" t="s">
        <v>413</v>
      </c>
      <c r="B29" s="52">
        <v>7.45</v>
      </c>
      <c r="C29" s="52">
        <v>54.73</v>
      </c>
      <c r="D29" s="52">
        <v>33.53</v>
      </c>
      <c r="E29" s="52">
        <v>8.86</v>
      </c>
      <c r="F29" s="52">
        <v>24.06</v>
      </c>
      <c r="G29" s="52">
        <v>63.04</v>
      </c>
      <c r="H29" s="52">
        <v>15.77</v>
      </c>
      <c r="I29" s="52">
        <v>6.86</v>
      </c>
      <c r="J29" s="52">
        <v>0.27</v>
      </c>
      <c r="K29" s="52">
        <v>165.65</v>
      </c>
      <c r="L29" s="52">
        <v>33.700000000000003</v>
      </c>
      <c r="M29" s="52">
        <v>37.659999999999997</v>
      </c>
      <c r="N29" s="52">
        <v>0</v>
      </c>
      <c r="O29" s="52">
        <v>0</v>
      </c>
      <c r="P29" s="52">
        <v>0.8</v>
      </c>
      <c r="Q29" s="52">
        <v>4.8</v>
      </c>
      <c r="R29" s="50"/>
      <c r="S29" s="50"/>
      <c r="T29" s="50"/>
      <c r="U29" s="50"/>
    </row>
    <row r="30" spans="1:21" customFormat="1">
      <c r="A30" s="51" t="s">
        <v>414</v>
      </c>
      <c r="B30" s="52">
        <v>8.23</v>
      </c>
      <c r="C30" s="52">
        <v>52.12</v>
      </c>
      <c r="D30" s="52">
        <v>32.270000000000003</v>
      </c>
      <c r="E30" s="52">
        <v>14.68</v>
      </c>
      <c r="F30" s="52">
        <v>20.73</v>
      </c>
      <c r="G30" s="52">
        <v>64.790000000000006</v>
      </c>
      <c r="H30" s="52">
        <v>18.420000000000002</v>
      </c>
      <c r="I30" s="52">
        <v>8.98</v>
      </c>
      <c r="J30" s="52">
        <v>0.23</v>
      </c>
      <c r="K30" s="52">
        <v>174.72</v>
      </c>
      <c r="L30" s="52">
        <v>31.62</v>
      </c>
      <c r="M30" s="52">
        <v>41.07</v>
      </c>
      <c r="N30" s="52">
        <v>0</v>
      </c>
      <c r="O30" s="52">
        <v>0</v>
      </c>
      <c r="P30" s="52">
        <v>0.98</v>
      </c>
      <c r="Q30" s="52">
        <v>4.8099999999999996</v>
      </c>
      <c r="R30" s="50"/>
      <c r="S30" s="50"/>
      <c r="T30" s="50"/>
      <c r="U30" s="50"/>
    </row>
    <row r="31" spans="1:21" customFormat="1">
      <c r="A31" s="51" t="s">
        <v>415</v>
      </c>
      <c r="B31" s="52">
        <v>17.920000000000002</v>
      </c>
      <c r="C31" s="52">
        <v>58.75</v>
      </c>
      <c r="D31" s="52">
        <v>44.02</v>
      </c>
      <c r="E31" s="52">
        <v>8.9700000000000006</v>
      </c>
      <c r="F31" s="52">
        <v>18.940000000000001</v>
      </c>
      <c r="G31" s="52">
        <v>69.81</v>
      </c>
      <c r="H31" s="52">
        <v>19.579999999999998</v>
      </c>
      <c r="I31" s="52">
        <v>8.56</v>
      </c>
      <c r="J31" s="52">
        <v>0.24</v>
      </c>
      <c r="K31" s="52">
        <v>159.61000000000001</v>
      </c>
      <c r="L31" s="52">
        <v>30.69</v>
      </c>
      <c r="M31" s="52">
        <v>45.69</v>
      </c>
      <c r="N31" s="52">
        <v>0</v>
      </c>
      <c r="O31" s="52">
        <v>0</v>
      </c>
      <c r="P31" s="52">
        <v>0.9</v>
      </c>
      <c r="Q31" s="52">
        <v>4.88</v>
      </c>
      <c r="R31" s="50"/>
      <c r="S31" s="50"/>
      <c r="T31" s="50"/>
      <c r="U31" s="50"/>
    </row>
    <row r="32" spans="1:21" customFormat="1">
      <c r="A32" s="51" t="s">
        <v>416</v>
      </c>
      <c r="B32" s="52">
        <v>31.69</v>
      </c>
      <c r="C32" s="52">
        <v>62.15</v>
      </c>
      <c r="D32" s="52">
        <v>56.53</v>
      </c>
      <c r="E32" s="52">
        <v>8.86</v>
      </c>
      <c r="F32" s="52">
        <v>8.65</v>
      </c>
      <c r="G32" s="52">
        <v>70.349999999999994</v>
      </c>
      <c r="H32" s="52">
        <v>19.63</v>
      </c>
      <c r="I32" s="52">
        <v>8.51</v>
      </c>
      <c r="J32" s="52">
        <v>0.28999999999999998</v>
      </c>
      <c r="K32" s="52">
        <v>179.8</v>
      </c>
      <c r="L32" s="52">
        <v>29.93</v>
      </c>
      <c r="M32" s="52">
        <v>48.69</v>
      </c>
      <c r="N32" s="52">
        <v>0</v>
      </c>
      <c r="O32" s="52">
        <v>0</v>
      </c>
      <c r="P32" s="52">
        <v>0.97</v>
      </c>
      <c r="Q32" s="52">
        <v>5.13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3.89</v>
      </c>
      <c r="C34" s="41">
        <f t="shared" si="0"/>
        <v>39.42</v>
      </c>
      <c r="D34" s="41">
        <f t="shared" si="0"/>
        <v>22.5</v>
      </c>
      <c r="E34" s="41">
        <f t="shared" si="0"/>
        <v>6.06</v>
      </c>
      <c r="F34" s="41">
        <f t="shared" si="0"/>
        <v>6.98</v>
      </c>
      <c r="G34" s="41">
        <f t="shared" si="0"/>
        <v>54.8</v>
      </c>
      <c r="H34" s="41">
        <f t="shared" si="0"/>
        <v>14.24</v>
      </c>
      <c r="I34" s="41">
        <f t="shared" si="0"/>
        <v>3.32</v>
      </c>
      <c r="J34" s="41">
        <f t="shared" si="0"/>
        <v>0.15</v>
      </c>
      <c r="K34" s="41">
        <f t="shared" si="0"/>
        <v>28.53</v>
      </c>
      <c r="L34" s="41">
        <f t="shared" si="0"/>
        <v>26.52</v>
      </c>
      <c r="M34" s="41">
        <f t="shared" si="0"/>
        <v>12.42</v>
      </c>
      <c r="N34" s="41">
        <f t="shared" si="0"/>
        <v>0</v>
      </c>
      <c r="O34" s="41">
        <f t="shared" si="0"/>
        <v>0</v>
      </c>
      <c r="P34" s="41">
        <f t="shared" si="0"/>
        <v>0.45</v>
      </c>
      <c r="Q34" s="41">
        <f t="shared" si="0"/>
        <v>4.32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31.69</v>
      </c>
      <c r="C35" s="33">
        <f t="shared" si="1"/>
        <v>66.88</v>
      </c>
      <c r="D35" s="33">
        <f t="shared" si="1"/>
        <v>56.53</v>
      </c>
      <c r="E35" s="33">
        <f t="shared" si="1"/>
        <v>22.23</v>
      </c>
      <c r="F35" s="33">
        <f t="shared" si="1"/>
        <v>77.11</v>
      </c>
      <c r="G35" s="33">
        <f t="shared" si="1"/>
        <v>92.3</v>
      </c>
      <c r="H35" s="33">
        <f t="shared" si="1"/>
        <v>28.43</v>
      </c>
      <c r="I35" s="33">
        <f t="shared" si="1"/>
        <v>8.98</v>
      </c>
      <c r="J35" s="33">
        <f t="shared" si="1"/>
        <v>2</v>
      </c>
      <c r="K35" s="33">
        <f t="shared" si="1"/>
        <v>355.35</v>
      </c>
      <c r="L35" s="33">
        <f t="shared" si="1"/>
        <v>42.43</v>
      </c>
      <c r="M35" s="33">
        <f t="shared" si="1"/>
        <v>55.67</v>
      </c>
      <c r="N35" s="33">
        <f t="shared" si="1"/>
        <v>790.7</v>
      </c>
      <c r="O35" s="33">
        <f t="shared" si="1"/>
        <v>0</v>
      </c>
      <c r="P35" s="33">
        <f t="shared" si="1"/>
        <v>0.98</v>
      </c>
      <c r="Q35" s="33">
        <f t="shared" si="1"/>
        <v>5.47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11.464999999999998</v>
      </c>
      <c r="C36" s="41">
        <f t="shared" si="2"/>
        <v>58.539166666666667</v>
      </c>
      <c r="D36" s="41">
        <f t="shared" si="2"/>
        <v>38.58958333333333</v>
      </c>
      <c r="E36" s="41">
        <f t="shared" si="2"/>
        <v>10.545</v>
      </c>
      <c r="F36" s="41">
        <f t="shared" si="2"/>
        <v>28.967083333333338</v>
      </c>
      <c r="G36" s="41">
        <f t="shared" si="2"/>
        <v>68.094583333333318</v>
      </c>
      <c r="H36" s="41">
        <f t="shared" si="2"/>
        <v>22.008333333333336</v>
      </c>
      <c r="I36" s="41">
        <f t="shared" si="2"/>
        <v>6.3879166666666656</v>
      </c>
      <c r="J36" s="41">
        <f t="shared" si="2"/>
        <v>0.69666666666666643</v>
      </c>
      <c r="K36" s="41">
        <f t="shared" si="2"/>
        <v>218.28625</v>
      </c>
      <c r="L36" s="41">
        <f t="shared" si="2"/>
        <v>34.35</v>
      </c>
      <c r="M36" s="41">
        <f t="shared" si="2"/>
        <v>34.050000000000004</v>
      </c>
      <c r="N36" s="41">
        <f t="shared" si="2"/>
        <v>203.41250000000005</v>
      </c>
      <c r="O36" s="41">
        <f t="shared" si="2"/>
        <v>0</v>
      </c>
      <c r="P36" s="41">
        <f t="shared" si="2"/>
        <v>0.72624999999999984</v>
      </c>
      <c r="Q36" s="41">
        <f t="shared" si="2"/>
        <v>4.9241666666666655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6.1671767904947741</v>
      </c>
      <c r="C37" s="41">
        <f t="shared" ref="C37:Q37" si="3">STDEV(C9:C32)</f>
        <v>7.5042764136692588</v>
      </c>
      <c r="D37" s="41">
        <f t="shared" si="3"/>
        <v>7.8415484712865622</v>
      </c>
      <c r="E37" s="41">
        <f t="shared" si="3"/>
        <v>4.5830215967767121</v>
      </c>
      <c r="F37" s="41">
        <f t="shared" si="3"/>
        <v>21.58624551586065</v>
      </c>
      <c r="G37" s="41">
        <f t="shared" si="3"/>
        <v>10.452939249286633</v>
      </c>
      <c r="H37" s="41">
        <f t="shared" si="3"/>
        <v>4.3396840865452866</v>
      </c>
      <c r="I37" s="41">
        <f t="shared" si="3"/>
        <v>1.7851926681226462</v>
      </c>
      <c r="J37" s="41">
        <f t="shared" si="3"/>
        <v>0.51781032843299324</v>
      </c>
      <c r="K37" s="41">
        <f t="shared" si="3"/>
        <v>87.30718740334396</v>
      </c>
      <c r="L37" s="41">
        <f t="shared" si="3"/>
        <v>5.905873274159795</v>
      </c>
      <c r="M37" s="41">
        <f t="shared" si="3"/>
        <v>16.14657696931727</v>
      </c>
      <c r="N37" s="41">
        <f t="shared" si="3"/>
        <v>293.51589737332722</v>
      </c>
      <c r="O37" s="41">
        <f t="shared" si="3"/>
        <v>0</v>
      </c>
      <c r="P37" s="41">
        <f t="shared" si="3"/>
        <v>0.16934175632366316</v>
      </c>
      <c r="Q37" s="41">
        <f t="shared" si="3"/>
        <v>0.28955613207667613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16/05/2023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417</v>
      </c>
      <c r="B9" s="52">
        <v>18.989999999999998</v>
      </c>
      <c r="C9" s="52">
        <v>57.68</v>
      </c>
      <c r="D9" s="52">
        <v>44.32</v>
      </c>
      <c r="E9" s="52">
        <v>7.12</v>
      </c>
      <c r="F9" s="52">
        <v>8.3800000000000008</v>
      </c>
      <c r="G9" s="52">
        <v>70.55</v>
      </c>
      <c r="H9" s="52">
        <v>17.600000000000001</v>
      </c>
      <c r="I9" s="52">
        <v>8.08</v>
      </c>
      <c r="J9" s="52">
        <v>0.26</v>
      </c>
      <c r="K9" s="52">
        <v>187.22</v>
      </c>
      <c r="L9" s="52">
        <v>28.84</v>
      </c>
      <c r="M9" s="52">
        <v>53.47</v>
      </c>
      <c r="N9" s="52">
        <v>0</v>
      </c>
      <c r="O9" s="52">
        <v>0</v>
      </c>
      <c r="P9" s="52">
        <v>0.91</v>
      </c>
      <c r="Q9" s="52">
        <v>5.2</v>
      </c>
      <c r="R9" s="50"/>
      <c r="S9" s="50"/>
      <c r="T9" s="50"/>
      <c r="U9" s="50"/>
    </row>
    <row r="10" spans="1:21" customFormat="1">
      <c r="A10" s="51" t="s">
        <v>418</v>
      </c>
      <c r="B10" s="52">
        <v>15.51</v>
      </c>
      <c r="C10" s="52">
        <v>54.88</v>
      </c>
      <c r="D10" s="52">
        <v>39.78</v>
      </c>
      <c r="E10" s="52">
        <v>7.59</v>
      </c>
      <c r="F10" s="52">
        <v>7.26</v>
      </c>
      <c r="G10" s="52">
        <v>68.180000000000007</v>
      </c>
      <c r="H10" s="52">
        <v>21.02</v>
      </c>
      <c r="I10" s="52">
        <v>7.98</v>
      </c>
      <c r="J10" s="52">
        <v>0.23</v>
      </c>
      <c r="K10" s="52">
        <v>178.39</v>
      </c>
      <c r="L10" s="52">
        <v>28.1</v>
      </c>
      <c r="M10" s="52">
        <v>53.43</v>
      </c>
      <c r="N10" s="52">
        <v>0</v>
      </c>
      <c r="O10" s="52">
        <v>0</v>
      </c>
      <c r="P10" s="52">
        <v>0.9</v>
      </c>
      <c r="Q10" s="52">
        <v>5.23</v>
      </c>
      <c r="R10" s="50"/>
      <c r="S10" s="50"/>
      <c r="T10" s="50"/>
      <c r="U10" s="50"/>
    </row>
    <row r="11" spans="1:21" customFormat="1">
      <c r="A11" s="51" t="s">
        <v>419</v>
      </c>
      <c r="B11" s="52">
        <v>18.32</v>
      </c>
      <c r="C11" s="52">
        <v>56.44</v>
      </c>
      <c r="D11" s="52">
        <v>43.13</v>
      </c>
      <c r="E11" s="52">
        <v>8.83</v>
      </c>
      <c r="F11" s="52">
        <v>8.39</v>
      </c>
      <c r="G11" s="52">
        <v>72.62</v>
      </c>
      <c r="H11" s="52">
        <v>17.100000000000001</v>
      </c>
      <c r="I11" s="52">
        <v>8.57</v>
      </c>
      <c r="J11" s="52">
        <v>0.18</v>
      </c>
      <c r="K11" s="52">
        <v>184.96</v>
      </c>
      <c r="L11" s="52">
        <v>27.81</v>
      </c>
      <c r="M11" s="52">
        <v>54.59</v>
      </c>
      <c r="N11" s="52">
        <v>0</v>
      </c>
      <c r="O11" s="52">
        <v>0</v>
      </c>
      <c r="P11" s="52">
        <v>0.92</v>
      </c>
      <c r="Q11" s="52">
        <v>5.29</v>
      </c>
      <c r="R11" s="50"/>
      <c r="S11" s="50"/>
      <c r="T11" s="50"/>
      <c r="U11" s="50"/>
    </row>
    <row r="12" spans="1:21" customFormat="1">
      <c r="A12" s="51" t="s">
        <v>420</v>
      </c>
      <c r="B12" s="52">
        <v>26.46</v>
      </c>
      <c r="C12" s="52">
        <v>60.51</v>
      </c>
      <c r="D12" s="52">
        <v>51.79</v>
      </c>
      <c r="E12" s="52">
        <v>7.84</v>
      </c>
      <c r="F12" s="52">
        <v>7.69</v>
      </c>
      <c r="G12" s="52">
        <v>71.87</v>
      </c>
      <c r="H12" s="52">
        <v>21.59</v>
      </c>
      <c r="I12" s="52">
        <v>8.7100000000000009</v>
      </c>
      <c r="J12" s="52">
        <v>0.33</v>
      </c>
      <c r="K12" s="52">
        <v>191.49</v>
      </c>
      <c r="L12" s="52">
        <v>27.34</v>
      </c>
      <c r="M12" s="52">
        <v>57.06</v>
      </c>
      <c r="N12" s="52">
        <v>0</v>
      </c>
      <c r="O12" s="52">
        <v>0</v>
      </c>
      <c r="P12" s="52">
        <v>0.9</v>
      </c>
      <c r="Q12" s="52">
        <v>5.44</v>
      </c>
      <c r="R12" s="50"/>
      <c r="S12" s="50"/>
      <c r="T12" s="50"/>
      <c r="U12" s="50"/>
    </row>
    <row r="13" spans="1:21" customFormat="1">
      <c r="A13" s="51" t="s">
        <v>421</v>
      </c>
      <c r="B13" s="52">
        <v>25.23</v>
      </c>
      <c r="C13" s="52">
        <v>61.04</v>
      </c>
      <c r="D13" s="52">
        <v>50.12</v>
      </c>
      <c r="E13" s="52">
        <v>8.32</v>
      </c>
      <c r="F13" s="52">
        <v>4.22</v>
      </c>
      <c r="G13" s="52">
        <v>67.099999999999994</v>
      </c>
      <c r="H13" s="52">
        <v>20.53</v>
      </c>
      <c r="I13" s="52">
        <v>9.06</v>
      </c>
      <c r="J13" s="52">
        <v>0.21</v>
      </c>
      <c r="K13" s="52">
        <v>217.21</v>
      </c>
      <c r="L13" s="52">
        <v>27.81</v>
      </c>
      <c r="M13" s="52">
        <v>56.03</v>
      </c>
      <c r="N13" s="52">
        <v>0</v>
      </c>
      <c r="O13" s="52">
        <v>0</v>
      </c>
      <c r="P13" s="52">
        <v>0.94</v>
      </c>
      <c r="Q13" s="52">
        <v>5.6</v>
      </c>
      <c r="R13" s="50"/>
      <c r="S13" s="50"/>
      <c r="T13" s="50"/>
      <c r="U13" s="50"/>
    </row>
    <row r="14" spans="1:21" customFormat="1">
      <c r="A14" s="51" t="s">
        <v>422</v>
      </c>
      <c r="B14" s="52">
        <v>29.47</v>
      </c>
      <c r="C14" s="52">
        <v>61.5</v>
      </c>
      <c r="D14" s="52">
        <v>54.61</v>
      </c>
      <c r="E14" s="52">
        <v>7.46</v>
      </c>
      <c r="F14" s="52">
        <v>4.53</v>
      </c>
      <c r="G14" s="52">
        <v>69.53</v>
      </c>
      <c r="H14" s="52">
        <v>21.82</v>
      </c>
      <c r="I14" s="52">
        <v>9.44</v>
      </c>
      <c r="J14" s="52">
        <v>0.27</v>
      </c>
      <c r="K14" s="52">
        <v>180.89</v>
      </c>
      <c r="L14" s="52">
        <v>26.53</v>
      </c>
      <c r="M14" s="52">
        <v>61.4</v>
      </c>
      <c r="N14" s="52">
        <v>15.1</v>
      </c>
      <c r="O14" s="52">
        <v>0</v>
      </c>
      <c r="P14" s="52">
        <v>0.95</v>
      </c>
      <c r="Q14" s="52">
        <v>5.7</v>
      </c>
      <c r="R14" s="50"/>
      <c r="S14" s="50"/>
      <c r="T14" s="50"/>
      <c r="U14" s="50"/>
    </row>
    <row r="15" spans="1:21" customFormat="1">
      <c r="A15" s="51" t="s">
        <v>423</v>
      </c>
      <c r="B15" s="52">
        <v>25.95</v>
      </c>
      <c r="C15" s="52">
        <v>60.07</v>
      </c>
      <c r="D15" s="52">
        <v>51.15</v>
      </c>
      <c r="E15" s="52">
        <v>7.38</v>
      </c>
      <c r="F15" s="52">
        <v>6.44</v>
      </c>
      <c r="G15" s="52">
        <v>69.260000000000005</v>
      </c>
      <c r="H15" s="52">
        <v>20.21</v>
      </c>
      <c r="I15" s="52">
        <v>9.58</v>
      </c>
      <c r="J15" s="52">
        <v>0.2</v>
      </c>
      <c r="K15" s="52">
        <v>205.01</v>
      </c>
      <c r="L15" s="52">
        <v>28.95</v>
      </c>
      <c r="M15" s="52">
        <v>60.21</v>
      </c>
      <c r="N15" s="52">
        <v>114.9</v>
      </c>
      <c r="O15" s="52">
        <v>0</v>
      </c>
      <c r="P15" s="52">
        <v>0.94</v>
      </c>
      <c r="Q15" s="52">
        <v>5.71</v>
      </c>
      <c r="R15" s="50"/>
      <c r="S15" s="50"/>
      <c r="T15" s="50"/>
      <c r="U15" s="50"/>
    </row>
    <row r="16" spans="1:21" customFormat="1">
      <c r="A16" s="51" t="s">
        <v>424</v>
      </c>
      <c r="B16" s="52">
        <v>24.05</v>
      </c>
      <c r="C16" s="52">
        <v>57.03</v>
      </c>
      <c r="D16" s="52">
        <v>48.04</v>
      </c>
      <c r="E16" s="52">
        <v>9.1199999999999992</v>
      </c>
      <c r="F16" s="52">
        <v>11.78</v>
      </c>
      <c r="G16" s="52">
        <v>65.36</v>
      </c>
      <c r="H16" s="52">
        <v>20.05</v>
      </c>
      <c r="I16" s="52">
        <v>9.57</v>
      </c>
      <c r="J16" s="52">
        <v>0.3</v>
      </c>
      <c r="K16" s="52">
        <v>233.2</v>
      </c>
      <c r="L16" s="52">
        <v>30.71</v>
      </c>
      <c r="M16" s="52">
        <v>51.8</v>
      </c>
      <c r="N16" s="52">
        <v>98.3</v>
      </c>
      <c r="O16" s="52">
        <v>0</v>
      </c>
      <c r="P16" s="52">
        <v>0.95</v>
      </c>
      <c r="Q16" s="52">
        <v>5.68</v>
      </c>
      <c r="R16" s="50"/>
      <c r="S16" s="50"/>
      <c r="T16" s="50"/>
      <c r="U16" s="50"/>
    </row>
    <row r="17" spans="1:21" customFormat="1">
      <c r="A17" s="51" t="s">
        <v>425</v>
      </c>
      <c r="B17" s="52">
        <v>19.82</v>
      </c>
      <c r="C17" s="52">
        <v>62.94</v>
      </c>
      <c r="D17" s="52">
        <v>45.36</v>
      </c>
      <c r="E17" s="52">
        <v>35.92</v>
      </c>
      <c r="F17" s="52">
        <v>20.34</v>
      </c>
      <c r="G17" s="52">
        <v>70.5</v>
      </c>
      <c r="H17" s="52">
        <v>22.72</v>
      </c>
      <c r="I17" s="52">
        <v>10.23</v>
      </c>
      <c r="J17" s="52">
        <v>0.54</v>
      </c>
      <c r="K17" s="52">
        <v>312.77</v>
      </c>
      <c r="L17" s="52">
        <v>35.86</v>
      </c>
      <c r="M17" s="52">
        <v>44.69</v>
      </c>
      <c r="N17" s="52">
        <v>145.9</v>
      </c>
      <c r="O17" s="52">
        <v>0</v>
      </c>
      <c r="P17" s="52">
        <v>0.97</v>
      </c>
      <c r="Q17" s="52">
        <v>5.55</v>
      </c>
      <c r="R17" s="50"/>
      <c r="S17" s="50"/>
      <c r="T17" s="50"/>
      <c r="U17" s="50"/>
    </row>
    <row r="18" spans="1:21" customFormat="1">
      <c r="A18" s="51" t="s">
        <v>426</v>
      </c>
      <c r="B18" s="52">
        <v>17.32</v>
      </c>
      <c r="C18" s="52">
        <v>65.819999999999993</v>
      </c>
      <c r="D18" s="52">
        <v>46.27</v>
      </c>
      <c r="E18" s="52">
        <v>34.909999999999997</v>
      </c>
      <c r="F18" s="52">
        <v>29.97</v>
      </c>
      <c r="G18" s="52">
        <v>77.16</v>
      </c>
      <c r="H18" s="52">
        <v>26.36</v>
      </c>
      <c r="I18" s="52">
        <v>9.7899999999999991</v>
      </c>
      <c r="J18" s="52">
        <v>0.52</v>
      </c>
      <c r="K18" s="52">
        <v>359.44</v>
      </c>
      <c r="L18" s="52">
        <v>37.880000000000003</v>
      </c>
      <c r="M18" s="52">
        <v>24.41</v>
      </c>
      <c r="N18" s="52">
        <v>295.7</v>
      </c>
      <c r="O18" s="52">
        <v>0</v>
      </c>
      <c r="P18" s="52">
        <v>0.91</v>
      </c>
      <c r="Q18" s="52">
        <v>5.45</v>
      </c>
      <c r="R18" s="50"/>
      <c r="S18" s="50"/>
      <c r="T18" s="50"/>
      <c r="U18" s="50"/>
    </row>
    <row r="19" spans="1:21" customFormat="1">
      <c r="A19" s="51" t="s">
        <v>427</v>
      </c>
      <c r="B19" s="52">
        <v>9.8699999999999992</v>
      </c>
      <c r="C19" s="52">
        <v>60.55</v>
      </c>
      <c r="D19" s="52">
        <v>37.909999999999997</v>
      </c>
      <c r="E19" s="52">
        <v>21.98</v>
      </c>
      <c r="F19" s="52">
        <v>42.62</v>
      </c>
      <c r="G19" s="52">
        <v>88.15</v>
      </c>
      <c r="H19" s="52">
        <v>27.03</v>
      </c>
      <c r="I19" s="52">
        <v>9.02</v>
      </c>
      <c r="J19" s="52">
        <v>0.78</v>
      </c>
      <c r="K19" s="52">
        <v>288.82</v>
      </c>
      <c r="L19" s="52">
        <v>38.869999999999997</v>
      </c>
      <c r="M19" s="52">
        <v>27.02</v>
      </c>
      <c r="N19" s="52">
        <v>464.6</v>
      </c>
      <c r="O19" s="52">
        <v>0</v>
      </c>
      <c r="P19" s="52">
        <v>0.86</v>
      </c>
      <c r="Q19" s="52">
        <v>5.25</v>
      </c>
      <c r="R19" s="50"/>
      <c r="S19" s="50"/>
      <c r="T19" s="50"/>
      <c r="U19" s="50"/>
    </row>
    <row r="20" spans="1:21" customFormat="1">
      <c r="A20" s="51" t="s">
        <v>428</v>
      </c>
      <c r="B20" s="52">
        <v>6.32</v>
      </c>
      <c r="C20" s="52">
        <v>55.18</v>
      </c>
      <c r="D20" s="52">
        <v>32.659999999999997</v>
      </c>
      <c r="E20" s="52">
        <v>14.63</v>
      </c>
      <c r="F20" s="52">
        <v>48.98</v>
      </c>
      <c r="G20" s="52">
        <v>87.42</v>
      </c>
      <c r="H20" s="52">
        <v>26.53</v>
      </c>
      <c r="I20" s="52">
        <v>8.68</v>
      </c>
      <c r="J20" s="52">
        <v>0.74</v>
      </c>
      <c r="K20" s="52">
        <v>271.98</v>
      </c>
      <c r="L20" s="52">
        <v>40.18</v>
      </c>
      <c r="M20" s="52">
        <v>24.43</v>
      </c>
      <c r="N20" s="52">
        <v>792.2</v>
      </c>
      <c r="O20" s="52">
        <v>0</v>
      </c>
      <c r="P20" s="52">
        <v>0.75</v>
      </c>
      <c r="Q20" s="52">
        <v>4.9400000000000004</v>
      </c>
      <c r="R20" s="50"/>
      <c r="S20" s="50"/>
      <c r="T20" s="50"/>
      <c r="U20" s="50"/>
    </row>
    <row r="21" spans="1:21" customFormat="1">
      <c r="A21" s="51" t="s">
        <v>429</v>
      </c>
      <c r="B21" s="52">
        <v>4.4800000000000004</v>
      </c>
      <c r="C21" s="52">
        <v>51.93</v>
      </c>
      <c r="D21" s="52">
        <v>29.68</v>
      </c>
      <c r="E21" s="52">
        <v>10.119999999999999</v>
      </c>
      <c r="F21" s="52">
        <v>37.47</v>
      </c>
      <c r="G21" s="52">
        <v>77.95</v>
      </c>
      <c r="H21" s="52">
        <v>22.22</v>
      </c>
      <c r="I21" s="52">
        <v>7.94</v>
      </c>
      <c r="J21" s="52">
        <v>1.1200000000000001</v>
      </c>
      <c r="K21" s="52">
        <v>293.23</v>
      </c>
      <c r="L21" s="52">
        <v>41.1</v>
      </c>
      <c r="M21" s="52">
        <v>20.71</v>
      </c>
      <c r="N21" s="52">
        <v>831.5</v>
      </c>
      <c r="O21" s="52">
        <v>0</v>
      </c>
      <c r="P21" s="52">
        <v>0.68</v>
      </c>
      <c r="Q21" s="52">
        <v>4.72</v>
      </c>
      <c r="R21" s="50"/>
      <c r="S21" s="50"/>
      <c r="T21" s="50"/>
      <c r="U21" s="50"/>
    </row>
    <row r="22" spans="1:21" customFormat="1">
      <c r="A22" s="51" t="s">
        <v>430</v>
      </c>
      <c r="B22" s="52">
        <v>4.53</v>
      </c>
      <c r="C22" s="52">
        <v>49.92</v>
      </c>
      <c r="D22" s="52">
        <v>28.67</v>
      </c>
      <c r="E22" s="52">
        <v>8.9700000000000006</v>
      </c>
      <c r="F22" s="52">
        <v>32.229999999999997</v>
      </c>
      <c r="G22" s="52">
        <v>62.44</v>
      </c>
      <c r="H22" s="52">
        <v>20.87</v>
      </c>
      <c r="I22" s="52">
        <v>6.9</v>
      </c>
      <c r="J22" s="52">
        <v>1.18</v>
      </c>
      <c r="K22" s="52">
        <v>279.2</v>
      </c>
      <c r="L22" s="52">
        <v>41.76</v>
      </c>
      <c r="M22" s="52">
        <v>18.87</v>
      </c>
      <c r="N22" s="52">
        <v>826.7</v>
      </c>
      <c r="O22" s="52">
        <v>0</v>
      </c>
      <c r="P22" s="52">
        <v>0.6</v>
      </c>
      <c r="Q22" s="52">
        <v>4.6100000000000003</v>
      </c>
      <c r="R22" s="50"/>
      <c r="S22" s="50"/>
      <c r="T22" s="50"/>
      <c r="U22" s="50"/>
    </row>
    <row r="23" spans="1:21" customFormat="1">
      <c r="A23" s="51" t="s">
        <v>431</v>
      </c>
      <c r="B23" s="52">
        <v>4.25</v>
      </c>
      <c r="C23" s="52">
        <v>48.11</v>
      </c>
      <c r="D23" s="52">
        <v>27.29</v>
      </c>
      <c r="E23" s="52">
        <v>12.14</v>
      </c>
      <c r="F23" s="52">
        <v>35.72</v>
      </c>
      <c r="G23" s="52">
        <v>50.88</v>
      </c>
      <c r="H23" s="52">
        <v>17.2</v>
      </c>
      <c r="I23" s="52">
        <v>6.68</v>
      </c>
      <c r="J23" s="52">
        <v>0.99</v>
      </c>
      <c r="K23" s="52">
        <v>269.06</v>
      </c>
      <c r="L23" s="52">
        <v>41.91</v>
      </c>
      <c r="M23" s="52">
        <v>17.62</v>
      </c>
      <c r="N23" s="52">
        <v>738.6</v>
      </c>
      <c r="O23" s="52">
        <v>0</v>
      </c>
      <c r="P23" s="52">
        <v>0.52</v>
      </c>
      <c r="Q23" s="52">
        <v>4.51</v>
      </c>
      <c r="R23" s="50"/>
      <c r="S23" s="50"/>
      <c r="T23" s="50"/>
      <c r="U23" s="50"/>
    </row>
    <row r="24" spans="1:21" customFormat="1">
      <c r="A24" s="51" t="s">
        <v>432</v>
      </c>
      <c r="B24" s="52">
        <v>3.85</v>
      </c>
      <c r="C24" s="52">
        <v>48.7</v>
      </c>
      <c r="D24" s="52">
        <v>27.48</v>
      </c>
      <c r="E24" s="52">
        <v>13.11</v>
      </c>
      <c r="F24" s="52">
        <v>36.049999999999997</v>
      </c>
      <c r="G24" s="52">
        <v>47.37</v>
      </c>
      <c r="H24" s="52">
        <v>17.940000000000001</v>
      </c>
      <c r="I24" s="52">
        <v>6.13</v>
      </c>
      <c r="J24" s="52">
        <v>1.26</v>
      </c>
      <c r="K24" s="52">
        <v>270.58</v>
      </c>
      <c r="L24" s="52">
        <v>41.54</v>
      </c>
      <c r="M24" s="52">
        <v>17.98</v>
      </c>
      <c r="N24" s="52">
        <v>549.5</v>
      </c>
      <c r="O24" s="52">
        <v>0</v>
      </c>
      <c r="P24" s="52">
        <v>0.51</v>
      </c>
      <c r="Q24" s="52">
        <v>4.46</v>
      </c>
      <c r="R24" s="50"/>
      <c r="S24" s="50"/>
      <c r="T24" s="50"/>
      <c r="U24" s="50"/>
    </row>
    <row r="25" spans="1:21" customFormat="1">
      <c r="A25" s="51" t="s">
        <v>433</v>
      </c>
      <c r="B25" s="52">
        <v>3.81</v>
      </c>
      <c r="C25" s="52">
        <v>48.04</v>
      </c>
      <c r="D25" s="52">
        <v>27.06</v>
      </c>
      <c r="E25" s="52">
        <v>12.68</v>
      </c>
      <c r="F25" s="52">
        <v>32.39</v>
      </c>
      <c r="G25" s="52">
        <v>44.82</v>
      </c>
      <c r="H25" s="52">
        <v>15.11</v>
      </c>
      <c r="I25" s="52">
        <v>5.78</v>
      </c>
      <c r="J25" s="52">
        <v>1.27</v>
      </c>
      <c r="K25" s="52">
        <v>274.25</v>
      </c>
      <c r="L25" s="52">
        <v>41.02</v>
      </c>
      <c r="M25" s="52">
        <v>18.850000000000001</v>
      </c>
      <c r="N25" s="52">
        <v>374.7</v>
      </c>
      <c r="O25" s="52">
        <v>0</v>
      </c>
      <c r="P25" s="52">
        <v>0.49</v>
      </c>
      <c r="Q25" s="52">
        <v>4.4400000000000004</v>
      </c>
      <c r="R25" s="50"/>
      <c r="S25" s="50"/>
      <c r="T25" s="50"/>
      <c r="U25" s="50"/>
    </row>
    <row r="26" spans="1:21" customFormat="1">
      <c r="A26" s="51" t="s">
        <v>434</v>
      </c>
      <c r="B26" s="52">
        <v>4.7</v>
      </c>
      <c r="C26" s="52">
        <v>46.07</v>
      </c>
      <c r="D26" s="52">
        <v>26.8</v>
      </c>
      <c r="E26" s="52">
        <v>17.5</v>
      </c>
      <c r="F26" s="52">
        <v>37.14</v>
      </c>
      <c r="G26" s="52">
        <v>49.42</v>
      </c>
      <c r="H26" s="52">
        <v>13.37</v>
      </c>
      <c r="I26" s="52">
        <v>5.36</v>
      </c>
      <c r="J26" s="52">
        <v>1.1599999999999999</v>
      </c>
      <c r="K26" s="52">
        <v>262.23</v>
      </c>
      <c r="L26" s="52">
        <v>39.81</v>
      </c>
      <c r="M26" s="52">
        <v>19.82</v>
      </c>
      <c r="N26" s="52">
        <v>109.5</v>
      </c>
      <c r="O26" s="52">
        <v>0</v>
      </c>
      <c r="P26" s="52">
        <v>0.5</v>
      </c>
      <c r="Q26" s="52">
        <v>4.47</v>
      </c>
      <c r="R26" s="50"/>
      <c r="S26" s="50"/>
      <c r="T26" s="50"/>
      <c r="U26" s="50"/>
    </row>
    <row r="27" spans="1:21" customFormat="1">
      <c r="A27" s="51" t="s">
        <v>435</v>
      </c>
      <c r="B27" s="52">
        <v>5.79</v>
      </c>
      <c r="C27" s="52">
        <v>55.31</v>
      </c>
      <c r="D27" s="52">
        <v>32.49</v>
      </c>
      <c r="E27" s="52">
        <v>12.79</v>
      </c>
      <c r="F27" s="52">
        <v>38.68</v>
      </c>
      <c r="G27" s="52">
        <v>40.619999999999997</v>
      </c>
      <c r="H27" s="52">
        <v>11.89</v>
      </c>
      <c r="I27" s="52">
        <v>5.28</v>
      </c>
      <c r="J27" s="52">
        <v>0.75</v>
      </c>
      <c r="K27" s="52">
        <v>268.33999999999997</v>
      </c>
      <c r="L27" s="52">
        <v>37.83</v>
      </c>
      <c r="M27" s="52">
        <v>23.62</v>
      </c>
      <c r="N27" s="52">
        <v>7.7</v>
      </c>
      <c r="O27" s="52">
        <v>0</v>
      </c>
      <c r="P27" s="52">
        <v>0.6</v>
      </c>
      <c r="Q27" s="52">
        <v>4.5199999999999996</v>
      </c>
      <c r="R27" s="50"/>
      <c r="S27" s="50"/>
      <c r="T27" s="50"/>
      <c r="U27" s="50"/>
    </row>
    <row r="28" spans="1:21" customFormat="1">
      <c r="A28" s="51" t="s">
        <v>436</v>
      </c>
      <c r="B28" s="52">
        <v>7.3</v>
      </c>
      <c r="C28" s="52">
        <v>55.16</v>
      </c>
      <c r="D28" s="52">
        <v>33.630000000000003</v>
      </c>
      <c r="E28" s="52">
        <v>7.6</v>
      </c>
      <c r="F28" s="52">
        <v>25.79</v>
      </c>
      <c r="G28" s="52">
        <v>47.52</v>
      </c>
      <c r="H28" s="52">
        <v>16.309999999999999</v>
      </c>
      <c r="I28" s="52">
        <v>5.31</v>
      </c>
      <c r="J28" s="52">
        <v>1.02</v>
      </c>
      <c r="K28" s="52">
        <v>292.27999999999997</v>
      </c>
      <c r="L28" s="52">
        <v>36.42</v>
      </c>
      <c r="M28" s="52">
        <v>25.3</v>
      </c>
      <c r="N28" s="52">
        <v>0</v>
      </c>
      <c r="O28" s="52">
        <v>0</v>
      </c>
      <c r="P28" s="52">
        <v>0.61</v>
      </c>
      <c r="Q28" s="52">
        <v>4.62</v>
      </c>
      <c r="R28" s="50"/>
      <c r="S28" s="50"/>
      <c r="T28" s="50"/>
      <c r="U28" s="50"/>
    </row>
    <row r="29" spans="1:21" customFormat="1">
      <c r="A29" s="51" t="s">
        <v>437</v>
      </c>
      <c r="B29" s="52">
        <v>8.41</v>
      </c>
      <c r="C29" s="52">
        <v>57.83</v>
      </c>
      <c r="D29" s="52">
        <v>35.14</v>
      </c>
      <c r="E29" s="52">
        <v>7.48</v>
      </c>
      <c r="F29" s="52">
        <v>23.25</v>
      </c>
      <c r="G29" s="52">
        <v>49.42</v>
      </c>
      <c r="H29" s="52">
        <v>14.94</v>
      </c>
      <c r="I29" s="52">
        <v>5.22</v>
      </c>
      <c r="J29" s="52">
        <v>0.56999999999999995</v>
      </c>
      <c r="K29" s="52">
        <v>265.35000000000002</v>
      </c>
      <c r="L29" s="52">
        <v>35.26</v>
      </c>
      <c r="M29" s="52">
        <v>24.73</v>
      </c>
      <c r="N29" s="52">
        <v>0</v>
      </c>
      <c r="O29" s="52">
        <v>0</v>
      </c>
      <c r="P29" s="52">
        <v>0.66</v>
      </c>
      <c r="Q29" s="52">
        <v>4.74</v>
      </c>
      <c r="R29" s="50"/>
      <c r="S29" s="50"/>
      <c r="T29" s="50"/>
      <c r="U29" s="50"/>
    </row>
    <row r="30" spans="1:21" customFormat="1">
      <c r="A30" s="51" t="s">
        <v>438</v>
      </c>
      <c r="B30" s="52">
        <v>8.0299999999999994</v>
      </c>
      <c r="C30" s="52">
        <v>56.45</v>
      </c>
      <c r="D30" s="52">
        <v>34.21</v>
      </c>
      <c r="E30" s="52">
        <v>6.95</v>
      </c>
      <c r="F30" s="52">
        <v>17.84</v>
      </c>
      <c r="G30" s="52">
        <v>48.73</v>
      </c>
      <c r="H30" s="52">
        <v>12.49</v>
      </c>
      <c r="I30" s="52">
        <v>5.27</v>
      </c>
      <c r="J30" s="52">
        <v>0.45</v>
      </c>
      <c r="K30" s="52">
        <v>237.21</v>
      </c>
      <c r="L30" s="52">
        <v>34.07</v>
      </c>
      <c r="M30" s="52">
        <v>35.71</v>
      </c>
      <c r="N30" s="52">
        <v>0</v>
      </c>
      <c r="O30" s="52">
        <v>0</v>
      </c>
      <c r="P30" s="52">
        <v>0.68</v>
      </c>
      <c r="Q30" s="52">
        <v>4.8499999999999996</v>
      </c>
      <c r="R30" s="50"/>
      <c r="S30" s="50"/>
      <c r="T30" s="50"/>
      <c r="U30" s="50"/>
    </row>
    <row r="31" spans="1:21" customFormat="1">
      <c r="A31" s="51" t="s">
        <v>439</v>
      </c>
      <c r="B31" s="52">
        <v>8.9499999999999993</v>
      </c>
      <c r="C31" s="52">
        <v>51.77</v>
      </c>
      <c r="D31" s="52">
        <v>33.17</v>
      </c>
      <c r="E31" s="52">
        <v>8.31</v>
      </c>
      <c r="F31" s="52">
        <v>15.1</v>
      </c>
      <c r="G31" s="52">
        <v>49.2</v>
      </c>
      <c r="H31" s="52">
        <v>16.5</v>
      </c>
      <c r="I31" s="52">
        <v>5.71</v>
      </c>
      <c r="J31" s="52">
        <v>0.2</v>
      </c>
      <c r="K31" s="52">
        <v>187.76</v>
      </c>
      <c r="L31" s="52">
        <v>30.84</v>
      </c>
      <c r="M31" s="52">
        <v>39.1</v>
      </c>
      <c r="N31" s="52">
        <v>0</v>
      </c>
      <c r="O31" s="52">
        <v>0</v>
      </c>
      <c r="P31" s="52">
        <v>0.68</v>
      </c>
      <c r="Q31" s="52">
        <v>4.84</v>
      </c>
      <c r="R31" s="50"/>
      <c r="S31" s="50"/>
      <c r="T31" s="50"/>
      <c r="U31" s="50"/>
    </row>
    <row r="32" spans="1:21" customFormat="1">
      <c r="A32" s="51" t="s">
        <v>440</v>
      </c>
      <c r="B32" s="52">
        <v>13.84</v>
      </c>
      <c r="C32" s="52">
        <v>53.07</v>
      </c>
      <c r="D32" s="52">
        <v>37.78</v>
      </c>
      <c r="E32" s="52">
        <v>9.94</v>
      </c>
      <c r="F32" s="52">
        <v>12.03</v>
      </c>
      <c r="G32" s="52">
        <v>53.56</v>
      </c>
      <c r="H32" s="52">
        <v>14.55</v>
      </c>
      <c r="I32" s="52">
        <v>7.93</v>
      </c>
      <c r="J32" s="52">
        <v>0.22</v>
      </c>
      <c r="K32" s="52">
        <v>303.48</v>
      </c>
      <c r="L32" s="52">
        <v>30.16</v>
      </c>
      <c r="M32" s="52">
        <v>41.72</v>
      </c>
      <c r="N32" s="52">
        <v>0</v>
      </c>
      <c r="O32" s="52">
        <v>0</v>
      </c>
      <c r="P32" s="52">
        <v>0.77</v>
      </c>
      <c r="Q32" s="52">
        <v>4.8899999999999997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3.81</v>
      </c>
      <c r="C34" s="41">
        <f t="shared" si="0"/>
        <v>46.07</v>
      </c>
      <c r="D34" s="41">
        <f t="shared" si="0"/>
        <v>26.8</v>
      </c>
      <c r="E34" s="41">
        <f t="shared" si="0"/>
        <v>6.95</v>
      </c>
      <c r="F34" s="41">
        <f t="shared" si="0"/>
        <v>4.22</v>
      </c>
      <c r="G34" s="41">
        <f t="shared" si="0"/>
        <v>40.619999999999997</v>
      </c>
      <c r="H34" s="41">
        <f t="shared" si="0"/>
        <v>11.89</v>
      </c>
      <c r="I34" s="41">
        <f t="shared" si="0"/>
        <v>5.22</v>
      </c>
      <c r="J34" s="41">
        <f t="shared" si="0"/>
        <v>0.18</v>
      </c>
      <c r="K34" s="41">
        <f t="shared" si="0"/>
        <v>178.39</v>
      </c>
      <c r="L34" s="41">
        <f t="shared" si="0"/>
        <v>26.53</v>
      </c>
      <c r="M34" s="41">
        <f t="shared" si="0"/>
        <v>17.62</v>
      </c>
      <c r="N34" s="41">
        <f t="shared" si="0"/>
        <v>0</v>
      </c>
      <c r="O34" s="41">
        <f t="shared" si="0"/>
        <v>0</v>
      </c>
      <c r="P34" s="41">
        <f t="shared" si="0"/>
        <v>0.49</v>
      </c>
      <c r="Q34" s="41">
        <f t="shared" si="0"/>
        <v>4.4400000000000004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29.47</v>
      </c>
      <c r="C35" s="33">
        <f t="shared" si="1"/>
        <v>65.819999999999993</v>
      </c>
      <c r="D35" s="33">
        <f t="shared" si="1"/>
        <v>54.61</v>
      </c>
      <c r="E35" s="33">
        <f t="shared" si="1"/>
        <v>35.92</v>
      </c>
      <c r="F35" s="33">
        <f t="shared" si="1"/>
        <v>48.98</v>
      </c>
      <c r="G35" s="33">
        <f t="shared" si="1"/>
        <v>88.15</v>
      </c>
      <c r="H35" s="33">
        <f t="shared" si="1"/>
        <v>27.03</v>
      </c>
      <c r="I35" s="33">
        <f t="shared" si="1"/>
        <v>10.23</v>
      </c>
      <c r="J35" s="33">
        <f t="shared" si="1"/>
        <v>1.27</v>
      </c>
      <c r="K35" s="33">
        <f t="shared" si="1"/>
        <v>359.44</v>
      </c>
      <c r="L35" s="33">
        <f t="shared" si="1"/>
        <v>41.91</v>
      </c>
      <c r="M35" s="33">
        <f t="shared" si="1"/>
        <v>61.4</v>
      </c>
      <c r="N35" s="33">
        <f t="shared" si="1"/>
        <v>831.5</v>
      </c>
      <c r="O35" s="33">
        <f t="shared" si="1"/>
        <v>0</v>
      </c>
      <c r="P35" s="33">
        <f t="shared" si="1"/>
        <v>0.97</v>
      </c>
      <c r="Q35" s="33">
        <f t="shared" si="1"/>
        <v>5.71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13.135416666666664</v>
      </c>
      <c r="C36" s="41">
        <f t="shared" si="2"/>
        <v>55.666666666666657</v>
      </c>
      <c r="D36" s="41">
        <f t="shared" si="2"/>
        <v>38.272499999999987</v>
      </c>
      <c r="E36" s="41">
        <f t="shared" si="2"/>
        <v>12.445416666666668</v>
      </c>
      <c r="F36" s="41">
        <f t="shared" si="2"/>
        <v>22.678749999999997</v>
      </c>
      <c r="G36" s="41">
        <f t="shared" si="2"/>
        <v>62.484583333333326</v>
      </c>
      <c r="H36" s="41">
        <f t="shared" si="2"/>
        <v>18.997916666666665</v>
      </c>
      <c r="I36" s="41">
        <f t="shared" si="2"/>
        <v>7.592500000000002</v>
      </c>
      <c r="J36" s="41">
        <f t="shared" si="2"/>
        <v>0.61458333333333337</v>
      </c>
      <c r="K36" s="41">
        <f t="shared" si="2"/>
        <v>250.59791666666669</v>
      </c>
      <c r="L36" s="41">
        <f t="shared" si="2"/>
        <v>34.608333333333334</v>
      </c>
      <c r="M36" s="41">
        <f t="shared" si="2"/>
        <v>36.357083333333343</v>
      </c>
      <c r="N36" s="41">
        <f t="shared" si="2"/>
        <v>223.53749999999999</v>
      </c>
      <c r="O36" s="41">
        <f t="shared" si="2"/>
        <v>0</v>
      </c>
      <c r="P36" s="41">
        <f t="shared" si="2"/>
        <v>0.75833333333333319</v>
      </c>
      <c r="Q36" s="41">
        <f t="shared" si="2"/>
        <v>5.0295833333333331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8.5637268294910598</v>
      </c>
      <c r="C37" s="41">
        <f t="shared" ref="C37:Q37" si="3">STDEV(C9:C32)</f>
        <v>5.2063628852351309</v>
      </c>
      <c r="D37" s="41">
        <f t="shared" si="3"/>
        <v>8.9139701055971159</v>
      </c>
      <c r="E37" s="41">
        <f t="shared" si="3"/>
        <v>7.9718422829392406</v>
      </c>
      <c r="F37" s="41">
        <f t="shared" si="3"/>
        <v>13.97862943847718</v>
      </c>
      <c r="G37" s="41">
        <f t="shared" si="3"/>
        <v>13.794354541265962</v>
      </c>
      <c r="H37" s="41">
        <f t="shared" si="3"/>
        <v>4.3045496448441147</v>
      </c>
      <c r="I37" s="41">
        <f t="shared" si="3"/>
        <v>1.7207739664111068</v>
      </c>
      <c r="J37" s="41">
        <f t="shared" si="3"/>
        <v>0.39305911898147416</v>
      </c>
      <c r="K37" s="41">
        <f t="shared" si="3"/>
        <v>49.467773697645278</v>
      </c>
      <c r="L37" s="41">
        <f t="shared" si="3"/>
        <v>5.5404651089225636</v>
      </c>
      <c r="M37" s="41">
        <f t="shared" si="3"/>
        <v>15.995097476949018</v>
      </c>
      <c r="N37" s="41">
        <f t="shared" si="3"/>
        <v>305.79553102273792</v>
      </c>
      <c r="O37" s="41">
        <f t="shared" si="3"/>
        <v>0</v>
      </c>
      <c r="P37" s="41">
        <f t="shared" si="3"/>
        <v>0.16997868579086231</v>
      </c>
      <c r="Q37" s="41">
        <f t="shared" si="3"/>
        <v>0.44704322489837467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17/05/2023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441</v>
      </c>
      <c r="B9" s="52">
        <v>16.440000000000001</v>
      </c>
      <c r="C9" s="52">
        <v>56.07</v>
      </c>
      <c r="D9" s="52">
        <v>41.43</v>
      </c>
      <c r="E9" s="52">
        <v>14.66</v>
      </c>
      <c r="F9" s="52">
        <v>12.36</v>
      </c>
      <c r="G9" s="52">
        <v>53.92</v>
      </c>
      <c r="H9" s="52">
        <v>12.47</v>
      </c>
      <c r="I9" s="52">
        <v>8.65</v>
      </c>
      <c r="J9" s="52">
        <v>1.02</v>
      </c>
      <c r="K9" s="52">
        <v>298.58</v>
      </c>
      <c r="L9" s="52">
        <v>32.590000000000003</v>
      </c>
      <c r="M9" s="52">
        <v>32.72</v>
      </c>
      <c r="N9" s="52">
        <v>0</v>
      </c>
      <c r="O9" s="52">
        <v>0</v>
      </c>
      <c r="P9" s="52">
        <v>0.85</v>
      </c>
      <c r="Q9" s="52">
        <v>5.0199999999999996</v>
      </c>
      <c r="R9" s="50"/>
      <c r="S9" s="50"/>
      <c r="T9" s="50"/>
      <c r="U9" s="50"/>
    </row>
    <row r="10" spans="1:21" customFormat="1">
      <c r="A10" s="51" t="s">
        <v>442</v>
      </c>
      <c r="B10" s="52">
        <v>16.010000000000002</v>
      </c>
      <c r="C10" s="52">
        <v>57.42</v>
      </c>
      <c r="D10" s="52">
        <v>41.79</v>
      </c>
      <c r="E10" s="52">
        <v>38.979999999999997</v>
      </c>
      <c r="F10" s="52">
        <v>13.92</v>
      </c>
      <c r="G10" s="52">
        <v>56.02</v>
      </c>
      <c r="H10" s="52">
        <v>15.64</v>
      </c>
      <c r="I10" s="52">
        <v>7.57</v>
      </c>
      <c r="J10" s="52">
        <v>0.32</v>
      </c>
      <c r="K10" s="52">
        <v>242.29</v>
      </c>
      <c r="L10" s="52">
        <v>31.77</v>
      </c>
      <c r="M10" s="52">
        <v>37.92</v>
      </c>
      <c r="N10" s="52">
        <v>0</v>
      </c>
      <c r="O10" s="52">
        <v>0</v>
      </c>
      <c r="P10" s="52">
        <v>0.66</v>
      </c>
      <c r="Q10" s="52">
        <v>5.12</v>
      </c>
      <c r="R10" s="50"/>
      <c r="S10" s="50"/>
      <c r="T10" s="50"/>
      <c r="U10" s="50"/>
    </row>
    <row r="11" spans="1:21" customFormat="1">
      <c r="A11" s="51" t="s">
        <v>443</v>
      </c>
      <c r="B11" s="52">
        <v>14.81</v>
      </c>
      <c r="C11" s="52">
        <v>57.47</v>
      </c>
      <c r="D11" s="52">
        <v>40.85</v>
      </c>
      <c r="E11" s="52">
        <v>13.97</v>
      </c>
      <c r="F11" s="52">
        <v>9.09</v>
      </c>
      <c r="G11" s="52">
        <v>58.3</v>
      </c>
      <c r="H11" s="52">
        <v>15.47</v>
      </c>
      <c r="I11" s="52">
        <v>6.85</v>
      </c>
      <c r="J11" s="52">
        <v>0.21</v>
      </c>
      <c r="K11" s="52">
        <v>175.78</v>
      </c>
      <c r="L11" s="52">
        <v>29.21</v>
      </c>
      <c r="M11" s="52">
        <v>48.6</v>
      </c>
      <c r="N11" s="52">
        <v>0</v>
      </c>
      <c r="O11" s="52">
        <v>0</v>
      </c>
      <c r="P11" s="52">
        <v>0.66</v>
      </c>
      <c r="Q11" s="52">
        <v>5.15</v>
      </c>
      <c r="R11" s="50"/>
      <c r="S11" s="50"/>
      <c r="T11" s="50"/>
      <c r="U11" s="50"/>
    </row>
    <row r="12" spans="1:21" customFormat="1">
      <c r="A12" s="51" t="s">
        <v>444</v>
      </c>
      <c r="B12" s="52">
        <v>15.26</v>
      </c>
      <c r="C12" s="52">
        <v>53.54</v>
      </c>
      <c r="D12" s="52">
        <v>38.86</v>
      </c>
      <c r="E12" s="52">
        <v>8.56</v>
      </c>
      <c r="F12" s="52">
        <v>7.29</v>
      </c>
      <c r="G12" s="52">
        <v>54.16</v>
      </c>
      <c r="H12" s="52">
        <v>16.239999999999998</v>
      </c>
      <c r="I12" s="52">
        <v>6.89</v>
      </c>
      <c r="J12" s="52">
        <v>0.17</v>
      </c>
      <c r="K12" s="52">
        <v>210.12</v>
      </c>
      <c r="L12" s="52">
        <v>28.03</v>
      </c>
      <c r="M12" s="52">
        <v>50.21</v>
      </c>
      <c r="N12" s="52">
        <v>0</v>
      </c>
      <c r="O12" s="52">
        <v>0</v>
      </c>
      <c r="P12" s="52">
        <v>0.65</v>
      </c>
      <c r="Q12" s="52">
        <v>5.16</v>
      </c>
      <c r="R12" s="50"/>
      <c r="S12" s="50"/>
      <c r="T12" s="50"/>
      <c r="U12" s="50"/>
    </row>
    <row r="13" spans="1:21" customFormat="1">
      <c r="A13" s="51" t="s">
        <v>445</v>
      </c>
      <c r="B13" s="52">
        <v>16.850000000000001</v>
      </c>
      <c r="C13" s="52">
        <v>54.56</v>
      </c>
      <c r="D13" s="52">
        <v>40.97</v>
      </c>
      <c r="E13" s="52">
        <v>7.68</v>
      </c>
      <c r="F13" s="52">
        <v>6.16</v>
      </c>
      <c r="G13" s="52">
        <v>52.56</v>
      </c>
      <c r="H13" s="52">
        <v>18.21</v>
      </c>
      <c r="I13" s="52">
        <v>7.16</v>
      </c>
      <c r="J13" s="52">
        <v>0.18</v>
      </c>
      <c r="K13" s="52">
        <v>191.46</v>
      </c>
      <c r="L13" s="52">
        <v>27.78</v>
      </c>
      <c r="M13" s="52">
        <v>53.11</v>
      </c>
      <c r="N13" s="52">
        <v>0</v>
      </c>
      <c r="O13" s="52">
        <v>0</v>
      </c>
      <c r="P13" s="52">
        <v>0.66</v>
      </c>
      <c r="Q13" s="52">
        <v>5.2</v>
      </c>
      <c r="R13" s="50"/>
      <c r="S13" s="50"/>
      <c r="T13" s="50"/>
      <c r="U13" s="50"/>
    </row>
    <row r="14" spans="1:21" customFormat="1">
      <c r="A14" s="51" t="s">
        <v>446</v>
      </c>
      <c r="B14" s="52">
        <v>18.77</v>
      </c>
      <c r="C14" s="52">
        <v>56.81</v>
      </c>
      <c r="D14" s="52">
        <v>43.43</v>
      </c>
      <c r="E14" s="52">
        <v>7.69</v>
      </c>
      <c r="F14" s="52">
        <v>5.38</v>
      </c>
      <c r="G14" s="52">
        <v>49.68</v>
      </c>
      <c r="H14" s="52">
        <v>16.98</v>
      </c>
      <c r="I14" s="52">
        <v>7.46</v>
      </c>
      <c r="J14" s="52">
        <v>0.25</v>
      </c>
      <c r="K14" s="52">
        <v>201.52</v>
      </c>
      <c r="L14" s="52">
        <v>27.26</v>
      </c>
      <c r="M14" s="52">
        <v>58.15</v>
      </c>
      <c r="N14" s="52">
        <v>13.1</v>
      </c>
      <c r="O14" s="52">
        <v>0</v>
      </c>
      <c r="P14" s="52">
        <v>0.7</v>
      </c>
      <c r="Q14" s="52">
        <v>5.27</v>
      </c>
      <c r="R14" s="50"/>
      <c r="S14" s="50"/>
      <c r="T14" s="50"/>
      <c r="U14" s="50"/>
    </row>
    <row r="15" spans="1:21" customFormat="1">
      <c r="A15" s="51" t="s">
        <v>447</v>
      </c>
      <c r="B15" s="52">
        <v>18.670000000000002</v>
      </c>
      <c r="C15" s="52">
        <v>56.56</v>
      </c>
      <c r="D15" s="52">
        <v>43.48</v>
      </c>
      <c r="E15" s="52">
        <v>7.78</v>
      </c>
      <c r="F15" s="52">
        <v>8.8000000000000007</v>
      </c>
      <c r="G15" s="52">
        <v>53.06</v>
      </c>
      <c r="H15" s="52">
        <v>13.74</v>
      </c>
      <c r="I15" s="52">
        <v>7.67</v>
      </c>
      <c r="J15" s="52">
        <v>0.25</v>
      </c>
      <c r="K15" s="52">
        <v>193.62</v>
      </c>
      <c r="L15" s="52">
        <v>29.77</v>
      </c>
      <c r="M15" s="52">
        <v>52.08</v>
      </c>
      <c r="N15" s="52">
        <v>62.3</v>
      </c>
      <c r="O15" s="52">
        <v>0</v>
      </c>
      <c r="P15" s="52">
        <v>0.69</v>
      </c>
      <c r="Q15" s="52">
        <v>5.36</v>
      </c>
      <c r="R15" s="50"/>
      <c r="S15" s="50"/>
      <c r="T15" s="50"/>
      <c r="U15" s="50"/>
    </row>
    <row r="16" spans="1:21" customFormat="1">
      <c r="A16" s="51" t="s">
        <v>448</v>
      </c>
      <c r="B16" s="52">
        <v>16.920000000000002</v>
      </c>
      <c r="C16" s="52">
        <v>53.97</v>
      </c>
      <c r="D16" s="52">
        <v>40.520000000000003</v>
      </c>
      <c r="E16" s="52">
        <v>8.31</v>
      </c>
      <c r="F16" s="52">
        <v>15.76</v>
      </c>
      <c r="G16" s="52">
        <v>51.81</v>
      </c>
      <c r="H16" s="52">
        <v>15.87</v>
      </c>
      <c r="I16" s="52">
        <v>7.49</v>
      </c>
      <c r="J16" s="52">
        <v>0.3</v>
      </c>
      <c r="K16" s="52">
        <v>274.22000000000003</v>
      </c>
      <c r="L16" s="52">
        <v>33.31</v>
      </c>
      <c r="M16" s="52">
        <v>44.64</v>
      </c>
      <c r="N16" s="52">
        <v>94.6</v>
      </c>
      <c r="O16" s="52">
        <v>0</v>
      </c>
      <c r="P16" s="52">
        <v>0.69</v>
      </c>
      <c r="Q16" s="52">
        <v>5.35</v>
      </c>
      <c r="R16" s="50"/>
      <c r="S16" s="50"/>
      <c r="T16" s="50"/>
      <c r="U16" s="50"/>
    </row>
    <row r="17" spans="1:21" customFormat="1">
      <c r="A17" s="51" t="s">
        <v>449</v>
      </c>
      <c r="B17" s="52">
        <v>13.74</v>
      </c>
      <c r="C17" s="52">
        <v>55.23</v>
      </c>
      <c r="D17" s="52">
        <v>38.630000000000003</v>
      </c>
      <c r="E17" s="52">
        <v>10.49</v>
      </c>
      <c r="F17" s="52">
        <v>22.13</v>
      </c>
      <c r="G17" s="52">
        <v>49.3</v>
      </c>
      <c r="H17" s="52">
        <v>17.690000000000001</v>
      </c>
      <c r="I17" s="52">
        <v>7.26</v>
      </c>
      <c r="J17" s="52">
        <v>0.31</v>
      </c>
      <c r="K17" s="52">
        <v>243.18</v>
      </c>
      <c r="L17" s="52">
        <v>35.79</v>
      </c>
      <c r="M17" s="52">
        <v>35.5</v>
      </c>
      <c r="N17" s="52">
        <v>127.6</v>
      </c>
      <c r="O17" s="52">
        <v>0</v>
      </c>
      <c r="P17" s="52">
        <v>0.67</v>
      </c>
      <c r="Q17" s="52">
        <v>5.2</v>
      </c>
      <c r="R17" s="50"/>
      <c r="S17" s="50"/>
      <c r="T17" s="50"/>
      <c r="U17" s="50"/>
    </row>
    <row r="18" spans="1:21" customFormat="1">
      <c r="A18" s="51" t="s">
        <v>450</v>
      </c>
      <c r="B18" s="52">
        <v>9.85</v>
      </c>
      <c r="C18" s="52">
        <v>54.97</v>
      </c>
      <c r="D18" s="52">
        <v>35.57</v>
      </c>
      <c r="E18" s="52">
        <v>15.06</v>
      </c>
      <c r="F18" s="52">
        <v>40.270000000000003</v>
      </c>
      <c r="G18" s="52">
        <v>50.55</v>
      </c>
      <c r="H18" s="52">
        <v>17.940000000000001</v>
      </c>
      <c r="I18" s="52">
        <v>7.05</v>
      </c>
      <c r="J18" s="52">
        <v>0.35</v>
      </c>
      <c r="K18" s="52">
        <v>229.01</v>
      </c>
      <c r="L18" s="52">
        <v>37.86</v>
      </c>
      <c r="M18" s="52">
        <v>31.09</v>
      </c>
      <c r="N18" s="52">
        <v>160.1</v>
      </c>
      <c r="O18" s="52">
        <v>0</v>
      </c>
      <c r="P18" s="52">
        <v>0.69</v>
      </c>
      <c r="Q18" s="52">
        <v>5.01</v>
      </c>
      <c r="R18" s="50"/>
      <c r="S18" s="50"/>
      <c r="T18" s="50"/>
      <c r="U18" s="50"/>
    </row>
    <row r="19" spans="1:21" customFormat="1">
      <c r="A19" s="51" t="s">
        <v>451</v>
      </c>
      <c r="B19" s="52">
        <v>6.71</v>
      </c>
      <c r="C19" s="52">
        <v>56.42</v>
      </c>
      <c r="D19" s="52">
        <v>33.630000000000003</v>
      </c>
      <c r="E19" s="52">
        <v>11.49</v>
      </c>
      <c r="F19" s="52">
        <v>38.32</v>
      </c>
      <c r="G19" s="52">
        <v>50.13</v>
      </c>
      <c r="H19" s="52">
        <v>17.36</v>
      </c>
      <c r="I19" s="52">
        <v>7.96</v>
      </c>
      <c r="J19" s="52">
        <v>1.02</v>
      </c>
      <c r="K19" s="52">
        <v>356.18</v>
      </c>
      <c r="L19" s="52">
        <v>39.36</v>
      </c>
      <c r="M19" s="52">
        <v>26.1</v>
      </c>
      <c r="N19" s="52">
        <v>421.7</v>
      </c>
      <c r="O19" s="52">
        <v>0</v>
      </c>
      <c r="P19" s="52">
        <v>0.7</v>
      </c>
      <c r="Q19" s="52">
        <v>4.79</v>
      </c>
      <c r="R19" s="50"/>
      <c r="S19" s="50"/>
      <c r="T19" s="50"/>
      <c r="U19" s="50"/>
    </row>
    <row r="20" spans="1:21" customFormat="1">
      <c r="A20" s="51" t="s">
        <v>452</v>
      </c>
      <c r="B20" s="52">
        <v>5.51</v>
      </c>
      <c r="C20" s="52">
        <v>50.58</v>
      </c>
      <c r="D20" s="52">
        <v>29.3</v>
      </c>
      <c r="E20" s="52">
        <v>13.51</v>
      </c>
      <c r="F20" s="52">
        <v>38.020000000000003</v>
      </c>
      <c r="G20" s="52">
        <v>50.88</v>
      </c>
      <c r="H20" s="52">
        <v>18.7</v>
      </c>
      <c r="I20" s="52">
        <v>6.4</v>
      </c>
      <c r="J20" s="52">
        <v>0.91</v>
      </c>
      <c r="K20" s="52">
        <v>308.43</v>
      </c>
      <c r="L20" s="52">
        <v>40.630000000000003</v>
      </c>
      <c r="M20" s="52">
        <v>22.86</v>
      </c>
      <c r="N20" s="52">
        <v>803.5</v>
      </c>
      <c r="O20" s="52">
        <v>0</v>
      </c>
      <c r="P20" s="52">
        <v>0.59</v>
      </c>
      <c r="Q20" s="52">
        <v>4.71</v>
      </c>
      <c r="R20" s="50"/>
      <c r="S20" s="50"/>
      <c r="T20" s="50"/>
      <c r="U20" s="50"/>
    </row>
    <row r="21" spans="1:21" customFormat="1">
      <c r="A21" s="51" t="s">
        <v>453</v>
      </c>
      <c r="B21" s="52">
        <v>5.05</v>
      </c>
      <c r="C21" s="52">
        <v>54.54</v>
      </c>
      <c r="D21" s="52">
        <v>31.13</v>
      </c>
      <c r="E21" s="52">
        <v>10.16</v>
      </c>
      <c r="F21" s="52">
        <v>36.979999999999997</v>
      </c>
      <c r="G21" s="52">
        <v>52.15</v>
      </c>
      <c r="H21" s="52">
        <v>17.850000000000001</v>
      </c>
      <c r="I21" s="52">
        <v>6.22</v>
      </c>
      <c r="J21" s="52">
        <v>1.06</v>
      </c>
      <c r="K21" s="52">
        <v>291.43</v>
      </c>
      <c r="L21" s="52">
        <v>41.29</v>
      </c>
      <c r="M21" s="52">
        <v>21.02</v>
      </c>
      <c r="N21" s="52">
        <v>879.2</v>
      </c>
      <c r="O21" s="52">
        <v>0</v>
      </c>
      <c r="P21" s="52">
        <v>0.55000000000000004</v>
      </c>
      <c r="Q21" s="52">
        <v>4.6900000000000004</v>
      </c>
      <c r="R21" s="50"/>
      <c r="S21" s="50"/>
      <c r="T21" s="50"/>
      <c r="U21" s="50"/>
    </row>
    <row r="22" spans="1:21" customFormat="1">
      <c r="A22" s="51" t="s">
        <v>454</v>
      </c>
      <c r="B22" s="52">
        <v>5.32</v>
      </c>
      <c r="C22" s="52">
        <v>51.75</v>
      </c>
      <c r="D22" s="52">
        <v>29.87</v>
      </c>
      <c r="E22" s="52">
        <v>7.15</v>
      </c>
      <c r="F22" s="52">
        <v>33.22</v>
      </c>
      <c r="G22" s="52">
        <v>51.46</v>
      </c>
      <c r="H22" s="52">
        <v>15.45</v>
      </c>
      <c r="I22" s="52">
        <v>5.92</v>
      </c>
      <c r="J22" s="52">
        <v>1.08</v>
      </c>
      <c r="K22" s="52">
        <v>312.5</v>
      </c>
      <c r="L22" s="52">
        <v>42.11</v>
      </c>
      <c r="M22" s="52">
        <v>17.940000000000001</v>
      </c>
      <c r="N22" s="52">
        <v>820.7</v>
      </c>
      <c r="O22" s="52">
        <v>0</v>
      </c>
      <c r="P22" s="52">
        <v>0.51</v>
      </c>
      <c r="Q22" s="52">
        <v>4.66</v>
      </c>
      <c r="R22" s="50"/>
      <c r="S22" s="50"/>
      <c r="T22" s="50"/>
      <c r="U22" s="50"/>
    </row>
    <row r="23" spans="1:21" customFormat="1">
      <c r="A23" s="51" t="s">
        <v>455</v>
      </c>
      <c r="B23" s="52">
        <v>5.59</v>
      </c>
      <c r="C23" s="52">
        <v>51.32</v>
      </c>
      <c r="D23" s="52">
        <v>30.03</v>
      </c>
      <c r="E23" s="52">
        <v>6.65</v>
      </c>
      <c r="F23" s="52">
        <v>29.1</v>
      </c>
      <c r="G23" s="52">
        <v>42.89</v>
      </c>
      <c r="H23" s="52">
        <v>15.42</v>
      </c>
      <c r="I23" s="52">
        <v>5.8</v>
      </c>
      <c r="J23" s="52">
        <v>1.01</v>
      </c>
      <c r="K23" s="52">
        <v>295.8</v>
      </c>
      <c r="L23" s="52">
        <v>41.18</v>
      </c>
      <c r="M23" s="52">
        <v>19.27</v>
      </c>
      <c r="N23" s="52">
        <v>682.6</v>
      </c>
      <c r="O23" s="52">
        <v>0</v>
      </c>
      <c r="P23" s="52">
        <v>0.46</v>
      </c>
      <c r="Q23" s="52">
        <v>4.63</v>
      </c>
      <c r="R23" s="50"/>
      <c r="S23" s="50"/>
      <c r="T23" s="50"/>
      <c r="U23" s="50"/>
    </row>
    <row r="24" spans="1:21" customFormat="1">
      <c r="A24" s="51" t="s">
        <v>456</v>
      </c>
      <c r="B24" s="52">
        <v>5.51</v>
      </c>
      <c r="C24" s="52">
        <v>48.73</v>
      </c>
      <c r="D24" s="52">
        <v>28.83</v>
      </c>
      <c r="E24" s="52">
        <v>7.02</v>
      </c>
      <c r="F24" s="52">
        <v>33.64</v>
      </c>
      <c r="G24" s="52">
        <v>40.14</v>
      </c>
      <c r="H24" s="52">
        <v>13.07</v>
      </c>
      <c r="I24" s="52">
        <v>5.23</v>
      </c>
      <c r="J24" s="52">
        <v>0.93</v>
      </c>
      <c r="K24" s="52">
        <v>282.62</v>
      </c>
      <c r="L24" s="52">
        <v>41.22</v>
      </c>
      <c r="M24" s="52">
        <v>18.25</v>
      </c>
      <c r="N24" s="52">
        <v>642.5</v>
      </c>
      <c r="O24" s="52">
        <v>0</v>
      </c>
      <c r="P24" s="52">
        <v>0.43</v>
      </c>
      <c r="Q24" s="52">
        <v>4.59</v>
      </c>
      <c r="R24" s="50"/>
      <c r="S24" s="50"/>
      <c r="T24" s="50"/>
      <c r="U24" s="50"/>
    </row>
    <row r="25" spans="1:21" customFormat="1">
      <c r="A25" s="51" t="s">
        <v>457</v>
      </c>
      <c r="B25" s="52">
        <v>4.6100000000000003</v>
      </c>
      <c r="C25" s="52">
        <v>47.62</v>
      </c>
      <c r="D25" s="52">
        <v>27.53</v>
      </c>
      <c r="E25" s="52">
        <v>12.12</v>
      </c>
      <c r="F25" s="52">
        <v>37.08</v>
      </c>
      <c r="G25" s="52">
        <v>35.200000000000003</v>
      </c>
      <c r="H25" s="52">
        <v>11.09</v>
      </c>
      <c r="I25" s="52">
        <v>4.7</v>
      </c>
      <c r="J25" s="52">
        <v>0.92</v>
      </c>
      <c r="K25" s="52">
        <v>271.39</v>
      </c>
      <c r="L25" s="52">
        <v>40.43</v>
      </c>
      <c r="M25" s="52">
        <v>17.5</v>
      </c>
      <c r="N25" s="52">
        <v>234.2</v>
      </c>
      <c r="O25" s="52">
        <v>0</v>
      </c>
      <c r="P25" s="52">
        <v>0.47</v>
      </c>
      <c r="Q25" s="52">
        <v>4.55</v>
      </c>
      <c r="R25" s="50"/>
      <c r="S25" s="50"/>
      <c r="T25" s="50"/>
      <c r="U25" s="50"/>
    </row>
    <row r="26" spans="1:21" customFormat="1">
      <c r="A26" s="51" t="s">
        <v>458</v>
      </c>
      <c r="B26" s="52">
        <v>7.57</v>
      </c>
      <c r="C26" s="52">
        <v>51.32</v>
      </c>
      <c r="D26" s="52">
        <v>30.86</v>
      </c>
      <c r="E26" s="52">
        <v>12.46</v>
      </c>
      <c r="F26" s="52">
        <v>35.61</v>
      </c>
      <c r="G26" s="52">
        <v>34.619999999999997</v>
      </c>
      <c r="H26" s="52">
        <v>12.46</v>
      </c>
      <c r="I26" s="52">
        <v>4.78</v>
      </c>
      <c r="J26" s="52">
        <v>0.78</v>
      </c>
      <c r="K26" s="52">
        <v>297.37</v>
      </c>
      <c r="L26" s="52">
        <v>39.369999999999997</v>
      </c>
      <c r="M26" s="52">
        <v>19.22</v>
      </c>
      <c r="N26" s="52">
        <v>101.2</v>
      </c>
      <c r="O26" s="52">
        <v>0</v>
      </c>
      <c r="P26" s="52">
        <v>0.49</v>
      </c>
      <c r="Q26" s="52">
        <v>4.5999999999999996</v>
      </c>
      <c r="R26" s="50"/>
      <c r="S26" s="50"/>
      <c r="T26" s="50"/>
      <c r="U26" s="50"/>
    </row>
    <row r="27" spans="1:21" customFormat="1">
      <c r="A27" s="51" t="s">
        <v>459</v>
      </c>
      <c r="B27" s="52">
        <v>4.54</v>
      </c>
      <c r="C27" s="52">
        <v>43.68</v>
      </c>
      <c r="D27" s="52">
        <v>25.41</v>
      </c>
      <c r="E27" s="52">
        <v>7</v>
      </c>
      <c r="F27" s="52">
        <v>42.35</v>
      </c>
      <c r="G27" s="52">
        <v>36.119999999999997</v>
      </c>
      <c r="H27" s="52">
        <v>9.06</v>
      </c>
      <c r="I27" s="52">
        <v>4.42</v>
      </c>
      <c r="J27" s="52">
        <v>0.73</v>
      </c>
      <c r="K27" s="52">
        <v>253.76</v>
      </c>
      <c r="L27" s="52">
        <v>37.78</v>
      </c>
      <c r="M27" s="52">
        <v>21.77</v>
      </c>
      <c r="N27" s="52">
        <v>3.5</v>
      </c>
      <c r="O27" s="52">
        <v>0</v>
      </c>
      <c r="P27" s="52">
        <v>0.43</v>
      </c>
      <c r="Q27" s="52">
        <v>4.62</v>
      </c>
      <c r="R27" s="50"/>
      <c r="S27" s="50"/>
      <c r="T27" s="50"/>
      <c r="U27" s="50"/>
    </row>
    <row r="28" spans="1:21" customFormat="1">
      <c r="A28" s="51" t="s">
        <v>460</v>
      </c>
      <c r="B28" s="52">
        <v>4.03</v>
      </c>
      <c r="C28" s="52">
        <v>40.93</v>
      </c>
      <c r="D28" s="52">
        <v>23.57</v>
      </c>
      <c r="E28" s="52">
        <v>6.53</v>
      </c>
      <c r="F28" s="52">
        <v>40.19</v>
      </c>
      <c r="G28" s="52">
        <v>33.369999999999997</v>
      </c>
      <c r="H28" s="52">
        <v>7.69</v>
      </c>
      <c r="I28" s="52">
        <v>4.04</v>
      </c>
      <c r="J28" s="52">
        <v>0.28000000000000003</v>
      </c>
      <c r="K28" s="52">
        <v>210.03</v>
      </c>
      <c r="L28" s="52">
        <v>35.51</v>
      </c>
      <c r="M28" s="52">
        <v>26.46</v>
      </c>
      <c r="N28" s="52">
        <v>0</v>
      </c>
      <c r="O28" s="52">
        <v>0</v>
      </c>
      <c r="P28" s="52">
        <v>0.5</v>
      </c>
      <c r="Q28" s="52">
        <v>4.53</v>
      </c>
      <c r="R28" s="50"/>
      <c r="S28" s="50"/>
      <c r="T28" s="50"/>
      <c r="U28" s="50"/>
    </row>
    <row r="29" spans="1:21" customFormat="1">
      <c r="A29" s="51" t="s">
        <v>461</v>
      </c>
      <c r="B29" s="52">
        <v>4.3099999999999996</v>
      </c>
      <c r="C29" s="52">
        <v>43.56</v>
      </c>
      <c r="D29" s="52">
        <v>25.03</v>
      </c>
      <c r="E29" s="52">
        <v>7.6</v>
      </c>
      <c r="F29" s="52">
        <v>33.97</v>
      </c>
      <c r="G29" s="52">
        <v>39.61</v>
      </c>
      <c r="H29" s="52">
        <v>11.87</v>
      </c>
      <c r="I29" s="52">
        <v>4.59</v>
      </c>
      <c r="J29" s="52">
        <v>0.3</v>
      </c>
      <c r="K29" s="52">
        <v>221.56</v>
      </c>
      <c r="L29" s="52">
        <v>34.270000000000003</v>
      </c>
      <c r="M29" s="52">
        <v>29.59</v>
      </c>
      <c r="N29" s="52">
        <v>0</v>
      </c>
      <c r="O29" s="52">
        <v>0</v>
      </c>
      <c r="P29" s="52">
        <v>0.56999999999999995</v>
      </c>
      <c r="Q29" s="52">
        <v>4.53</v>
      </c>
      <c r="R29" s="50"/>
      <c r="S29" s="50"/>
      <c r="T29" s="50"/>
      <c r="U29" s="50"/>
    </row>
    <row r="30" spans="1:21" customFormat="1">
      <c r="A30" s="51" t="s">
        <v>462</v>
      </c>
      <c r="B30" s="52">
        <v>5.59</v>
      </c>
      <c r="C30" s="52">
        <v>48.46</v>
      </c>
      <c r="D30" s="52">
        <v>28.75</v>
      </c>
      <c r="E30" s="52">
        <v>8.2100000000000009</v>
      </c>
      <c r="F30" s="52">
        <v>26.52</v>
      </c>
      <c r="G30" s="52">
        <v>43.46</v>
      </c>
      <c r="H30" s="52">
        <v>11.87</v>
      </c>
      <c r="I30" s="52">
        <v>5.04</v>
      </c>
      <c r="J30" s="52">
        <v>0.31</v>
      </c>
      <c r="K30" s="52">
        <v>178.51</v>
      </c>
      <c r="L30" s="52">
        <v>32.840000000000003</v>
      </c>
      <c r="M30" s="52">
        <v>35.590000000000003</v>
      </c>
      <c r="N30" s="52">
        <v>0</v>
      </c>
      <c r="O30" s="52">
        <v>0</v>
      </c>
      <c r="P30" s="52">
        <v>0.57999999999999996</v>
      </c>
      <c r="Q30" s="52">
        <v>4.58</v>
      </c>
      <c r="R30" s="50"/>
      <c r="S30" s="50"/>
      <c r="T30" s="50"/>
      <c r="U30" s="50"/>
    </row>
    <row r="31" spans="1:21" customFormat="1">
      <c r="A31" s="51" t="s">
        <v>463</v>
      </c>
      <c r="B31" s="52">
        <v>6.88</v>
      </c>
      <c r="C31" s="52">
        <v>46.73</v>
      </c>
      <c r="D31" s="52">
        <v>28.88</v>
      </c>
      <c r="E31" s="52">
        <v>7.46</v>
      </c>
      <c r="F31" s="52">
        <v>22.48</v>
      </c>
      <c r="G31" s="52">
        <v>46.11</v>
      </c>
      <c r="H31" s="52">
        <v>14.51</v>
      </c>
      <c r="I31" s="52">
        <v>4.99</v>
      </c>
      <c r="J31" s="52">
        <v>0.23</v>
      </c>
      <c r="K31" s="52">
        <v>184.3</v>
      </c>
      <c r="L31" s="52">
        <v>31.2</v>
      </c>
      <c r="M31" s="52">
        <v>43.29</v>
      </c>
      <c r="N31" s="52">
        <v>0</v>
      </c>
      <c r="O31" s="52">
        <v>0</v>
      </c>
      <c r="P31" s="52">
        <v>0.56000000000000005</v>
      </c>
      <c r="Q31" s="52">
        <v>4.63</v>
      </c>
      <c r="R31" s="50"/>
      <c r="S31" s="50"/>
      <c r="T31" s="50"/>
      <c r="U31" s="50"/>
    </row>
    <row r="32" spans="1:21" customFormat="1">
      <c r="A32" s="51" t="s">
        <v>464</v>
      </c>
      <c r="B32" s="52">
        <v>7.54</v>
      </c>
      <c r="C32" s="52">
        <v>46.62</v>
      </c>
      <c r="D32" s="52">
        <v>29.36</v>
      </c>
      <c r="E32" s="52">
        <v>6.95</v>
      </c>
      <c r="F32" s="52">
        <v>19.05</v>
      </c>
      <c r="G32" s="52">
        <v>47.94</v>
      </c>
      <c r="H32" s="52">
        <v>13.74</v>
      </c>
      <c r="I32" s="52">
        <v>4.99</v>
      </c>
      <c r="J32" s="52">
        <v>0.27</v>
      </c>
      <c r="K32" s="52">
        <v>165.24</v>
      </c>
      <c r="L32" s="52">
        <v>29.68</v>
      </c>
      <c r="M32" s="52">
        <v>45.34</v>
      </c>
      <c r="N32" s="52">
        <v>0</v>
      </c>
      <c r="O32" s="52">
        <v>0</v>
      </c>
      <c r="P32" s="52">
        <v>0.56000000000000005</v>
      </c>
      <c r="Q32" s="52">
        <v>4.72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4.03</v>
      </c>
      <c r="C34" s="41">
        <f t="shared" si="0"/>
        <v>40.93</v>
      </c>
      <c r="D34" s="41">
        <f t="shared" si="0"/>
        <v>23.57</v>
      </c>
      <c r="E34" s="41">
        <f t="shared" si="0"/>
        <v>6.53</v>
      </c>
      <c r="F34" s="41">
        <f t="shared" si="0"/>
        <v>5.38</v>
      </c>
      <c r="G34" s="41">
        <f t="shared" si="0"/>
        <v>33.369999999999997</v>
      </c>
      <c r="H34" s="41">
        <f t="shared" si="0"/>
        <v>7.69</v>
      </c>
      <c r="I34" s="41">
        <f t="shared" si="0"/>
        <v>4.04</v>
      </c>
      <c r="J34" s="41">
        <f t="shared" si="0"/>
        <v>0.17</v>
      </c>
      <c r="K34" s="41">
        <f t="shared" si="0"/>
        <v>165.24</v>
      </c>
      <c r="L34" s="41">
        <f t="shared" si="0"/>
        <v>27.26</v>
      </c>
      <c r="M34" s="41">
        <f t="shared" si="0"/>
        <v>17.5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4.53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18.77</v>
      </c>
      <c r="C35" s="33">
        <f t="shared" si="1"/>
        <v>57.47</v>
      </c>
      <c r="D35" s="33">
        <f t="shared" si="1"/>
        <v>43.48</v>
      </c>
      <c r="E35" s="33">
        <f t="shared" si="1"/>
        <v>38.979999999999997</v>
      </c>
      <c r="F35" s="33">
        <f t="shared" si="1"/>
        <v>42.35</v>
      </c>
      <c r="G35" s="33">
        <f t="shared" si="1"/>
        <v>58.3</v>
      </c>
      <c r="H35" s="33">
        <f t="shared" si="1"/>
        <v>18.7</v>
      </c>
      <c r="I35" s="33">
        <f t="shared" si="1"/>
        <v>8.65</v>
      </c>
      <c r="J35" s="33">
        <f t="shared" si="1"/>
        <v>1.08</v>
      </c>
      <c r="K35" s="33">
        <f t="shared" si="1"/>
        <v>356.18</v>
      </c>
      <c r="L35" s="33">
        <f t="shared" si="1"/>
        <v>42.11</v>
      </c>
      <c r="M35" s="33">
        <f t="shared" si="1"/>
        <v>58.15</v>
      </c>
      <c r="N35" s="33">
        <f t="shared" si="1"/>
        <v>879.2</v>
      </c>
      <c r="O35" s="33">
        <f t="shared" si="1"/>
        <v>0</v>
      </c>
      <c r="P35" s="33">
        <f t="shared" si="1"/>
        <v>0.85</v>
      </c>
      <c r="Q35" s="33">
        <f t="shared" si="1"/>
        <v>5.36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9.8366666666666678</v>
      </c>
      <c r="C36" s="41">
        <f t="shared" si="2"/>
        <v>51.619166666666665</v>
      </c>
      <c r="D36" s="41">
        <f t="shared" si="2"/>
        <v>33.654583333333328</v>
      </c>
      <c r="E36" s="41">
        <f t="shared" si="2"/>
        <v>10.72875</v>
      </c>
      <c r="F36" s="41">
        <f t="shared" si="2"/>
        <v>25.32041666666667</v>
      </c>
      <c r="G36" s="41">
        <f t="shared" si="2"/>
        <v>47.226666666666667</v>
      </c>
      <c r="H36" s="41">
        <f t="shared" si="2"/>
        <v>14.59958333333333</v>
      </c>
      <c r="I36" s="41">
        <f t="shared" si="2"/>
        <v>6.213750000000001</v>
      </c>
      <c r="J36" s="41">
        <f t="shared" si="2"/>
        <v>0.54958333333333331</v>
      </c>
      <c r="K36" s="41">
        <f t="shared" si="2"/>
        <v>245.37083333333337</v>
      </c>
      <c r="L36" s="41">
        <f t="shared" si="2"/>
        <v>35.01</v>
      </c>
      <c r="M36" s="41">
        <f t="shared" si="2"/>
        <v>33.675833333333337</v>
      </c>
      <c r="N36" s="41">
        <f t="shared" si="2"/>
        <v>210.2833333333333</v>
      </c>
      <c r="O36" s="41">
        <f t="shared" si="2"/>
        <v>0</v>
      </c>
      <c r="P36" s="41">
        <f t="shared" si="2"/>
        <v>0.59666666666666679</v>
      </c>
      <c r="Q36" s="41">
        <f t="shared" si="2"/>
        <v>4.8612499999999992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5.4120434673747404</v>
      </c>
      <c r="C37" s="41">
        <f t="shared" ref="C37:Q37" si="3">STDEV(C9:C32)</f>
        <v>4.8431474823953486</v>
      </c>
      <c r="D37" s="41">
        <f t="shared" si="3"/>
        <v>6.4519204954579674</v>
      </c>
      <c r="E37" s="41">
        <f t="shared" si="3"/>
        <v>6.6269793187623884</v>
      </c>
      <c r="F37" s="41">
        <f t="shared" si="3"/>
        <v>12.752210542956217</v>
      </c>
      <c r="G37" s="41">
        <f t="shared" si="3"/>
        <v>7.2935639684806004</v>
      </c>
      <c r="H37" s="41">
        <f t="shared" si="3"/>
        <v>2.952791574038061</v>
      </c>
      <c r="I37" s="41">
        <f t="shared" si="3"/>
        <v>1.3226679641838448</v>
      </c>
      <c r="J37" s="41">
        <f t="shared" si="3"/>
        <v>0.35227804195064405</v>
      </c>
      <c r="K37" s="41">
        <f t="shared" si="3"/>
        <v>52.849283481356068</v>
      </c>
      <c r="L37" s="41">
        <f t="shared" si="3"/>
        <v>4.9852259989763157</v>
      </c>
      <c r="M37" s="41">
        <f t="shared" si="3"/>
        <v>13.024364097526121</v>
      </c>
      <c r="N37" s="41">
        <f t="shared" si="3"/>
        <v>309.80319933603107</v>
      </c>
      <c r="O37" s="41">
        <f t="shared" si="3"/>
        <v>0</v>
      </c>
      <c r="P37" s="41">
        <f t="shared" si="3"/>
        <v>0.10556953886529807</v>
      </c>
      <c r="Q37" s="41">
        <f t="shared" si="3"/>
        <v>0.29423907020446027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18/05/2023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465</v>
      </c>
      <c r="B9" s="52">
        <v>8.23</v>
      </c>
      <c r="C9" s="52">
        <v>50.33</v>
      </c>
      <c r="D9" s="52">
        <v>31.78</v>
      </c>
      <c r="E9" s="52">
        <v>6.36</v>
      </c>
      <c r="F9" s="52">
        <v>14.16</v>
      </c>
      <c r="G9" s="52">
        <v>43.3</v>
      </c>
      <c r="H9" s="52">
        <v>13.53</v>
      </c>
      <c r="I9" s="52">
        <v>5.13</v>
      </c>
      <c r="J9" s="52">
        <v>0.24</v>
      </c>
      <c r="K9" s="52">
        <v>179.59</v>
      </c>
      <c r="L9" s="52">
        <v>28.92</v>
      </c>
      <c r="M9" s="52">
        <v>48.39</v>
      </c>
      <c r="N9" s="52">
        <v>0</v>
      </c>
      <c r="O9" s="52">
        <v>0</v>
      </c>
      <c r="P9" s="52">
        <v>0.55000000000000004</v>
      </c>
      <c r="Q9" s="52">
        <v>4.74</v>
      </c>
      <c r="R9" s="50"/>
      <c r="S9" s="50"/>
      <c r="T9" s="50"/>
      <c r="U9" s="50"/>
    </row>
    <row r="10" spans="1:21" customFormat="1">
      <c r="A10" s="51" t="s">
        <v>466</v>
      </c>
      <c r="B10" s="52">
        <v>8.9600000000000009</v>
      </c>
      <c r="C10" s="52">
        <v>50.16</v>
      </c>
      <c r="D10" s="52">
        <v>32.35</v>
      </c>
      <c r="E10" s="52">
        <v>6.13</v>
      </c>
      <c r="F10" s="52">
        <v>13.49</v>
      </c>
      <c r="G10" s="52">
        <v>42.66</v>
      </c>
      <c r="H10" s="52">
        <v>12.62</v>
      </c>
      <c r="I10" s="52">
        <v>5.0599999999999996</v>
      </c>
      <c r="J10" s="52">
        <v>0.2</v>
      </c>
      <c r="K10" s="52">
        <v>181.23</v>
      </c>
      <c r="L10" s="52">
        <v>28.44</v>
      </c>
      <c r="M10" s="52">
        <v>50.98</v>
      </c>
      <c r="N10" s="52">
        <v>0</v>
      </c>
      <c r="O10" s="52">
        <v>0</v>
      </c>
      <c r="P10" s="52">
        <v>0.55000000000000004</v>
      </c>
      <c r="Q10" s="52">
        <v>4.8099999999999996</v>
      </c>
      <c r="R10" s="50"/>
      <c r="S10" s="50"/>
      <c r="T10" s="50"/>
      <c r="U10" s="50"/>
    </row>
    <row r="11" spans="1:21" customFormat="1">
      <c r="A11" s="51" t="s">
        <v>467</v>
      </c>
      <c r="B11" s="52">
        <v>11.39</v>
      </c>
      <c r="C11" s="52">
        <v>54.57</v>
      </c>
      <c r="D11" s="52">
        <v>36.53</v>
      </c>
      <c r="E11" s="52">
        <v>6.44</v>
      </c>
      <c r="F11" s="52">
        <v>11.04</v>
      </c>
      <c r="G11" s="52">
        <v>40.380000000000003</v>
      </c>
      <c r="H11" s="52">
        <v>14.53</v>
      </c>
      <c r="I11" s="52">
        <v>5.14</v>
      </c>
      <c r="J11" s="52">
        <v>0.21</v>
      </c>
      <c r="K11" s="52">
        <v>194.07</v>
      </c>
      <c r="L11" s="52">
        <v>27.67</v>
      </c>
      <c r="M11" s="52">
        <v>54.3</v>
      </c>
      <c r="N11" s="52">
        <v>0</v>
      </c>
      <c r="O11" s="52">
        <v>0</v>
      </c>
      <c r="P11" s="52">
        <v>0.55000000000000004</v>
      </c>
      <c r="Q11" s="52">
        <v>4.9000000000000004</v>
      </c>
      <c r="R11" s="50"/>
      <c r="S11" s="50"/>
      <c r="T11" s="50"/>
      <c r="U11" s="50"/>
    </row>
    <row r="12" spans="1:21" customFormat="1">
      <c r="A12" s="51" t="s">
        <v>468</v>
      </c>
      <c r="B12" s="52">
        <v>12.25</v>
      </c>
      <c r="C12" s="52">
        <v>57.5</v>
      </c>
      <c r="D12" s="52">
        <v>38.82</v>
      </c>
      <c r="E12" s="52">
        <v>6.32</v>
      </c>
      <c r="F12" s="52">
        <v>8.98</v>
      </c>
      <c r="G12" s="52">
        <v>43.51</v>
      </c>
      <c r="H12" s="52">
        <v>13.02</v>
      </c>
      <c r="I12" s="52">
        <v>5.25</v>
      </c>
      <c r="J12" s="52">
        <v>0.25</v>
      </c>
      <c r="K12" s="52">
        <v>195.9</v>
      </c>
      <c r="L12" s="52">
        <v>27.11</v>
      </c>
      <c r="M12" s="52">
        <v>53.71</v>
      </c>
      <c r="N12" s="52">
        <v>0</v>
      </c>
      <c r="O12" s="52">
        <v>0</v>
      </c>
      <c r="P12" s="52">
        <v>0.55000000000000004</v>
      </c>
      <c r="Q12" s="52">
        <v>4.95</v>
      </c>
      <c r="R12" s="50"/>
      <c r="S12" s="50"/>
      <c r="T12" s="50"/>
      <c r="U12" s="50"/>
    </row>
    <row r="13" spans="1:21" customFormat="1">
      <c r="A13" s="51" t="s">
        <v>469</v>
      </c>
      <c r="B13" s="52">
        <v>12.88</v>
      </c>
      <c r="C13" s="52">
        <v>56.73</v>
      </c>
      <c r="D13" s="52">
        <v>38.93</v>
      </c>
      <c r="E13" s="52">
        <v>6.05</v>
      </c>
      <c r="F13" s="52">
        <v>8.4</v>
      </c>
      <c r="G13" s="52">
        <v>42.53</v>
      </c>
      <c r="H13" s="52">
        <v>14.08</v>
      </c>
      <c r="I13" s="52">
        <v>5.16</v>
      </c>
      <c r="J13" s="52">
        <v>0.17</v>
      </c>
      <c r="K13" s="52">
        <v>178.12</v>
      </c>
      <c r="L13" s="52">
        <v>26.78</v>
      </c>
      <c r="M13" s="52">
        <v>57.19</v>
      </c>
      <c r="N13" s="52">
        <v>0</v>
      </c>
      <c r="O13" s="52">
        <v>0</v>
      </c>
      <c r="P13" s="52">
        <v>0.55000000000000004</v>
      </c>
      <c r="Q13" s="52">
        <v>4.96</v>
      </c>
      <c r="R13" s="50"/>
      <c r="S13" s="50"/>
      <c r="T13" s="50"/>
      <c r="U13" s="50"/>
    </row>
    <row r="14" spans="1:21" customFormat="1">
      <c r="A14" s="51" t="s">
        <v>470</v>
      </c>
      <c r="B14" s="52">
        <v>18.82</v>
      </c>
      <c r="C14" s="52">
        <v>60.48</v>
      </c>
      <c r="D14" s="52">
        <v>45.49</v>
      </c>
      <c r="E14" s="52">
        <v>6.33</v>
      </c>
      <c r="F14" s="52">
        <v>6.53</v>
      </c>
      <c r="G14" s="52">
        <v>41.42</v>
      </c>
      <c r="H14" s="52">
        <v>13.19</v>
      </c>
      <c r="I14" s="52">
        <v>5.15</v>
      </c>
      <c r="J14" s="52">
        <v>0.32</v>
      </c>
      <c r="K14" s="52">
        <v>179.07</v>
      </c>
      <c r="L14" s="52">
        <v>27.3</v>
      </c>
      <c r="M14" s="52">
        <v>56.85</v>
      </c>
      <c r="N14" s="52">
        <v>15.1</v>
      </c>
      <c r="O14" s="52">
        <v>0</v>
      </c>
      <c r="P14" s="52">
        <v>0.57999999999999996</v>
      </c>
      <c r="Q14" s="52">
        <v>5.16</v>
      </c>
      <c r="R14" s="50"/>
      <c r="S14" s="50"/>
      <c r="T14" s="50"/>
      <c r="U14" s="50"/>
    </row>
    <row r="15" spans="1:21" customFormat="1">
      <c r="A15" s="51" t="s">
        <v>471</v>
      </c>
      <c r="B15" s="52">
        <v>17.809999999999999</v>
      </c>
      <c r="C15" s="52">
        <v>61.17</v>
      </c>
      <c r="D15" s="52">
        <v>45.13</v>
      </c>
      <c r="E15" s="52">
        <v>6.67</v>
      </c>
      <c r="F15" s="52">
        <v>8.6199999999999992</v>
      </c>
      <c r="G15" s="52">
        <v>44.82</v>
      </c>
      <c r="H15" s="52">
        <v>15.05</v>
      </c>
      <c r="I15" s="52">
        <v>5.44</v>
      </c>
      <c r="J15" s="52">
        <v>0.34</v>
      </c>
      <c r="K15" s="52">
        <v>177.8</v>
      </c>
      <c r="L15" s="52">
        <v>29.97</v>
      </c>
      <c r="M15" s="52">
        <v>57.08</v>
      </c>
      <c r="N15" s="52">
        <v>63.3</v>
      </c>
      <c r="O15" s="52">
        <v>0</v>
      </c>
      <c r="P15" s="52">
        <v>0.6</v>
      </c>
      <c r="Q15" s="52">
        <v>5.28</v>
      </c>
      <c r="R15" s="50"/>
      <c r="S15" s="50"/>
      <c r="T15" s="50"/>
      <c r="U15" s="50"/>
    </row>
    <row r="16" spans="1:21" customFormat="1">
      <c r="A16" s="51" t="s">
        <v>472</v>
      </c>
      <c r="B16" s="52">
        <v>15.56</v>
      </c>
      <c r="C16" s="52">
        <v>58.43</v>
      </c>
      <c r="D16" s="52">
        <v>41.14</v>
      </c>
      <c r="E16" s="52">
        <v>21.59</v>
      </c>
      <c r="F16" s="52">
        <v>19.25</v>
      </c>
      <c r="G16" s="52">
        <v>47.91</v>
      </c>
      <c r="H16" s="52">
        <v>14.88</v>
      </c>
      <c r="I16" s="52">
        <v>7.01</v>
      </c>
      <c r="J16" s="52">
        <v>0.28999999999999998</v>
      </c>
      <c r="K16" s="52">
        <v>230.2</v>
      </c>
      <c r="L16" s="52">
        <v>33.840000000000003</v>
      </c>
      <c r="M16" s="52">
        <v>48.97</v>
      </c>
      <c r="N16" s="52">
        <v>105.6</v>
      </c>
      <c r="O16" s="52">
        <v>0</v>
      </c>
      <c r="P16" s="52">
        <v>0.99</v>
      </c>
      <c r="Q16" s="52">
        <v>5.3</v>
      </c>
      <c r="R16" s="50"/>
      <c r="S16" s="50"/>
      <c r="T16" s="50"/>
      <c r="U16" s="50"/>
    </row>
    <row r="17" spans="1:21" customFormat="1">
      <c r="A17" s="51" t="s">
        <v>473</v>
      </c>
      <c r="B17" s="52">
        <v>12.3</v>
      </c>
      <c r="C17" s="52">
        <v>59.07</v>
      </c>
      <c r="D17" s="52">
        <v>39.07</v>
      </c>
      <c r="E17" s="52">
        <v>18.68</v>
      </c>
      <c r="F17" s="52">
        <v>29.18</v>
      </c>
      <c r="G17" s="52">
        <v>58.69</v>
      </c>
      <c r="H17" s="52">
        <v>18.100000000000001</v>
      </c>
      <c r="I17" s="52">
        <v>9.33</v>
      </c>
      <c r="J17" s="52">
        <v>0.33</v>
      </c>
      <c r="K17" s="52">
        <v>237.27</v>
      </c>
      <c r="L17" s="52">
        <v>36.479999999999997</v>
      </c>
      <c r="M17" s="52">
        <v>37.700000000000003</v>
      </c>
      <c r="N17" s="52">
        <v>141.69999999999999</v>
      </c>
      <c r="O17" s="52">
        <v>0</v>
      </c>
      <c r="P17" s="52">
        <v>1.03</v>
      </c>
      <c r="Q17" s="52">
        <v>5.25</v>
      </c>
      <c r="R17" s="50"/>
      <c r="S17" s="50"/>
      <c r="T17" s="50"/>
      <c r="U17" s="50"/>
    </row>
    <row r="18" spans="1:21" customFormat="1">
      <c r="A18" s="51" t="s">
        <v>474</v>
      </c>
      <c r="B18" s="52">
        <v>7.52</v>
      </c>
      <c r="C18" s="52">
        <v>57.39</v>
      </c>
      <c r="D18" s="52">
        <v>34.17</v>
      </c>
      <c r="E18" s="52">
        <v>12.76</v>
      </c>
      <c r="F18" s="52">
        <v>34.270000000000003</v>
      </c>
      <c r="G18" s="52">
        <v>68.89</v>
      </c>
      <c r="H18" s="52">
        <v>21.27</v>
      </c>
      <c r="I18" s="52">
        <v>9.3800000000000008</v>
      </c>
      <c r="J18" s="52">
        <v>0.51</v>
      </c>
      <c r="K18" s="52">
        <v>244.44</v>
      </c>
      <c r="L18" s="52">
        <v>38.03</v>
      </c>
      <c r="M18" s="52">
        <v>33.57</v>
      </c>
      <c r="N18" s="52">
        <v>171.3</v>
      </c>
      <c r="O18" s="52">
        <v>0</v>
      </c>
      <c r="P18" s="52">
        <v>1</v>
      </c>
      <c r="Q18" s="52">
        <v>4.99</v>
      </c>
      <c r="R18" s="50"/>
      <c r="S18" s="50"/>
      <c r="T18" s="50"/>
      <c r="U18" s="50"/>
    </row>
    <row r="19" spans="1:21" customFormat="1">
      <c r="A19" s="51" t="s">
        <v>475</v>
      </c>
      <c r="B19" s="52">
        <v>4.49</v>
      </c>
      <c r="C19" s="52">
        <v>53.97</v>
      </c>
      <c r="D19" s="52">
        <v>30.64</v>
      </c>
      <c r="E19" s="52">
        <v>9.69</v>
      </c>
      <c r="F19" s="52">
        <v>36.92</v>
      </c>
      <c r="G19" s="52">
        <v>68.099999999999994</v>
      </c>
      <c r="H19" s="52">
        <v>22.02</v>
      </c>
      <c r="I19" s="52">
        <v>9.31</v>
      </c>
      <c r="J19" s="52">
        <v>0.83</v>
      </c>
      <c r="K19" s="52">
        <v>282.01</v>
      </c>
      <c r="L19" s="52">
        <v>39.729999999999997</v>
      </c>
      <c r="M19" s="52">
        <v>28.76</v>
      </c>
      <c r="N19" s="52">
        <v>353.6</v>
      </c>
      <c r="O19" s="52">
        <v>0</v>
      </c>
      <c r="P19" s="52">
        <v>0.94</v>
      </c>
      <c r="Q19" s="52">
        <v>4.82</v>
      </c>
      <c r="R19" s="50"/>
      <c r="S19" s="50"/>
      <c r="T19" s="50"/>
      <c r="U19" s="50"/>
    </row>
    <row r="20" spans="1:21" customFormat="1">
      <c r="A20" s="51" t="s">
        <v>476</v>
      </c>
      <c r="B20" s="52">
        <v>3.79</v>
      </c>
      <c r="C20" s="52">
        <v>52.77</v>
      </c>
      <c r="D20" s="52">
        <v>29.57</v>
      </c>
      <c r="E20" s="52">
        <v>22.74</v>
      </c>
      <c r="F20" s="52">
        <v>37.97</v>
      </c>
      <c r="G20" s="52">
        <v>64.56</v>
      </c>
      <c r="H20" s="52">
        <v>19.39</v>
      </c>
      <c r="I20" s="52">
        <v>8.42</v>
      </c>
      <c r="J20" s="52">
        <v>0.96</v>
      </c>
      <c r="K20" s="52">
        <v>294.54000000000002</v>
      </c>
      <c r="L20" s="52">
        <v>41.02</v>
      </c>
      <c r="M20" s="52">
        <v>23.7</v>
      </c>
      <c r="N20" s="52">
        <v>784.4</v>
      </c>
      <c r="O20" s="52">
        <v>0</v>
      </c>
      <c r="P20" s="52">
        <v>0.8</v>
      </c>
      <c r="Q20" s="52">
        <v>4.62</v>
      </c>
      <c r="R20" s="50"/>
      <c r="S20" s="50"/>
      <c r="T20" s="50"/>
      <c r="U20" s="50"/>
    </row>
    <row r="21" spans="1:21" customFormat="1">
      <c r="A21" s="51" t="s">
        <v>477</v>
      </c>
      <c r="B21" s="52">
        <v>3.64</v>
      </c>
      <c r="C21" s="52">
        <v>51.38</v>
      </c>
      <c r="D21" s="52">
        <v>28.72</v>
      </c>
      <c r="E21" s="52">
        <v>14.49</v>
      </c>
      <c r="F21" s="52">
        <v>43.73</v>
      </c>
      <c r="G21" s="52">
        <v>60.37</v>
      </c>
      <c r="H21" s="52">
        <v>20.62</v>
      </c>
      <c r="I21" s="52">
        <v>7.64</v>
      </c>
      <c r="J21" s="52">
        <v>1.28</v>
      </c>
      <c r="K21" s="52">
        <v>306.91000000000003</v>
      </c>
      <c r="L21" s="52">
        <v>41.25</v>
      </c>
      <c r="M21" s="52">
        <v>23.11</v>
      </c>
      <c r="N21" s="52">
        <v>734.4</v>
      </c>
      <c r="O21" s="52">
        <v>0</v>
      </c>
      <c r="P21" s="52">
        <v>0.7</v>
      </c>
      <c r="Q21" s="52">
        <v>4.63</v>
      </c>
      <c r="R21" s="50"/>
      <c r="S21" s="50"/>
      <c r="T21" s="50"/>
      <c r="U21" s="50"/>
    </row>
    <row r="22" spans="1:21" customFormat="1">
      <c r="A22" s="51" t="s">
        <v>478</v>
      </c>
      <c r="B22" s="52">
        <v>3.84</v>
      </c>
      <c r="C22" s="52">
        <v>53.92</v>
      </c>
      <c r="D22" s="52">
        <v>30.14</v>
      </c>
      <c r="E22" s="52">
        <v>14.03</v>
      </c>
      <c r="F22" s="52">
        <v>42.06</v>
      </c>
      <c r="G22" s="52">
        <v>56.2</v>
      </c>
      <c r="H22" s="52">
        <v>17.41</v>
      </c>
      <c r="I22" s="52">
        <v>6.81</v>
      </c>
      <c r="J22" s="52">
        <v>2.2200000000000002</v>
      </c>
      <c r="K22" s="52">
        <v>320.64999999999998</v>
      </c>
      <c r="L22" s="52">
        <v>40.659999999999997</v>
      </c>
      <c r="M22" s="52">
        <v>25.54</v>
      </c>
      <c r="N22" s="52">
        <v>764</v>
      </c>
      <c r="O22" s="52">
        <v>0</v>
      </c>
      <c r="P22" s="52">
        <v>0.66</v>
      </c>
      <c r="Q22" s="52">
        <v>4.6100000000000003</v>
      </c>
      <c r="R22" s="50"/>
      <c r="S22" s="50"/>
      <c r="T22" s="50"/>
      <c r="U22" s="50"/>
    </row>
    <row r="23" spans="1:21" customFormat="1">
      <c r="A23" s="51" t="s">
        <v>479</v>
      </c>
      <c r="B23" s="52">
        <v>4.42</v>
      </c>
      <c r="C23" s="52">
        <v>53.44</v>
      </c>
      <c r="D23" s="52">
        <v>30.03</v>
      </c>
      <c r="E23" s="52">
        <v>7.92</v>
      </c>
      <c r="F23" s="52">
        <v>26.89</v>
      </c>
      <c r="G23" s="52">
        <v>68.45</v>
      </c>
      <c r="H23" s="52">
        <v>20.23</v>
      </c>
      <c r="I23" s="52">
        <v>6.93</v>
      </c>
      <c r="J23" s="52">
        <v>1.49</v>
      </c>
      <c r="K23" s="52">
        <v>79.42</v>
      </c>
      <c r="L23" s="52">
        <v>36.51</v>
      </c>
      <c r="M23" s="52">
        <v>33.82</v>
      </c>
      <c r="N23" s="52">
        <v>418</v>
      </c>
      <c r="O23" s="52">
        <v>0</v>
      </c>
      <c r="P23" s="52">
        <v>0.59</v>
      </c>
      <c r="Q23" s="52">
        <v>4.57</v>
      </c>
      <c r="R23" s="50"/>
      <c r="S23" s="50"/>
      <c r="T23" s="50"/>
      <c r="U23" s="50"/>
    </row>
    <row r="24" spans="1:21" customFormat="1">
      <c r="A24" s="51" t="s">
        <v>480</v>
      </c>
      <c r="B24" s="52">
        <v>4.22</v>
      </c>
      <c r="C24" s="52">
        <v>46.13</v>
      </c>
      <c r="D24" s="52">
        <v>26.44</v>
      </c>
      <c r="E24" s="52">
        <v>11.9</v>
      </c>
      <c r="F24" s="52">
        <v>42.84</v>
      </c>
      <c r="G24" s="52">
        <v>64.650000000000006</v>
      </c>
      <c r="H24" s="52">
        <v>18.93</v>
      </c>
      <c r="I24" s="52">
        <v>5.53</v>
      </c>
      <c r="J24" s="52">
        <v>0.4</v>
      </c>
      <c r="K24" s="52">
        <v>187.89</v>
      </c>
      <c r="L24" s="52">
        <v>37.17</v>
      </c>
      <c r="M24" s="52">
        <v>33.97</v>
      </c>
      <c r="N24" s="52">
        <v>276.2</v>
      </c>
      <c r="O24" s="52">
        <v>0</v>
      </c>
      <c r="P24" s="52">
        <v>0.5</v>
      </c>
      <c r="Q24" s="52">
        <v>4.59</v>
      </c>
      <c r="R24" s="50"/>
      <c r="S24" s="50"/>
      <c r="T24" s="50"/>
      <c r="U24" s="50"/>
    </row>
    <row r="25" spans="1:21" customFormat="1">
      <c r="A25" s="51" t="s">
        <v>481</v>
      </c>
      <c r="B25" s="52">
        <v>4.3600000000000003</v>
      </c>
      <c r="C25" s="52">
        <v>50.32</v>
      </c>
      <c r="D25" s="52">
        <v>28.71</v>
      </c>
      <c r="E25" s="52">
        <v>25.51</v>
      </c>
      <c r="F25" s="52">
        <v>43.79</v>
      </c>
      <c r="G25" s="52">
        <v>58.05</v>
      </c>
      <c r="H25" s="52">
        <v>16.600000000000001</v>
      </c>
      <c r="I25" s="52">
        <v>5.2</v>
      </c>
      <c r="J25" s="52">
        <v>0.46</v>
      </c>
      <c r="K25" s="52">
        <v>248.14</v>
      </c>
      <c r="L25" s="52">
        <v>38.450000000000003</v>
      </c>
      <c r="M25" s="52">
        <v>30.64</v>
      </c>
      <c r="N25" s="52">
        <v>359.4</v>
      </c>
      <c r="O25" s="52">
        <v>0</v>
      </c>
      <c r="P25" s="52">
        <v>0.78</v>
      </c>
      <c r="Q25" s="52">
        <v>4.5999999999999996</v>
      </c>
      <c r="R25" s="50"/>
      <c r="S25" s="50"/>
      <c r="T25" s="50"/>
      <c r="U25" s="50"/>
    </row>
    <row r="26" spans="1:21" customFormat="1">
      <c r="A26" s="51" t="s">
        <v>482</v>
      </c>
      <c r="B26" s="52">
        <v>4.0999999999999996</v>
      </c>
      <c r="C26" s="52">
        <v>44.21</v>
      </c>
      <c r="D26" s="52">
        <v>25.35</v>
      </c>
      <c r="E26" s="52">
        <v>24.78</v>
      </c>
      <c r="F26" s="52">
        <v>39.76</v>
      </c>
      <c r="G26" s="52">
        <v>56.85</v>
      </c>
      <c r="H26" s="52">
        <v>15.03</v>
      </c>
      <c r="I26" s="52">
        <v>7.74</v>
      </c>
      <c r="J26" s="52">
        <v>0.31</v>
      </c>
      <c r="K26" s="52">
        <v>173.11</v>
      </c>
      <c r="L26" s="52">
        <v>38.46</v>
      </c>
      <c r="M26" s="52">
        <v>32.270000000000003</v>
      </c>
      <c r="N26" s="52">
        <v>99.9</v>
      </c>
      <c r="O26" s="52">
        <v>0</v>
      </c>
      <c r="P26" s="52">
        <v>0.78</v>
      </c>
      <c r="Q26" s="52">
        <v>4.6399999999999997</v>
      </c>
      <c r="R26" s="50"/>
      <c r="S26" s="50"/>
      <c r="T26" s="50"/>
      <c r="U26" s="50"/>
    </row>
    <row r="27" spans="1:21" customFormat="1">
      <c r="A27" s="51" t="s">
        <v>483</v>
      </c>
      <c r="B27" s="52">
        <v>4.66</v>
      </c>
      <c r="C27" s="52">
        <v>43.34</v>
      </c>
      <c r="D27" s="52">
        <v>25.33</v>
      </c>
      <c r="E27" s="52">
        <v>12.59</v>
      </c>
      <c r="F27" s="52">
        <v>39.14</v>
      </c>
      <c r="G27" s="52">
        <v>52.61</v>
      </c>
      <c r="H27" s="52">
        <v>15.6</v>
      </c>
      <c r="I27" s="52">
        <v>7.25</v>
      </c>
      <c r="J27" s="52">
        <v>0.23</v>
      </c>
      <c r="K27" s="52">
        <v>204.32</v>
      </c>
      <c r="L27" s="52">
        <v>35.61</v>
      </c>
      <c r="M27" s="52">
        <v>38.119999999999997</v>
      </c>
      <c r="N27" s="52">
        <v>9.1999999999999993</v>
      </c>
      <c r="O27" s="52">
        <v>0</v>
      </c>
      <c r="P27" s="52">
        <v>0.69</v>
      </c>
      <c r="Q27" s="52">
        <v>4.62</v>
      </c>
      <c r="R27" s="50"/>
      <c r="S27" s="50"/>
      <c r="T27" s="50"/>
      <c r="U27" s="50"/>
    </row>
    <row r="28" spans="1:21" customFormat="1">
      <c r="A28" s="51" t="s">
        <v>484</v>
      </c>
      <c r="B28" s="52">
        <v>5.51</v>
      </c>
      <c r="C28" s="52">
        <v>45.04</v>
      </c>
      <c r="D28" s="52">
        <v>26.67</v>
      </c>
      <c r="E28" s="52">
        <v>9.11</v>
      </c>
      <c r="F28" s="52">
        <v>36.340000000000003</v>
      </c>
      <c r="G28" s="52">
        <v>52.91</v>
      </c>
      <c r="H28" s="52">
        <v>16.27</v>
      </c>
      <c r="I28" s="52">
        <v>6.12</v>
      </c>
      <c r="J28" s="52">
        <v>0.17</v>
      </c>
      <c r="K28" s="52">
        <v>239.82</v>
      </c>
      <c r="L28" s="52">
        <v>33.380000000000003</v>
      </c>
      <c r="M28" s="52">
        <v>44.09</v>
      </c>
      <c r="N28" s="52">
        <v>0</v>
      </c>
      <c r="O28" s="52">
        <v>0</v>
      </c>
      <c r="P28" s="52">
        <v>0.61</v>
      </c>
      <c r="Q28" s="52">
        <v>4.6500000000000004</v>
      </c>
      <c r="R28" s="50"/>
      <c r="S28" s="50"/>
      <c r="T28" s="50"/>
      <c r="U28" s="50"/>
    </row>
    <row r="29" spans="1:21" customFormat="1">
      <c r="A29" s="51" t="s">
        <v>485</v>
      </c>
      <c r="B29" s="52">
        <v>6.63</v>
      </c>
      <c r="C29" s="52">
        <v>45.91</v>
      </c>
      <c r="D29" s="52">
        <v>28.19</v>
      </c>
      <c r="E29" s="52">
        <v>8.3000000000000007</v>
      </c>
      <c r="F29" s="52">
        <v>25.05</v>
      </c>
      <c r="G29" s="52">
        <v>49.72</v>
      </c>
      <c r="H29" s="52">
        <v>12.22</v>
      </c>
      <c r="I29" s="52">
        <v>5.59</v>
      </c>
      <c r="J29" s="52">
        <v>0.16</v>
      </c>
      <c r="K29" s="52">
        <v>218.93</v>
      </c>
      <c r="L29" s="52">
        <v>31.84</v>
      </c>
      <c r="M29" s="52">
        <v>47.03</v>
      </c>
      <c r="N29" s="52">
        <v>0</v>
      </c>
      <c r="O29" s="52">
        <v>0</v>
      </c>
      <c r="P29" s="52">
        <v>0.65</v>
      </c>
      <c r="Q29" s="52">
        <v>4.71</v>
      </c>
      <c r="R29" s="50"/>
      <c r="S29" s="50"/>
      <c r="T29" s="50"/>
      <c r="U29" s="50"/>
    </row>
    <row r="30" spans="1:21" customFormat="1">
      <c r="A30" s="51" t="s">
        <v>486</v>
      </c>
      <c r="B30" s="52">
        <v>21.17</v>
      </c>
      <c r="C30" s="52">
        <v>59.73</v>
      </c>
      <c r="D30" s="52">
        <v>47.14</v>
      </c>
      <c r="E30" s="52">
        <v>8.42</v>
      </c>
      <c r="F30" s="52">
        <v>6.41</v>
      </c>
      <c r="G30" s="52">
        <v>50.34</v>
      </c>
      <c r="H30" s="52">
        <v>15.2</v>
      </c>
      <c r="I30" s="52">
        <v>10.06</v>
      </c>
      <c r="J30" s="52">
        <v>0.27</v>
      </c>
      <c r="K30" s="52">
        <v>194.13</v>
      </c>
      <c r="L30" s="52">
        <v>31.4</v>
      </c>
      <c r="M30" s="52">
        <v>53.47</v>
      </c>
      <c r="N30" s="52">
        <v>0</v>
      </c>
      <c r="O30" s="52">
        <v>0</v>
      </c>
      <c r="P30" s="52">
        <v>0.88</v>
      </c>
      <c r="Q30" s="52">
        <v>5.07</v>
      </c>
      <c r="R30" s="50"/>
      <c r="S30" s="50"/>
      <c r="T30" s="50"/>
      <c r="U30" s="50"/>
    </row>
    <row r="31" spans="1:21" customFormat="1">
      <c r="A31" s="51" t="s">
        <v>487</v>
      </c>
      <c r="B31" s="52">
        <v>12.62</v>
      </c>
      <c r="C31" s="52">
        <v>52.32</v>
      </c>
      <c r="D31" s="52">
        <v>36.04</v>
      </c>
      <c r="E31" s="52">
        <v>7.28</v>
      </c>
      <c r="F31" s="52">
        <v>10.6</v>
      </c>
      <c r="G31" s="52">
        <v>68.989999999999995</v>
      </c>
      <c r="H31" s="52">
        <v>18.29</v>
      </c>
      <c r="I31" s="52">
        <v>8.7100000000000009</v>
      </c>
      <c r="J31" s="52">
        <v>0.19</v>
      </c>
      <c r="K31" s="52">
        <v>234.9</v>
      </c>
      <c r="L31" s="52">
        <v>30.18</v>
      </c>
      <c r="M31" s="52">
        <v>53.28</v>
      </c>
      <c r="N31" s="52">
        <v>0</v>
      </c>
      <c r="O31" s="52">
        <v>0</v>
      </c>
      <c r="P31" s="52">
        <v>0.74</v>
      </c>
      <c r="Q31" s="52">
        <v>5.18</v>
      </c>
      <c r="R31" s="50"/>
      <c r="S31" s="50"/>
      <c r="T31" s="50"/>
      <c r="U31" s="50"/>
    </row>
    <row r="32" spans="1:21" customFormat="1">
      <c r="A32" s="51" t="s">
        <v>488</v>
      </c>
      <c r="B32" s="52">
        <v>14.31</v>
      </c>
      <c r="C32" s="52">
        <v>53.06</v>
      </c>
      <c r="D32" s="52">
        <v>37.92</v>
      </c>
      <c r="E32" s="52">
        <v>6.83</v>
      </c>
      <c r="F32" s="52">
        <v>11.52</v>
      </c>
      <c r="G32" s="52">
        <v>63.41</v>
      </c>
      <c r="H32" s="52">
        <v>17.78</v>
      </c>
      <c r="I32" s="52">
        <v>7.53</v>
      </c>
      <c r="J32" s="52">
        <v>0.22</v>
      </c>
      <c r="K32" s="52">
        <v>174.81</v>
      </c>
      <c r="L32" s="52">
        <v>30.05</v>
      </c>
      <c r="M32" s="52">
        <v>54.47</v>
      </c>
      <c r="N32" s="52">
        <v>0</v>
      </c>
      <c r="O32" s="52">
        <v>0</v>
      </c>
      <c r="P32" s="52">
        <v>0.74</v>
      </c>
      <c r="Q32" s="52">
        <v>5.22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3.64</v>
      </c>
      <c r="C34" s="41">
        <f t="shared" si="0"/>
        <v>43.34</v>
      </c>
      <c r="D34" s="41">
        <f t="shared" si="0"/>
        <v>25.33</v>
      </c>
      <c r="E34" s="41">
        <f t="shared" si="0"/>
        <v>6.05</v>
      </c>
      <c r="F34" s="41">
        <f t="shared" si="0"/>
        <v>6.41</v>
      </c>
      <c r="G34" s="41">
        <f t="shared" si="0"/>
        <v>40.380000000000003</v>
      </c>
      <c r="H34" s="41">
        <f t="shared" si="0"/>
        <v>12.22</v>
      </c>
      <c r="I34" s="41">
        <f t="shared" si="0"/>
        <v>5.0599999999999996</v>
      </c>
      <c r="J34" s="41">
        <f t="shared" si="0"/>
        <v>0.16</v>
      </c>
      <c r="K34" s="41">
        <f t="shared" si="0"/>
        <v>79.42</v>
      </c>
      <c r="L34" s="41">
        <f t="shared" si="0"/>
        <v>26.78</v>
      </c>
      <c r="M34" s="41">
        <f t="shared" si="0"/>
        <v>23.11</v>
      </c>
      <c r="N34" s="41">
        <f t="shared" si="0"/>
        <v>0</v>
      </c>
      <c r="O34" s="41">
        <f t="shared" si="0"/>
        <v>0</v>
      </c>
      <c r="P34" s="41">
        <f t="shared" si="0"/>
        <v>0.5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21.17</v>
      </c>
      <c r="C35" s="33">
        <f t="shared" si="1"/>
        <v>61.17</v>
      </c>
      <c r="D35" s="33">
        <f t="shared" si="1"/>
        <v>47.14</v>
      </c>
      <c r="E35" s="33">
        <f t="shared" si="1"/>
        <v>25.51</v>
      </c>
      <c r="F35" s="33">
        <f t="shared" si="1"/>
        <v>43.79</v>
      </c>
      <c r="G35" s="33">
        <f t="shared" si="1"/>
        <v>68.989999999999995</v>
      </c>
      <c r="H35" s="33">
        <f t="shared" si="1"/>
        <v>22.02</v>
      </c>
      <c r="I35" s="33">
        <f t="shared" si="1"/>
        <v>10.06</v>
      </c>
      <c r="J35" s="33">
        <f t="shared" si="1"/>
        <v>2.2200000000000002</v>
      </c>
      <c r="K35" s="33">
        <f t="shared" si="1"/>
        <v>320.64999999999998</v>
      </c>
      <c r="L35" s="33">
        <f t="shared" si="1"/>
        <v>41.25</v>
      </c>
      <c r="M35" s="33">
        <f t="shared" si="1"/>
        <v>57.19</v>
      </c>
      <c r="N35" s="33">
        <f t="shared" si="1"/>
        <v>784.4</v>
      </c>
      <c r="O35" s="33">
        <f t="shared" si="1"/>
        <v>0</v>
      </c>
      <c r="P35" s="33">
        <f t="shared" si="1"/>
        <v>1.03</v>
      </c>
      <c r="Q35" s="33">
        <f t="shared" si="1"/>
        <v>5.3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9.3116666666666656</v>
      </c>
      <c r="C36" s="41">
        <f t="shared" si="2"/>
        <v>52.973750000000003</v>
      </c>
      <c r="D36" s="41">
        <f t="shared" si="2"/>
        <v>33.929166666666667</v>
      </c>
      <c r="E36" s="41">
        <f t="shared" si="2"/>
        <v>11.704999999999998</v>
      </c>
      <c r="F36" s="41">
        <f t="shared" si="2"/>
        <v>24.872499999999999</v>
      </c>
      <c r="G36" s="41">
        <f t="shared" si="2"/>
        <v>54.555000000000007</v>
      </c>
      <c r="H36" s="41">
        <f t="shared" si="2"/>
        <v>16.494166666666668</v>
      </c>
      <c r="I36" s="41">
        <f t="shared" si="2"/>
        <v>6.8704166666666673</v>
      </c>
      <c r="J36" s="41">
        <f t="shared" si="2"/>
        <v>0.50208333333333344</v>
      </c>
      <c r="K36" s="41">
        <f t="shared" si="2"/>
        <v>214.88625000000002</v>
      </c>
      <c r="L36" s="41">
        <f t="shared" si="2"/>
        <v>33.760416666666664</v>
      </c>
      <c r="M36" s="41">
        <f t="shared" si="2"/>
        <v>42.542083333333338</v>
      </c>
      <c r="N36" s="41">
        <f t="shared" si="2"/>
        <v>179.00416666666663</v>
      </c>
      <c r="O36" s="41">
        <f t="shared" si="2"/>
        <v>0</v>
      </c>
      <c r="P36" s="41">
        <f t="shared" si="2"/>
        <v>0.70874999999999988</v>
      </c>
      <c r="Q36" s="41">
        <f t="shared" si="2"/>
        <v>4.8695833333333338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5.4293907630572198</v>
      </c>
      <c r="C37" s="41">
        <f t="shared" ref="C37:Q37" si="3">STDEV(C9:C32)</f>
        <v>5.3124659078189715</v>
      </c>
      <c r="D37" s="41">
        <f t="shared" si="3"/>
        <v>6.5883104099587495</v>
      </c>
      <c r="E37" s="41">
        <f t="shared" si="3"/>
        <v>6.3868267959714702</v>
      </c>
      <c r="F37" s="41">
        <f t="shared" si="3"/>
        <v>14.189264236218083</v>
      </c>
      <c r="G37" s="41">
        <f t="shared" si="3"/>
        <v>9.8614233032162328</v>
      </c>
      <c r="H37" s="41">
        <f t="shared" si="3"/>
        <v>2.8820703860497399</v>
      </c>
      <c r="I37" s="41">
        <f t="shared" si="3"/>
        <v>1.6531905362889534</v>
      </c>
      <c r="J37" s="41">
        <f t="shared" si="3"/>
        <v>0.5100722810387347</v>
      </c>
      <c r="K37" s="41">
        <f t="shared" si="3"/>
        <v>52.920808910681423</v>
      </c>
      <c r="L37" s="41">
        <f t="shared" si="3"/>
        <v>4.9265522640224519</v>
      </c>
      <c r="M37" s="41">
        <f t="shared" si="3"/>
        <v>11.7431304541131</v>
      </c>
      <c r="N37" s="41">
        <f t="shared" si="3"/>
        <v>259.54711137934538</v>
      </c>
      <c r="O37" s="41">
        <f t="shared" si="3"/>
        <v>0</v>
      </c>
      <c r="P37" s="41">
        <f t="shared" si="3"/>
        <v>0.16130749733243083</v>
      </c>
      <c r="Q37" s="41">
        <f t="shared" si="3"/>
        <v>0.25633672092142185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19/05/2023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489</v>
      </c>
      <c r="B9" s="52">
        <v>15.01</v>
      </c>
      <c r="C9" s="52">
        <v>52.07</v>
      </c>
      <c r="D9" s="52">
        <v>38.090000000000003</v>
      </c>
      <c r="E9" s="52">
        <v>7.64</v>
      </c>
      <c r="F9" s="52">
        <v>11.91</v>
      </c>
      <c r="G9" s="52">
        <v>58.18</v>
      </c>
      <c r="H9" s="52">
        <v>13.97</v>
      </c>
      <c r="I9" s="52">
        <v>7.34</v>
      </c>
      <c r="J9" s="52">
        <v>0.25</v>
      </c>
      <c r="K9" s="52">
        <v>183.11</v>
      </c>
      <c r="L9" s="52">
        <v>29.5</v>
      </c>
      <c r="M9" s="52">
        <v>52.74</v>
      </c>
      <c r="N9" s="52">
        <v>0</v>
      </c>
      <c r="O9" s="52">
        <v>0</v>
      </c>
      <c r="P9" s="52">
        <v>0.73</v>
      </c>
      <c r="Q9" s="52">
        <v>5.25</v>
      </c>
      <c r="R9" s="50"/>
      <c r="S9" s="50"/>
      <c r="T9" s="50"/>
      <c r="U9" s="50"/>
    </row>
    <row r="10" spans="1:21" customFormat="1">
      <c r="A10" s="51" t="s">
        <v>490</v>
      </c>
      <c r="B10" s="52">
        <v>15.21</v>
      </c>
      <c r="C10" s="52">
        <v>52.59</v>
      </c>
      <c r="D10" s="52">
        <v>38.61</v>
      </c>
      <c r="E10" s="52">
        <v>9.68</v>
      </c>
      <c r="F10" s="52">
        <v>11.61</v>
      </c>
      <c r="G10" s="52">
        <v>59.25</v>
      </c>
      <c r="H10" s="52">
        <v>20.32</v>
      </c>
      <c r="I10" s="52">
        <v>8.26</v>
      </c>
      <c r="J10" s="52">
        <v>0.2</v>
      </c>
      <c r="K10" s="52">
        <v>189.44</v>
      </c>
      <c r="L10" s="52">
        <v>29.7</v>
      </c>
      <c r="M10" s="52">
        <v>48.89</v>
      </c>
      <c r="N10" s="52">
        <v>0</v>
      </c>
      <c r="O10" s="52">
        <v>0</v>
      </c>
      <c r="P10" s="52">
        <v>0.93</v>
      </c>
      <c r="Q10" s="52">
        <v>5.25</v>
      </c>
      <c r="R10" s="50"/>
      <c r="S10" s="50"/>
      <c r="T10" s="50"/>
      <c r="U10" s="50"/>
    </row>
    <row r="11" spans="1:21" customFormat="1">
      <c r="A11" s="51" t="s">
        <v>491</v>
      </c>
      <c r="B11" s="52">
        <v>16.690000000000001</v>
      </c>
      <c r="C11" s="52">
        <v>55.38</v>
      </c>
      <c r="D11" s="52">
        <v>41.27</v>
      </c>
      <c r="E11" s="52">
        <v>10.66</v>
      </c>
      <c r="F11" s="52">
        <v>10.66</v>
      </c>
      <c r="G11" s="52">
        <v>60.76</v>
      </c>
      <c r="H11" s="52">
        <v>19.38</v>
      </c>
      <c r="I11" s="52">
        <v>12.1</v>
      </c>
      <c r="J11" s="52">
        <v>0.3</v>
      </c>
      <c r="K11" s="52">
        <v>171.83</v>
      </c>
      <c r="L11" s="52">
        <v>29.4</v>
      </c>
      <c r="M11" s="52">
        <v>56.36</v>
      </c>
      <c r="N11" s="52">
        <v>0</v>
      </c>
      <c r="O11" s="52">
        <v>0</v>
      </c>
      <c r="P11" s="52">
        <v>0.96</v>
      </c>
      <c r="Q11" s="52">
        <v>5.28</v>
      </c>
      <c r="R11" s="50"/>
      <c r="S11" s="50"/>
      <c r="T11" s="50"/>
      <c r="U11" s="50"/>
    </row>
    <row r="12" spans="1:21" customFormat="1">
      <c r="A12" s="51" t="s">
        <v>492</v>
      </c>
      <c r="B12" s="52">
        <v>18.09</v>
      </c>
      <c r="C12" s="52">
        <v>56.58</v>
      </c>
      <c r="D12" s="52">
        <v>43.02</v>
      </c>
      <c r="E12" s="52">
        <v>10.42</v>
      </c>
      <c r="F12" s="52">
        <v>9.18</v>
      </c>
      <c r="G12" s="52">
        <v>58.76</v>
      </c>
      <c r="H12" s="52">
        <v>21.68</v>
      </c>
      <c r="I12" s="52">
        <v>14.61</v>
      </c>
      <c r="J12" s="52">
        <v>0.28000000000000003</v>
      </c>
      <c r="K12" s="52">
        <v>191.48</v>
      </c>
      <c r="L12" s="52">
        <v>28.07</v>
      </c>
      <c r="M12" s="52">
        <v>57.89</v>
      </c>
      <c r="N12" s="52">
        <v>0</v>
      </c>
      <c r="O12" s="52">
        <v>0</v>
      </c>
      <c r="P12" s="52">
        <v>1.01</v>
      </c>
      <c r="Q12" s="52">
        <v>5.31</v>
      </c>
      <c r="R12" s="50"/>
      <c r="S12" s="50"/>
      <c r="T12" s="50"/>
      <c r="U12" s="50"/>
    </row>
    <row r="13" spans="1:21" customFormat="1">
      <c r="A13" s="51" t="s">
        <v>493</v>
      </c>
      <c r="B13" s="52">
        <v>20.149999999999999</v>
      </c>
      <c r="C13" s="52">
        <v>56.55</v>
      </c>
      <c r="D13" s="52">
        <v>44.66</v>
      </c>
      <c r="E13" s="52">
        <v>7.83</v>
      </c>
      <c r="F13" s="52">
        <v>8.9600000000000009</v>
      </c>
      <c r="G13" s="52">
        <v>63.78</v>
      </c>
      <c r="H13" s="52">
        <v>20.190000000000001</v>
      </c>
      <c r="I13" s="52">
        <v>15.14</v>
      </c>
      <c r="J13" s="52">
        <v>0.18</v>
      </c>
      <c r="K13" s="52">
        <v>216.85</v>
      </c>
      <c r="L13" s="52">
        <v>27.56</v>
      </c>
      <c r="M13" s="52">
        <v>62.83</v>
      </c>
      <c r="N13" s="52">
        <v>0</v>
      </c>
      <c r="O13" s="52">
        <v>0</v>
      </c>
      <c r="P13" s="52">
        <v>0.96</v>
      </c>
      <c r="Q13" s="52">
        <v>5.34</v>
      </c>
      <c r="R13" s="50"/>
      <c r="S13" s="50"/>
      <c r="T13" s="50"/>
      <c r="U13" s="50"/>
    </row>
    <row r="14" spans="1:21" customFormat="1">
      <c r="A14" s="51" t="s">
        <v>494</v>
      </c>
      <c r="B14" s="52">
        <v>20.75</v>
      </c>
      <c r="C14" s="52">
        <v>56.33</v>
      </c>
      <c r="D14" s="52">
        <v>45.03</v>
      </c>
      <c r="E14" s="52">
        <v>7.61</v>
      </c>
      <c r="F14" s="52">
        <v>6.58</v>
      </c>
      <c r="G14" s="52">
        <v>61.21</v>
      </c>
      <c r="H14" s="52">
        <v>18.12</v>
      </c>
      <c r="I14" s="52">
        <v>12.68</v>
      </c>
      <c r="J14" s="52">
        <v>0.25</v>
      </c>
      <c r="K14" s="52">
        <v>201.81</v>
      </c>
      <c r="L14" s="52">
        <v>27.29</v>
      </c>
      <c r="M14" s="52">
        <v>63.53</v>
      </c>
      <c r="N14" s="52">
        <v>20.399999999999999</v>
      </c>
      <c r="O14" s="52">
        <v>0</v>
      </c>
      <c r="P14" s="52">
        <v>0.93</v>
      </c>
      <c r="Q14" s="52">
        <v>5.37</v>
      </c>
      <c r="R14" s="50"/>
      <c r="S14" s="50"/>
      <c r="T14" s="50"/>
      <c r="U14" s="50"/>
    </row>
    <row r="15" spans="1:21" customFormat="1">
      <c r="A15" s="51" t="s">
        <v>495</v>
      </c>
      <c r="B15" s="52">
        <v>31.87</v>
      </c>
      <c r="C15" s="52">
        <v>59.59</v>
      </c>
      <c r="D15" s="52">
        <v>55.65</v>
      </c>
      <c r="E15" s="52">
        <v>8.2100000000000009</v>
      </c>
      <c r="F15" s="52">
        <v>7.39</v>
      </c>
      <c r="G15" s="52">
        <v>56.63</v>
      </c>
      <c r="H15" s="52">
        <v>15.18</v>
      </c>
      <c r="I15" s="52">
        <v>12.11</v>
      </c>
      <c r="J15" s="52">
        <v>0.23</v>
      </c>
      <c r="K15" s="52">
        <v>162.03</v>
      </c>
      <c r="L15" s="52">
        <v>31.28</v>
      </c>
      <c r="M15" s="52">
        <v>62.84</v>
      </c>
      <c r="N15" s="52">
        <v>131.1</v>
      </c>
      <c r="O15" s="52">
        <v>0</v>
      </c>
      <c r="P15" s="52">
        <v>0.94</v>
      </c>
      <c r="Q15" s="52">
        <v>5.64</v>
      </c>
      <c r="R15" s="50"/>
      <c r="S15" s="50"/>
      <c r="T15" s="50"/>
      <c r="U15" s="50"/>
    </row>
    <row r="16" spans="1:21" customFormat="1">
      <c r="A16" s="51" t="s">
        <v>496</v>
      </c>
      <c r="B16" s="52">
        <v>22.86</v>
      </c>
      <c r="C16" s="52">
        <v>56.29</v>
      </c>
      <c r="D16" s="52">
        <v>46.67</v>
      </c>
      <c r="E16" s="52">
        <v>12.12</v>
      </c>
      <c r="F16" s="52">
        <v>18.149999999999999</v>
      </c>
      <c r="G16" s="52">
        <v>63.06</v>
      </c>
      <c r="H16" s="52">
        <v>18.899999999999999</v>
      </c>
      <c r="I16" s="52">
        <v>13.83</v>
      </c>
      <c r="J16" s="52">
        <v>0.3</v>
      </c>
      <c r="K16" s="52">
        <v>276.37</v>
      </c>
      <c r="L16" s="52">
        <v>32.049999999999997</v>
      </c>
      <c r="M16" s="52">
        <v>49.27</v>
      </c>
      <c r="N16" s="52">
        <v>131.19999999999999</v>
      </c>
      <c r="O16" s="52">
        <v>0</v>
      </c>
      <c r="P16" s="52">
        <v>1.08</v>
      </c>
      <c r="Q16" s="52">
        <v>5.69</v>
      </c>
      <c r="R16" s="50"/>
      <c r="S16" s="50"/>
      <c r="T16" s="50"/>
      <c r="U16" s="50"/>
    </row>
    <row r="17" spans="1:21" customFormat="1">
      <c r="A17" s="51" t="s">
        <v>497</v>
      </c>
      <c r="B17" s="52">
        <v>19.16</v>
      </c>
      <c r="C17" s="52">
        <v>57</v>
      </c>
      <c r="D17" s="52">
        <v>44.1</v>
      </c>
      <c r="E17" s="52">
        <v>14.7</v>
      </c>
      <c r="F17" s="52">
        <v>20.48</v>
      </c>
      <c r="G17" s="52">
        <v>63.01</v>
      </c>
      <c r="H17" s="52">
        <v>19.38</v>
      </c>
      <c r="I17" s="52">
        <v>14.38</v>
      </c>
      <c r="J17" s="52">
        <v>1.1100000000000001</v>
      </c>
      <c r="K17" s="52">
        <v>272.17</v>
      </c>
      <c r="L17" s="52">
        <v>35.270000000000003</v>
      </c>
      <c r="M17" s="52">
        <v>43.64</v>
      </c>
      <c r="N17" s="52">
        <v>188.4</v>
      </c>
      <c r="O17" s="52">
        <v>0</v>
      </c>
      <c r="P17" s="52">
        <v>0.94</v>
      </c>
      <c r="Q17" s="52">
        <v>5.55</v>
      </c>
      <c r="R17" s="50"/>
      <c r="S17" s="50"/>
      <c r="T17" s="50"/>
      <c r="U17" s="50"/>
    </row>
    <row r="18" spans="1:21" customFormat="1">
      <c r="A18" s="51" t="s">
        <v>498</v>
      </c>
      <c r="B18" s="52">
        <v>12.91</v>
      </c>
      <c r="C18" s="52">
        <v>61.48</v>
      </c>
      <c r="D18" s="52">
        <v>41.43</v>
      </c>
      <c r="E18" s="52">
        <v>17.079999999999998</v>
      </c>
      <c r="F18" s="52">
        <v>18.899999999999999</v>
      </c>
      <c r="G18" s="52">
        <v>60.68</v>
      </c>
      <c r="H18" s="52">
        <v>19.62</v>
      </c>
      <c r="I18" s="52">
        <v>14.4</v>
      </c>
      <c r="J18" s="52">
        <v>1.34</v>
      </c>
      <c r="K18" s="52">
        <v>291.8</v>
      </c>
      <c r="L18" s="52">
        <v>37.450000000000003</v>
      </c>
      <c r="M18" s="52">
        <v>36.01</v>
      </c>
      <c r="N18" s="52">
        <v>161.6</v>
      </c>
      <c r="O18" s="52">
        <v>0</v>
      </c>
      <c r="P18" s="52">
        <v>0.98</v>
      </c>
      <c r="Q18" s="52">
        <v>5.19</v>
      </c>
      <c r="R18" s="50"/>
      <c r="S18" s="50"/>
      <c r="T18" s="50"/>
      <c r="U18" s="50"/>
    </row>
    <row r="19" spans="1:21" customFormat="1">
      <c r="A19" s="51" t="s">
        <v>499</v>
      </c>
      <c r="B19" s="52">
        <v>8.9700000000000006</v>
      </c>
      <c r="C19" s="52">
        <v>54.58</v>
      </c>
      <c r="D19" s="52">
        <v>34.67</v>
      </c>
      <c r="E19" s="52">
        <v>10.4</v>
      </c>
      <c r="F19" s="52">
        <v>28.93</v>
      </c>
      <c r="G19" s="52">
        <v>63.25</v>
      </c>
      <c r="H19" s="52">
        <v>19.95</v>
      </c>
      <c r="I19" s="52">
        <v>12.24</v>
      </c>
      <c r="J19" s="52">
        <v>0.98</v>
      </c>
      <c r="K19" s="52">
        <v>282.27</v>
      </c>
      <c r="L19" s="52">
        <v>38.74</v>
      </c>
      <c r="M19" s="52">
        <v>30.54</v>
      </c>
      <c r="N19" s="52">
        <v>276.10000000000002</v>
      </c>
      <c r="O19" s="52">
        <v>0</v>
      </c>
      <c r="P19" s="52">
        <v>0.88</v>
      </c>
      <c r="Q19" s="52">
        <v>4.9800000000000004</v>
      </c>
      <c r="R19" s="50"/>
      <c r="S19" s="50"/>
      <c r="T19" s="50"/>
      <c r="U19" s="50"/>
    </row>
    <row r="20" spans="1:21" customFormat="1">
      <c r="A20" s="51" t="s">
        <v>500</v>
      </c>
      <c r="B20" s="52">
        <v>6.05</v>
      </c>
      <c r="C20" s="52">
        <v>50.98</v>
      </c>
      <c r="D20" s="52">
        <v>30.06</v>
      </c>
      <c r="E20" s="52">
        <v>11.05</v>
      </c>
      <c r="F20" s="52">
        <v>32.909999999999997</v>
      </c>
      <c r="G20" s="52">
        <v>59.39</v>
      </c>
      <c r="H20" s="52">
        <v>20.66</v>
      </c>
      <c r="I20" s="52">
        <v>10.31</v>
      </c>
      <c r="J20" s="52">
        <v>1.1299999999999999</v>
      </c>
      <c r="K20" s="52">
        <v>295.27</v>
      </c>
      <c r="L20" s="52">
        <v>39.92</v>
      </c>
      <c r="M20" s="52">
        <v>28.76</v>
      </c>
      <c r="N20" s="52">
        <v>770.4</v>
      </c>
      <c r="O20" s="52">
        <v>0</v>
      </c>
      <c r="P20" s="52">
        <v>0.76</v>
      </c>
      <c r="Q20" s="52">
        <v>4.76</v>
      </c>
      <c r="R20" s="50"/>
      <c r="S20" s="50"/>
      <c r="T20" s="50"/>
      <c r="U20" s="50"/>
    </row>
    <row r="21" spans="1:21" customFormat="1">
      <c r="A21" s="51" t="s">
        <v>501</v>
      </c>
      <c r="B21" s="52">
        <v>5.0999999999999996</v>
      </c>
      <c r="C21" s="52">
        <v>54.26</v>
      </c>
      <c r="D21" s="52">
        <v>31.39</v>
      </c>
      <c r="E21" s="52">
        <v>10.38</v>
      </c>
      <c r="F21" s="52">
        <v>42.03</v>
      </c>
      <c r="G21" s="52">
        <v>58.8</v>
      </c>
      <c r="H21" s="52">
        <v>17.16</v>
      </c>
      <c r="I21" s="52">
        <v>9</v>
      </c>
      <c r="J21" s="52">
        <v>0.72</v>
      </c>
      <c r="K21" s="52">
        <v>290.42</v>
      </c>
      <c r="L21" s="52">
        <v>41.5</v>
      </c>
      <c r="M21" s="52">
        <v>24.34</v>
      </c>
      <c r="N21" s="52">
        <v>800.2</v>
      </c>
      <c r="O21" s="52">
        <v>0</v>
      </c>
      <c r="P21" s="52">
        <v>0.7</v>
      </c>
      <c r="Q21" s="52">
        <v>4.7699999999999996</v>
      </c>
      <c r="R21" s="50"/>
      <c r="S21" s="50"/>
      <c r="T21" s="50"/>
      <c r="U21" s="50"/>
    </row>
    <row r="22" spans="1:21" customFormat="1">
      <c r="A22" s="51" t="s">
        <v>502</v>
      </c>
      <c r="B22" s="52">
        <v>4.8600000000000003</v>
      </c>
      <c r="C22" s="52">
        <v>51.19</v>
      </c>
      <c r="D22" s="52">
        <v>29.59</v>
      </c>
      <c r="E22" s="52">
        <v>10.56</v>
      </c>
      <c r="F22" s="52">
        <v>39.44</v>
      </c>
      <c r="G22" s="52">
        <v>56.21</v>
      </c>
      <c r="H22" s="52">
        <v>18.239999999999998</v>
      </c>
      <c r="I22" s="52">
        <v>7.93</v>
      </c>
      <c r="J22" s="52">
        <v>0.67</v>
      </c>
      <c r="K22" s="52">
        <v>295.36</v>
      </c>
      <c r="L22" s="52">
        <v>41.8</v>
      </c>
      <c r="M22" s="52">
        <v>23.24</v>
      </c>
      <c r="N22" s="52">
        <v>798.5</v>
      </c>
      <c r="O22" s="52">
        <v>0</v>
      </c>
      <c r="P22" s="52">
        <v>0.63</v>
      </c>
      <c r="Q22" s="52">
        <v>4.7</v>
      </c>
      <c r="R22" s="50"/>
      <c r="S22" s="50"/>
      <c r="T22" s="50"/>
      <c r="U22" s="50"/>
    </row>
    <row r="23" spans="1:21" customFormat="1">
      <c r="A23" s="51" t="s">
        <v>503</v>
      </c>
      <c r="B23" s="52">
        <v>6.64</v>
      </c>
      <c r="C23" s="52">
        <v>50.06</v>
      </c>
      <c r="D23" s="52">
        <v>30.3</v>
      </c>
      <c r="E23" s="52">
        <v>10.16</v>
      </c>
      <c r="F23" s="52">
        <v>41.77</v>
      </c>
      <c r="G23" s="52">
        <v>55.63</v>
      </c>
      <c r="H23" s="52">
        <v>17.16</v>
      </c>
      <c r="I23" s="52">
        <v>6.94</v>
      </c>
      <c r="J23" s="52">
        <v>0.65</v>
      </c>
      <c r="K23" s="52">
        <v>308.58999999999997</v>
      </c>
      <c r="L23" s="52">
        <v>41.85</v>
      </c>
      <c r="M23" s="52">
        <v>21.23</v>
      </c>
      <c r="N23" s="52">
        <v>623</v>
      </c>
      <c r="O23" s="52">
        <v>0</v>
      </c>
      <c r="P23" s="52">
        <v>0.51</v>
      </c>
      <c r="Q23" s="52">
        <v>4.74</v>
      </c>
      <c r="R23" s="50"/>
      <c r="S23" s="50"/>
      <c r="T23" s="50"/>
      <c r="U23" s="50"/>
    </row>
    <row r="24" spans="1:21" customFormat="1">
      <c r="A24" s="51" t="s">
        <v>504</v>
      </c>
      <c r="B24" s="52">
        <v>4.91</v>
      </c>
      <c r="C24" s="52">
        <v>49.78</v>
      </c>
      <c r="D24" s="52">
        <v>28.72</v>
      </c>
      <c r="E24" s="52">
        <v>11.12</v>
      </c>
      <c r="F24" s="52">
        <v>50.24</v>
      </c>
      <c r="G24" s="52">
        <v>50.21</v>
      </c>
      <c r="H24" s="52">
        <v>17.22</v>
      </c>
      <c r="I24" s="52">
        <v>6.27</v>
      </c>
      <c r="J24" s="52">
        <v>0.66</v>
      </c>
      <c r="K24" s="52">
        <v>295.47000000000003</v>
      </c>
      <c r="L24" s="52">
        <v>40.56</v>
      </c>
      <c r="M24" s="52">
        <v>52.65</v>
      </c>
      <c r="N24" s="52">
        <v>123.5</v>
      </c>
      <c r="O24" s="52">
        <v>0</v>
      </c>
      <c r="P24" s="52">
        <v>0.5</v>
      </c>
      <c r="Q24" s="52">
        <v>4.76</v>
      </c>
      <c r="R24" s="50"/>
      <c r="S24" s="50"/>
      <c r="T24" s="50"/>
      <c r="U24" s="50"/>
    </row>
    <row r="25" spans="1:21" customFormat="1">
      <c r="A25" s="51" t="s">
        <v>505</v>
      </c>
      <c r="B25" s="52">
        <v>6.43</v>
      </c>
      <c r="C25" s="52">
        <v>53.75</v>
      </c>
      <c r="D25" s="52">
        <v>32.19</v>
      </c>
      <c r="E25" s="52">
        <v>8.9</v>
      </c>
      <c r="F25" s="52">
        <v>33.799999999999997</v>
      </c>
      <c r="G25" s="52">
        <v>54.15</v>
      </c>
      <c r="H25" s="52">
        <v>17</v>
      </c>
      <c r="I25" s="52">
        <v>5.94</v>
      </c>
      <c r="J25" s="52">
        <v>1.41</v>
      </c>
      <c r="K25" s="52">
        <v>107.28</v>
      </c>
      <c r="L25" s="52">
        <v>34.380000000000003</v>
      </c>
      <c r="M25" s="52">
        <v>43.47</v>
      </c>
      <c r="N25" s="52">
        <v>231.9</v>
      </c>
      <c r="O25" s="52">
        <v>0</v>
      </c>
      <c r="P25" s="52">
        <v>0.49</v>
      </c>
      <c r="Q25" s="52">
        <v>4.75</v>
      </c>
      <c r="R25" s="50"/>
      <c r="S25" s="50"/>
      <c r="T25" s="50"/>
      <c r="U25" s="50"/>
    </row>
    <row r="26" spans="1:21" customFormat="1">
      <c r="A26" s="51" t="s">
        <v>506</v>
      </c>
      <c r="B26" s="52">
        <v>5.55</v>
      </c>
      <c r="C26" s="52">
        <v>44.86</v>
      </c>
      <c r="D26" s="52">
        <v>26.66</v>
      </c>
      <c r="E26" s="52">
        <v>9.68</v>
      </c>
      <c r="F26" s="52">
        <v>40.47</v>
      </c>
      <c r="G26" s="52">
        <v>52.75</v>
      </c>
      <c r="H26" s="52">
        <v>15.28</v>
      </c>
      <c r="I26" s="52">
        <v>5.91</v>
      </c>
      <c r="J26" s="52">
        <v>0.27</v>
      </c>
      <c r="K26" s="52">
        <v>225.81</v>
      </c>
      <c r="L26" s="52">
        <v>35.020000000000003</v>
      </c>
      <c r="M26" s="52">
        <v>41.46</v>
      </c>
      <c r="N26" s="52">
        <v>92.2</v>
      </c>
      <c r="O26" s="52">
        <v>0</v>
      </c>
      <c r="P26" s="52">
        <v>0.46</v>
      </c>
      <c r="Q26" s="52">
        <v>4.8099999999999996</v>
      </c>
      <c r="R26" s="50"/>
      <c r="S26" s="50"/>
      <c r="T26" s="50"/>
      <c r="U26" s="50"/>
    </row>
    <row r="27" spans="1:21" customFormat="1">
      <c r="A27" s="51" t="s">
        <v>507</v>
      </c>
      <c r="B27" s="52">
        <v>7.3</v>
      </c>
      <c r="C27" s="52">
        <v>47.71</v>
      </c>
      <c r="D27" s="52">
        <v>29.73</v>
      </c>
      <c r="E27" s="52">
        <v>8.1199999999999992</v>
      </c>
      <c r="F27" s="52">
        <v>37.35</v>
      </c>
      <c r="G27" s="52">
        <v>42.76</v>
      </c>
      <c r="H27" s="52">
        <v>12.53</v>
      </c>
      <c r="I27" s="52">
        <v>4.68</v>
      </c>
      <c r="J27" s="52">
        <v>0.34</v>
      </c>
      <c r="K27" s="52">
        <v>211.84</v>
      </c>
      <c r="L27" s="52">
        <v>33.520000000000003</v>
      </c>
      <c r="M27" s="52">
        <v>49.57</v>
      </c>
      <c r="N27" s="52">
        <v>9.8000000000000007</v>
      </c>
      <c r="O27" s="52">
        <v>0</v>
      </c>
      <c r="P27" s="52">
        <v>0.48</v>
      </c>
      <c r="Q27" s="52">
        <v>4.78</v>
      </c>
      <c r="R27" s="50"/>
      <c r="S27" s="50"/>
      <c r="T27" s="50"/>
      <c r="U27" s="50"/>
    </row>
    <row r="28" spans="1:21" customFormat="1">
      <c r="A28" s="51" t="s">
        <v>508</v>
      </c>
      <c r="B28" s="52">
        <v>11.18</v>
      </c>
      <c r="C28" s="52">
        <v>57.25</v>
      </c>
      <c r="D28" s="52">
        <v>37.04</v>
      </c>
      <c r="E28" s="52">
        <v>9.0399999999999991</v>
      </c>
      <c r="F28" s="52">
        <v>16.18</v>
      </c>
      <c r="G28" s="52">
        <v>40.72</v>
      </c>
      <c r="H28" s="52">
        <v>12.25</v>
      </c>
      <c r="I28" s="52">
        <v>5.83</v>
      </c>
      <c r="J28" s="52">
        <v>1.33</v>
      </c>
      <c r="K28" s="52">
        <v>108.71</v>
      </c>
      <c r="L28" s="52">
        <v>32.68</v>
      </c>
      <c r="M28" s="52">
        <v>41.38</v>
      </c>
      <c r="N28" s="52">
        <v>0</v>
      </c>
      <c r="O28" s="52">
        <v>0</v>
      </c>
      <c r="P28" s="52">
        <v>0.54</v>
      </c>
      <c r="Q28" s="52">
        <v>4.87</v>
      </c>
      <c r="R28" s="50"/>
      <c r="S28" s="50"/>
      <c r="T28" s="50"/>
      <c r="U28" s="50"/>
    </row>
    <row r="29" spans="1:21" customFormat="1">
      <c r="A29" s="51" t="s">
        <v>509</v>
      </c>
      <c r="B29" s="52">
        <v>9.32</v>
      </c>
      <c r="C29" s="52">
        <v>52.97</v>
      </c>
      <c r="D29" s="52">
        <v>34.11</v>
      </c>
      <c r="E29" s="52">
        <v>8.86</v>
      </c>
      <c r="F29" s="52">
        <v>20.2</v>
      </c>
      <c r="G29" s="52">
        <v>41.11</v>
      </c>
      <c r="H29" s="52">
        <v>11.11</v>
      </c>
      <c r="I29" s="52">
        <v>5.62</v>
      </c>
      <c r="J29" s="52">
        <v>0.49</v>
      </c>
      <c r="K29" s="52">
        <v>109.59</v>
      </c>
      <c r="L29" s="52">
        <v>31.38</v>
      </c>
      <c r="M29" s="52">
        <v>43.68</v>
      </c>
      <c r="N29" s="52">
        <v>0</v>
      </c>
      <c r="O29" s="52">
        <v>0</v>
      </c>
      <c r="P29" s="52">
        <v>0.48</v>
      </c>
      <c r="Q29" s="52">
        <v>4.9000000000000004</v>
      </c>
      <c r="R29" s="50"/>
      <c r="S29" s="50"/>
      <c r="T29" s="50"/>
      <c r="U29" s="50"/>
    </row>
    <row r="30" spans="1:21" customFormat="1">
      <c r="A30" s="51" t="s">
        <v>510</v>
      </c>
      <c r="B30" s="52">
        <v>8.91</v>
      </c>
      <c r="C30" s="52">
        <v>56.06</v>
      </c>
      <c r="D30" s="52">
        <v>35.39</v>
      </c>
      <c r="E30" s="52">
        <v>7.98</v>
      </c>
      <c r="F30" s="52">
        <v>22.17</v>
      </c>
      <c r="G30" s="52">
        <v>40.57</v>
      </c>
      <c r="H30" s="52">
        <v>10.42</v>
      </c>
      <c r="I30" s="52">
        <v>5.08</v>
      </c>
      <c r="J30" s="52">
        <v>0.48</v>
      </c>
      <c r="K30" s="52">
        <v>128.99</v>
      </c>
      <c r="L30" s="52">
        <v>31.01</v>
      </c>
      <c r="M30" s="52">
        <v>42.52</v>
      </c>
      <c r="N30" s="52">
        <v>0</v>
      </c>
      <c r="O30" s="52">
        <v>0</v>
      </c>
      <c r="P30" s="52">
        <v>0.47</v>
      </c>
      <c r="Q30" s="52">
        <v>4.88</v>
      </c>
      <c r="R30" s="50"/>
      <c r="S30" s="50"/>
      <c r="T30" s="50"/>
      <c r="U30" s="50"/>
    </row>
    <row r="31" spans="1:21" customFormat="1">
      <c r="A31" s="51" t="s">
        <v>511</v>
      </c>
      <c r="B31" s="52">
        <v>8.07</v>
      </c>
      <c r="C31" s="52">
        <v>52.99</v>
      </c>
      <c r="D31" s="52">
        <v>32.24</v>
      </c>
      <c r="E31" s="52">
        <v>8.19</v>
      </c>
      <c r="F31" s="52">
        <v>19.510000000000002</v>
      </c>
      <c r="G31" s="52">
        <v>35.630000000000003</v>
      </c>
      <c r="H31" s="52">
        <v>13.11</v>
      </c>
      <c r="I31" s="52">
        <v>5.0999999999999996</v>
      </c>
      <c r="J31" s="52">
        <v>0.26</v>
      </c>
      <c r="K31" s="52">
        <v>144.26</v>
      </c>
      <c r="L31" s="52">
        <v>30.29</v>
      </c>
      <c r="M31" s="52">
        <v>47.59</v>
      </c>
      <c r="N31" s="52">
        <v>0</v>
      </c>
      <c r="O31" s="52">
        <v>0</v>
      </c>
      <c r="P31" s="52">
        <v>0.45</v>
      </c>
      <c r="Q31" s="52">
        <v>4.8</v>
      </c>
      <c r="R31" s="50"/>
      <c r="S31" s="50"/>
      <c r="T31" s="50"/>
      <c r="U31" s="50"/>
    </row>
    <row r="32" spans="1:21" customFormat="1">
      <c r="A32" s="51" t="s">
        <v>512</v>
      </c>
      <c r="B32" s="52">
        <v>8.8800000000000008</v>
      </c>
      <c r="C32" s="52">
        <v>51.36</v>
      </c>
      <c r="D32" s="52">
        <v>32.590000000000003</v>
      </c>
      <c r="E32" s="52">
        <v>6.55</v>
      </c>
      <c r="F32" s="52">
        <v>16.23</v>
      </c>
      <c r="G32" s="52">
        <v>32.840000000000003</v>
      </c>
      <c r="H32" s="52">
        <v>13.35</v>
      </c>
      <c r="I32" s="52">
        <v>4.54</v>
      </c>
      <c r="J32" s="52">
        <v>0.22</v>
      </c>
      <c r="K32" s="52">
        <v>255.37</v>
      </c>
      <c r="L32" s="52">
        <v>29.6</v>
      </c>
      <c r="M32" s="52">
        <v>49.34</v>
      </c>
      <c r="N32" s="52">
        <v>0</v>
      </c>
      <c r="O32" s="52">
        <v>0</v>
      </c>
      <c r="P32" s="52">
        <v>0.43</v>
      </c>
      <c r="Q32" s="52">
        <v>4.84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4.8600000000000003</v>
      </c>
      <c r="C34" s="41">
        <f t="shared" si="0"/>
        <v>44.86</v>
      </c>
      <c r="D34" s="41">
        <f t="shared" si="0"/>
        <v>26.66</v>
      </c>
      <c r="E34" s="41">
        <f t="shared" si="0"/>
        <v>6.55</v>
      </c>
      <c r="F34" s="41">
        <f t="shared" si="0"/>
        <v>6.58</v>
      </c>
      <c r="G34" s="41">
        <f t="shared" si="0"/>
        <v>32.840000000000003</v>
      </c>
      <c r="H34" s="41">
        <f t="shared" si="0"/>
        <v>10.42</v>
      </c>
      <c r="I34" s="41">
        <f t="shared" si="0"/>
        <v>4.54</v>
      </c>
      <c r="J34" s="41">
        <f t="shared" si="0"/>
        <v>0.18</v>
      </c>
      <c r="K34" s="41">
        <f t="shared" si="0"/>
        <v>107.28</v>
      </c>
      <c r="L34" s="41">
        <f t="shared" si="0"/>
        <v>27.29</v>
      </c>
      <c r="M34" s="41">
        <f t="shared" si="0"/>
        <v>21.23</v>
      </c>
      <c r="N34" s="41">
        <f t="shared" si="0"/>
        <v>0</v>
      </c>
      <c r="O34" s="41">
        <f t="shared" si="0"/>
        <v>0</v>
      </c>
      <c r="P34" s="41">
        <f t="shared" si="0"/>
        <v>0.43</v>
      </c>
      <c r="Q34" s="41">
        <f t="shared" si="0"/>
        <v>4.7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31.87</v>
      </c>
      <c r="C35" s="33">
        <f t="shared" si="1"/>
        <v>61.48</v>
      </c>
      <c r="D35" s="33">
        <f t="shared" si="1"/>
        <v>55.65</v>
      </c>
      <c r="E35" s="33">
        <f t="shared" si="1"/>
        <v>17.079999999999998</v>
      </c>
      <c r="F35" s="33">
        <f t="shared" si="1"/>
        <v>50.24</v>
      </c>
      <c r="G35" s="33">
        <f t="shared" si="1"/>
        <v>63.78</v>
      </c>
      <c r="H35" s="33">
        <f t="shared" si="1"/>
        <v>21.68</v>
      </c>
      <c r="I35" s="33">
        <f t="shared" si="1"/>
        <v>15.14</v>
      </c>
      <c r="J35" s="33">
        <f t="shared" si="1"/>
        <v>1.41</v>
      </c>
      <c r="K35" s="33">
        <f t="shared" si="1"/>
        <v>308.58999999999997</v>
      </c>
      <c r="L35" s="33">
        <f t="shared" si="1"/>
        <v>41.85</v>
      </c>
      <c r="M35" s="33">
        <f t="shared" si="1"/>
        <v>63.53</v>
      </c>
      <c r="N35" s="33">
        <f t="shared" si="1"/>
        <v>800.2</v>
      </c>
      <c r="O35" s="33">
        <f t="shared" si="1"/>
        <v>0</v>
      </c>
      <c r="P35" s="33">
        <f t="shared" si="1"/>
        <v>1.08</v>
      </c>
      <c r="Q35" s="33">
        <f t="shared" si="1"/>
        <v>5.69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12.286250000000001</v>
      </c>
      <c r="C36" s="41">
        <f t="shared" si="2"/>
        <v>53.819166666666668</v>
      </c>
      <c r="D36" s="41">
        <f t="shared" si="2"/>
        <v>36.800416666666671</v>
      </c>
      <c r="E36" s="41">
        <f t="shared" si="2"/>
        <v>9.8725000000000005</v>
      </c>
      <c r="F36" s="41">
        <f t="shared" si="2"/>
        <v>23.543749999999999</v>
      </c>
      <c r="G36" s="41">
        <f t="shared" si="2"/>
        <v>53.722499999999997</v>
      </c>
      <c r="H36" s="41">
        <f t="shared" si="2"/>
        <v>16.7575</v>
      </c>
      <c r="I36" s="41">
        <f t="shared" si="2"/>
        <v>9.1766666666666676</v>
      </c>
      <c r="J36" s="41">
        <f t="shared" si="2"/>
        <v>0.5854166666666667</v>
      </c>
      <c r="K36" s="41">
        <f t="shared" si="2"/>
        <v>217.33833333333337</v>
      </c>
      <c r="L36" s="41">
        <f t="shared" si="2"/>
        <v>33.7425</v>
      </c>
      <c r="M36" s="41">
        <f t="shared" si="2"/>
        <v>44.740416666666668</v>
      </c>
      <c r="N36" s="41">
        <f t="shared" si="2"/>
        <v>181.59583333333333</v>
      </c>
      <c r="O36" s="41">
        <f t="shared" si="2"/>
        <v>0</v>
      </c>
      <c r="P36" s="41">
        <f t="shared" si="2"/>
        <v>0.71833333333333327</v>
      </c>
      <c r="Q36" s="41">
        <f t="shared" si="2"/>
        <v>5.050416666666667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7.0519419542482726</v>
      </c>
      <c r="C37" s="41">
        <f t="shared" ref="C37:Q37" si="3">STDEV(C9:C32)</f>
        <v>3.756955192551565</v>
      </c>
      <c r="D37" s="41">
        <f t="shared" si="3"/>
        <v>7.1663388743708278</v>
      </c>
      <c r="E37" s="41">
        <f t="shared" si="3"/>
        <v>2.3364526251489011</v>
      </c>
      <c r="F37" s="41">
        <f t="shared" si="3"/>
        <v>13.099819053678971</v>
      </c>
      <c r="G37" s="41">
        <f t="shared" si="3"/>
        <v>9.485773443746595</v>
      </c>
      <c r="H37" s="41">
        <f t="shared" si="3"/>
        <v>3.3161046424984728</v>
      </c>
      <c r="I37" s="41">
        <f t="shared" si="3"/>
        <v>3.7332474110195371</v>
      </c>
      <c r="J37" s="41">
        <f t="shared" si="3"/>
        <v>0.41209938825130688</v>
      </c>
      <c r="K37" s="41">
        <f t="shared" si="3"/>
        <v>68.012742007379003</v>
      </c>
      <c r="L37" s="41">
        <f t="shared" si="3"/>
        <v>4.8276101297865486</v>
      </c>
      <c r="M37" s="41">
        <f t="shared" si="3"/>
        <v>12.385226641013706</v>
      </c>
      <c r="N37" s="41">
        <f t="shared" si="3"/>
        <v>273.33704386178874</v>
      </c>
      <c r="O37" s="41">
        <f t="shared" si="3"/>
        <v>0</v>
      </c>
      <c r="P37" s="41">
        <f t="shared" si="3"/>
        <v>0.22816215947105042</v>
      </c>
      <c r="Q37" s="41">
        <f t="shared" si="3"/>
        <v>0.31590421177073696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513</v>
      </c>
      <c r="B9" s="52">
        <v>9.33</v>
      </c>
      <c r="C9" s="52">
        <v>52.6</v>
      </c>
      <c r="D9" s="52">
        <v>33.92</v>
      </c>
      <c r="E9" s="52">
        <v>6.52</v>
      </c>
      <c r="F9" s="52">
        <v>16.690000000000001</v>
      </c>
      <c r="G9" s="52">
        <v>28.06</v>
      </c>
      <c r="H9" s="52">
        <v>10.81</v>
      </c>
      <c r="I9" s="52">
        <v>4.32</v>
      </c>
      <c r="J9" s="52">
        <v>0.55000000000000004</v>
      </c>
      <c r="K9" s="52">
        <v>262.32</v>
      </c>
      <c r="L9" s="52">
        <v>29.3</v>
      </c>
      <c r="M9" s="52">
        <v>51.64</v>
      </c>
      <c r="N9" s="52">
        <v>0</v>
      </c>
      <c r="O9" s="52">
        <v>0</v>
      </c>
      <c r="P9" s="52">
        <v>0.41</v>
      </c>
      <c r="Q9" s="52">
        <v>4.82</v>
      </c>
      <c r="R9" s="50"/>
      <c r="S9" s="50"/>
      <c r="T9" s="50"/>
      <c r="U9" s="50"/>
    </row>
    <row r="10" spans="1:21" customFormat="1">
      <c r="A10" s="51" t="s">
        <v>514</v>
      </c>
      <c r="B10" s="52">
        <v>10.74</v>
      </c>
      <c r="C10" s="52">
        <v>56.34</v>
      </c>
      <c r="D10" s="52">
        <v>36.92</v>
      </c>
      <c r="E10" s="52">
        <v>6.34</v>
      </c>
      <c r="F10" s="52">
        <v>12.02</v>
      </c>
      <c r="G10" s="52">
        <v>23.92</v>
      </c>
      <c r="H10" s="52">
        <v>7.85</v>
      </c>
      <c r="I10" s="52">
        <v>4.28</v>
      </c>
      <c r="J10" s="52">
        <v>1</v>
      </c>
      <c r="K10" s="52">
        <v>258.20999999999998</v>
      </c>
      <c r="L10" s="52">
        <v>28.52</v>
      </c>
      <c r="M10" s="52">
        <v>69.02</v>
      </c>
      <c r="N10" s="52">
        <v>0</v>
      </c>
      <c r="O10" s="52">
        <v>0</v>
      </c>
      <c r="P10" s="52">
        <v>0.41</v>
      </c>
      <c r="Q10" s="52">
        <v>4.83</v>
      </c>
      <c r="R10" s="50"/>
      <c r="S10" s="50"/>
      <c r="T10" s="50"/>
      <c r="U10" s="50"/>
    </row>
    <row r="11" spans="1:21" customFormat="1">
      <c r="A11" s="51" t="s">
        <v>515</v>
      </c>
      <c r="B11" s="52">
        <v>10.57</v>
      </c>
      <c r="C11" s="52">
        <v>57.46</v>
      </c>
      <c r="D11" s="52">
        <v>37.450000000000003</v>
      </c>
      <c r="E11" s="52">
        <v>5.39</v>
      </c>
      <c r="F11" s="52">
        <v>11.04</v>
      </c>
      <c r="G11" s="52">
        <v>24.79</v>
      </c>
      <c r="H11" s="52">
        <v>6.94</v>
      </c>
      <c r="I11" s="52">
        <v>4.21</v>
      </c>
      <c r="J11" s="52">
        <v>0.55000000000000004</v>
      </c>
      <c r="K11" s="52">
        <v>253.07</v>
      </c>
      <c r="L11" s="52">
        <v>27.97</v>
      </c>
      <c r="M11" s="52">
        <v>60.89</v>
      </c>
      <c r="N11" s="52">
        <v>0</v>
      </c>
      <c r="O11" s="52">
        <v>0</v>
      </c>
      <c r="P11" s="52">
        <v>0.39</v>
      </c>
      <c r="Q11" s="52">
        <v>4.87</v>
      </c>
      <c r="R11" s="50"/>
      <c r="S11" s="50"/>
      <c r="T11" s="50"/>
      <c r="U11" s="50"/>
    </row>
    <row r="12" spans="1:21" customFormat="1">
      <c r="A12" s="51" t="s">
        <v>516</v>
      </c>
      <c r="B12" s="52">
        <v>12.15</v>
      </c>
      <c r="C12" s="52">
        <v>58.84</v>
      </c>
      <c r="D12" s="52">
        <v>38.880000000000003</v>
      </c>
      <c r="E12" s="52">
        <v>5.53</v>
      </c>
      <c r="F12" s="52">
        <v>6.93</v>
      </c>
      <c r="G12" s="52">
        <v>23.26</v>
      </c>
      <c r="H12" s="52">
        <v>9.85</v>
      </c>
      <c r="I12" s="52">
        <v>4.01</v>
      </c>
      <c r="J12" s="52">
        <v>0.63</v>
      </c>
      <c r="K12" s="52">
        <v>248.38</v>
      </c>
      <c r="L12" s="52">
        <v>26.95</v>
      </c>
      <c r="M12" s="52">
        <v>66.47</v>
      </c>
      <c r="N12" s="52">
        <v>0</v>
      </c>
      <c r="O12" s="52">
        <v>0</v>
      </c>
      <c r="P12" s="52">
        <v>0.38</v>
      </c>
      <c r="Q12" s="52">
        <v>4.9000000000000004</v>
      </c>
      <c r="R12" s="50"/>
      <c r="S12" s="50"/>
      <c r="T12" s="50"/>
      <c r="U12" s="50"/>
    </row>
    <row r="13" spans="1:21" customFormat="1">
      <c r="A13" s="51" t="s">
        <v>517</v>
      </c>
      <c r="B13" s="52">
        <v>13.74</v>
      </c>
      <c r="C13" s="52">
        <v>59.94</v>
      </c>
      <c r="D13" s="52">
        <v>41.29</v>
      </c>
      <c r="E13" s="52">
        <v>5.3</v>
      </c>
      <c r="F13" s="52">
        <v>5.66</v>
      </c>
      <c r="G13" s="52">
        <v>20.46</v>
      </c>
      <c r="H13" s="52">
        <v>9.85</v>
      </c>
      <c r="I13" s="52">
        <v>3.97</v>
      </c>
      <c r="J13" s="52">
        <v>0.4</v>
      </c>
      <c r="K13" s="52">
        <v>230.52</v>
      </c>
      <c r="L13" s="52">
        <v>26.06</v>
      </c>
      <c r="M13" s="52">
        <v>67.37</v>
      </c>
      <c r="N13" s="52">
        <v>0</v>
      </c>
      <c r="O13" s="52">
        <v>0</v>
      </c>
      <c r="P13" s="52">
        <v>0.38</v>
      </c>
      <c r="Q13" s="52">
        <v>4.99</v>
      </c>
      <c r="R13" s="50"/>
      <c r="S13" s="50"/>
      <c r="T13" s="50"/>
      <c r="U13" s="50"/>
    </row>
    <row r="14" spans="1:21" customFormat="1">
      <c r="A14" s="51" t="s">
        <v>518</v>
      </c>
      <c r="B14" s="52">
        <v>17.41</v>
      </c>
      <c r="C14" s="52">
        <v>60.93</v>
      </c>
      <c r="D14" s="52">
        <v>44.75</v>
      </c>
      <c r="E14" s="52">
        <v>5.38</v>
      </c>
      <c r="F14" s="52">
        <v>5.03</v>
      </c>
      <c r="G14" s="52">
        <v>18.48</v>
      </c>
      <c r="H14" s="52">
        <v>8.85</v>
      </c>
      <c r="I14" s="52">
        <v>3.89</v>
      </c>
      <c r="J14" s="52">
        <v>0.4</v>
      </c>
      <c r="K14" s="52">
        <v>219.98</v>
      </c>
      <c r="L14" s="52">
        <v>25.78</v>
      </c>
      <c r="M14" s="52">
        <v>67.650000000000006</v>
      </c>
      <c r="N14" s="52">
        <v>18.2</v>
      </c>
      <c r="O14" s="52">
        <v>0</v>
      </c>
      <c r="P14" s="52">
        <v>0.38</v>
      </c>
      <c r="Q14" s="52">
        <v>5.17</v>
      </c>
      <c r="R14" s="50"/>
      <c r="S14" s="50"/>
      <c r="T14" s="50"/>
      <c r="U14" s="50"/>
    </row>
    <row r="15" spans="1:21" customFormat="1">
      <c r="A15" s="51" t="s">
        <v>519</v>
      </c>
      <c r="B15" s="52">
        <v>19.899999999999999</v>
      </c>
      <c r="C15" s="52">
        <v>61.22</v>
      </c>
      <c r="D15" s="52">
        <v>46.87</v>
      </c>
      <c r="E15" s="52">
        <v>5.32</v>
      </c>
      <c r="F15" s="52">
        <v>6.26</v>
      </c>
      <c r="G15" s="52">
        <v>16.89</v>
      </c>
      <c r="H15" s="52">
        <v>7.18</v>
      </c>
      <c r="I15" s="52">
        <v>3.94</v>
      </c>
      <c r="J15" s="52">
        <v>0.24</v>
      </c>
      <c r="K15" s="52">
        <v>179.49</v>
      </c>
      <c r="L15" s="52">
        <v>28.28</v>
      </c>
      <c r="M15" s="52">
        <v>65.739999999999995</v>
      </c>
      <c r="N15" s="52">
        <v>65.2</v>
      </c>
      <c r="O15" s="52">
        <v>0</v>
      </c>
      <c r="P15" s="52">
        <v>0.38</v>
      </c>
      <c r="Q15" s="52">
        <v>5.37</v>
      </c>
      <c r="R15" s="50"/>
      <c r="S15" s="50"/>
      <c r="T15" s="50"/>
      <c r="U15" s="50"/>
    </row>
    <row r="16" spans="1:21" customFormat="1">
      <c r="A16" s="51" t="s">
        <v>520</v>
      </c>
      <c r="B16" s="52">
        <v>20.41</v>
      </c>
      <c r="C16" s="52">
        <v>60.6</v>
      </c>
      <c r="D16" s="52">
        <v>46.98</v>
      </c>
      <c r="E16" s="52">
        <v>5</v>
      </c>
      <c r="F16" s="52">
        <v>8.64</v>
      </c>
      <c r="G16" s="52">
        <v>18.86</v>
      </c>
      <c r="H16" s="52">
        <v>11.14</v>
      </c>
      <c r="I16" s="52">
        <v>4.03</v>
      </c>
      <c r="J16" s="52">
        <v>0.33</v>
      </c>
      <c r="K16" s="52">
        <v>224.66</v>
      </c>
      <c r="L16" s="52">
        <v>30.27</v>
      </c>
      <c r="M16" s="52">
        <v>53.99</v>
      </c>
      <c r="N16" s="52">
        <v>102.8</v>
      </c>
      <c r="O16" s="52">
        <v>0</v>
      </c>
      <c r="P16" s="52">
        <v>0.39</v>
      </c>
      <c r="Q16" s="52">
        <v>5.36</v>
      </c>
      <c r="R16" s="50"/>
      <c r="S16" s="50"/>
      <c r="T16" s="50"/>
      <c r="U16" s="50"/>
    </row>
    <row r="17" spans="1:21" customFormat="1">
      <c r="A17" s="51" t="s">
        <v>521</v>
      </c>
      <c r="B17" s="52">
        <v>17.850000000000001</v>
      </c>
      <c r="C17" s="52">
        <v>60.27</v>
      </c>
      <c r="D17" s="52">
        <v>44.32</v>
      </c>
      <c r="E17" s="52">
        <v>5.0199999999999996</v>
      </c>
      <c r="F17" s="52">
        <v>10.25</v>
      </c>
      <c r="G17" s="52">
        <v>19.09</v>
      </c>
      <c r="H17" s="52">
        <v>9.6999999999999993</v>
      </c>
      <c r="I17" s="52">
        <v>4.17</v>
      </c>
      <c r="J17" s="52">
        <v>0.66</v>
      </c>
      <c r="K17" s="52">
        <v>276.22000000000003</v>
      </c>
      <c r="L17" s="52">
        <v>32.35</v>
      </c>
      <c r="M17" s="52">
        <v>49.69</v>
      </c>
      <c r="N17" s="52">
        <v>134.9</v>
      </c>
      <c r="O17" s="52">
        <v>0</v>
      </c>
      <c r="P17" s="52">
        <v>0.4</v>
      </c>
      <c r="Q17" s="52">
        <v>5.27</v>
      </c>
      <c r="R17" s="50"/>
      <c r="S17" s="50"/>
      <c r="T17" s="50"/>
      <c r="U17" s="50"/>
    </row>
    <row r="18" spans="1:21" customFormat="1">
      <c r="A18" s="51" t="s">
        <v>522</v>
      </c>
      <c r="B18" s="52">
        <v>14.5</v>
      </c>
      <c r="C18" s="52">
        <v>59.87</v>
      </c>
      <c r="D18" s="52">
        <v>40.89</v>
      </c>
      <c r="E18" s="52">
        <v>5.6</v>
      </c>
      <c r="F18" s="52">
        <v>14.01</v>
      </c>
      <c r="G18" s="52">
        <v>21.62</v>
      </c>
      <c r="H18" s="52">
        <v>10.59</v>
      </c>
      <c r="I18" s="52">
        <v>4.37</v>
      </c>
      <c r="J18" s="52">
        <v>0.99</v>
      </c>
      <c r="K18" s="52">
        <v>269.07</v>
      </c>
      <c r="L18" s="52">
        <v>34.25</v>
      </c>
      <c r="M18" s="52">
        <v>48.32</v>
      </c>
      <c r="N18" s="52">
        <v>163.30000000000001</v>
      </c>
      <c r="O18" s="52">
        <v>0</v>
      </c>
      <c r="P18" s="52">
        <v>0.42</v>
      </c>
      <c r="Q18" s="52">
        <v>5.21</v>
      </c>
      <c r="R18" s="50"/>
      <c r="S18" s="50"/>
      <c r="T18" s="50"/>
      <c r="U18" s="50"/>
    </row>
    <row r="19" spans="1:21" customFormat="1">
      <c r="A19" s="51" t="s">
        <v>523</v>
      </c>
      <c r="B19" s="52">
        <v>10.47</v>
      </c>
      <c r="C19" s="52">
        <v>51.77</v>
      </c>
      <c r="D19" s="52">
        <v>34.4</v>
      </c>
      <c r="E19" s="52">
        <v>8.8800000000000008</v>
      </c>
      <c r="F19" s="52">
        <v>21.06</v>
      </c>
      <c r="G19" s="52">
        <v>28.07</v>
      </c>
      <c r="H19" s="52">
        <v>13.18</v>
      </c>
      <c r="I19" s="52">
        <v>4.4800000000000004</v>
      </c>
      <c r="J19" s="52">
        <v>1.08</v>
      </c>
      <c r="K19" s="52">
        <v>277.67</v>
      </c>
      <c r="L19" s="52">
        <v>36.24</v>
      </c>
      <c r="M19" s="52">
        <v>44.3</v>
      </c>
      <c r="N19" s="52">
        <v>232</v>
      </c>
      <c r="O19" s="52">
        <v>0</v>
      </c>
      <c r="P19" s="52">
        <v>0.44</v>
      </c>
      <c r="Q19" s="52">
        <v>4.8899999999999997</v>
      </c>
      <c r="R19" s="50"/>
      <c r="S19" s="50"/>
      <c r="T19" s="50"/>
      <c r="U19" s="50"/>
    </row>
    <row r="20" spans="1:21" customFormat="1">
      <c r="A20" s="51" t="s">
        <v>524</v>
      </c>
      <c r="B20" s="52">
        <v>6.37</v>
      </c>
      <c r="C20" s="52">
        <v>51.01</v>
      </c>
      <c r="D20" s="52">
        <v>30.5</v>
      </c>
      <c r="E20" s="52">
        <v>19.850000000000001</v>
      </c>
      <c r="F20" s="52">
        <v>41.55</v>
      </c>
      <c r="G20" s="52">
        <v>31.95</v>
      </c>
      <c r="H20" s="52">
        <v>12.17</v>
      </c>
      <c r="I20" s="52">
        <v>5.25</v>
      </c>
      <c r="J20" s="52">
        <v>1.29</v>
      </c>
      <c r="K20" s="52">
        <v>302.02</v>
      </c>
      <c r="L20" s="52">
        <v>37.909999999999997</v>
      </c>
      <c r="M20" s="52">
        <v>38.69</v>
      </c>
      <c r="N20" s="52">
        <v>820.9</v>
      </c>
      <c r="O20" s="52">
        <v>0</v>
      </c>
      <c r="P20" s="52">
        <v>0.56000000000000005</v>
      </c>
      <c r="Q20" s="52">
        <v>4.6399999999999997</v>
      </c>
      <c r="R20" s="50"/>
      <c r="S20" s="50"/>
      <c r="T20" s="50"/>
      <c r="U20" s="50"/>
    </row>
    <row r="21" spans="1:21" customFormat="1">
      <c r="A21" s="51" t="s">
        <v>525</v>
      </c>
      <c r="B21" s="52">
        <v>4.22</v>
      </c>
      <c r="C21" s="52">
        <v>54.94</v>
      </c>
      <c r="D21" s="52">
        <v>30.71</v>
      </c>
      <c r="E21" s="52">
        <v>19.39</v>
      </c>
      <c r="F21" s="52">
        <v>49.72</v>
      </c>
      <c r="G21" s="52">
        <v>34.06</v>
      </c>
      <c r="H21" s="52">
        <v>11.31</v>
      </c>
      <c r="I21" s="52">
        <v>6.72</v>
      </c>
      <c r="J21" s="52">
        <v>0.83</v>
      </c>
      <c r="K21" s="52">
        <v>312.45999999999998</v>
      </c>
      <c r="L21" s="52">
        <v>39.46</v>
      </c>
      <c r="M21" s="52">
        <v>32.03</v>
      </c>
      <c r="N21" s="52">
        <v>849.6</v>
      </c>
      <c r="O21" s="52">
        <v>0</v>
      </c>
      <c r="P21" s="52">
        <v>0.64</v>
      </c>
      <c r="Q21" s="52">
        <v>4.6399999999999997</v>
      </c>
      <c r="R21" s="50"/>
      <c r="S21" s="50"/>
      <c r="T21" s="50"/>
      <c r="U21" s="50"/>
    </row>
    <row r="22" spans="1:21" customFormat="1">
      <c r="A22" s="51" t="s">
        <v>526</v>
      </c>
      <c r="B22" s="52">
        <v>3.58</v>
      </c>
      <c r="C22" s="52">
        <v>51.56</v>
      </c>
      <c r="D22" s="52">
        <v>28.77</v>
      </c>
      <c r="E22" s="52">
        <v>20.350000000000001</v>
      </c>
      <c r="F22" s="52">
        <v>50.28</v>
      </c>
      <c r="G22" s="52">
        <v>46</v>
      </c>
      <c r="H22" s="52">
        <v>14.43</v>
      </c>
      <c r="I22" s="52">
        <v>7.25</v>
      </c>
      <c r="J22" s="52">
        <v>0.82</v>
      </c>
      <c r="K22" s="52">
        <v>324.81</v>
      </c>
      <c r="L22" s="52">
        <v>40.81</v>
      </c>
      <c r="M22" s="52">
        <v>27.43</v>
      </c>
      <c r="N22" s="52">
        <v>802</v>
      </c>
      <c r="O22" s="52">
        <v>0</v>
      </c>
      <c r="P22" s="52">
        <v>0.69</v>
      </c>
      <c r="Q22" s="52">
        <v>4.62</v>
      </c>
      <c r="R22" s="50"/>
      <c r="S22" s="50"/>
      <c r="T22" s="50"/>
      <c r="U22" s="50"/>
    </row>
    <row r="23" spans="1:21" customFormat="1">
      <c r="A23" s="51" t="s">
        <v>527</v>
      </c>
      <c r="B23" s="52">
        <v>3.39</v>
      </c>
      <c r="C23" s="52">
        <v>48.73</v>
      </c>
      <c r="D23" s="52">
        <v>27.13</v>
      </c>
      <c r="E23" s="52">
        <v>27.57</v>
      </c>
      <c r="F23" s="52">
        <v>80.2</v>
      </c>
      <c r="G23" s="52">
        <v>48.66</v>
      </c>
      <c r="H23" s="52">
        <v>19.12</v>
      </c>
      <c r="I23" s="52">
        <v>7.11</v>
      </c>
      <c r="J23" s="52">
        <v>0.32</v>
      </c>
      <c r="K23" s="52">
        <v>230.94</v>
      </c>
      <c r="L23" s="52">
        <v>40.93</v>
      </c>
      <c r="M23" s="52">
        <v>28.86</v>
      </c>
      <c r="N23" s="52">
        <v>697.7</v>
      </c>
      <c r="O23" s="52">
        <v>0</v>
      </c>
      <c r="P23" s="52">
        <v>0.65</v>
      </c>
      <c r="Q23" s="52">
        <v>4.6399999999999997</v>
      </c>
      <c r="R23" s="50"/>
      <c r="S23" s="50"/>
      <c r="T23" s="50"/>
      <c r="U23" s="50"/>
    </row>
    <row r="24" spans="1:21" customFormat="1">
      <c r="A24" s="51" t="s">
        <v>528</v>
      </c>
      <c r="B24" s="52">
        <v>6.22</v>
      </c>
      <c r="C24" s="52">
        <v>53.4</v>
      </c>
      <c r="D24" s="52">
        <v>31.24</v>
      </c>
      <c r="E24" s="52">
        <v>15.95</v>
      </c>
      <c r="F24" s="52">
        <v>35.31</v>
      </c>
      <c r="G24" s="52">
        <v>52.07</v>
      </c>
      <c r="H24" s="52">
        <v>17.100000000000001</v>
      </c>
      <c r="I24" s="52">
        <v>7.04</v>
      </c>
      <c r="J24" s="52">
        <v>1.57</v>
      </c>
      <c r="K24" s="52">
        <v>319.08</v>
      </c>
      <c r="L24" s="52">
        <v>39.58</v>
      </c>
      <c r="M24" s="52">
        <v>25.18</v>
      </c>
      <c r="N24" s="52">
        <v>506.8</v>
      </c>
      <c r="O24" s="52">
        <v>0</v>
      </c>
      <c r="P24" s="52">
        <v>0.63</v>
      </c>
      <c r="Q24" s="52">
        <v>4.59</v>
      </c>
      <c r="R24" s="50"/>
      <c r="S24" s="50"/>
      <c r="T24" s="50"/>
      <c r="U24" s="50"/>
    </row>
    <row r="25" spans="1:21" customFormat="1">
      <c r="A25" s="51" t="s">
        <v>529</v>
      </c>
      <c r="B25" s="52">
        <v>5.79</v>
      </c>
      <c r="C25" s="52">
        <v>49.34</v>
      </c>
      <c r="D25" s="52">
        <v>28.63</v>
      </c>
      <c r="E25" s="52">
        <v>17.16</v>
      </c>
      <c r="F25" s="52">
        <v>42.78</v>
      </c>
      <c r="G25" s="52">
        <v>52.52</v>
      </c>
      <c r="H25" s="52">
        <v>20.399999999999999</v>
      </c>
      <c r="I25" s="52">
        <v>6.37</v>
      </c>
      <c r="J25" s="52">
        <v>0.55000000000000004</v>
      </c>
      <c r="K25" s="52">
        <v>300.57</v>
      </c>
      <c r="L25" s="52">
        <v>40.340000000000003</v>
      </c>
      <c r="M25" s="52">
        <v>25.66</v>
      </c>
      <c r="N25" s="52">
        <v>359.5</v>
      </c>
      <c r="O25" s="52">
        <v>0</v>
      </c>
      <c r="P25" s="52">
        <v>0.63</v>
      </c>
      <c r="Q25" s="52">
        <v>4.7300000000000004</v>
      </c>
      <c r="R25" s="50"/>
      <c r="S25" s="50"/>
      <c r="T25" s="50"/>
      <c r="U25" s="50"/>
    </row>
    <row r="26" spans="1:21" customFormat="1">
      <c r="A26" s="51" t="s">
        <v>530</v>
      </c>
      <c r="B26" s="52">
        <v>6.47</v>
      </c>
      <c r="C26" s="52">
        <v>52.5</v>
      </c>
      <c r="D26" s="52">
        <v>31.57</v>
      </c>
      <c r="E26" s="52">
        <v>33.1</v>
      </c>
      <c r="F26" s="52">
        <v>43.89</v>
      </c>
      <c r="G26" s="52">
        <v>50.62</v>
      </c>
      <c r="H26" s="52">
        <v>22.45</v>
      </c>
      <c r="I26" s="52">
        <v>6.46</v>
      </c>
      <c r="J26" s="52">
        <v>0.61</v>
      </c>
      <c r="K26" s="52">
        <v>153.04</v>
      </c>
      <c r="L26" s="52">
        <v>38.369999999999997</v>
      </c>
      <c r="M26" s="52">
        <v>30.2</v>
      </c>
      <c r="N26" s="52">
        <v>114.4</v>
      </c>
      <c r="O26" s="52">
        <v>0</v>
      </c>
      <c r="P26" s="52">
        <v>0.61</v>
      </c>
      <c r="Q26" s="52">
        <v>4.75</v>
      </c>
      <c r="R26" s="50"/>
      <c r="S26" s="50"/>
      <c r="T26" s="50"/>
      <c r="U26" s="50"/>
    </row>
    <row r="27" spans="1:21" customFormat="1">
      <c r="A27" s="51" t="s">
        <v>531</v>
      </c>
      <c r="B27" s="52">
        <v>4.66</v>
      </c>
      <c r="C27" s="52">
        <v>46.65</v>
      </c>
      <c r="D27" s="52">
        <v>27.07</v>
      </c>
      <c r="E27" s="52">
        <v>15.55</v>
      </c>
      <c r="F27" s="52">
        <v>46.87</v>
      </c>
      <c r="G27" s="52">
        <v>52.44</v>
      </c>
      <c r="H27" s="52">
        <v>20.61</v>
      </c>
      <c r="I27" s="52">
        <v>5.34</v>
      </c>
      <c r="J27" s="52">
        <v>0.22</v>
      </c>
      <c r="K27" s="52">
        <v>203.74</v>
      </c>
      <c r="L27" s="52">
        <v>35.130000000000003</v>
      </c>
      <c r="M27" s="52">
        <v>37.26</v>
      </c>
      <c r="N27" s="52">
        <v>11.9</v>
      </c>
      <c r="O27" s="52">
        <v>0</v>
      </c>
      <c r="P27" s="52">
        <v>0.52</v>
      </c>
      <c r="Q27" s="52">
        <v>4.68</v>
      </c>
      <c r="R27" s="50"/>
      <c r="S27" s="50"/>
      <c r="T27" s="50"/>
      <c r="U27" s="50"/>
    </row>
    <row r="28" spans="1:21" customFormat="1">
      <c r="A28" s="51" t="s">
        <v>532</v>
      </c>
      <c r="B28" s="52">
        <v>5.38</v>
      </c>
      <c r="C28" s="52">
        <v>48.03</v>
      </c>
      <c r="D28" s="52">
        <v>28.36</v>
      </c>
      <c r="E28" s="52">
        <v>10.220000000000001</v>
      </c>
      <c r="F28" s="52">
        <v>35.96</v>
      </c>
      <c r="G28" s="52">
        <v>53.15</v>
      </c>
      <c r="H28" s="52">
        <v>20.91</v>
      </c>
      <c r="I28" s="52">
        <v>5.16</v>
      </c>
      <c r="J28" s="52">
        <v>0.19</v>
      </c>
      <c r="K28" s="52">
        <v>218.6</v>
      </c>
      <c r="L28" s="52">
        <v>32.4</v>
      </c>
      <c r="M28" s="52">
        <v>45.37</v>
      </c>
      <c r="N28" s="52">
        <v>0</v>
      </c>
      <c r="O28" s="52">
        <v>0</v>
      </c>
      <c r="P28" s="52">
        <v>0.57999999999999996</v>
      </c>
      <c r="Q28" s="52">
        <v>4.72</v>
      </c>
      <c r="R28" s="50"/>
      <c r="S28" s="50"/>
      <c r="T28" s="50"/>
      <c r="U28" s="50"/>
    </row>
    <row r="29" spans="1:21" customFormat="1">
      <c r="A29" s="51" t="s">
        <v>533</v>
      </c>
      <c r="B29" s="52">
        <v>6.6</v>
      </c>
      <c r="C29" s="52">
        <v>50</v>
      </c>
      <c r="D29" s="52">
        <v>30.29</v>
      </c>
      <c r="E29" s="52">
        <v>10.3</v>
      </c>
      <c r="F29" s="52">
        <v>24.58</v>
      </c>
      <c r="G29" s="52">
        <v>49.61</v>
      </c>
      <c r="H29" s="52">
        <v>20.260000000000002</v>
      </c>
      <c r="I29" s="52">
        <v>6.01</v>
      </c>
      <c r="J29" s="52">
        <v>0.22</v>
      </c>
      <c r="K29" s="52">
        <v>232.49</v>
      </c>
      <c r="L29" s="52">
        <v>31.13</v>
      </c>
      <c r="M29" s="52">
        <v>48.34</v>
      </c>
      <c r="N29" s="52">
        <v>0</v>
      </c>
      <c r="O29" s="52">
        <v>0</v>
      </c>
      <c r="P29" s="52">
        <v>0.63</v>
      </c>
      <c r="Q29" s="52">
        <v>4.79</v>
      </c>
      <c r="R29" s="50"/>
      <c r="S29" s="50"/>
      <c r="T29" s="50"/>
      <c r="U29" s="50"/>
    </row>
    <row r="30" spans="1:21" customFormat="1">
      <c r="A30" s="51" t="s">
        <v>534</v>
      </c>
      <c r="B30" s="52">
        <v>8.23</v>
      </c>
      <c r="C30" s="52">
        <v>53.99</v>
      </c>
      <c r="D30" s="52">
        <v>33.76</v>
      </c>
      <c r="E30" s="52">
        <v>8.94</v>
      </c>
      <c r="F30" s="52">
        <v>23.93</v>
      </c>
      <c r="G30" s="52">
        <v>51.45</v>
      </c>
      <c r="H30" s="52">
        <v>20.39</v>
      </c>
      <c r="I30" s="52">
        <v>5.91</v>
      </c>
      <c r="J30" s="52">
        <v>0.28000000000000003</v>
      </c>
      <c r="K30" s="52">
        <v>240.46</v>
      </c>
      <c r="L30" s="52">
        <v>31.15</v>
      </c>
      <c r="M30" s="52">
        <v>43.47</v>
      </c>
      <c r="N30" s="52">
        <v>0</v>
      </c>
      <c r="O30" s="52">
        <v>0</v>
      </c>
      <c r="P30" s="52">
        <v>0.59</v>
      </c>
      <c r="Q30" s="52">
        <v>4.83</v>
      </c>
      <c r="R30" s="50"/>
      <c r="S30" s="50"/>
      <c r="T30" s="50"/>
      <c r="U30" s="50"/>
    </row>
    <row r="31" spans="1:21" customFormat="1">
      <c r="A31" s="51" t="s">
        <v>535</v>
      </c>
      <c r="B31" s="52">
        <v>8.41</v>
      </c>
      <c r="C31" s="52">
        <v>51.94</v>
      </c>
      <c r="D31" s="52">
        <v>32.840000000000003</v>
      </c>
      <c r="E31" s="52">
        <v>6.44</v>
      </c>
      <c r="F31" s="52">
        <v>23.95</v>
      </c>
      <c r="G31" s="52">
        <v>50.94</v>
      </c>
      <c r="H31" s="52">
        <v>17.12</v>
      </c>
      <c r="I31" s="52">
        <v>5.36</v>
      </c>
      <c r="J31" s="52">
        <v>0.35</v>
      </c>
      <c r="K31" s="52">
        <v>234.18</v>
      </c>
      <c r="L31" s="52">
        <v>30.7</v>
      </c>
      <c r="M31" s="52">
        <v>45.62</v>
      </c>
      <c r="N31" s="52">
        <v>0</v>
      </c>
      <c r="O31" s="52">
        <v>0</v>
      </c>
      <c r="P31" s="52">
        <v>0.54</v>
      </c>
      <c r="Q31" s="52">
        <v>4.88</v>
      </c>
      <c r="R31" s="50"/>
      <c r="S31" s="50"/>
      <c r="T31" s="50"/>
      <c r="U31" s="50"/>
    </row>
    <row r="32" spans="1:21" customFormat="1">
      <c r="A32" s="51" t="s">
        <v>536</v>
      </c>
      <c r="B32" s="52">
        <v>8.8699999999999992</v>
      </c>
      <c r="C32" s="52">
        <v>50.17</v>
      </c>
      <c r="D32" s="52">
        <v>32.22</v>
      </c>
      <c r="E32" s="52">
        <v>6.28</v>
      </c>
      <c r="F32" s="52">
        <v>21.39</v>
      </c>
      <c r="G32" s="52">
        <v>39.950000000000003</v>
      </c>
      <c r="H32" s="52">
        <v>16.27</v>
      </c>
      <c r="I32" s="52">
        <v>4.76</v>
      </c>
      <c r="J32" s="52">
        <v>0.19</v>
      </c>
      <c r="K32" s="52">
        <v>226.7</v>
      </c>
      <c r="L32" s="52">
        <v>29.59</v>
      </c>
      <c r="M32" s="52">
        <v>50.18</v>
      </c>
      <c r="N32" s="52">
        <v>0</v>
      </c>
      <c r="O32" s="52">
        <v>0</v>
      </c>
      <c r="P32" s="52">
        <v>0.5</v>
      </c>
      <c r="Q32" s="52">
        <v>4.8499999999999996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3.39</v>
      </c>
      <c r="C34" s="41">
        <f t="shared" si="0"/>
        <v>46.65</v>
      </c>
      <c r="D34" s="41">
        <f t="shared" si="0"/>
        <v>27.07</v>
      </c>
      <c r="E34" s="41">
        <f t="shared" si="0"/>
        <v>5</v>
      </c>
      <c r="F34" s="41">
        <f t="shared" si="0"/>
        <v>5.03</v>
      </c>
      <c r="G34" s="41">
        <f t="shared" si="0"/>
        <v>16.89</v>
      </c>
      <c r="H34" s="41">
        <f t="shared" si="0"/>
        <v>6.94</v>
      </c>
      <c r="I34" s="41">
        <f t="shared" si="0"/>
        <v>3.89</v>
      </c>
      <c r="J34" s="41">
        <f t="shared" si="0"/>
        <v>0.19</v>
      </c>
      <c r="K34" s="41">
        <f t="shared" si="0"/>
        <v>153.04</v>
      </c>
      <c r="L34" s="41">
        <f t="shared" si="0"/>
        <v>25.78</v>
      </c>
      <c r="M34" s="41">
        <f t="shared" si="0"/>
        <v>25.18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4.59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20.41</v>
      </c>
      <c r="C35" s="33">
        <f t="shared" si="1"/>
        <v>61.22</v>
      </c>
      <c r="D35" s="33">
        <f t="shared" si="1"/>
        <v>46.98</v>
      </c>
      <c r="E35" s="33">
        <f t="shared" si="1"/>
        <v>33.1</v>
      </c>
      <c r="F35" s="33">
        <f t="shared" si="1"/>
        <v>80.2</v>
      </c>
      <c r="G35" s="33">
        <f t="shared" si="1"/>
        <v>53.15</v>
      </c>
      <c r="H35" s="33">
        <f t="shared" si="1"/>
        <v>22.45</v>
      </c>
      <c r="I35" s="33">
        <f t="shared" si="1"/>
        <v>7.25</v>
      </c>
      <c r="J35" s="33">
        <f t="shared" si="1"/>
        <v>1.57</v>
      </c>
      <c r="K35" s="33">
        <f t="shared" si="1"/>
        <v>324.81</v>
      </c>
      <c r="L35" s="33">
        <f t="shared" si="1"/>
        <v>40.93</v>
      </c>
      <c r="M35" s="33">
        <f t="shared" si="1"/>
        <v>69.02</v>
      </c>
      <c r="N35" s="33">
        <f t="shared" si="1"/>
        <v>849.6</v>
      </c>
      <c r="O35" s="33">
        <f t="shared" si="1"/>
        <v>0</v>
      </c>
      <c r="P35" s="33">
        <f t="shared" si="1"/>
        <v>0.69</v>
      </c>
      <c r="Q35" s="33">
        <f t="shared" si="1"/>
        <v>5.37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9.8024999999999984</v>
      </c>
      <c r="C36" s="41">
        <f t="shared" si="2"/>
        <v>54.25416666666667</v>
      </c>
      <c r="D36" s="41">
        <f t="shared" si="2"/>
        <v>34.99</v>
      </c>
      <c r="E36" s="41">
        <f t="shared" si="2"/>
        <v>11.474166666666667</v>
      </c>
      <c r="F36" s="41">
        <f t="shared" si="2"/>
        <v>26.583333333333332</v>
      </c>
      <c r="G36" s="41">
        <f t="shared" si="2"/>
        <v>35.705000000000005</v>
      </c>
      <c r="H36" s="41">
        <f t="shared" si="2"/>
        <v>14.103333333333332</v>
      </c>
      <c r="I36" s="41">
        <f t="shared" si="2"/>
        <v>5.1837500000000007</v>
      </c>
      <c r="J36" s="41">
        <f t="shared" si="2"/>
        <v>0.59458333333333335</v>
      </c>
      <c r="K36" s="41">
        <f t="shared" si="2"/>
        <v>249.94500000000002</v>
      </c>
      <c r="L36" s="41">
        <f t="shared" si="2"/>
        <v>33.061250000000001</v>
      </c>
      <c r="M36" s="41">
        <f t="shared" si="2"/>
        <v>46.807083333333331</v>
      </c>
      <c r="N36" s="41">
        <f t="shared" si="2"/>
        <v>203.29999999999998</v>
      </c>
      <c r="O36" s="41">
        <f t="shared" si="2"/>
        <v>0</v>
      </c>
      <c r="P36" s="41">
        <f t="shared" si="2"/>
        <v>0.50624999999999998</v>
      </c>
      <c r="Q36" s="41">
        <f t="shared" si="2"/>
        <v>4.876666666666666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5.1359773211608202</v>
      </c>
      <c r="C37" s="41">
        <f t="shared" ref="C37:Q37" si="3">STDEV(C9:C32)</f>
        <v>4.6225994161639079</v>
      </c>
      <c r="D37" s="41">
        <f t="shared" si="3"/>
        <v>6.3102373689246853</v>
      </c>
      <c r="E37" s="41">
        <f t="shared" si="3"/>
        <v>7.8856258424766938</v>
      </c>
      <c r="F37" s="41">
        <f t="shared" si="3"/>
        <v>19.120381264769406</v>
      </c>
      <c r="G37" s="41">
        <f t="shared" si="3"/>
        <v>14.003667842514618</v>
      </c>
      <c r="H37" s="41">
        <f t="shared" si="3"/>
        <v>5.0619635876128992</v>
      </c>
      <c r="I37" s="41">
        <f t="shared" si="3"/>
        <v>1.1491123701059136</v>
      </c>
      <c r="J37" s="41">
        <f t="shared" si="3"/>
        <v>0.37433975693638039</v>
      </c>
      <c r="K37" s="41">
        <f t="shared" si="3"/>
        <v>43.015102605641772</v>
      </c>
      <c r="L37" s="41">
        <f t="shared" si="3"/>
        <v>5.0326916581574039</v>
      </c>
      <c r="M37" s="41">
        <f t="shared" si="3"/>
        <v>14.26146022134224</v>
      </c>
      <c r="N37" s="41">
        <f t="shared" si="3"/>
        <v>298.32134556111021</v>
      </c>
      <c r="O37" s="41">
        <f t="shared" si="3"/>
        <v>0</v>
      </c>
      <c r="P37" s="41">
        <f t="shared" si="3"/>
        <v>0.10997282272966578</v>
      </c>
      <c r="Q37" s="41">
        <f t="shared" si="3"/>
        <v>0.23545823347283712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537</v>
      </c>
      <c r="B9" s="52">
        <v>10.61</v>
      </c>
      <c r="C9" s="52">
        <v>53.55</v>
      </c>
      <c r="D9" s="52">
        <v>35.03</v>
      </c>
      <c r="E9" s="52">
        <v>6.14</v>
      </c>
      <c r="F9" s="52">
        <v>15.63</v>
      </c>
      <c r="G9" s="52">
        <v>26.35</v>
      </c>
      <c r="H9" s="52">
        <v>11.77</v>
      </c>
      <c r="I9" s="52">
        <v>4.62</v>
      </c>
      <c r="J9" s="52">
        <v>0.2</v>
      </c>
      <c r="K9" s="52">
        <v>220.22</v>
      </c>
      <c r="L9" s="52">
        <v>28.83</v>
      </c>
      <c r="M9" s="52">
        <v>52.23</v>
      </c>
      <c r="N9" s="52">
        <v>0</v>
      </c>
      <c r="O9" s="52">
        <v>0</v>
      </c>
      <c r="P9" s="52">
        <v>0.48</v>
      </c>
      <c r="Q9" s="52">
        <v>4.9000000000000004</v>
      </c>
      <c r="R9" s="50"/>
      <c r="S9" s="50"/>
      <c r="T9" s="50"/>
      <c r="U9" s="50"/>
    </row>
    <row r="10" spans="1:21" customFormat="1">
      <c r="A10" s="51" t="s">
        <v>538</v>
      </c>
      <c r="B10" s="52">
        <v>12.55</v>
      </c>
      <c r="C10" s="52">
        <v>54.78</v>
      </c>
      <c r="D10" s="52">
        <v>37.64</v>
      </c>
      <c r="E10" s="52">
        <v>6.1</v>
      </c>
      <c r="F10" s="52">
        <v>13.03</v>
      </c>
      <c r="G10" s="52">
        <v>28.41</v>
      </c>
      <c r="H10" s="52">
        <v>13.04</v>
      </c>
      <c r="I10" s="52">
        <v>4.49</v>
      </c>
      <c r="J10" s="52">
        <v>0.22</v>
      </c>
      <c r="K10" s="52">
        <v>200.59</v>
      </c>
      <c r="L10" s="52">
        <v>28.34</v>
      </c>
      <c r="M10" s="52">
        <v>54.77</v>
      </c>
      <c r="N10" s="52">
        <v>0</v>
      </c>
      <c r="O10" s="52">
        <v>0</v>
      </c>
      <c r="P10" s="52">
        <v>0.47</v>
      </c>
      <c r="Q10" s="52">
        <v>4.95</v>
      </c>
      <c r="R10" s="50"/>
      <c r="S10" s="50"/>
      <c r="T10" s="50"/>
      <c r="U10" s="50"/>
    </row>
    <row r="11" spans="1:21" customFormat="1">
      <c r="A11" s="51" t="s">
        <v>539</v>
      </c>
      <c r="B11" s="52">
        <v>14</v>
      </c>
      <c r="C11" s="52">
        <v>56.58</v>
      </c>
      <c r="D11" s="52">
        <v>39.75</v>
      </c>
      <c r="E11" s="52">
        <v>6.77</v>
      </c>
      <c r="F11" s="52">
        <v>10.75</v>
      </c>
      <c r="G11" s="52">
        <v>25.27</v>
      </c>
      <c r="H11" s="52">
        <v>12.45</v>
      </c>
      <c r="I11" s="52">
        <v>4.46</v>
      </c>
      <c r="J11" s="52">
        <v>0.17</v>
      </c>
      <c r="K11" s="52">
        <v>185.92</v>
      </c>
      <c r="L11" s="52">
        <v>27.69</v>
      </c>
      <c r="M11" s="52">
        <v>58.78</v>
      </c>
      <c r="N11" s="52">
        <v>0</v>
      </c>
      <c r="O11" s="52">
        <v>0</v>
      </c>
      <c r="P11" s="52">
        <v>0.47</v>
      </c>
      <c r="Q11" s="52">
        <v>5.0599999999999996</v>
      </c>
      <c r="R11" s="50"/>
      <c r="S11" s="50"/>
      <c r="T11" s="50"/>
      <c r="U11" s="50"/>
    </row>
    <row r="12" spans="1:21" customFormat="1">
      <c r="A12" s="51" t="s">
        <v>540</v>
      </c>
      <c r="B12" s="52">
        <v>16.43</v>
      </c>
      <c r="C12" s="52">
        <v>57.65</v>
      </c>
      <c r="D12" s="52">
        <v>42.26</v>
      </c>
      <c r="E12" s="52">
        <v>6.31</v>
      </c>
      <c r="F12" s="52">
        <v>7.34</v>
      </c>
      <c r="G12" s="52">
        <v>28.02</v>
      </c>
      <c r="H12" s="52">
        <v>11.65</v>
      </c>
      <c r="I12" s="52">
        <v>4.5199999999999996</v>
      </c>
      <c r="J12" s="52">
        <v>0.28000000000000003</v>
      </c>
      <c r="K12" s="52">
        <v>191.29</v>
      </c>
      <c r="L12" s="52">
        <v>26.94</v>
      </c>
      <c r="M12" s="52">
        <v>60.05</v>
      </c>
      <c r="N12" s="52">
        <v>0</v>
      </c>
      <c r="O12" s="52">
        <v>0</v>
      </c>
      <c r="P12" s="52">
        <v>0.46</v>
      </c>
      <c r="Q12" s="52">
        <v>5.13</v>
      </c>
      <c r="R12" s="50"/>
      <c r="S12" s="50"/>
      <c r="T12" s="50"/>
      <c r="U12" s="50"/>
    </row>
    <row r="13" spans="1:21" customFormat="1">
      <c r="A13" s="51" t="s">
        <v>541</v>
      </c>
      <c r="B13" s="52">
        <v>18.989999999999998</v>
      </c>
      <c r="C13" s="52">
        <v>59.11</v>
      </c>
      <c r="D13" s="52">
        <v>45.06</v>
      </c>
      <c r="E13" s="52">
        <v>6.3</v>
      </c>
      <c r="F13" s="52">
        <v>5.41</v>
      </c>
      <c r="G13" s="52">
        <v>27.49</v>
      </c>
      <c r="H13" s="52">
        <v>12.43</v>
      </c>
      <c r="I13" s="52">
        <v>4.41</v>
      </c>
      <c r="J13" s="52">
        <v>0.23</v>
      </c>
      <c r="K13" s="52">
        <v>256.05</v>
      </c>
      <c r="L13" s="52">
        <v>26.35</v>
      </c>
      <c r="M13" s="52">
        <v>63.17</v>
      </c>
      <c r="N13" s="52">
        <v>0</v>
      </c>
      <c r="O13" s="52">
        <v>0</v>
      </c>
      <c r="P13" s="52">
        <v>0.46</v>
      </c>
      <c r="Q13" s="52">
        <v>5.22</v>
      </c>
      <c r="R13" s="50"/>
      <c r="S13" s="50"/>
      <c r="T13" s="50"/>
      <c r="U13" s="50"/>
    </row>
    <row r="14" spans="1:21" customFormat="1">
      <c r="A14" s="51" t="s">
        <v>542</v>
      </c>
      <c r="B14" s="52">
        <v>24.01</v>
      </c>
      <c r="C14" s="52">
        <v>61.21</v>
      </c>
      <c r="D14" s="52">
        <v>50.19</v>
      </c>
      <c r="E14" s="52">
        <v>6.2</v>
      </c>
      <c r="F14" s="52">
        <v>5</v>
      </c>
      <c r="G14" s="52">
        <v>30.51</v>
      </c>
      <c r="H14" s="52">
        <v>11.45</v>
      </c>
      <c r="I14" s="52">
        <v>4.4400000000000004</v>
      </c>
      <c r="J14" s="52">
        <v>0.22</v>
      </c>
      <c r="K14" s="52">
        <v>252.29</v>
      </c>
      <c r="L14" s="52">
        <v>26.79</v>
      </c>
      <c r="M14" s="52">
        <v>62.33</v>
      </c>
      <c r="N14" s="52">
        <v>21.3</v>
      </c>
      <c r="O14" s="52">
        <v>0</v>
      </c>
      <c r="P14" s="52">
        <v>0.49</v>
      </c>
      <c r="Q14" s="52">
        <v>5.51</v>
      </c>
      <c r="R14" s="50"/>
      <c r="S14" s="50"/>
      <c r="T14" s="50"/>
      <c r="U14" s="50"/>
    </row>
    <row r="15" spans="1:21" customFormat="1">
      <c r="A15" s="51" t="s">
        <v>543</v>
      </c>
      <c r="B15" s="52">
        <v>24.16</v>
      </c>
      <c r="C15" s="52">
        <v>60.69</v>
      </c>
      <c r="D15" s="52">
        <v>50.04</v>
      </c>
      <c r="E15" s="52">
        <v>5.9</v>
      </c>
      <c r="F15" s="52">
        <v>6.48</v>
      </c>
      <c r="G15" s="52">
        <v>34.700000000000003</v>
      </c>
      <c r="H15" s="52">
        <v>13.87</v>
      </c>
      <c r="I15" s="52">
        <v>4.7</v>
      </c>
      <c r="J15" s="52">
        <v>0.21</v>
      </c>
      <c r="K15" s="52">
        <v>173.26</v>
      </c>
      <c r="L15" s="52">
        <v>29.03</v>
      </c>
      <c r="M15" s="52">
        <v>63.13</v>
      </c>
      <c r="N15" s="52">
        <v>68.7</v>
      </c>
      <c r="O15" s="52">
        <v>0</v>
      </c>
      <c r="P15" s="52">
        <v>0.5</v>
      </c>
      <c r="Q15" s="52">
        <v>5.59</v>
      </c>
      <c r="R15" s="50"/>
      <c r="S15" s="50"/>
      <c r="T15" s="50"/>
      <c r="U15" s="50"/>
    </row>
    <row r="16" spans="1:21" customFormat="1">
      <c r="A16" s="51" t="s">
        <v>544</v>
      </c>
      <c r="B16" s="52">
        <v>21.9</v>
      </c>
      <c r="C16" s="52">
        <v>57.38</v>
      </c>
      <c r="D16" s="52">
        <v>46.35</v>
      </c>
      <c r="E16" s="52">
        <v>6.47</v>
      </c>
      <c r="F16" s="52">
        <v>9.3000000000000007</v>
      </c>
      <c r="G16" s="52">
        <v>36.86</v>
      </c>
      <c r="H16" s="52">
        <v>13.07</v>
      </c>
      <c r="I16" s="52">
        <v>4.8600000000000003</v>
      </c>
      <c r="J16" s="52">
        <v>0.37</v>
      </c>
      <c r="K16" s="52">
        <v>240.13</v>
      </c>
      <c r="L16" s="52">
        <v>31.97</v>
      </c>
      <c r="M16" s="52">
        <v>53.46</v>
      </c>
      <c r="N16" s="52">
        <v>106.5</v>
      </c>
      <c r="O16" s="52">
        <v>0</v>
      </c>
      <c r="P16" s="52">
        <v>0.52</v>
      </c>
      <c r="Q16" s="52">
        <v>5.58</v>
      </c>
      <c r="R16" s="50"/>
      <c r="S16" s="50"/>
      <c r="T16" s="50"/>
      <c r="U16" s="50"/>
    </row>
    <row r="17" spans="1:21" customFormat="1">
      <c r="A17" s="51" t="s">
        <v>545</v>
      </c>
      <c r="B17" s="52">
        <v>19.829999999999998</v>
      </c>
      <c r="C17" s="52">
        <v>57.38</v>
      </c>
      <c r="D17" s="52">
        <v>44.83</v>
      </c>
      <c r="E17" s="52">
        <v>6.91</v>
      </c>
      <c r="F17" s="52">
        <v>13.34</v>
      </c>
      <c r="G17" s="52">
        <v>36.6</v>
      </c>
      <c r="H17" s="52">
        <v>17.79</v>
      </c>
      <c r="I17" s="52">
        <v>4.99</v>
      </c>
      <c r="J17" s="52">
        <v>0.66</v>
      </c>
      <c r="K17" s="52">
        <v>254.66</v>
      </c>
      <c r="L17" s="52">
        <v>34</v>
      </c>
      <c r="M17" s="52">
        <v>49.92</v>
      </c>
      <c r="N17" s="52">
        <v>137.6</v>
      </c>
      <c r="O17" s="52">
        <v>0</v>
      </c>
      <c r="P17" s="52">
        <v>0.52</v>
      </c>
      <c r="Q17" s="52">
        <v>5.45</v>
      </c>
      <c r="R17" s="50"/>
      <c r="S17" s="50"/>
      <c r="T17" s="50"/>
      <c r="U17" s="50"/>
    </row>
    <row r="18" spans="1:21" customFormat="1">
      <c r="A18" s="51" t="s">
        <v>546</v>
      </c>
      <c r="B18" s="52">
        <v>13.15</v>
      </c>
      <c r="C18" s="52">
        <v>56.47</v>
      </c>
      <c r="D18" s="52">
        <v>38.61</v>
      </c>
      <c r="E18" s="52">
        <v>7.04</v>
      </c>
      <c r="F18" s="52">
        <v>19.84</v>
      </c>
      <c r="G18" s="52">
        <v>38.229999999999997</v>
      </c>
      <c r="H18" s="52">
        <v>16.98</v>
      </c>
      <c r="I18" s="52">
        <v>4.92</v>
      </c>
      <c r="J18" s="52">
        <v>0.93</v>
      </c>
      <c r="K18" s="52">
        <v>255.96</v>
      </c>
      <c r="L18" s="52">
        <v>36.19</v>
      </c>
      <c r="M18" s="52">
        <v>43.41</v>
      </c>
      <c r="N18" s="52">
        <v>166.5</v>
      </c>
      <c r="O18" s="52">
        <v>0</v>
      </c>
      <c r="P18" s="52">
        <v>0.51</v>
      </c>
      <c r="Q18" s="52">
        <v>5.14</v>
      </c>
      <c r="R18" s="50"/>
      <c r="S18" s="50"/>
      <c r="T18" s="50"/>
      <c r="U18" s="50"/>
    </row>
    <row r="19" spans="1:21" customFormat="1">
      <c r="A19" s="51" t="s">
        <v>547</v>
      </c>
      <c r="B19" s="52">
        <v>8.98</v>
      </c>
      <c r="C19" s="52">
        <v>49.96</v>
      </c>
      <c r="D19" s="52">
        <v>32.090000000000003</v>
      </c>
      <c r="E19" s="52">
        <v>15.48</v>
      </c>
      <c r="F19" s="52">
        <v>34.32</v>
      </c>
      <c r="G19" s="52">
        <v>38.119999999999997</v>
      </c>
      <c r="H19" s="52">
        <v>16.809999999999999</v>
      </c>
      <c r="I19" s="52">
        <v>4.92</v>
      </c>
      <c r="J19" s="52">
        <v>1.1499999999999999</v>
      </c>
      <c r="K19" s="52">
        <v>292.97000000000003</v>
      </c>
      <c r="L19" s="52">
        <v>38.33</v>
      </c>
      <c r="M19" s="52">
        <v>34.909999999999997</v>
      </c>
      <c r="N19" s="52">
        <v>214.1</v>
      </c>
      <c r="O19" s="52">
        <v>0</v>
      </c>
      <c r="P19" s="52">
        <v>0.52</v>
      </c>
      <c r="Q19" s="52">
        <v>4.82</v>
      </c>
      <c r="R19" s="50"/>
      <c r="S19" s="50"/>
      <c r="T19" s="50"/>
      <c r="U19" s="50"/>
    </row>
    <row r="20" spans="1:21" customFormat="1">
      <c r="A20" s="51" t="s">
        <v>548</v>
      </c>
      <c r="B20" s="52">
        <v>5.86</v>
      </c>
      <c r="C20" s="52">
        <v>48.68</v>
      </c>
      <c r="D20" s="52">
        <v>28.76</v>
      </c>
      <c r="E20" s="52">
        <v>39.950000000000003</v>
      </c>
      <c r="F20" s="52">
        <v>53.42</v>
      </c>
      <c r="G20" s="52">
        <v>39.35</v>
      </c>
      <c r="H20" s="52">
        <v>15.31</v>
      </c>
      <c r="I20" s="52">
        <v>5.68</v>
      </c>
      <c r="J20" s="52">
        <v>1.02</v>
      </c>
      <c r="K20" s="52">
        <v>295.06</v>
      </c>
      <c r="L20" s="52">
        <v>40.090000000000003</v>
      </c>
      <c r="M20" s="52">
        <v>27.08</v>
      </c>
      <c r="N20" s="52">
        <v>704</v>
      </c>
      <c r="O20" s="52">
        <v>0</v>
      </c>
      <c r="P20" s="52">
        <v>0.71</v>
      </c>
      <c r="Q20" s="52">
        <v>4.6900000000000004</v>
      </c>
      <c r="R20" s="50"/>
      <c r="S20" s="50"/>
      <c r="T20" s="50"/>
      <c r="U20" s="50"/>
    </row>
    <row r="21" spans="1:21" customFormat="1">
      <c r="A21" s="51" t="s">
        <v>549</v>
      </c>
      <c r="B21" s="52">
        <v>3.64</v>
      </c>
      <c r="C21" s="52">
        <v>51.87</v>
      </c>
      <c r="D21" s="52">
        <v>28.78</v>
      </c>
      <c r="E21" s="52">
        <v>40.03</v>
      </c>
      <c r="F21" s="52">
        <v>59.17</v>
      </c>
      <c r="G21" s="52">
        <v>49.17</v>
      </c>
      <c r="H21" s="52">
        <v>17.64</v>
      </c>
      <c r="I21" s="52">
        <v>6.38</v>
      </c>
      <c r="J21" s="52">
        <v>0.7</v>
      </c>
      <c r="K21" s="52">
        <v>276.61</v>
      </c>
      <c r="L21" s="52">
        <v>41.67</v>
      </c>
      <c r="M21" s="52">
        <v>24.1</v>
      </c>
      <c r="N21" s="52">
        <v>844.6</v>
      </c>
      <c r="O21" s="52">
        <v>0</v>
      </c>
      <c r="P21" s="52">
        <v>0.78</v>
      </c>
      <c r="Q21" s="52">
        <v>4.67</v>
      </c>
      <c r="R21" s="50"/>
      <c r="S21" s="50"/>
      <c r="T21" s="50"/>
      <c r="U21" s="50"/>
    </row>
    <row r="22" spans="1:21" customFormat="1">
      <c r="A22" s="51" t="s">
        <v>550</v>
      </c>
      <c r="B22" s="52">
        <v>3.78</v>
      </c>
      <c r="C22" s="52">
        <v>49.79</v>
      </c>
      <c r="D22" s="52">
        <v>27.75</v>
      </c>
      <c r="E22" s="52">
        <v>22.01</v>
      </c>
      <c r="F22" s="52">
        <v>59.92</v>
      </c>
      <c r="G22" s="52">
        <v>49.21</v>
      </c>
      <c r="H22" s="52">
        <v>16.57</v>
      </c>
      <c r="I22" s="52">
        <v>6.17</v>
      </c>
      <c r="J22" s="52">
        <v>0.81</v>
      </c>
      <c r="K22" s="52">
        <v>300.97000000000003</v>
      </c>
      <c r="L22" s="52">
        <v>42.46</v>
      </c>
      <c r="M22" s="52">
        <v>17.73</v>
      </c>
      <c r="N22" s="52">
        <v>852.5</v>
      </c>
      <c r="O22" s="52">
        <v>0</v>
      </c>
      <c r="P22" s="52">
        <v>0.64</v>
      </c>
      <c r="Q22" s="52">
        <v>4.6500000000000004</v>
      </c>
      <c r="R22" s="50"/>
      <c r="S22" s="50"/>
      <c r="T22" s="50"/>
      <c r="U22" s="50"/>
    </row>
    <row r="23" spans="1:21" customFormat="1">
      <c r="A23" s="51" t="s">
        <v>551</v>
      </c>
      <c r="B23" s="52">
        <v>4.5999999999999996</v>
      </c>
      <c r="C23" s="52">
        <v>51.28</v>
      </c>
      <c r="D23" s="52">
        <v>29.29</v>
      </c>
      <c r="E23" s="52">
        <v>18.5</v>
      </c>
      <c r="F23" s="52">
        <v>47.8</v>
      </c>
      <c r="G23" s="52">
        <v>51.8</v>
      </c>
      <c r="H23" s="52">
        <v>20.21</v>
      </c>
      <c r="I23" s="52">
        <v>5.96</v>
      </c>
      <c r="J23" s="52">
        <v>1.26</v>
      </c>
      <c r="K23" s="52">
        <v>213.1</v>
      </c>
      <c r="L23" s="52">
        <v>42.67</v>
      </c>
      <c r="M23" s="52">
        <v>20.27</v>
      </c>
      <c r="N23" s="52">
        <v>481.5</v>
      </c>
      <c r="O23" s="52">
        <v>0</v>
      </c>
      <c r="P23" s="52">
        <v>0.61</v>
      </c>
      <c r="Q23" s="52">
        <v>4.6500000000000004</v>
      </c>
      <c r="R23" s="50"/>
      <c r="S23" s="50"/>
      <c r="T23" s="50"/>
      <c r="U23" s="50"/>
    </row>
    <row r="24" spans="1:21" customFormat="1">
      <c r="A24" s="51" t="s">
        <v>552</v>
      </c>
      <c r="B24" s="52">
        <v>7.44</v>
      </c>
      <c r="C24" s="52">
        <v>56.56</v>
      </c>
      <c r="D24" s="52">
        <v>34.11</v>
      </c>
      <c r="E24" s="52">
        <v>26.26</v>
      </c>
      <c r="F24" s="52">
        <v>30.36</v>
      </c>
      <c r="G24" s="52">
        <v>49.86</v>
      </c>
      <c r="H24" s="52">
        <v>19.16</v>
      </c>
      <c r="I24" s="52">
        <v>5.47</v>
      </c>
      <c r="J24" s="52">
        <v>2.14</v>
      </c>
      <c r="K24" s="52">
        <v>330.9</v>
      </c>
      <c r="L24" s="52">
        <v>38.25</v>
      </c>
      <c r="M24" s="52">
        <v>25.57</v>
      </c>
      <c r="N24" s="52">
        <v>205.5</v>
      </c>
      <c r="O24" s="52">
        <v>0</v>
      </c>
      <c r="P24" s="52">
        <v>0.61</v>
      </c>
      <c r="Q24" s="52">
        <v>4.76</v>
      </c>
      <c r="R24" s="50"/>
      <c r="S24" s="50"/>
      <c r="T24" s="50"/>
      <c r="U24" s="50"/>
    </row>
    <row r="25" spans="1:21" customFormat="1">
      <c r="A25" s="51" t="s">
        <v>553</v>
      </c>
      <c r="B25" s="52">
        <v>9.56</v>
      </c>
      <c r="C25" s="52">
        <v>57.27</v>
      </c>
      <c r="D25" s="52">
        <v>36.549999999999997</v>
      </c>
      <c r="E25" s="52">
        <v>14.53</v>
      </c>
      <c r="F25" s="52">
        <v>27.9</v>
      </c>
      <c r="G25" s="52">
        <v>65.88</v>
      </c>
      <c r="H25" s="52">
        <v>19.739999999999998</v>
      </c>
      <c r="I25" s="52">
        <v>5.73</v>
      </c>
      <c r="J25" s="52">
        <v>1.51</v>
      </c>
      <c r="K25" s="52">
        <v>301.13</v>
      </c>
      <c r="L25" s="52">
        <v>35.82</v>
      </c>
      <c r="M25" s="52">
        <v>28.41</v>
      </c>
      <c r="N25" s="52">
        <v>173.2</v>
      </c>
      <c r="O25" s="52">
        <v>0</v>
      </c>
      <c r="P25" s="52">
        <v>0.56999999999999995</v>
      </c>
      <c r="Q25" s="52">
        <v>4.7699999999999996</v>
      </c>
      <c r="R25" s="50"/>
      <c r="S25" s="50"/>
      <c r="T25" s="50"/>
      <c r="U25" s="50"/>
    </row>
    <row r="26" spans="1:21" customFormat="1">
      <c r="A26" s="51" t="s">
        <v>554</v>
      </c>
      <c r="B26" s="52">
        <v>11.62</v>
      </c>
      <c r="C26" s="52">
        <v>62.42</v>
      </c>
      <c r="D26" s="52">
        <v>40.880000000000003</v>
      </c>
      <c r="E26" s="52">
        <v>23.69</v>
      </c>
      <c r="F26" s="52">
        <v>32.44</v>
      </c>
      <c r="G26" s="52">
        <v>69.31</v>
      </c>
      <c r="H26" s="52">
        <v>20.239999999999998</v>
      </c>
      <c r="I26" s="52">
        <v>5.07</v>
      </c>
      <c r="J26" s="52">
        <v>0.4</v>
      </c>
      <c r="K26" s="52">
        <v>226.5</v>
      </c>
      <c r="L26" s="52">
        <v>36.94</v>
      </c>
      <c r="M26" s="52">
        <v>30.69</v>
      </c>
      <c r="N26" s="52">
        <v>158.1</v>
      </c>
      <c r="O26" s="52">
        <v>0</v>
      </c>
      <c r="P26" s="52">
        <v>0.7</v>
      </c>
      <c r="Q26" s="52">
        <v>4.99</v>
      </c>
      <c r="R26" s="50"/>
      <c r="S26" s="50"/>
      <c r="T26" s="50"/>
      <c r="U26" s="50"/>
    </row>
    <row r="27" spans="1:21" customFormat="1">
      <c r="A27" s="51" t="s">
        <v>555</v>
      </c>
      <c r="B27" s="52">
        <v>13.31</v>
      </c>
      <c r="C27" s="52">
        <v>60.39</v>
      </c>
      <c r="D27" s="52">
        <v>41.18</v>
      </c>
      <c r="E27" s="52">
        <v>10.88</v>
      </c>
      <c r="F27" s="52">
        <v>34.93</v>
      </c>
      <c r="G27" s="52">
        <v>75.290000000000006</v>
      </c>
      <c r="H27" s="52">
        <v>22.18</v>
      </c>
      <c r="I27" s="52">
        <v>5.33</v>
      </c>
      <c r="J27" s="52">
        <v>0.25</v>
      </c>
      <c r="K27" s="52">
        <v>193.91</v>
      </c>
      <c r="L27" s="52">
        <v>35.28</v>
      </c>
      <c r="M27" s="52">
        <v>38.18</v>
      </c>
      <c r="N27" s="52">
        <v>9.8000000000000007</v>
      </c>
      <c r="O27" s="52">
        <v>0</v>
      </c>
      <c r="P27" s="52">
        <v>0.72</v>
      </c>
      <c r="Q27" s="52">
        <v>5.01</v>
      </c>
      <c r="R27" s="50"/>
      <c r="S27" s="50"/>
      <c r="T27" s="50"/>
      <c r="U27" s="50"/>
    </row>
    <row r="28" spans="1:21" customFormat="1">
      <c r="A28" s="51" t="s">
        <v>556</v>
      </c>
      <c r="B28" s="52">
        <v>9.17</v>
      </c>
      <c r="C28" s="52">
        <v>54.22</v>
      </c>
      <c r="D28" s="52">
        <v>34.64</v>
      </c>
      <c r="E28" s="52">
        <v>8.24</v>
      </c>
      <c r="F28" s="52">
        <v>27.95</v>
      </c>
      <c r="G28" s="52">
        <v>73.39</v>
      </c>
      <c r="H28" s="52">
        <v>22.29</v>
      </c>
      <c r="I28" s="52">
        <v>5.99</v>
      </c>
      <c r="J28" s="52">
        <v>0.28000000000000003</v>
      </c>
      <c r="K28" s="52">
        <v>194.28</v>
      </c>
      <c r="L28" s="52">
        <v>32.520000000000003</v>
      </c>
      <c r="M28" s="52">
        <v>42.62</v>
      </c>
      <c r="N28" s="52">
        <v>0</v>
      </c>
      <c r="O28" s="52">
        <v>0</v>
      </c>
      <c r="P28" s="52">
        <v>0.68</v>
      </c>
      <c r="Q28" s="52">
        <v>4.99</v>
      </c>
      <c r="R28" s="50"/>
      <c r="S28" s="50"/>
      <c r="T28" s="50"/>
      <c r="U28" s="50"/>
    </row>
    <row r="29" spans="1:21" customFormat="1">
      <c r="A29" s="51" t="s">
        <v>557</v>
      </c>
      <c r="B29" s="52">
        <v>10.17</v>
      </c>
      <c r="C29" s="52">
        <v>52.98</v>
      </c>
      <c r="D29" s="52">
        <v>34.74</v>
      </c>
      <c r="E29" s="52">
        <v>6.16</v>
      </c>
      <c r="F29" s="52">
        <v>16.18</v>
      </c>
      <c r="G29" s="52">
        <v>73.61</v>
      </c>
      <c r="H29" s="52">
        <v>22.71</v>
      </c>
      <c r="I29" s="52">
        <v>6.89</v>
      </c>
      <c r="J29" s="52">
        <v>0.17</v>
      </c>
      <c r="K29" s="52">
        <v>200.12</v>
      </c>
      <c r="L29" s="52">
        <v>30.83</v>
      </c>
      <c r="M29" s="52">
        <v>44.51</v>
      </c>
      <c r="N29" s="52">
        <v>0</v>
      </c>
      <c r="O29" s="52">
        <v>0</v>
      </c>
      <c r="P29" s="52">
        <v>0.72</v>
      </c>
      <c r="Q29" s="52">
        <v>4.99</v>
      </c>
      <c r="R29" s="50"/>
      <c r="S29" s="50"/>
      <c r="T29" s="50"/>
      <c r="U29" s="50"/>
    </row>
    <row r="30" spans="1:21" customFormat="1">
      <c r="A30" s="51" t="s">
        <v>558</v>
      </c>
      <c r="B30" s="52">
        <v>11.95</v>
      </c>
      <c r="C30" s="52">
        <v>54.29</v>
      </c>
      <c r="D30" s="52">
        <v>36.82</v>
      </c>
      <c r="E30" s="52">
        <v>4.7</v>
      </c>
      <c r="F30" s="52">
        <v>17.239999999999998</v>
      </c>
      <c r="G30" s="52">
        <v>73.680000000000007</v>
      </c>
      <c r="H30" s="52">
        <v>23.01</v>
      </c>
      <c r="I30" s="52">
        <v>7.46</v>
      </c>
      <c r="J30" s="52">
        <v>0.19</v>
      </c>
      <c r="K30" s="52">
        <v>219.13</v>
      </c>
      <c r="L30" s="52">
        <v>30.34</v>
      </c>
      <c r="M30" s="52">
        <v>49.63</v>
      </c>
      <c r="N30" s="52">
        <v>0</v>
      </c>
      <c r="O30" s="52">
        <v>0</v>
      </c>
      <c r="P30" s="52">
        <v>0.74</v>
      </c>
      <c r="Q30" s="52">
        <v>5.07</v>
      </c>
      <c r="R30" s="50"/>
      <c r="S30" s="50"/>
      <c r="T30" s="50"/>
      <c r="U30" s="50"/>
    </row>
    <row r="31" spans="1:21" customFormat="1">
      <c r="A31" s="51" t="s">
        <v>559</v>
      </c>
      <c r="B31" s="52">
        <v>12.03</v>
      </c>
      <c r="C31" s="52">
        <v>51.47</v>
      </c>
      <c r="D31" s="52">
        <v>35.49</v>
      </c>
      <c r="E31" s="52">
        <v>4.66</v>
      </c>
      <c r="F31" s="52">
        <v>17.45</v>
      </c>
      <c r="G31" s="52">
        <v>67.14</v>
      </c>
      <c r="H31" s="52">
        <v>18.93</v>
      </c>
      <c r="I31" s="52">
        <v>7.14</v>
      </c>
      <c r="J31" s="52">
        <v>0.36</v>
      </c>
      <c r="K31" s="52">
        <v>231.48</v>
      </c>
      <c r="L31" s="52">
        <v>30.72</v>
      </c>
      <c r="M31" s="52">
        <v>38.36</v>
      </c>
      <c r="N31" s="52">
        <v>0</v>
      </c>
      <c r="O31" s="52">
        <v>0</v>
      </c>
      <c r="P31" s="52">
        <v>0.65</v>
      </c>
      <c r="Q31" s="52">
        <v>5.09</v>
      </c>
      <c r="R31" s="50"/>
      <c r="S31" s="50"/>
      <c r="T31" s="50"/>
      <c r="U31" s="50"/>
    </row>
    <row r="32" spans="1:21" customFormat="1">
      <c r="A32" s="51" t="s">
        <v>560</v>
      </c>
      <c r="B32" s="52">
        <v>11.94</v>
      </c>
      <c r="C32" s="52">
        <v>50.29</v>
      </c>
      <c r="D32" s="52">
        <v>34.799999999999997</v>
      </c>
      <c r="E32" s="52">
        <v>3.78</v>
      </c>
      <c r="F32" s="52">
        <v>17.48</v>
      </c>
      <c r="G32" s="52">
        <v>61.88</v>
      </c>
      <c r="H32" s="52">
        <v>19.97</v>
      </c>
      <c r="I32" s="52">
        <v>6.04</v>
      </c>
      <c r="J32" s="52">
        <v>0.35</v>
      </c>
      <c r="K32" s="52">
        <v>249.36</v>
      </c>
      <c r="L32" s="52">
        <v>29.8</v>
      </c>
      <c r="M32" s="52">
        <v>45.93</v>
      </c>
      <c r="N32" s="52">
        <v>0</v>
      </c>
      <c r="O32" s="52">
        <v>0</v>
      </c>
      <c r="P32" s="52">
        <v>0.61</v>
      </c>
      <c r="Q32" s="52">
        <v>5.07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3.64</v>
      </c>
      <c r="C34" s="41">
        <f t="shared" si="0"/>
        <v>48.68</v>
      </c>
      <c r="D34" s="41">
        <f t="shared" si="0"/>
        <v>27.75</v>
      </c>
      <c r="E34" s="41">
        <f t="shared" si="0"/>
        <v>3.78</v>
      </c>
      <c r="F34" s="41">
        <f t="shared" si="0"/>
        <v>5</v>
      </c>
      <c r="G34" s="41">
        <f t="shared" si="0"/>
        <v>25.27</v>
      </c>
      <c r="H34" s="41">
        <f t="shared" si="0"/>
        <v>11.45</v>
      </c>
      <c r="I34" s="41">
        <f t="shared" si="0"/>
        <v>4.41</v>
      </c>
      <c r="J34" s="41">
        <f t="shared" si="0"/>
        <v>0.17</v>
      </c>
      <c r="K34" s="41">
        <f t="shared" si="0"/>
        <v>173.26</v>
      </c>
      <c r="L34" s="41">
        <f t="shared" si="0"/>
        <v>26.35</v>
      </c>
      <c r="M34" s="41">
        <f t="shared" si="0"/>
        <v>17.73</v>
      </c>
      <c r="N34" s="41">
        <f t="shared" si="0"/>
        <v>0</v>
      </c>
      <c r="O34" s="41">
        <f t="shared" si="0"/>
        <v>0</v>
      </c>
      <c r="P34" s="41">
        <f t="shared" si="0"/>
        <v>0.46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24.16</v>
      </c>
      <c r="C35" s="33">
        <f t="shared" si="1"/>
        <v>62.42</v>
      </c>
      <c r="D35" s="33">
        <f t="shared" si="1"/>
        <v>50.19</v>
      </c>
      <c r="E35" s="33">
        <f t="shared" si="1"/>
        <v>40.03</v>
      </c>
      <c r="F35" s="33">
        <f t="shared" si="1"/>
        <v>59.92</v>
      </c>
      <c r="G35" s="33">
        <f t="shared" si="1"/>
        <v>75.290000000000006</v>
      </c>
      <c r="H35" s="33">
        <f t="shared" si="1"/>
        <v>23.01</v>
      </c>
      <c r="I35" s="33">
        <f t="shared" si="1"/>
        <v>7.46</v>
      </c>
      <c r="J35" s="33">
        <f t="shared" si="1"/>
        <v>2.14</v>
      </c>
      <c r="K35" s="33">
        <f t="shared" si="1"/>
        <v>330.9</v>
      </c>
      <c r="L35" s="33">
        <f t="shared" si="1"/>
        <v>42.67</v>
      </c>
      <c r="M35" s="33">
        <f t="shared" si="1"/>
        <v>63.17</v>
      </c>
      <c r="N35" s="33">
        <f t="shared" si="1"/>
        <v>852.5</v>
      </c>
      <c r="O35" s="33">
        <f t="shared" si="1"/>
        <v>0</v>
      </c>
      <c r="P35" s="33">
        <f t="shared" si="1"/>
        <v>0.78</v>
      </c>
      <c r="Q35" s="33">
        <f t="shared" si="1"/>
        <v>5.59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12.486666666666665</v>
      </c>
      <c r="C36" s="41">
        <f t="shared" si="2"/>
        <v>55.261249999999997</v>
      </c>
      <c r="D36" s="41">
        <f t="shared" si="2"/>
        <v>37.734999999999992</v>
      </c>
      <c r="E36" s="41">
        <f t="shared" si="2"/>
        <v>12.625416666666668</v>
      </c>
      <c r="F36" s="41">
        <f t="shared" si="2"/>
        <v>24.278333333333336</v>
      </c>
      <c r="G36" s="41">
        <f t="shared" si="2"/>
        <v>47.922083333333347</v>
      </c>
      <c r="H36" s="41">
        <f t="shared" si="2"/>
        <v>17.052916666666665</v>
      </c>
      <c r="I36" s="41">
        <f t="shared" si="2"/>
        <v>5.4433333333333325</v>
      </c>
      <c r="J36" s="41">
        <f t="shared" si="2"/>
        <v>0.58666666666666656</v>
      </c>
      <c r="K36" s="41">
        <f t="shared" si="2"/>
        <v>239.82874999999999</v>
      </c>
      <c r="L36" s="41">
        <f t="shared" si="2"/>
        <v>33.410416666666663</v>
      </c>
      <c r="M36" s="41">
        <f t="shared" si="2"/>
        <v>42.884999999999998</v>
      </c>
      <c r="N36" s="41">
        <f t="shared" si="2"/>
        <v>172.66250000000002</v>
      </c>
      <c r="O36" s="41">
        <f t="shared" si="2"/>
        <v>0</v>
      </c>
      <c r="P36" s="41">
        <f t="shared" si="2"/>
        <v>0.58916666666666673</v>
      </c>
      <c r="Q36" s="41">
        <f t="shared" si="2"/>
        <v>5.03125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5.9006003133555067</v>
      </c>
      <c r="C37" s="41">
        <f t="shared" ref="C37:Q37" si="3">STDEV(C9:C32)</f>
        <v>3.950839550294865</v>
      </c>
      <c r="D37" s="41">
        <f t="shared" si="3"/>
        <v>6.4280357402756687</v>
      </c>
      <c r="E37" s="41">
        <f t="shared" si="3"/>
        <v>10.624012579863665</v>
      </c>
      <c r="F37" s="41">
        <f t="shared" si="3"/>
        <v>16.839528978919915</v>
      </c>
      <c r="G37" s="41">
        <f t="shared" si="3"/>
        <v>17.75664676020407</v>
      </c>
      <c r="H37" s="41">
        <f t="shared" si="3"/>
        <v>3.858328630228459</v>
      </c>
      <c r="I37" s="41">
        <f t="shared" si="3"/>
        <v>0.9037009252616941</v>
      </c>
      <c r="J37" s="41">
        <f t="shared" si="3"/>
        <v>0.51467732961845958</v>
      </c>
      <c r="K37" s="41">
        <f t="shared" si="3"/>
        <v>43.12515338977142</v>
      </c>
      <c r="L37" s="41">
        <f t="shared" si="3"/>
        <v>5.2390784778529387</v>
      </c>
      <c r="M37" s="41">
        <f t="shared" si="3"/>
        <v>14.303462335483943</v>
      </c>
      <c r="N37" s="41">
        <f t="shared" si="3"/>
        <v>268.52237508988526</v>
      </c>
      <c r="O37" s="41">
        <f t="shared" si="3"/>
        <v>0</v>
      </c>
      <c r="P37" s="41">
        <f t="shared" si="3"/>
        <v>0.10396139194187734</v>
      </c>
      <c r="Q37" s="41">
        <f t="shared" si="3"/>
        <v>0.28252452760007507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22/05/2023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561</v>
      </c>
      <c r="B9" s="52">
        <v>11.78</v>
      </c>
      <c r="C9" s="52">
        <v>51.77</v>
      </c>
      <c r="D9" s="52">
        <v>35.450000000000003</v>
      </c>
      <c r="E9" s="52">
        <v>3.82</v>
      </c>
      <c r="F9" s="52">
        <v>16.510000000000002</v>
      </c>
      <c r="G9" s="52">
        <v>48.61</v>
      </c>
      <c r="H9" s="52">
        <v>17.03</v>
      </c>
      <c r="I9" s="52">
        <v>5.66</v>
      </c>
      <c r="J9" s="52">
        <v>0.3</v>
      </c>
      <c r="K9" s="52">
        <v>244.26</v>
      </c>
      <c r="L9" s="52">
        <v>29.28</v>
      </c>
      <c r="M9" s="52">
        <v>48.54</v>
      </c>
      <c r="N9" s="52">
        <v>0</v>
      </c>
      <c r="O9" s="52">
        <v>0</v>
      </c>
      <c r="P9" s="52">
        <v>0.56999999999999995</v>
      </c>
      <c r="Q9" s="52">
        <v>5.03</v>
      </c>
      <c r="R9" s="50"/>
      <c r="S9" s="50"/>
      <c r="T9" s="50"/>
      <c r="U9" s="50"/>
    </row>
    <row r="10" spans="1:21" customFormat="1">
      <c r="A10" s="51" t="s">
        <v>562</v>
      </c>
      <c r="B10" s="52">
        <v>11.63</v>
      </c>
      <c r="C10" s="52">
        <v>51.13</v>
      </c>
      <c r="D10" s="52">
        <v>34.99</v>
      </c>
      <c r="E10" s="52">
        <v>3.66</v>
      </c>
      <c r="F10" s="52">
        <v>15.69</v>
      </c>
      <c r="G10" s="52">
        <v>41.99</v>
      </c>
      <c r="H10" s="52">
        <v>14.36</v>
      </c>
      <c r="I10" s="52">
        <v>5.01</v>
      </c>
      <c r="J10" s="52">
        <v>0.24</v>
      </c>
      <c r="K10" s="52">
        <v>208.88</v>
      </c>
      <c r="L10" s="52">
        <v>28.72</v>
      </c>
      <c r="M10" s="52">
        <v>53.49</v>
      </c>
      <c r="N10" s="52">
        <v>0</v>
      </c>
      <c r="O10" s="52">
        <v>0</v>
      </c>
      <c r="P10" s="52">
        <v>0.54</v>
      </c>
      <c r="Q10" s="52">
        <v>4.97</v>
      </c>
      <c r="R10" s="50"/>
      <c r="S10" s="50"/>
      <c r="T10" s="50"/>
      <c r="U10" s="50"/>
    </row>
    <row r="11" spans="1:21" customFormat="1">
      <c r="A11" s="51" t="s">
        <v>563</v>
      </c>
      <c r="B11" s="52">
        <v>12.84</v>
      </c>
      <c r="C11" s="52">
        <v>54.81</v>
      </c>
      <c r="D11" s="52">
        <v>37.89</v>
      </c>
      <c r="E11" s="52">
        <v>5.18</v>
      </c>
      <c r="F11" s="52">
        <v>12.11</v>
      </c>
      <c r="G11" s="52">
        <v>37.130000000000003</v>
      </c>
      <c r="H11" s="52">
        <v>12.42</v>
      </c>
      <c r="I11" s="52">
        <v>4.8099999999999996</v>
      </c>
      <c r="J11" s="52">
        <v>0.23</v>
      </c>
      <c r="K11" s="52">
        <v>217.56</v>
      </c>
      <c r="L11" s="52">
        <v>27.78</v>
      </c>
      <c r="M11" s="52">
        <v>55</v>
      </c>
      <c r="N11" s="52">
        <v>0</v>
      </c>
      <c r="O11" s="52">
        <v>0</v>
      </c>
      <c r="P11" s="52">
        <v>0.52</v>
      </c>
      <c r="Q11" s="52">
        <v>4.9800000000000004</v>
      </c>
      <c r="R11" s="50"/>
      <c r="S11" s="50"/>
      <c r="T11" s="50"/>
      <c r="U11" s="50"/>
    </row>
    <row r="12" spans="1:21" customFormat="1">
      <c r="A12" s="51" t="s">
        <v>564</v>
      </c>
      <c r="B12" s="52">
        <v>13.38</v>
      </c>
      <c r="C12" s="52">
        <v>53.95</v>
      </c>
      <c r="D12" s="52">
        <v>37.869999999999997</v>
      </c>
      <c r="E12" s="52">
        <v>5.13</v>
      </c>
      <c r="F12" s="52">
        <v>10.199999999999999</v>
      </c>
      <c r="G12" s="52">
        <v>27</v>
      </c>
      <c r="H12" s="52">
        <v>13.16</v>
      </c>
      <c r="I12" s="52">
        <v>4.7699999999999996</v>
      </c>
      <c r="J12" s="52">
        <v>0.21</v>
      </c>
      <c r="K12" s="52">
        <v>227.96</v>
      </c>
      <c r="L12" s="52">
        <v>27.37</v>
      </c>
      <c r="M12" s="52">
        <v>58.58</v>
      </c>
      <c r="N12" s="52">
        <v>0</v>
      </c>
      <c r="O12" s="52">
        <v>0</v>
      </c>
      <c r="P12" s="52">
        <v>0.49</v>
      </c>
      <c r="Q12" s="52">
        <v>5.03</v>
      </c>
      <c r="R12" s="50"/>
      <c r="S12" s="50"/>
      <c r="T12" s="50"/>
      <c r="U12" s="50"/>
    </row>
    <row r="13" spans="1:21" customFormat="1">
      <c r="A13" s="51" t="s">
        <v>565</v>
      </c>
      <c r="B13" s="52">
        <v>14.62</v>
      </c>
      <c r="C13" s="52">
        <v>55.42</v>
      </c>
      <c r="D13" s="52">
        <v>39.630000000000003</v>
      </c>
      <c r="E13" s="52">
        <v>5.31</v>
      </c>
      <c r="F13" s="52">
        <v>9.58</v>
      </c>
      <c r="G13" s="52">
        <v>27.42</v>
      </c>
      <c r="H13" s="52">
        <v>12.17</v>
      </c>
      <c r="I13" s="52">
        <v>4.5</v>
      </c>
      <c r="J13" s="52">
        <v>0.26</v>
      </c>
      <c r="K13" s="52">
        <v>223.4</v>
      </c>
      <c r="L13" s="52">
        <v>27.08</v>
      </c>
      <c r="M13" s="52">
        <v>58.25</v>
      </c>
      <c r="N13" s="52">
        <v>0</v>
      </c>
      <c r="O13" s="52">
        <v>0</v>
      </c>
      <c r="P13" s="52">
        <v>0.48</v>
      </c>
      <c r="Q13" s="52">
        <v>5.07</v>
      </c>
      <c r="R13" s="50"/>
      <c r="S13" s="50"/>
      <c r="T13" s="50"/>
      <c r="U13" s="50"/>
    </row>
    <row r="14" spans="1:21" customFormat="1">
      <c r="A14" s="51" t="s">
        <v>566</v>
      </c>
      <c r="B14" s="52">
        <v>15.23</v>
      </c>
      <c r="C14" s="52">
        <v>55.4</v>
      </c>
      <c r="D14" s="52">
        <v>39.86</v>
      </c>
      <c r="E14" s="52">
        <v>5.74</v>
      </c>
      <c r="F14" s="52">
        <v>9.0500000000000007</v>
      </c>
      <c r="G14" s="52">
        <v>30.8</v>
      </c>
      <c r="H14" s="52">
        <v>13.54</v>
      </c>
      <c r="I14" s="52">
        <v>4.42</v>
      </c>
      <c r="J14" s="52">
        <v>0.24</v>
      </c>
      <c r="K14" s="52">
        <v>217</v>
      </c>
      <c r="L14" s="52">
        <v>26.96</v>
      </c>
      <c r="M14" s="52">
        <v>61.01</v>
      </c>
      <c r="N14" s="52">
        <v>19.3</v>
      </c>
      <c r="O14" s="52">
        <v>0</v>
      </c>
      <c r="P14" s="52">
        <v>0.47</v>
      </c>
      <c r="Q14" s="52">
        <v>5.07</v>
      </c>
      <c r="R14" s="50"/>
      <c r="S14" s="50"/>
      <c r="T14" s="50"/>
      <c r="U14" s="50"/>
    </row>
    <row r="15" spans="1:21" customFormat="1">
      <c r="A15" s="51" t="s">
        <v>567</v>
      </c>
      <c r="B15" s="52">
        <v>15.57</v>
      </c>
      <c r="C15" s="52">
        <v>54.93</v>
      </c>
      <c r="D15" s="52">
        <v>40.049999999999997</v>
      </c>
      <c r="E15" s="52">
        <v>5.64</v>
      </c>
      <c r="F15" s="52">
        <v>9.7100000000000009</v>
      </c>
      <c r="G15" s="52">
        <v>25.62</v>
      </c>
      <c r="H15" s="52">
        <v>13.73</v>
      </c>
      <c r="I15" s="52">
        <v>4.34</v>
      </c>
      <c r="J15" s="52">
        <v>0.33</v>
      </c>
      <c r="K15" s="52">
        <v>234.82</v>
      </c>
      <c r="L15" s="52">
        <v>28.85</v>
      </c>
      <c r="M15" s="52">
        <v>61.27</v>
      </c>
      <c r="N15" s="52">
        <v>67.5</v>
      </c>
      <c r="O15" s="52">
        <v>0</v>
      </c>
      <c r="P15" s="52">
        <v>0.46</v>
      </c>
      <c r="Q15" s="52">
        <v>5.0999999999999996</v>
      </c>
      <c r="R15" s="50"/>
      <c r="S15" s="50"/>
      <c r="T15" s="50"/>
      <c r="U15" s="50"/>
    </row>
    <row r="16" spans="1:21" customFormat="1">
      <c r="A16" s="51" t="s">
        <v>568</v>
      </c>
      <c r="B16" s="52">
        <v>15.27</v>
      </c>
      <c r="C16" s="52">
        <v>55.34</v>
      </c>
      <c r="D16" s="52">
        <v>40.119999999999997</v>
      </c>
      <c r="E16" s="52">
        <v>5.6</v>
      </c>
      <c r="F16" s="52">
        <v>9.2200000000000006</v>
      </c>
      <c r="G16" s="52">
        <v>27.72</v>
      </c>
      <c r="H16" s="52">
        <v>12.98</v>
      </c>
      <c r="I16" s="52">
        <v>4.46</v>
      </c>
      <c r="J16" s="52">
        <v>0.86</v>
      </c>
      <c r="K16" s="52">
        <v>252.97</v>
      </c>
      <c r="L16" s="52">
        <v>31.72</v>
      </c>
      <c r="M16" s="52">
        <v>55.43</v>
      </c>
      <c r="N16" s="52">
        <v>111.8</v>
      </c>
      <c r="O16" s="52">
        <v>0</v>
      </c>
      <c r="P16" s="52">
        <v>0.48</v>
      </c>
      <c r="Q16" s="52">
        <v>5.12</v>
      </c>
      <c r="R16" s="50"/>
      <c r="S16" s="50"/>
      <c r="T16" s="50"/>
      <c r="U16" s="50"/>
    </row>
    <row r="17" spans="1:21" customFormat="1">
      <c r="A17" s="51" t="s">
        <v>569</v>
      </c>
      <c r="B17" s="52">
        <v>12.75</v>
      </c>
      <c r="C17" s="52">
        <v>54.19</v>
      </c>
      <c r="D17" s="52">
        <v>37.49</v>
      </c>
      <c r="E17" s="52">
        <v>6.87</v>
      </c>
      <c r="F17" s="52">
        <v>15.72</v>
      </c>
      <c r="G17" s="52">
        <v>31.68</v>
      </c>
      <c r="H17" s="52">
        <v>15.36</v>
      </c>
      <c r="I17" s="52">
        <v>4.5599999999999996</v>
      </c>
      <c r="J17" s="52">
        <v>1.37</v>
      </c>
      <c r="K17" s="52">
        <v>259.69</v>
      </c>
      <c r="L17" s="52">
        <v>34.549999999999997</v>
      </c>
      <c r="M17" s="52">
        <v>49.1</v>
      </c>
      <c r="N17" s="52">
        <v>151.1</v>
      </c>
      <c r="O17" s="52">
        <v>0</v>
      </c>
      <c r="P17" s="52">
        <v>0.48</v>
      </c>
      <c r="Q17" s="52">
        <v>5.0199999999999996</v>
      </c>
      <c r="R17" s="50"/>
      <c r="S17" s="50"/>
      <c r="T17" s="50"/>
      <c r="U17" s="50"/>
    </row>
    <row r="18" spans="1:21" customFormat="1">
      <c r="A18" s="51" t="s">
        <v>570</v>
      </c>
      <c r="B18" s="52">
        <v>8.8699999999999992</v>
      </c>
      <c r="C18" s="52">
        <v>55.06</v>
      </c>
      <c r="D18" s="52">
        <v>34.57</v>
      </c>
      <c r="E18" s="52">
        <v>11.62</v>
      </c>
      <c r="F18" s="52">
        <v>18.440000000000001</v>
      </c>
      <c r="G18" s="52">
        <v>34.57</v>
      </c>
      <c r="H18" s="52">
        <v>15.72</v>
      </c>
      <c r="I18" s="52">
        <v>4.45</v>
      </c>
      <c r="J18" s="52">
        <v>1.66</v>
      </c>
      <c r="K18" s="52">
        <v>275.24</v>
      </c>
      <c r="L18" s="52">
        <v>36.08</v>
      </c>
      <c r="M18" s="52">
        <v>42.08</v>
      </c>
      <c r="N18" s="52">
        <v>194.2</v>
      </c>
      <c r="O18" s="52">
        <v>0</v>
      </c>
      <c r="P18" s="52">
        <v>0.55000000000000004</v>
      </c>
      <c r="Q18" s="52">
        <v>4.83</v>
      </c>
      <c r="R18" s="50"/>
      <c r="S18" s="50"/>
      <c r="T18" s="50"/>
      <c r="U18" s="50"/>
    </row>
    <row r="19" spans="1:21" customFormat="1">
      <c r="A19" s="51" t="s">
        <v>571</v>
      </c>
      <c r="B19" s="52">
        <v>6.6</v>
      </c>
      <c r="C19" s="52">
        <v>53.62</v>
      </c>
      <c r="D19" s="52">
        <v>31.81</v>
      </c>
      <c r="E19" s="52">
        <v>11.49</v>
      </c>
      <c r="F19" s="52">
        <v>21</v>
      </c>
      <c r="G19" s="52">
        <v>42.8</v>
      </c>
      <c r="H19" s="52">
        <v>15.79</v>
      </c>
      <c r="I19" s="52">
        <v>5.14</v>
      </c>
      <c r="J19" s="52">
        <v>1.64</v>
      </c>
      <c r="K19" s="52">
        <v>293.35000000000002</v>
      </c>
      <c r="L19" s="52">
        <v>37.090000000000003</v>
      </c>
      <c r="M19" s="52">
        <v>38.880000000000003</v>
      </c>
      <c r="N19" s="52">
        <v>212.5</v>
      </c>
      <c r="O19" s="52">
        <v>0</v>
      </c>
      <c r="P19" s="52">
        <v>0.59</v>
      </c>
      <c r="Q19" s="52">
        <v>4.6500000000000004</v>
      </c>
      <c r="R19" s="50"/>
      <c r="S19" s="50"/>
      <c r="T19" s="50"/>
      <c r="U19" s="50"/>
    </row>
    <row r="20" spans="1:21" customFormat="1">
      <c r="A20" s="51" t="s">
        <v>572</v>
      </c>
      <c r="B20" s="52">
        <v>4.88</v>
      </c>
      <c r="C20" s="52">
        <v>50.95</v>
      </c>
      <c r="D20" s="52">
        <v>29.24</v>
      </c>
      <c r="E20" s="52">
        <v>13.48</v>
      </c>
      <c r="F20" s="52">
        <v>24.19</v>
      </c>
      <c r="G20" s="52">
        <v>48.68</v>
      </c>
      <c r="H20" s="52">
        <v>17.22</v>
      </c>
      <c r="I20" s="52">
        <v>5.0999999999999996</v>
      </c>
      <c r="J20" s="52">
        <v>1.78</v>
      </c>
      <c r="K20" s="52">
        <v>294.43</v>
      </c>
      <c r="L20" s="52">
        <v>38.39</v>
      </c>
      <c r="M20" s="52">
        <v>35.82</v>
      </c>
      <c r="N20" s="52">
        <v>822.3</v>
      </c>
      <c r="O20" s="52">
        <v>0</v>
      </c>
      <c r="P20" s="52">
        <v>0.56999999999999995</v>
      </c>
      <c r="Q20" s="52">
        <v>4.57</v>
      </c>
      <c r="R20" s="50"/>
      <c r="S20" s="50"/>
      <c r="T20" s="50"/>
      <c r="U20" s="50"/>
    </row>
    <row r="21" spans="1:21" customFormat="1">
      <c r="A21" s="51" t="s">
        <v>573</v>
      </c>
      <c r="B21" s="52">
        <v>4.34</v>
      </c>
      <c r="C21" s="52">
        <v>51.21</v>
      </c>
      <c r="D21" s="52">
        <v>29.19</v>
      </c>
      <c r="E21" s="52">
        <v>11.95</v>
      </c>
      <c r="F21" s="52">
        <v>26.14</v>
      </c>
      <c r="G21" s="52">
        <v>50.13</v>
      </c>
      <c r="H21" s="52">
        <v>12.4</v>
      </c>
      <c r="I21" s="52">
        <v>4.93</v>
      </c>
      <c r="J21" s="52">
        <v>1.43</v>
      </c>
      <c r="K21" s="52">
        <v>280.76</v>
      </c>
      <c r="L21" s="52">
        <v>40.15</v>
      </c>
      <c r="M21" s="52">
        <v>25.31</v>
      </c>
      <c r="N21" s="52">
        <v>848.2</v>
      </c>
      <c r="O21" s="52">
        <v>0</v>
      </c>
      <c r="P21" s="52">
        <v>0.53</v>
      </c>
      <c r="Q21" s="52">
        <v>4.58</v>
      </c>
      <c r="R21" s="50"/>
      <c r="S21" s="50"/>
      <c r="T21" s="50"/>
      <c r="U21" s="50"/>
    </row>
    <row r="22" spans="1:21" customFormat="1">
      <c r="A22" s="51" t="s">
        <v>574</v>
      </c>
      <c r="B22" s="52">
        <v>4.58</v>
      </c>
      <c r="C22" s="52">
        <v>51.32</v>
      </c>
      <c r="D22" s="52">
        <v>29.27</v>
      </c>
      <c r="E22" s="52">
        <v>12.65</v>
      </c>
      <c r="F22" s="52">
        <v>28.02</v>
      </c>
      <c r="G22" s="52">
        <v>47.24</v>
      </c>
      <c r="H22" s="52">
        <v>13.2</v>
      </c>
      <c r="I22" s="52">
        <v>4.72</v>
      </c>
      <c r="J22" s="52">
        <v>1.39</v>
      </c>
      <c r="K22" s="52">
        <v>298.77</v>
      </c>
      <c r="L22" s="52">
        <v>40.869999999999997</v>
      </c>
      <c r="M22" s="52">
        <v>22.8</v>
      </c>
      <c r="N22" s="52">
        <v>824.2</v>
      </c>
      <c r="O22" s="52">
        <v>0</v>
      </c>
      <c r="P22" s="52">
        <v>0.5</v>
      </c>
      <c r="Q22" s="52">
        <v>4.58</v>
      </c>
      <c r="R22" s="50"/>
      <c r="S22" s="50"/>
      <c r="T22" s="50"/>
      <c r="U22" s="50"/>
    </row>
    <row r="23" spans="1:21" customFormat="1">
      <c r="A23" s="51" t="s">
        <v>575</v>
      </c>
      <c r="B23" s="52">
        <v>4.75</v>
      </c>
      <c r="C23" s="52">
        <v>52.95</v>
      </c>
      <c r="D23" s="52">
        <v>30.43</v>
      </c>
      <c r="E23" s="52">
        <v>11.24</v>
      </c>
      <c r="F23" s="52">
        <v>22.89</v>
      </c>
      <c r="G23" s="52">
        <v>47.21</v>
      </c>
      <c r="H23" s="52">
        <v>15.6</v>
      </c>
      <c r="I23" s="52">
        <v>4.55</v>
      </c>
      <c r="J23" s="52">
        <v>1.79</v>
      </c>
      <c r="K23" s="52">
        <v>296.95</v>
      </c>
      <c r="L23" s="52">
        <v>40.909999999999997</v>
      </c>
      <c r="M23" s="52">
        <v>18.14</v>
      </c>
      <c r="N23" s="52">
        <v>748.6</v>
      </c>
      <c r="O23" s="52">
        <v>0</v>
      </c>
      <c r="P23" s="52">
        <v>0.47</v>
      </c>
      <c r="Q23" s="52">
        <v>4.5999999999999996</v>
      </c>
      <c r="R23" s="50"/>
      <c r="S23" s="50"/>
      <c r="T23" s="50"/>
      <c r="U23" s="50"/>
    </row>
    <row r="24" spans="1:21" customFormat="1">
      <c r="A24" s="51" t="s">
        <v>576</v>
      </c>
      <c r="B24" s="52">
        <v>5.17</v>
      </c>
      <c r="C24" s="52">
        <v>54.92</v>
      </c>
      <c r="D24" s="52">
        <v>31.79</v>
      </c>
      <c r="E24" s="52">
        <v>10.07</v>
      </c>
      <c r="F24" s="52">
        <v>22.99</v>
      </c>
      <c r="G24" s="52">
        <v>42.09</v>
      </c>
      <c r="H24" s="52">
        <v>14.42</v>
      </c>
      <c r="I24" s="52">
        <v>4.58</v>
      </c>
      <c r="J24" s="52">
        <v>1.53</v>
      </c>
      <c r="K24" s="52">
        <v>302.10000000000002</v>
      </c>
      <c r="L24" s="52">
        <v>40.57</v>
      </c>
      <c r="M24" s="52">
        <v>18.34</v>
      </c>
      <c r="N24" s="52">
        <v>610.79999999999995</v>
      </c>
      <c r="O24" s="52">
        <v>0</v>
      </c>
      <c r="P24" s="52">
        <v>0.46</v>
      </c>
      <c r="Q24" s="52">
        <v>4.66</v>
      </c>
      <c r="R24" s="50"/>
      <c r="S24" s="50"/>
      <c r="T24" s="50"/>
      <c r="U24" s="50"/>
    </row>
    <row r="25" spans="1:21" customFormat="1">
      <c r="A25" s="51" t="s">
        <v>577</v>
      </c>
      <c r="B25" s="52">
        <v>4.8099999999999996</v>
      </c>
      <c r="C25" s="52">
        <v>55.99</v>
      </c>
      <c r="D25" s="52">
        <v>32.049999999999997</v>
      </c>
      <c r="E25" s="52">
        <v>11.64</v>
      </c>
      <c r="F25" s="52">
        <v>38.21</v>
      </c>
      <c r="G25" s="52">
        <v>44.46</v>
      </c>
      <c r="H25" s="52">
        <v>14.32</v>
      </c>
      <c r="I25" s="52">
        <v>4.22</v>
      </c>
      <c r="J25" s="52">
        <v>1.25</v>
      </c>
      <c r="K25" s="52">
        <v>296.66000000000003</v>
      </c>
      <c r="L25" s="52">
        <v>40.22</v>
      </c>
      <c r="M25" s="52">
        <v>18.36</v>
      </c>
      <c r="N25" s="52">
        <v>409.9</v>
      </c>
      <c r="O25" s="52">
        <v>0</v>
      </c>
      <c r="P25" s="52">
        <v>0.43</v>
      </c>
      <c r="Q25" s="52">
        <v>4.6399999999999997</v>
      </c>
      <c r="R25" s="50"/>
      <c r="S25" s="50"/>
      <c r="T25" s="50"/>
      <c r="U25" s="50"/>
    </row>
    <row r="26" spans="1:21" customFormat="1">
      <c r="A26" s="51" t="s">
        <v>578</v>
      </c>
      <c r="B26" s="52">
        <v>4.33</v>
      </c>
      <c r="C26" s="52">
        <v>49.69</v>
      </c>
      <c r="D26" s="52">
        <v>28.12</v>
      </c>
      <c r="E26" s="52">
        <v>11.92</v>
      </c>
      <c r="F26" s="52">
        <v>46.48</v>
      </c>
      <c r="G26" s="52">
        <v>46.32</v>
      </c>
      <c r="H26" s="52">
        <v>14.63</v>
      </c>
      <c r="I26" s="52">
        <v>4.0199999999999996</v>
      </c>
      <c r="J26" s="52">
        <v>0.98</v>
      </c>
      <c r="K26" s="52">
        <v>275.95</v>
      </c>
      <c r="L26" s="52">
        <v>39.369999999999997</v>
      </c>
      <c r="M26" s="52">
        <v>20.99</v>
      </c>
      <c r="N26" s="52">
        <v>91.5</v>
      </c>
      <c r="O26" s="52">
        <v>0</v>
      </c>
      <c r="P26" s="52">
        <v>0.42</v>
      </c>
      <c r="Q26" s="52">
        <v>4.6900000000000004</v>
      </c>
      <c r="R26" s="50"/>
      <c r="S26" s="50"/>
      <c r="T26" s="50"/>
      <c r="U26" s="50"/>
    </row>
    <row r="27" spans="1:21" customFormat="1">
      <c r="A27" s="51" t="s">
        <v>579</v>
      </c>
      <c r="B27" s="52">
        <v>3.73</v>
      </c>
      <c r="C27" s="52">
        <v>42.24</v>
      </c>
      <c r="D27" s="52">
        <v>24.01</v>
      </c>
      <c r="E27" s="52">
        <v>21.96</v>
      </c>
      <c r="F27" s="52">
        <v>48.22</v>
      </c>
      <c r="G27" s="52">
        <v>41.71</v>
      </c>
      <c r="H27" s="52">
        <v>10.56</v>
      </c>
      <c r="I27" s="52">
        <v>4.04</v>
      </c>
      <c r="J27" s="52">
        <v>0.31</v>
      </c>
      <c r="K27" s="52">
        <v>237.78</v>
      </c>
      <c r="L27" s="52">
        <v>37.520000000000003</v>
      </c>
      <c r="M27" s="52">
        <v>27.7</v>
      </c>
      <c r="N27" s="52">
        <v>11.8</v>
      </c>
      <c r="O27" s="52">
        <v>0</v>
      </c>
      <c r="P27" s="52">
        <v>0.51</v>
      </c>
      <c r="Q27" s="52">
        <v>4.63</v>
      </c>
      <c r="R27" s="50"/>
      <c r="S27" s="50"/>
      <c r="T27" s="50"/>
      <c r="U27" s="50"/>
    </row>
    <row r="28" spans="1:21" customFormat="1">
      <c r="A28" s="51" t="s">
        <v>580</v>
      </c>
      <c r="B28" s="52">
        <v>4.78</v>
      </c>
      <c r="C28" s="52">
        <v>48.04</v>
      </c>
      <c r="D28" s="52">
        <v>27.8</v>
      </c>
      <c r="E28" s="52">
        <v>9.27</v>
      </c>
      <c r="F28" s="52">
        <v>27.84</v>
      </c>
      <c r="G28" s="52">
        <v>43.2</v>
      </c>
      <c r="H28" s="52">
        <v>11.76</v>
      </c>
      <c r="I28" s="52">
        <v>4.32</v>
      </c>
      <c r="J28" s="52">
        <v>0.56000000000000005</v>
      </c>
      <c r="K28" s="52">
        <v>249.11</v>
      </c>
      <c r="L28" s="52">
        <v>33.909999999999997</v>
      </c>
      <c r="M28" s="52">
        <v>38.01</v>
      </c>
      <c r="N28" s="52">
        <v>0</v>
      </c>
      <c r="O28" s="52">
        <v>0</v>
      </c>
      <c r="P28" s="52">
        <v>0.44</v>
      </c>
      <c r="Q28" s="52">
        <v>4.57</v>
      </c>
      <c r="R28" s="50"/>
      <c r="S28" s="50"/>
      <c r="T28" s="50"/>
      <c r="U28" s="50"/>
    </row>
    <row r="29" spans="1:21" customFormat="1">
      <c r="A29" s="51" t="s">
        <v>581</v>
      </c>
      <c r="B29" s="52">
        <v>5.49</v>
      </c>
      <c r="C29" s="52">
        <v>50.27</v>
      </c>
      <c r="D29" s="52">
        <v>29.53</v>
      </c>
      <c r="E29" s="52">
        <v>7.14</v>
      </c>
      <c r="F29" s="52">
        <v>19.27</v>
      </c>
      <c r="G29" s="52">
        <v>54.53</v>
      </c>
      <c r="H29" s="52">
        <v>14.01</v>
      </c>
      <c r="I29" s="52">
        <v>3.96</v>
      </c>
      <c r="J29" s="52">
        <v>0.85</v>
      </c>
      <c r="K29" s="52">
        <v>253.57</v>
      </c>
      <c r="L29" s="52">
        <v>31.02</v>
      </c>
      <c r="M29" s="52">
        <v>36.39</v>
      </c>
      <c r="N29" s="52">
        <v>0</v>
      </c>
      <c r="O29" s="52">
        <v>0</v>
      </c>
      <c r="P29" s="52">
        <v>0.45</v>
      </c>
      <c r="Q29" s="52">
        <v>4.53</v>
      </c>
      <c r="R29" s="50"/>
      <c r="S29" s="50"/>
      <c r="T29" s="50"/>
      <c r="U29" s="50"/>
    </row>
    <row r="30" spans="1:21" customFormat="1">
      <c r="A30" s="51" t="s">
        <v>582</v>
      </c>
      <c r="B30" s="52">
        <v>5.75</v>
      </c>
      <c r="C30" s="52">
        <v>51.83</v>
      </c>
      <c r="D30" s="52">
        <v>30.61</v>
      </c>
      <c r="E30" s="52">
        <v>6.07</v>
      </c>
      <c r="F30" s="52">
        <v>14.16</v>
      </c>
      <c r="G30" s="52">
        <v>49.34</v>
      </c>
      <c r="H30" s="52">
        <v>13.77</v>
      </c>
      <c r="I30" s="52">
        <v>3.81</v>
      </c>
      <c r="J30" s="52">
        <v>0.75</v>
      </c>
      <c r="K30" s="52">
        <v>249.99</v>
      </c>
      <c r="L30" s="52">
        <v>30.1</v>
      </c>
      <c r="M30" s="52">
        <v>39.340000000000003</v>
      </c>
      <c r="N30" s="52">
        <v>0</v>
      </c>
      <c r="O30" s="52">
        <v>0</v>
      </c>
      <c r="P30" s="52">
        <v>0.43</v>
      </c>
      <c r="Q30" s="52">
        <v>4.53</v>
      </c>
      <c r="R30" s="50"/>
      <c r="S30" s="50"/>
      <c r="T30" s="50"/>
      <c r="U30" s="50"/>
    </row>
    <row r="31" spans="1:21" customFormat="1">
      <c r="A31" s="51" t="s">
        <v>583</v>
      </c>
      <c r="B31" s="52">
        <v>6.12</v>
      </c>
      <c r="C31" s="52">
        <v>53.5</v>
      </c>
      <c r="D31" s="52">
        <v>31.38</v>
      </c>
      <c r="E31" s="52">
        <v>5.71</v>
      </c>
      <c r="F31" s="52">
        <v>12.57</v>
      </c>
      <c r="G31" s="52">
        <v>38.49</v>
      </c>
      <c r="H31" s="52">
        <v>10.65</v>
      </c>
      <c r="I31" s="52">
        <v>3.7</v>
      </c>
      <c r="J31" s="52">
        <v>0.79</v>
      </c>
      <c r="K31" s="52">
        <v>246.22</v>
      </c>
      <c r="L31" s="52">
        <v>29.33</v>
      </c>
      <c r="M31" s="52">
        <v>41.82</v>
      </c>
      <c r="N31" s="52">
        <v>0</v>
      </c>
      <c r="O31" s="52">
        <v>0</v>
      </c>
      <c r="P31" s="52">
        <v>0.4</v>
      </c>
      <c r="Q31" s="52">
        <v>4.54</v>
      </c>
      <c r="R31" s="50"/>
      <c r="S31" s="50"/>
      <c r="T31" s="50"/>
      <c r="U31" s="50"/>
    </row>
    <row r="32" spans="1:21" customFormat="1">
      <c r="A32" s="51" t="s">
        <v>584</v>
      </c>
      <c r="B32" s="52">
        <v>6.36</v>
      </c>
      <c r="C32" s="52">
        <v>51.48</v>
      </c>
      <c r="D32" s="52">
        <v>30.89</v>
      </c>
      <c r="E32" s="52">
        <v>5.61</v>
      </c>
      <c r="F32" s="52">
        <v>14.47</v>
      </c>
      <c r="G32" s="52">
        <v>27.55</v>
      </c>
      <c r="H32" s="52">
        <v>10.16</v>
      </c>
      <c r="I32" s="52">
        <v>3.53</v>
      </c>
      <c r="J32" s="52">
        <v>0.47</v>
      </c>
      <c r="K32" s="52">
        <v>234.75</v>
      </c>
      <c r="L32" s="52">
        <v>28.55</v>
      </c>
      <c r="M32" s="52">
        <v>44.77</v>
      </c>
      <c r="N32" s="52">
        <v>0</v>
      </c>
      <c r="O32" s="52">
        <v>0</v>
      </c>
      <c r="P32" s="52">
        <v>0.38</v>
      </c>
      <c r="Q32" s="52">
        <v>4.57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3.73</v>
      </c>
      <c r="C34" s="41">
        <f t="shared" si="0"/>
        <v>42.24</v>
      </c>
      <c r="D34" s="41">
        <f t="shared" si="0"/>
        <v>24.01</v>
      </c>
      <c r="E34" s="41">
        <f t="shared" si="0"/>
        <v>3.66</v>
      </c>
      <c r="F34" s="41">
        <f t="shared" si="0"/>
        <v>9.0500000000000007</v>
      </c>
      <c r="G34" s="41">
        <f t="shared" si="0"/>
        <v>25.62</v>
      </c>
      <c r="H34" s="41">
        <f t="shared" si="0"/>
        <v>10.16</v>
      </c>
      <c r="I34" s="41">
        <f t="shared" si="0"/>
        <v>3.53</v>
      </c>
      <c r="J34" s="41">
        <f t="shared" si="0"/>
        <v>0.21</v>
      </c>
      <c r="K34" s="41">
        <f t="shared" si="0"/>
        <v>208.88</v>
      </c>
      <c r="L34" s="41">
        <f t="shared" si="0"/>
        <v>26.96</v>
      </c>
      <c r="M34" s="41">
        <f t="shared" si="0"/>
        <v>18.14</v>
      </c>
      <c r="N34" s="41">
        <f t="shared" si="0"/>
        <v>0</v>
      </c>
      <c r="O34" s="41">
        <f t="shared" si="0"/>
        <v>0</v>
      </c>
      <c r="P34" s="41">
        <f t="shared" si="0"/>
        <v>0.38</v>
      </c>
      <c r="Q34" s="41">
        <f t="shared" si="0"/>
        <v>4.53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15.57</v>
      </c>
      <c r="C35" s="33">
        <f t="shared" si="1"/>
        <v>55.99</v>
      </c>
      <c r="D35" s="33">
        <f t="shared" si="1"/>
        <v>40.119999999999997</v>
      </c>
      <c r="E35" s="33">
        <f t="shared" si="1"/>
        <v>21.96</v>
      </c>
      <c r="F35" s="33">
        <f t="shared" si="1"/>
        <v>48.22</v>
      </c>
      <c r="G35" s="33">
        <f t="shared" si="1"/>
        <v>54.53</v>
      </c>
      <c r="H35" s="33">
        <f t="shared" si="1"/>
        <v>17.22</v>
      </c>
      <c r="I35" s="33">
        <f t="shared" si="1"/>
        <v>5.66</v>
      </c>
      <c r="J35" s="33">
        <f t="shared" si="1"/>
        <v>1.79</v>
      </c>
      <c r="K35" s="33">
        <f t="shared" si="1"/>
        <v>302.10000000000002</v>
      </c>
      <c r="L35" s="33">
        <f t="shared" si="1"/>
        <v>40.909999999999997</v>
      </c>
      <c r="M35" s="33">
        <f t="shared" si="1"/>
        <v>61.27</v>
      </c>
      <c r="N35" s="33">
        <f t="shared" si="1"/>
        <v>848.2</v>
      </c>
      <c r="O35" s="33">
        <f t="shared" si="1"/>
        <v>0</v>
      </c>
      <c r="P35" s="33">
        <f t="shared" si="1"/>
        <v>0.59</v>
      </c>
      <c r="Q35" s="33">
        <f t="shared" si="1"/>
        <v>5.12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8.4845833333333349</v>
      </c>
      <c r="C36" s="41">
        <f t="shared" si="2"/>
        <v>52.500416666666666</v>
      </c>
      <c r="D36" s="41">
        <f t="shared" si="2"/>
        <v>33.084999999999994</v>
      </c>
      <c r="E36" s="41">
        <f t="shared" si="2"/>
        <v>8.6987499999999986</v>
      </c>
      <c r="F36" s="41">
        <f t="shared" si="2"/>
        <v>20.528333333333332</v>
      </c>
      <c r="G36" s="41">
        <f t="shared" si="2"/>
        <v>39.845416666666672</v>
      </c>
      <c r="H36" s="41">
        <f t="shared" si="2"/>
        <v>13.706666666666665</v>
      </c>
      <c r="I36" s="41">
        <f t="shared" si="2"/>
        <v>4.4833333333333343</v>
      </c>
      <c r="J36" s="41">
        <f t="shared" si="2"/>
        <v>0.88416666666666643</v>
      </c>
      <c r="K36" s="41">
        <f t="shared" si="2"/>
        <v>257.17374999999993</v>
      </c>
      <c r="L36" s="41">
        <f t="shared" si="2"/>
        <v>33.599583333333335</v>
      </c>
      <c r="M36" s="41">
        <f t="shared" si="2"/>
        <v>40.392500000000005</v>
      </c>
      <c r="N36" s="41">
        <f t="shared" si="2"/>
        <v>213.48749999999995</v>
      </c>
      <c r="O36" s="41">
        <f t="shared" si="2"/>
        <v>0</v>
      </c>
      <c r="P36" s="41">
        <f t="shared" si="2"/>
        <v>0.48416666666666663</v>
      </c>
      <c r="Q36" s="41">
        <f t="shared" si="2"/>
        <v>4.7733333333333334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4.3186390561265275</v>
      </c>
      <c r="C37" s="41">
        <f t="shared" ref="C37:Q37" si="3">STDEV(C9:C32)</f>
        <v>3.0619324377953676</v>
      </c>
      <c r="D37" s="41">
        <f t="shared" si="3"/>
        <v>4.572673083704454</v>
      </c>
      <c r="E37" s="41">
        <f t="shared" si="3"/>
        <v>4.2405037769831919</v>
      </c>
      <c r="F37" s="41">
        <f t="shared" si="3"/>
        <v>11.038654481123285</v>
      </c>
      <c r="G37" s="41">
        <f t="shared" si="3"/>
        <v>8.7901832493964775</v>
      </c>
      <c r="H37" s="41">
        <f t="shared" si="3"/>
        <v>1.8974781127606728</v>
      </c>
      <c r="I37" s="41">
        <f t="shared" si="3"/>
        <v>0.49873463072464019</v>
      </c>
      <c r="J37" s="41">
        <f t="shared" si="3"/>
        <v>0.57223373657567822</v>
      </c>
      <c r="K37" s="41">
        <f t="shared" si="3"/>
        <v>29.599136710751829</v>
      </c>
      <c r="L37" s="41">
        <f t="shared" si="3"/>
        <v>5.20463879978539</v>
      </c>
      <c r="M37" s="41">
        <f t="shared" si="3"/>
        <v>14.55929174400171</v>
      </c>
      <c r="N37" s="41">
        <f t="shared" si="3"/>
        <v>310.27459410979822</v>
      </c>
      <c r="O37" s="41">
        <f t="shared" si="3"/>
        <v>0</v>
      </c>
      <c r="P37" s="41">
        <f t="shared" si="3"/>
        <v>5.5318576694779999E-2</v>
      </c>
      <c r="Q37" s="41">
        <f t="shared" si="3"/>
        <v>0.22410530650967661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585</v>
      </c>
      <c r="B9" s="52">
        <v>7.45</v>
      </c>
      <c r="C9" s="52">
        <v>53.8</v>
      </c>
      <c r="D9" s="52">
        <v>32.979999999999997</v>
      </c>
      <c r="E9" s="52">
        <v>5.43</v>
      </c>
      <c r="F9" s="52">
        <v>12.66</v>
      </c>
      <c r="G9" s="52">
        <v>24.49</v>
      </c>
      <c r="H9" s="52">
        <v>7.48</v>
      </c>
      <c r="I9" s="52">
        <v>3.44</v>
      </c>
      <c r="J9" s="52">
        <v>0.28000000000000003</v>
      </c>
      <c r="K9" s="52">
        <v>234</v>
      </c>
      <c r="L9" s="52">
        <v>27.79</v>
      </c>
      <c r="M9" s="52">
        <v>46.43</v>
      </c>
      <c r="N9" s="52">
        <v>0</v>
      </c>
      <c r="O9" s="52">
        <v>0</v>
      </c>
      <c r="P9" s="52">
        <v>0.36</v>
      </c>
      <c r="Q9" s="52">
        <v>4.59</v>
      </c>
      <c r="R9" s="50"/>
      <c r="S9" s="50"/>
      <c r="T9" s="50"/>
      <c r="U9" s="50"/>
    </row>
    <row r="10" spans="1:21" customFormat="1">
      <c r="A10" s="51" t="s">
        <v>586</v>
      </c>
      <c r="B10" s="52">
        <v>8.2899999999999991</v>
      </c>
      <c r="C10" s="52">
        <v>55.39</v>
      </c>
      <c r="D10" s="52">
        <v>34.39</v>
      </c>
      <c r="E10" s="52">
        <v>5.3</v>
      </c>
      <c r="F10" s="52">
        <v>10.35</v>
      </c>
      <c r="G10" s="52">
        <v>17.54</v>
      </c>
      <c r="H10" s="52">
        <v>7.99</v>
      </c>
      <c r="I10" s="52">
        <v>3.31</v>
      </c>
      <c r="J10" s="52">
        <v>0.32</v>
      </c>
      <c r="K10" s="52">
        <v>217.66</v>
      </c>
      <c r="L10" s="52">
        <v>27.32</v>
      </c>
      <c r="M10" s="52">
        <v>49.71</v>
      </c>
      <c r="N10" s="52">
        <v>0</v>
      </c>
      <c r="O10" s="52">
        <v>0</v>
      </c>
      <c r="P10" s="52">
        <v>0.36</v>
      </c>
      <c r="Q10" s="52">
        <v>4.6500000000000004</v>
      </c>
      <c r="R10" s="50"/>
      <c r="S10" s="50"/>
      <c r="T10" s="50"/>
      <c r="U10" s="50"/>
    </row>
    <row r="11" spans="1:21" customFormat="1">
      <c r="A11" s="53">
        <v>45069.125</v>
      </c>
      <c r="B11" s="52">
        <v>9.6999999999999993</v>
      </c>
      <c r="C11" s="52">
        <v>56.89</v>
      </c>
      <c r="D11" s="52">
        <v>36.46</v>
      </c>
      <c r="E11" s="52">
        <v>5.41</v>
      </c>
      <c r="F11" s="52">
        <v>8.6300000000000008</v>
      </c>
      <c r="G11" s="52">
        <v>15.97</v>
      </c>
      <c r="H11" s="52">
        <v>6.58</v>
      </c>
      <c r="I11" s="52">
        <v>3.33</v>
      </c>
      <c r="J11" s="52">
        <v>0.17</v>
      </c>
      <c r="K11" s="52">
        <v>224.35</v>
      </c>
      <c r="L11" s="52">
        <v>26.82</v>
      </c>
      <c r="M11" s="52">
        <v>52.17</v>
      </c>
      <c r="N11" s="52">
        <v>0</v>
      </c>
      <c r="O11" s="52">
        <v>0</v>
      </c>
      <c r="P11" s="52">
        <v>0.36</v>
      </c>
      <c r="Q11" s="52">
        <v>4.68</v>
      </c>
      <c r="R11" s="50"/>
      <c r="S11" s="50"/>
      <c r="T11" s="50"/>
      <c r="U11" s="50"/>
    </row>
    <row r="12" spans="1:21" customFormat="1">
      <c r="A12" s="51" t="s">
        <v>587</v>
      </c>
      <c r="B12" s="52">
        <v>12.13</v>
      </c>
      <c r="C12" s="52">
        <v>59.19</v>
      </c>
      <c r="D12" s="52">
        <v>39.61</v>
      </c>
      <c r="E12" s="52">
        <v>5.46</v>
      </c>
      <c r="F12" s="52">
        <v>5.49</v>
      </c>
      <c r="G12" s="52">
        <v>16.21</v>
      </c>
      <c r="H12" s="52">
        <v>7.78</v>
      </c>
      <c r="I12" s="52">
        <v>3.34</v>
      </c>
      <c r="J12" s="52">
        <v>0.33</v>
      </c>
      <c r="K12" s="52">
        <v>122.94</v>
      </c>
      <c r="L12" s="52">
        <v>26.5</v>
      </c>
      <c r="M12" s="52">
        <v>54.41</v>
      </c>
      <c r="N12" s="52">
        <v>0</v>
      </c>
      <c r="O12" s="52">
        <v>0</v>
      </c>
      <c r="P12" s="52">
        <v>0.35</v>
      </c>
      <c r="Q12" s="52">
        <v>4.83</v>
      </c>
      <c r="R12" s="50"/>
      <c r="S12" s="50"/>
      <c r="T12" s="50"/>
      <c r="U12" s="50"/>
    </row>
    <row r="13" spans="1:21" customFormat="1">
      <c r="A13" s="51" t="s">
        <v>588</v>
      </c>
      <c r="B13" s="52">
        <v>14.13</v>
      </c>
      <c r="C13" s="52">
        <v>60.05</v>
      </c>
      <c r="D13" s="52">
        <v>41.66</v>
      </c>
      <c r="E13" s="52">
        <v>5.41</v>
      </c>
      <c r="F13" s="52">
        <v>4.87</v>
      </c>
      <c r="G13" s="52">
        <v>18.64</v>
      </c>
      <c r="H13" s="52">
        <v>6.81</v>
      </c>
      <c r="I13" s="52">
        <v>3.35</v>
      </c>
      <c r="J13" s="52">
        <v>0.34</v>
      </c>
      <c r="K13" s="52">
        <v>201.19</v>
      </c>
      <c r="L13" s="52">
        <v>26.14</v>
      </c>
      <c r="M13" s="52">
        <v>57.62</v>
      </c>
      <c r="N13" s="52">
        <v>0</v>
      </c>
      <c r="O13" s="52">
        <v>0</v>
      </c>
      <c r="P13" s="52">
        <v>0.36</v>
      </c>
      <c r="Q13" s="52">
        <v>4.96</v>
      </c>
      <c r="R13" s="50"/>
      <c r="S13" s="50"/>
      <c r="T13" s="50"/>
      <c r="U13" s="50"/>
    </row>
    <row r="14" spans="1:21" customFormat="1">
      <c r="A14" s="51" t="s">
        <v>589</v>
      </c>
      <c r="B14" s="52">
        <v>15.8</v>
      </c>
      <c r="C14" s="52">
        <v>60.16</v>
      </c>
      <c r="D14" s="52">
        <v>43.06</v>
      </c>
      <c r="E14" s="52">
        <v>5.57</v>
      </c>
      <c r="F14" s="52">
        <v>4.38</v>
      </c>
      <c r="G14" s="52">
        <v>29.27</v>
      </c>
      <c r="H14" s="52">
        <v>8.5399999999999991</v>
      </c>
      <c r="I14" s="52">
        <v>4.03</v>
      </c>
      <c r="J14" s="52">
        <v>0.37</v>
      </c>
      <c r="K14" s="52">
        <v>211.78</v>
      </c>
      <c r="L14" s="52">
        <v>24.84</v>
      </c>
      <c r="M14" s="52">
        <v>58.68</v>
      </c>
      <c r="N14" s="52">
        <v>20.3</v>
      </c>
      <c r="O14" s="52">
        <v>0</v>
      </c>
      <c r="P14" s="52">
        <v>0.39</v>
      </c>
      <c r="Q14" s="52">
        <v>5.05</v>
      </c>
      <c r="R14" s="50"/>
      <c r="S14" s="50"/>
      <c r="T14" s="50"/>
      <c r="U14" s="50"/>
    </row>
    <row r="15" spans="1:21" customFormat="1">
      <c r="A15" s="51" t="s">
        <v>590</v>
      </c>
      <c r="B15" s="52">
        <v>18.079999999999998</v>
      </c>
      <c r="C15" s="52">
        <v>59</v>
      </c>
      <c r="D15" s="52">
        <v>44.28</v>
      </c>
      <c r="E15" s="52">
        <v>5.58</v>
      </c>
      <c r="F15" s="52">
        <v>6.16</v>
      </c>
      <c r="G15" s="52">
        <v>47.1</v>
      </c>
      <c r="H15" s="52">
        <v>11.69</v>
      </c>
      <c r="I15" s="52">
        <v>4.32</v>
      </c>
      <c r="J15" s="52">
        <v>0.26</v>
      </c>
      <c r="K15" s="52">
        <v>256.44</v>
      </c>
      <c r="L15" s="52">
        <v>28.21</v>
      </c>
      <c r="M15" s="52">
        <v>57.17</v>
      </c>
      <c r="N15" s="52">
        <v>61.9</v>
      </c>
      <c r="O15" s="52">
        <v>0</v>
      </c>
      <c r="P15" s="52">
        <v>0.42</v>
      </c>
      <c r="Q15" s="52">
        <v>5.1100000000000003</v>
      </c>
      <c r="R15" s="50"/>
      <c r="S15" s="50"/>
      <c r="T15" s="50"/>
      <c r="U15" s="50"/>
    </row>
    <row r="16" spans="1:21" customFormat="1">
      <c r="A16" s="51" t="s">
        <v>591</v>
      </c>
      <c r="B16" s="52">
        <v>16.600000000000001</v>
      </c>
      <c r="C16" s="52">
        <v>58.92</v>
      </c>
      <c r="D16" s="52">
        <v>42.71</v>
      </c>
      <c r="E16" s="52">
        <v>5.14</v>
      </c>
      <c r="F16" s="52">
        <v>9.91</v>
      </c>
      <c r="G16" s="52">
        <v>45.81</v>
      </c>
      <c r="H16" s="52">
        <v>12.21</v>
      </c>
      <c r="I16" s="52">
        <v>4.62</v>
      </c>
      <c r="J16" s="52">
        <v>0.39</v>
      </c>
      <c r="K16" s="52">
        <v>300.57</v>
      </c>
      <c r="L16" s="52">
        <v>31.25</v>
      </c>
      <c r="M16" s="52">
        <v>48.61</v>
      </c>
      <c r="N16" s="52">
        <v>97.8</v>
      </c>
      <c r="O16" s="52">
        <v>0</v>
      </c>
      <c r="P16" s="52">
        <v>0.45</v>
      </c>
      <c r="Q16" s="52">
        <v>5.14</v>
      </c>
      <c r="R16" s="50"/>
      <c r="S16" s="50"/>
      <c r="T16" s="50"/>
      <c r="U16" s="50"/>
    </row>
    <row r="17" spans="1:21" customFormat="1">
      <c r="A17" s="51" t="s">
        <v>592</v>
      </c>
      <c r="B17" s="52">
        <v>15.17</v>
      </c>
      <c r="C17" s="52">
        <v>60.47</v>
      </c>
      <c r="D17" s="52">
        <v>41.01</v>
      </c>
      <c r="E17" s="52">
        <v>14.67</v>
      </c>
      <c r="F17" s="52">
        <v>13.33</v>
      </c>
      <c r="G17" s="52">
        <v>38.67</v>
      </c>
      <c r="H17" s="52">
        <v>12.72</v>
      </c>
      <c r="I17" s="52">
        <v>5.45</v>
      </c>
      <c r="J17" s="52">
        <v>1.07</v>
      </c>
      <c r="K17" s="52">
        <v>309.58999999999997</v>
      </c>
      <c r="L17" s="52">
        <v>33.090000000000003</v>
      </c>
      <c r="M17" s="52">
        <v>40.83</v>
      </c>
      <c r="N17" s="52">
        <v>133.80000000000001</v>
      </c>
      <c r="O17" s="52">
        <v>0</v>
      </c>
      <c r="P17" s="52">
        <v>0.61</v>
      </c>
      <c r="Q17" s="52">
        <v>5.1100000000000003</v>
      </c>
      <c r="R17" s="50"/>
      <c r="S17" s="50"/>
      <c r="T17" s="50"/>
      <c r="U17" s="50"/>
    </row>
    <row r="18" spans="1:21" customFormat="1">
      <c r="A18" s="51" t="s">
        <v>593</v>
      </c>
      <c r="B18" s="52">
        <v>11.08</v>
      </c>
      <c r="C18" s="52">
        <v>62.21</v>
      </c>
      <c r="D18" s="52">
        <v>39.32</v>
      </c>
      <c r="E18" s="52">
        <v>12.43</v>
      </c>
      <c r="F18" s="52">
        <v>16.27</v>
      </c>
      <c r="G18" s="52">
        <v>51.22</v>
      </c>
      <c r="H18" s="52">
        <v>17.489999999999998</v>
      </c>
      <c r="I18" s="52">
        <v>6.6</v>
      </c>
      <c r="J18" s="52">
        <v>1.3</v>
      </c>
      <c r="K18" s="52">
        <v>290.64</v>
      </c>
      <c r="L18" s="52">
        <v>34.75</v>
      </c>
      <c r="M18" s="52">
        <v>37.14</v>
      </c>
      <c r="N18" s="52">
        <v>162.9</v>
      </c>
      <c r="O18" s="52">
        <v>0</v>
      </c>
      <c r="P18" s="52">
        <v>0.77</v>
      </c>
      <c r="Q18" s="52">
        <v>5.0599999999999996</v>
      </c>
      <c r="R18" s="50"/>
      <c r="S18" s="50"/>
      <c r="T18" s="50"/>
      <c r="U18" s="50"/>
    </row>
    <row r="19" spans="1:21" customFormat="1">
      <c r="A19" s="51" t="s">
        <v>594</v>
      </c>
      <c r="B19" s="52">
        <v>7.81</v>
      </c>
      <c r="C19" s="52">
        <v>60.37</v>
      </c>
      <c r="D19" s="52">
        <v>36.72</v>
      </c>
      <c r="E19" s="52">
        <v>11.64</v>
      </c>
      <c r="F19" s="52">
        <v>22.59</v>
      </c>
      <c r="G19" s="52">
        <v>59.61</v>
      </c>
      <c r="H19" s="52">
        <v>17.559999999999999</v>
      </c>
      <c r="I19" s="52">
        <v>7.32</v>
      </c>
      <c r="J19" s="52">
        <v>1.49</v>
      </c>
      <c r="K19" s="52">
        <v>282.98</v>
      </c>
      <c r="L19" s="52">
        <v>36.6</v>
      </c>
      <c r="M19" s="52">
        <v>36.26</v>
      </c>
      <c r="N19" s="52">
        <v>184.4</v>
      </c>
      <c r="O19" s="52">
        <v>0</v>
      </c>
      <c r="P19" s="52">
        <v>0.78</v>
      </c>
      <c r="Q19" s="52">
        <v>4.8899999999999997</v>
      </c>
      <c r="R19" s="50"/>
      <c r="S19" s="50"/>
      <c r="T19" s="50"/>
      <c r="U19" s="50"/>
    </row>
    <row r="20" spans="1:21" customFormat="1">
      <c r="A20" s="51" t="s">
        <v>595</v>
      </c>
      <c r="B20" s="52">
        <v>4.9400000000000004</v>
      </c>
      <c r="C20" s="52">
        <v>55.06</v>
      </c>
      <c r="D20" s="52">
        <v>31.48</v>
      </c>
      <c r="E20" s="52">
        <v>44.2</v>
      </c>
      <c r="F20" s="52">
        <v>90.01</v>
      </c>
      <c r="G20" s="52">
        <v>58.92</v>
      </c>
      <c r="H20" s="52">
        <v>21.37</v>
      </c>
      <c r="I20" s="52">
        <v>7.25</v>
      </c>
      <c r="J20" s="52">
        <v>1.39</v>
      </c>
      <c r="K20" s="52">
        <v>282.25</v>
      </c>
      <c r="L20" s="52">
        <v>38.450000000000003</v>
      </c>
      <c r="M20" s="52">
        <v>33.159999999999997</v>
      </c>
      <c r="N20" s="52">
        <v>838.2</v>
      </c>
      <c r="O20" s="52">
        <v>0</v>
      </c>
      <c r="P20" s="52">
        <v>0.85</v>
      </c>
      <c r="Q20" s="52">
        <v>4.7</v>
      </c>
      <c r="R20" s="50"/>
      <c r="S20" s="50"/>
      <c r="T20" s="50"/>
      <c r="U20" s="50"/>
    </row>
    <row r="21" spans="1:21" customFormat="1">
      <c r="A21" s="51" t="s">
        <v>596</v>
      </c>
      <c r="B21" s="52">
        <v>2.81</v>
      </c>
      <c r="C21" s="52">
        <v>28.97</v>
      </c>
      <c r="D21" s="52">
        <v>15.73</v>
      </c>
      <c r="E21" s="52">
        <v>45.43</v>
      </c>
      <c r="F21" s="52">
        <v>103.71</v>
      </c>
      <c r="G21" s="52">
        <v>53.3</v>
      </c>
      <c r="H21" s="52">
        <v>18.05</v>
      </c>
      <c r="I21" s="52">
        <v>6.85</v>
      </c>
      <c r="J21" s="52">
        <v>1.29</v>
      </c>
      <c r="K21" s="52">
        <v>284.88</v>
      </c>
      <c r="L21" s="52">
        <v>39.67</v>
      </c>
      <c r="M21" s="52">
        <v>26.58</v>
      </c>
      <c r="N21" s="52">
        <v>846.2</v>
      </c>
      <c r="O21" s="52">
        <v>0</v>
      </c>
      <c r="P21" s="52">
        <v>0.8</v>
      </c>
      <c r="Q21" s="52">
        <v>4.29</v>
      </c>
      <c r="R21" s="50"/>
      <c r="S21" s="50"/>
      <c r="T21" s="50"/>
      <c r="U21" s="50"/>
    </row>
    <row r="22" spans="1:21" customFormat="1">
      <c r="A22" s="51" t="s">
        <v>597</v>
      </c>
      <c r="B22" s="52">
        <v>2.64</v>
      </c>
      <c r="C22" s="52">
        <v>40</v>
      </c>
      <c r="D22" s="52">
        <v>21.97</v>
      </c>
      <c r="E22" s="52">
        <v>26.19</v>
      </c>
      <c r="F22" s="52">
        <v>69.040000000000006</v>
      </c>
      <c r="G22" s="11" t="s">
        <v>12</v>
      </c>
      <c r="H22" s="11" t="s">
        <v>12</v>
      </c>
      <c r="I22" s="52">
        <v>7.33</v>
      </c>
      <c r="J22" s="52">
        <v>1.4</v>
      </c>
      <c r="K22" s="52">
        <v>283.61</v>
      </c>
      <c r="L22" s="52">
        <v>40.39</v>
      </c>
      <c r="M22" s="52">
        <v>22.66</v>
      </c>
      <c r="N22" s="52">
        <v>833.3</v>
      </c>
      <c r="O22" s="52">
        <v>0</v>
      </c>
      <c r="P22" s="52">
        <v>0.78</v>
      </c>
      <c r="Q22" s="52">
        <v>4.32</v>
      </c>
      <c r="R22" s="50"/>
      <c r="S22" s="50"/>
      <c r="T22" s="50"/>
      <c r="U22" s="50"/>
    </row>
    <row r="23" spans="1:21" customFormat="1">
      <c r="A23" s="51" t="s">
        <v>598</v>
      </c>
      <c r="B23" s="52">
        <v>2.76</v>
      </c>
      <c r="C23" s="52">
        <v>40.33</v>
      </c>
      <c r="D23" s="52">
        <v>22.24</v>
      </c>
      <c r="E23" s="52">
        <v>26.12</v>
      </c>
      <c r="F23" s="52">
        <v>74.36</v>
      </c>
      <c r="G23" s="52">
        <v>18.84</v>
      </c>
      <c r="H23" s="52">
        <v>0</v>
      </c>
      <c r="I23" s="52">
        <v>7.18</v>
      </c>
      <c r="J23" s="52">
        <v>1.01</v>
      </c>
      <c r="K23" s="52">
        <v>272.51</v>
      </c>
      <c r="L23" s="52">
        <v>40.97</v>
      </c>
      <c r="M23" s="52">
        <v>21.25</v>
      </c>
      <c r="N23" s="52">
        <v>743.1</v>
      </c>
      <c r="O23" s="52">
        <v>0</v>
      </c>
      <c r="P23" s="52">
        <v>0.73</v>
      </c>
      <c r="Q23" s="52">
        <v>4.3</v>
      </c>
      <c r="R23" s="50"/>
      <c r="S23" s="50"/>
      <c r="T23" s="50"/>
      <c r="U23" s="50"/>
    </row>
    <row r="24" spans="1:21" customFormat="1">
      <c r="A24" s="51" t="s">
        <v>599</v>
      </c>
      <c r="B24" s="52">
        <v>2.67</v>
      </c>
      <c r="C24" s="52">
        <v>40.5</v>
      </c>
      <c r="D24" s="52">
        <v>22.23</v>
      </c>
      <c r="E24" s="52">
        <v>18.02</v>
      </c>
      <c r="F24" s="52">
        <v>40.950000000000003</v>
      </c>
      <c r="G24" s="52">
        <v>29.19</v>
      </c>
      <c r="H24" s="52">
        <v>1.97</v>
      </c>
      <c r="I24" s="52">
        <v>6.22</v>
      </c>
      <c r="J24" s="52">
        <v>0.83</v>
      </c>
      <c r="K24" s="52">
        <v>271.89999999999998</v>
      </c>
      <c r="L24" s="52">
        <v>41.17</v>
      </c>
      <c r="M24" s="52">
        <v>19.760000000000002</v>
      </c>
      <c r="N24" s="52">
        <v>581.79999999999995</v>
      </c>
      <c r="O24" s="52">
        <v>0</v>
      </c>
      <c r="P24" s="52">
        <v>0.6</v>
      </c>
      <c r="Q24" s="52">
        <v>4.2699999999999996</v>
      </c>
      <c r="R24" s="50"/>
      <c r="S24" s="50"/>
      <c r="T24" s="50"/>
      <c r="U24" s="50"/>
    </row>
    <row r="25" spans="1:21" customFormat="1">
      <c r="A25" s="51" t="s">
        <v>600</v>
      </c>
      <c r="B25" s="52">
        <v>3.47</v>
      </c>
      <c r="C25" s="52">
        <v>41.19</v>
      </c>
      <c r="D25" s="52">
        <v>23.26</v>
      </c>
      <c r="E25" s="52">
        <v>19.13</v>
      </c>
      <c r="F25" s="52">
        <v>48.19</v>
      </c>
      <c r="G25" s="52">
        <v>30.28</v>
      </c>
      <c r="H25" s="52">
        <v>7.27</v>
      </c>
      <c r="I25" s="52">
        <v>5.95</v>
      </c>
      <c r="J25" s="52">
        <v>0.78</v>
      </c>
      <c r="K25" s="52">
        <v>269.14999999999998</v>
      </c>
      <c r="L25" s="52">
        <v>40.630000000000003</v>
      </c>
      <c r="M25" s="52">
        <v>20.59</v>
      </c>
      <c r="N25" s="52">
        <v>377.5</v>
      </c>
      <c r="O25" s="52">
        <v>0</v>
      </c>
      <c r="P25" s="52">
        <v>0.56999999999999995</v>
      </c>
      <c r="Q25" s="52">
        <v>4.3499999999999996</v>
      </c>
      <c r="R25" s="50"/>
      <c r="S25" s="50"/>
      <c r="T25" s="50"/>
      <c r="U25" s="50"/>
    </row>
    <row r="26" spans="1:21" customFormat="1">
      <c r="A26" s="51" t="s">
        <v>601</v>
      </c>
      <c r="B26" s="52">
        <v>3.76</v>
      </c>
      <c r="C26" s="52">
        <v>45.29</v>
      </c>
      <c r="D26" s="52">
        <v>25.63</v>
      </c>
      <c r="E26" s="52">
        <v>17.940000000000001</v>
      </c>
      <c r="F26" s="52">
        <v>45.99</v>
      </c>
      <c r="G26" s="52">
        <v>34.799999999999997</v>
      </c>
      <c r="H26" s="52">
        <v>10.5</v>
      </c>
      <c r="I26" s="52">
        <v>5.59</v>
      </c>
      <c r="J26" s="52">
        <v>0.75</v>
      </c>
      <c r="K26" s="52">
        <v>260.22000000000003</v>
      </c>
      <c r="L26" s="52">
        <v>39.520000000000003</v>
      </c>
      <c r="M26" s="52">
        <v>22.27</v>
      </c>
      <c r="N26" s="52">
        <v>94.5</v>
      </c>
      <c r="O26" s="52">
        <v>0</v>
      </c>
      <c r="P26" s="52">
        <v>0.56000000000000005</v>
      </c>
      <c r="Q26" s="52">
        <v>4.5599999999999996</v>
      </c>
      <c r="R26" s="50"/>
      <c r="S26" s="50"/>
      <c r="T26" s="50"/>
      <c r="U26" s="50"/>
    </row>
    <row r="27" spans="1:21" customFormat="1">
      <c r="A27" s="51" t="s">
        <v>602</v>
      </c>
      <c r="B27" s="52">
        <v>3.72</v>
      </c>
      <c r="C27" s="52">
        <v>40.700000000000003</v>
      </c>
      <c r="D27" s="52">
        <v>23</v>
      </c>
      <c r="E27" s="52">
        <v>15.46</v>
      </c>
      <c r="F27" s="52">
        <v>55.35</v>
      </c>
      <c r="G27" s="52">
        <v>36.159999999999997</v>
      </c>
      <c r="H27" s="52">
        <v>10.5</v>
      </c>
      <c r="I27" s="52">
        <v>5.63</v>
      </c>
      <c r="J27" s="52">
        <v>0.27</v>
      </c>
      <c r="K27" s="52">
        <v>239.42</v>
      </c>
      <c r="L27" s="52">
        <v>37.409999999999997</v>
      </c>
      <c r="M27" s="52">
        <v>28.27</v>
      </c>
      <c r="N27" s="52">
        <v>11.2</v>
      </c>
      <c r="O27" s="52">
        <v>0</v>
      </c>
      <c r="P27" s="52">
        <v>0.5</v>
      </c>
      <c r="Q27" s="52">
        <v>4.51</v>
      </c>
      <c r="R27" s="50"/>
      <c r="S27" s="50"/>
      <c r="T27" s="50"/>
      <c r="U27" s="50"/>
    </row>
    <row r="28" spans="1:21" customFormat="1">
      <c r="A28" s="51" t="s">
        <v>603</v>
      </c>
      <c r="B28" s="52">
        <v>4.72</v>
      </c>
      <c r="C28" s="52">
        <v>43.17</v>
      </c>
      <c r="D28" s="52">
        <v>25.3</v>
      </c>
      <c r="E28" s="52">
        <v>16.82</v>
      </c>
      <c r="F28" s="52">
        <v>50.65</v>
      </c>
      <c r="G28" s="52">
        <v>38.729999999999997</v>
      </c>
      <c r="H28" s="52">
        <v>13.98</v>
      </c>
      <c r="I28" s="52">
        <v>5.01</v>
      </c>
      <c r="J28" s="52">
        <v>0.25</v>
      </c>
      <c r="K28" s="52">
        <v>236.97</v>
      </c>
      <c r="L28" s="52">
        <v>35.4</v>
      </c>
      <c r="M28" s="52">
        <v>30.93</v>
      </c>
      <c r="N28" s="52">
        <v>0</v>
      </c>
      <c r="O28" s="52">
        <v>0</v>
      </c>
      <c r="P28" s="52">
        <v>0.53</v>
      </c>
      <c r="Q28" s="52">
        <v>4.67</v>
      </c>
      <c r="R28" s="50"/>
      <c r="S28" s="50"/>
      <c r="T28" s="50"/>
      <c r="U28" s="50"/>
    </row>
    <row r="29" spans="1:21" customFormat="1">
      <c r="A29" s="51" t="s">
        <v>604</v>
      </c>
      <c r="B29" s="52">
        <v>5.18</v>
      </c>
      <c r="C29" s="52">
        <v>46.11</v>
      </c>
      <c r="D29" s="52">
        <v>27.2</v>
      </c>
      <c r="E29" s="52">
        <v>15.48</v>
      </c>
      <c r="F29" s="52">
        <v>47.1</v>
      </c>
      <c r="G29" s="52">
        <v>43.46</v>
      </c>
      <c r="H29" s="52">
        <v>14.4</v>
      </c>
      <c r="I29" s="52">
        <v>5.36</v>
      </c>
      <c r="J29" s="52">
        <v>0.27</v>
      </c>
      <c r="K29" s="52">
        <v>241.53</v>
      </c>
      <c r="L29" s="52">
        <v>34.340000000000003</v>
      </c>
      <c r="M29" s="52">
        <v>34.14</v>
      </c>
      <c r="N29" s="52">
        <v>0</v>
      </c>
      <c r="O29" s="52">
        <v>0</v>
      </c>
      <c r="P29" s="52">
        <v>0.53</v>
      </c>
      <c r="Q29" s="52">
        <v>4.7699999999999996</v>
      </c>
      <c r="R29" s="50"/>
      <c r="S29" s="50"/>
      <c r="T29" s="50"/>
      <c r="U29" s="50"/>
    </row>
    <row r="30" spans="1:21" customFormat="1">
      <c r="A30" s="51" t="s">
        <v>605</v>
      </c>
      <c r="B30" s="52">
        <v>6.47</v>
      </c>
      <c r="C30" s="52">
        <v>49.04</v>
      </c>
      <c r="D30" s="52">
        <v>29.77</v>
      </c>
      <c r="E30" s="52">
        <v>13.87</v>
      </c>
      <c r="F30" s="52">
        <v>37.520000000000003</v>
      </c>
      <c r="G30" s="52">
        <v>43.46</v>
      </c>
      <c r="H30" s="52">
        <v>16.47</v>
      </c>
      <c r="I30" s="52">
        <v>5.01</v>
      </c>
      <c r="J30" s="52">
        <v>0.28000000000000003</v>
      </c>
      <c r="K30" s="52">
        <v>247.19</v>
      </c>
      <c r="L30" s="52">
        <v>33.32</v>
      </c>
      <c r="M30" s="52">
        <v>35.76</v>
      </c>
      <c r="N30" s="52">
        <v>0</v>
      </c>
      <c r="O30" s="52">
        <v>0</v>
      </c>
      <c r="P30" s="52">
        <v>0.54</v>
      </c>
      <c r="Q30" s="52">
        <v>4.8099999999999996</v>
      </c>
      <c r="R30" s="50"/>
      <c r="S30" s="50"/>
      <c r="T30" s="50"/>
      <c r="U30" s="50"/>
    </row>
    <row r="31" spans="1:21" customFormat="1">
      <c r="A31" s="51" t="s">
        <v>606</v>
      </c>
      <c r="B31" s="52">
        <v>7.31</v>
      </c>
      <c r="C31" s="52">
        <v>50.57</v>
      </c>
      <c r="D31" s="52">
        <v>31.15</v>
      </c>
      <c r="E31" s="52">
        <v>10.93</v>
      </c>
      <c r="F31" s="52">
        <v>31.7</v>
      </c>
      <c r="G31" s="52">
        <v>42.99</v>
      </c>
      <c r="H31" s="52">
        <v>18.510000000000002</v>
      </c>
      <c r="I31" s="52">
        <v>4.8499999999999996</v>
      </c>
      <c r="J31" s="52">
        <v>0.28000000000000003</v>
      </c>
      <c r="K31" s="52">
        <v>250.59</v>
      </c>
      <c r="L31" s="52">
        <v>32.69</v>
      </c>
      <c r="M31" s="52">
        <v>37.96</v>
      </c>
      <c r="N31" s="52">
        <v>0</v>
      </c>
      <c r="O31" s="52">
        <v>0</v>
      </c>
      <c r="P31" s="52">
        <v>0.55000000000000004</v>
      </c>
      <c r="Q31" s="52">
        <v>4.8600000000000003</v>
      </c>
      <c r="R31" s="50"/>
      <c r="S31" s="50"/>
      <c r="T31" s="50"/>
      <c r="U31" s="50"/>
    </row>
    <row r="32" spans="1:21" customFormat="1">
      <c r="A32" s="51" t="s">
        <v>607</v>
      </c>
      <c r="B32" s="52">
        <v>8.3800000000000008</v>
      </c>
      <c r="C32" s="52">
        <v>52.92</v>
      </c>
      <c r="D32" s="52">
        <v>33.32</v>
      </c>
      <c r="E32" s="52">
        <v>11.24</v>
      </c>
      <c r="F32" s="52">
        <v>34.53</v>
      </c>
      <c r="G32" s="52">
        <v>43.48</v>
      </c>
      <c r="H32" s="52">
        <v>18.510000000000002</v>
      </c>
      <c r="I32" s="52">
        <v>4.7699999999999996</v>
      </c>
      <c r="J32" s="52">
        <v>0.2</v>
      </c>
      <c r="K32" s="52">
        <v>224.3</v>
      </c>
      <c r="L32" s="52">
        <v>31.9</v>
      </c>
      <c r="M32" s="52">
        <v>41.25</v>
      </c>
      <c r="N32" s="52">
        <v>0</v>
      </c>
      <c r="O32" s="52">
        <v>0</v>
      </c>
      <c r="P32" s="52">
        <v>0.54</v>
      </c>
      <c r="Q32" s="52">
        <v>4.9000000000000004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2.64</v>
      </c>
      <c r="C34" s="41">
        <f t="shared" si="0"/>
        <v>28.97</v>
      </c>
      <c r="D34" s="41">
        <f t="shared" si="0"/>
        <v>15.73</v>
      </c>
      <c r="E34" s="41">
        <f t="shared" si="0"/>
        <v>5.14</v>
      </c>
      <c r="F34" s="41">
        <f t="shared" si="0"/>
        <v>4.38</v>
      </c>
      <c r="G34" s="41">
        <f t="shared" si="0"/>
        <v>15.97</v>
      </c>
      <c r="H34" s="41">
        <f t="shared" si="0"/>
        <v>0</v>
      </c>
      <c r="I34" s="41">
        <f t="shared" si="0"/>
        <v>3.31</v>
      </c>
      <c r="J34" s="41">
        <f t="shared" si="0"/>
        <v>0.17</v>
      </c>
      <c r="K34" s="41">
        <f t="shared" si="0"/>
        <v>122.94</v>
      </c>
      <c r="L34" s="41">
        <f t="shared" si="0"/>
        <v>24.84</v>
      </c>
      <c r="M34" s="41">
        <f t="shared" si="0"/>
        <v>19.760000000000002</v>
      </c>
      <c r="N34" s="41">
        <f t="shared" si="0"/>
        <v>0</v>
      </c>
      <c r="O34" s="41">
        <f t="shared" si="0"/>
        <v>0</v>
      </c>
      <c r="P34" s="41">
        <f t="shared" si="0"/>
        <v>0.35</v>
      </c>
      <c r="Q34" s="41">
        <f t="shared" si="0"/>
        <v>4.2699999999999996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18.079999999999998</v>
      </c>
      <c r="C35" s="33">
        <f t="shared" si="1"/>
        <v>62.21</v>
      </c>
      <c r="D35" s="33">
        <f t="shared" si="1"/>
        <v>44.28</v>
      </c>
      <c r="E35" s="33">
        <f t="shared" si="1"/>
        <v>45.43</v>
      </c>
      <c r="F35" s="33">
        <f t="shared" si="1"/>
        <v>103.71</v>
      </c>
      <c r="G35" s="33">
        <f t="shared" si="1"/>
        <v>59.61</v>
      </c>
      <c r="H35" s="33">
        <f t="shared" si="1"/>
        <v>21.37</v>
      </c>
      <c r="I35" s="33">
        <f t="shared" si="1"/>
        <v>7.33</v>
      </c>
      <c r="J35" s="33">
        <f t="shared" si="1"/>
        <v>1.49</v>
      </c>
      <c r="K35" s="33">
        <f t="shared" si="1"/>
        <v>309.58999999999997</v>
      </c>
      <c r="L35" s="33">
        <f t="shared" si="1"/>
        <v>41.17</v>
      </c>
      <c r="M35" s="33">
        <f t="shared" si="1"/>
        <v>58.68</v>
      </c>
      <c r="N35" s="33">
        <f t="shared" si="1"/>
        <v>846.2</v>
      </c>
      <c r="O35" s="33">
        <f t="shared" si="1"/>
        <v>0</v>
      </c>
      <c r="P35" s="33">
        <f t="shared" si="1"/>
        <v>0.85</v>
      </c>
      <c r="Q35" s="33">
        <f t="shared" si="1"/>
        <v>5.14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8.1279166666666658</v>
      </c>
      <c r="C36" s="41">
        <f t="shared" si="2"/>
        <v>50.845833333333331</v>
      </c>
      <c r="D36" s="41">
        <f t="shared" si="2"/>
        <v>31.853333333333335</v>
      </c>
      <c r="E36" s="41">
        <f t="shared" si="2"/>
        <v>15.119583333333336</v>
      </c>
      <c r="F36" s="41">
        <f t="shared" si="2"/>
        <v>35.155833333333341</v>
      </c>
      <c r="G36" s="41">
        <f t="shared" si="2"/>
        <v>36.44086956521739</v>
      </c>
      <c r="H36" s="41">
        <f t="shared" si="2"/>
        <v>11.668695652173913</v>
      </c>
      <c r="I36" s="41">
        <f t="shared" si="2"/>
        <v>5.2545833333333336</v>
      </c>
      <c r="J36" s="41">
        <f t="shared" si="2"/>
        <v>0.6383333333333332</v>
      </c>
      <c r="K36" s="41">
        <f t="shared" si="2"/>
        <v>250.69416666666669</v>
      </c>
      <c r="L36" s="41">
        <f t="shared" si="2"/>
        <v>33.715416666666663</v>
      </c>
      <c r="M36" s="41">
        <f t="shared" si="2"/>
        <v>38.067083333333329</v>
      </c>
      <c r="N36" s="41">
        <f t="shared" si="2"/>
        <v>207.78749999999999</v>
      </c>
      <c r="O36" s="41">
        <f t="shared" si="2"/>
        <v>0</v>
      </c>
      <c r="P36" s="41">
        <f t="shared" si="2"/>
        <v>0.55374999999999996</v>
      </c>
      <c r="Q36" s="41">
        <f t="shared" si="2"/>
        <v>4.7241666666666671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4.9089111332853408</v>
      </c>
      <c r="C37" s="41">
        <f t="shared" ref="C37:Q37" si="3">STDEV(C9:C32)</f>
        <v>9.0859513711466064</v>
      </c>
      <c r="D37" s="41">
        <f t="shared" si="3"/>
        <v>8.2139053184042687</v>
      </c>
      <c r="E37" s="41">
        <f t="shared" si="3"/>
        <v>11.133993962544215</v>
      </c>
      <c r="F37" s="41">
        <f t="shared" si="3"/>
        <v>28.40817976457188</v>
      </c>
      <c r="G37" s="41">
        <f t="shared" si="3"/>
        <v>13.563240734038693</v>
      </c>
      <c r="H37" s="41">
        <f t="shared" si="3"/>
        <v>5.6087815111239356</v>
      </c>
      <c r="I37" s="41">
        <f t="shared" si="3"/>
        <v>1.3784237348339679</v>
      </c>
      <c r="J37" s="41">
        <f t="shared" si="3"/>
        <v>0.46193041699473275</v>
      </c>
      <c r="K37" s="41">
        <f t="shared" si="3"/>
        <v>39.940553861377659</v>
      </c>
      <c r="L37" s="41">
        <f t="shared" si="3"/>
        <v>5.4031407767726289</v>
      </c>
      <c r="M37" s="41">
        <f t="shared" si="3"/>
        <v>12.701762451882741</v>
      </c>
      <c r="N37" s="41">
        <f t="shared" si="3"/>
        <v>310.0707230862298</v>
      </c>
      <c r="O37" s="41">
        <f t="shared" si="3"/>
        <v>0</v>
      </c>
      <c r="P37" s="41">
        <f t="shared" si="3"/>
        <v>0.15958676255444471</v>
      </c>
      <c r="Q37" s="41">
        <f t="shared" si="3"/>
        <v>0.28150089453354105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608</v>
      </c>
      <c r="B9" s="52">
        <v>10.130000000000001</v>
      </c>
      <c r="C9" s="52">
        <v>57.36</v>
      </c>
      <c r="D9" s="52">
        <v>37.04</v>
      </c>
      <c r="E9" s="52">
        <v>10</v>
      </c>
      <c r="F9" s="52">
        <v>22.97</v>
      </c>
      <c r="G9" s="52">
        <v>43.48</v>
      </c>
      <c r="H9" s="52">
        <v>17.88</v>
      </c>
      <c r="I9" s="52">
        <v>4.8899999999999997</v>
      </c>
      <c r="J9" s="52">
        <v>0.34</v>
      </c>
      <c r="K9" s="52">
        <v>243.05</v>
      </c>
      <c r="L9" s="52">
        <v>31.15</v>
      </c>
      <c r="M9" s="52">
        <v>41.89</v>
      </c>
      <c r="N9" s="52">
        <v>0</v>
      </c>
      <c r="O9" s="52">
        <v>0</v>
      </c>
      <c r="P9" s="52">
        <v>0.56000000000000005</v>
      </c>
      <c r="Q9" s="52">
        <v>4.9800000000000004</v>
      </c>
      <c r="R9" s="50"/>
      <c r="S9" s="50"/>
      <c r="T9" s="50"/>
      <c r="U9" s="50"/>
    </row>
    <row r="10" spans="1:21" customFormat="1">
      <c r="A10" s="51" t="s">
        <v>609</v>
      </c>
      <c r="B10" s="52">
        <v>11.13</v>
      </c>
      <c r="C10" s="52">
        <v>58.04</v>
      </c>
      <c r="D10" s="52">
        <v>38.200000000000003</v>
      </c>
      <c r="E10" s="52">
        <v>9.2200000000000006</v>
      </c>
      <c r="F10" s="52">
        <v>17.87</v>
      </c>
      <c r="G10" s="52">
        <v>40.44</v>
      </c>
      <c r="H10" s="52">
        <v>17.88</v>
      </c>
      <c r="I10" s="52">
        <v>4.96</v>
      </c>
      <c r="J10" s="52">
        <v>0.63</v>
      </c>
      <c r="K10" s="52">
        <v>249.08</v>
      </c>
      <c r="L10" s="52">
        <v>31.49</v>
      </c>
      <c r="M10" s="52">
        <v>41.7</v>
      </c>
      <c r="N10" s="52">
        <v>0</v>
      </c>
      <c r="O10" s="52">
        <v>0</v>
      </c>
      <c r="P10" s="52">
        <v>0.56999999999999995</v>
      </c>
      <c r="Q10" s="52">
        <v>4.97</v>
      </c>
      <c r="R10" s="50"/>
      <c r="S10" s="50"/>
      <c r="T10" s="50"/>
      <c r="U10" s="50"/>
    </row>
    <row r="11" spans="1:21" customFormat="1">
      <c r="A11" s="51" t="s">
        <v>610</v>
      </c>
      <c r="B11" s="52">
        <v>10.67</v>
      </c>
      <c r="C11" s="52">
        <v>55.21</v>
      </c>
      <c r="D11" s="52">
        <v>36.119999999999997</v>
      </c>
      <c r="E11" s="52">
        <v>8.5299999999999994</v>
      </c>
      <c r="F11" s="52">
        <v>21.17</v>
      </c>
      <c r="G11" s="52">
        <v>39.6</v>
      </c>
      <c r="H11" s="52">
        <v>17.760000000000002</v>
      </c>
      <c r="I11" s="52">
        <v>4.92</v>
      </c>
      <c r="J11" s="52">
        <v>0.64</v>
      </c>
      <c r="K11" s="52">
        <v>249.21</v>
      </c>
      <c r="L11" s="52">
        <v>31.56</v>
      </c>
      <c r="M11" s="52">
        <v>42.32</v>
      </c>
      <c r="N11" s="52">
        <v>0</v>
      </c>
      <c r="O11" s="52">
        <v>0</v>
      </c>
      <c r="P11" s="52">
        <v>0.54</v>
      </c>
      <c r="Q11" s="52">
        <v>5.01</v>
      </c>
      <c r="R11" s="50"/>
      <c r="S11" s="50"/>
      <c r="T11" s="50"/>
      <c r="U11" s="50"/>
    </row>
    <row r="12" spans="1:21" customFormat="1">
      <c r="A12" s="51" t="s">
        <v>611</v>
      </c>
      <c r="B12" s="52">
        <v>11.86</v>
      </c>
      <c r="C12" s="52">
        <v>57.46</v>
      </c>
      <c r="D12" s="52">
        <v>37.950000000000003</v>
      </c>
      <c r="E12" s="52">
        <v>8.1999999999999993</v>
      </c>
      <c r="F12" s="52">
        <v>15.68</v>
      </c>
      <c r="G12" s="52">
        <v>36.72</v>
      </c>
      <c r="H12" s="52">
        <v>17.760000000000002</v>
      </c>
      <c r="I12" s="52">
        <v>4.88</v>
      </c>
      <c r="J12" s="52">
        <v>0.41</v>
      </c>
      <c r="K12" s="52">
        <v>247.38</v>
      </c>
      <c r="L12" s="52">
        <v>30.79</v>
      </c>
      <c r="M12" s="52">
        <v>48.74</v>
      </c>
      <c r="N12" s="52">
        <v>0</v>
      </c>
      <c r="O12" s="52">
        <v>0</v>
      </c>
      <c r="P12" s="52">
        <v>0.56000000000000005</v>
      </c>
      <c r="Q12" s="52">
        <v>5.03</v>
      </c>
      <c r="R12" s="50"/>
      <c r="S12" s="50"/>
      <c r="T12" s="50"/>
      <c r="U12" s="50"/>
    </row>
    <row r="13" spans="1:21" customFormat="1">
      <c r="A13" s="51" t="s">
        <v>612</v>
      </c>
      <c r="B13" s="52">
        <v>13.33</v>
      </c>
      <c r="C13" s="52">
        <v>57.99</v>
      </c>
      <c r="D13" s="52">
        <v>39.94</v>
      </c>
      <c r="E13" s="52">
        <v>7.56</v>
      </c>
      <c r="F13" s="52">
        <v>12.07</v>
      </c>
      <c r="G13" s="52">
        <v>40.04</v>
      </c>
      <c r="H13" s="52">
        <v>16.68</v>
      </c>
      <c r="I13" s="52">
        <v>4.92</v>
      </c>
      <c r="J13" s="52">
        <v>0.34</v>
      </c>
      <c r="K13" s="52">
        <v>243.6</v>
      </c>
      <c r="L13" s="52">
        <v>29.48</v>
      </c>
      <c r="M13" s="52">
        <v>50.67</v>
      </c>
      <c r="N13" s="52">
        <v>0</v>
      </c>
      <c r="O13" s="52">
        <v>0</v>
      </c>
      <c r="P13" s="52">
        <v>0.56000000000000005</v>
      </c>
      <c r="Q13" s="52">
        <v>5.0999999999999996</v>
      </c>
      <c r="R13" s="50"/>
      <c r="S13" s="50"/>
      <c r="T13" s="50"/>
      <c r="U13" s="50"/>
    </row>
    <row r="14" spans="1:21" customFormat="1">
      <c r="A14" s="51" t="s">
        <v>613</v>
      </c>
      <c r="B14" s="52">
        <v>13.79</v>
      </c>
      <c r="C14" s="52">
        <v>58.29</v>
      </c>
      <c r="D14" s="52">
        <v>40.46</v>
      </c>
      <c r="E14" s="52">
        <v>8.2899999999999991</v>
      </c>
      <c r="F14" s="52">
        <v>19.100000000000001</v>
      </c>
      <c r="G14" s="52">
        <v>42.49</v>
      </c>
      <c r="H14" s="52">
        <v>16.68</v>
      </c>
      <c r="I14" s="52">
        <v>4.79</v>
      </c>
      <c r="J14" s="52">
        <v>0.39</v>
      </c>
      <c r="K14" s="52">
        <v>257.10000000000002</v>
      </c>
      <c r="L14" s="52">
        <v>29.82</v>
      </c>
      <c r="M14" s="52">
        <v>50.67</v>
      </c>
      <c r="N14" s="52">
        <v>20.3</v>
      </c>
      <c r="O14" s="52">
        <v>0</v>
      </c>
      <c r="P14" s="52">
        <v>0.56000000000000005</v>
      </c>
      <c r="Q14" s="52">
        <v>5.13</v>
      </c>
      <c r="R14" s="50"/>
      <c r="S14" s="50"/>
      <c r="T14" s="50"/>
      <c r="U14" s="50"/>
    </row>
    <row r="15" spans="1:21" customFormat="1">
      <c r="A15" s="51" t="s">
        <v>614</v>
      </c>
      <c r="B15" s="52">
        <v>14.57</v>
      </c>
      <c r="C15" s="52">
        <v>57.11</v>
      </c>
      <c r="D15" s="52">
        <v>40.479999999999997</v>
      </c>
      <c r="E15" s="52">
        <v>8.14</v>
      </c>
      <c r="F15" s="52">
        <v>13.99</v>
      </c>
      <c r="G15" s="52">
        <v>42.49</v>
      </c>
      <c r="H15" s="52">
        <v>18.010000000000002</v>
      </c>
      <c r="I15" s="52">
        <v>4.8499999999999996</v>
      </c>
      <c r="J15" s="52">
        <v>0.33</v>
      </c>
      <c r="K15" s="52">
        <v>237.69</v>
      </c>
      <c r="L15" s="52">
        <v>31.49</v>
      </c>
      <c r="M15" s="52">
        <v>51.91</v>
      </c>
      <c r="N15" s="52">
        <v>64.599999999999994</v>
      </c>
      <c r="O15" s="52">
        <v>0</v>
      </c>
      <c r="P15" s="52">
        <v>0.57999999999999996</v>
      </c>
      <c r="Q15" s="52">
        <v>5.17</v>
      </c>
      <c r="R15" s="50"/>
      <c r="S15" s="50"/>
      <c r="T15" s="50"/>
      <c r="U15" s="50"/>
    </row>
    <row r="16" spans="1:21" customFormat="1">
      <c r="A16" s="51" t="s">
        <v>615</v>
      </c>
      <c r="B16" s="52">
        <v>14.58</v>
      </c>
      <c r="C16" s="52">
        <v>56.99</v>
      </c>
      <c r="D16" s="52">
        <v>40.380000000000003</v>
      </c>
      <c r="E16" s="52">
        <v>7.94</v>
      </c>
      <c r="F16" s="52">
        <v>14.16</v>
      </c>
      <c r="G16" s="52">
        <v>38.15</v>
      </c>
      <c r="H16" s="52">
        <v>18.010000000000002</v>
      </c>
      <c r="I16" s="52">
        <v>4.9000000000000004</v>
      </c>
      <c r="J16" s="52">
        <v>0.76</v>
      </c>
      <c r="K16" s="52">
        <v>254.26</v>
      </c>
      <c r="L16" s="52">
        <v>33.270000000000003</v>
      </c>
      <c r="M16" s="52">
        <v>47.11</v>
      </c>
      <c r="N16" s="52">
        <v>95.5</v>
      </c>
      <c r="O16" s="52">
        <v>0</v>
      </c>
      <c r="P16" s="52">
        <v>0.57999999999999996</v>
      </c>
      <c r="Q16" s="52">
        <v>5.16</v>
      </c>
      <c r="R16" s="50"/>
      <c r="S16" s="50"/>
      <c r="T16" s="50"/>
      <c r="U16" s="50"/>
    </row>
    <row r="17" spans="1:21" customFormat="1">
      <c r="A17" s="51" t="s">
        <v>616</v>
      </c>
      <c r="B17" s="52">
        <v>13.52</v>
      </c>
      <c r="C17" s="52">
        <v>61.07</v>
      </c>
      <c r="D17" s="52">
        <v>41.7</v>
      </c>
      <c r="E17" s="52">
        <v>8.39</v>
      </c>
      <c r="F17" s="52">
        <v>17.329999999999998</v>
      </c>
      <c r="G17" s="52">
        <v>38.15</v>
      </c>
      <c r="H17" s="52">
        <v>20.25</v>
      </c>
      <c r="I17" s="52">
        <v>4.96</v>
      </c>
      <c r="J17" s="52">
        <v>1.05</v>
      </c>
      <c r="K17" s="52">
        <v>259.87</v>
      </c>
      <c r="L17" s="52">
        <v>35.26</v>
      </c>
      <c r="M17" s="52">
        <v>42.51</v>
      </c>
      <c r="N17" s="52">
        <v>121.9</v>
      </c>
      <c r="O17" s="52">
        <v>0</v>
      </c>
      <c r="P17" s="52">
        <v>0.59</v>
      </c>
      <c r="Q17" s="52">
        <v>5.14</v>
      </c>
      <c r="R17" s="50"/>
      <c r="S17" s="50"/>
      <c r="T17" s="50"/>
      <c r="U17" s="50"/>
    </row>
    <row r="18" spans="1:21" customFormat="1">
      <c r="A18" s="51" t="s">
        <v>617</v>
      </c>
      <c r="B18" s="52">
        <v>9.3000000000000007</v>
      </c>
      <c r="C18" s="52">
        <v>46.91</v>
      </c>
      <c r="D18" s="52">
        <v>30.77</v>
      </c>
      <c r="E18" s="52">
        <v>12.83</v>
      </c>
      <c r="F18" s="52">
        <v>25.79</v>
      </c>
      <c r="G18" s="52">
        <v>39.68</v>
      </c>
      <c r="H18" s="52">
        <v>20.25</v>
      </c>
      <c r="I18" s="52">
        <v>4.75</v>
      </c>
      <c r="J18" s="52">
        <v>1.01</v>
      </c>
      <c r="K18" s="52">
        <v>268.48</v>
      </c>
      <c r="L18" s="52">
        <v>37.79</v>
      </c>
      <c r="M18" s="52">
        <v>35.28</v>
      </c>
      <c r="N18" s="52">
        <v>145.80000000000001</v>
      </c>
      <c r="O18" s="52">
        <v>0</v>
      </c>
      <c r="P18" s="52">
        <v>0.55000000000000004</v>
      </c>
      <c r="Q18" s="52">
        <v>4.7699999999999996</v>
      </c>
      <c r="R18" s="50"/>
      <c r="S18" s="50"/>
      <c r="T18" s="50"/>
      <c r="U18" s="50"/>
    </row>
    <row r="19" spans="1:21" customFormat="1">
      <c r="A19" s="51" t="s">
        <v>618</v>
      </c>
      <c r="B19" s="52">
        <v>6.79</v>
      </c>
      <c r="C19" s="52">
        <v>46.25</v>
      </c>
      <c r="D19" s="52">
        <v>28.56</v>
      </c>
      <c r="E19" s="52">
        <v>12.37</v>
      </c>
      <c r="F19" s="52">
        <v>34.72</v>
      </c>
      <c r="G19" s="52">
        <v>41.17</v>
      </c>
      <c r="H19" s="52">
        <v>18.440000000000001</v>
      </c>
      <c r="I19" s="52">
        <v>5.07</v>
      </c>
      <c r="J19" s="52">
        <v>1.1000000000000001</v>
      </c>
      <c r="K19" s="52">
        <v>304.2</v>
      </c>
      <c r="L19" s="52">
        <v>39</v>
      </c>
      <c r="M19" s="52">
        <v>27.57</v>
      </c>
      <c r="N19" s="52">
        <v>179.6</v>
      </c>
      <c r="O19" s="52">
        <v>0</v>
      </c>
      <c r="P19" s="52">
        <v>0.57999999999999996</v>
      </c>
      <c r="Q19" s="52">
        <v>4.57</v>
      </c>
      <c r="R19" s="50"/>
      <c r="S19" s="50"/>
      <c r="T19" s="50"/>
      <c r="U19" s="50"/>
    </row>
    <row r="20" spans="1:21" customFormat="1">
      <c r="A20" s="51" t="s">
        <v>619</v>
      </c>
      <c r="B20" s="52">
        <v>5.8</v>
      </c>
      <c r="C20" s="52">
        <v>45.95</v>
      </c>
      <c r="D20" s="52">
        <v>27.52</v>
      </c>
      <c r="E20" s="52">
        <v>14.34</v>
      </c>
      <c r="F20" s="52">
        <v>48.79</v>
      </c>
      <c r="G20" s="52">
        <v>46.66</v>
      </c>
      <c r="H20" s="52">
        <v>18.440000000000001</v>
      </c>
      <c r="I20" s="52">
        <v>5.0599999999999996</v>
      </c>
      <c r="J20" s="52">
        <v>1.19</v>
      </c>
      <c r="K20" s="52">
        <v>305.48</v>
      </c>
      <c r="L20" s="52">
        <v>40.65</v>
      </c>
      <c r="M20" s="52">
        <v>23.41</v>
      </c>
      <c r="N20" s="52">
        <v>802.3</v>
      </c>
      <c r="O20" s="52">
        <v>0</v>
      </c>
      <c r="P20" s="52">
        <v>0.55000000000000004</v>
      </c>
      <c r="Q20" s="52">
        <v>4.49</v>
      </c>
      <c r="R20" s="50"/>
      <c r="S20" s="50"/>
      <c r="T20" s="50"/>
      <c r="U20" s="50"/>
    </row>
    <row r="21" spans="1:21" customFormat="1">
      <c r="A21" s="51" t="s">
        <v>620</v>
      </c>
      <c r="B21" s="52">
        <v>5.12</v>
      </c>
      <c r="C21" s="52">
        <v>43.85</v>
      </c>
      <c r="D21" s="52">
        <v>25.69</v>
      </c>
      <c r="E21" s="52">
        <v>13.5</v>
      </c>
      <c r="F21" s="52">
        <v>46.27</v>
      </c>
      <c r="G21" s="52">
        <v>51.14</v>
      </c>
      <c r="H21" s="52">
        <v>19.059999999999999</v>
      </c>
      <c r="I21" s="52">
        <v>4.76</v>
      </c>
      <c r="J21" s="52">
        <v>0.86</v>
      </c>
      <c r="K21" s="52">
        <v>295.27</v>
      </c>
      <c r="L21" s="52">
        <v>42.11</v>
      </c>
      <c r="M21" s="52">
        <v>21.61</v>
      </c>
      <c r="N21" s="52">
        <v>826.3</v>
      </c>
      <c r="O21" s="52">
        <v>0</v>
      </c>
      <c r="P21" s="52">
        <v>0.53</v>
      </c>
      <c r="Q21" s="52">
        <v>4.43</v>
      </c>
      <c r="R21" s="50"/>
      <c r="S21" s="50"/>
      <c r="T21" s="50"/>
      <c r="U21" s="50"/>
    </row>
    <row r="22" spans="1:21" customFormat="1">
      <c r="A22" s="51" t="s">
        <v>621</v>
      </c>
      <c r="B22" s="52">
        <v>5.57</v>
      </c>
      <c r="C22" s="52">
        <v>51.58</v>
      </c>
      <c r="D22" s="52">
        <v>29.81</v>
      </c>
      <c r="E22" s="52">
        <v>8.08</v>
      </c>
      <c r="F22" s="52">
        <v>31.64</v>
      </c>
      <c r="G22" s="52">
        <v>53.86</v>
      </c>
      <c r="H22" s="52">
        <v>19.829999999999998</v>
      </c>
      <c r="I22" s="52">
        <v>5.19</v>
      </c>
      <c r="J22" s="52">
        <v>1.18</v>
      </c>
      <c r="K22" s="52">
        <v>323.31</v>
      </c>
      <c r="L22" s="52">
        <v>42.2</v>
      </c>
      <c r="M22" s="52">
        <v>17.12</v>
      </c>
      <c r="N22" s="52">
        <v>824.1</v>
      </c>
      <c r="O22" s="52">
        <v>0</v>
      </c>
      <c r="P22" s="52">
        <v>0.53</v>
      </c>
      <c r="Q22" s="52">
        <v>4.6100000000000003</v>
      </c>
      <c r="R22" s="50"/>
      <c r="S22" s="50"/>
      <c r="T22" s="50"/>
      <c r="U22" s="50"/>
    </row>
    <row r="23" spans="1:21" customFormat="1">
      <c r="A23" s="51" t="s">
        <v>622</v>
      </c>
      <c r="B23" s="52">
        <v>6.73</v>
      </c>
      <c r="C23" s="52">
        <v>47.49</v>
      </c>
      <c r="D23" s="52">
        <v>29.17</v>
      </c>
      <c r="E23" s="52">
        <v>7.14</v>
      </c>
      <c r="F23" s="52">
        <v>35.61</v>
      </c>
      <c r="G23" s="52">
        <v>53.86</v>
      </c>
      <c r="H23" s="52">
        <v>19.829999999999998</v>
      </c>
      <c r="I23" s="52">
        <v>4.8600000000000003</v>
      </c>
      <c r="J23" s="52">
        <v>1.07</v>
      </c>
      <c r="K23" s="52">
        <v>304.64999999999998</v>
      </c>
      <c r="L23" s="52">
        <v>42.56</v>
      </c>
      <c r="M23" s="52">
        <v>15.88</v>
      </c>
      <c r="N23" s="52">
        <v>626.20000000000005</v>
      </c>
      <c r="O23" s="52">
        <v>0</v>
      </c>
      <c r="P23" s="52">
        <v>0.47</v>
      </c>
      <c r="Q23" s="52">
        <v>4.55</v>
      </c>
      <c r="R23" s="50"/>
      <c r="S23" s="50"/>
      <c r="T23" s="50"/>
      <c r="U23" s="50"/>
    </row>
    <row r="24" spans="1:21" customFormat="1">
      <c r="A24" s="51" t="s">
        <v>623</v>
      </c>
      <c r="B24" s="52">
        <v>8.65</v>
      </c>
      <c r="C24" s="52">
        <v>47.52</v>
      </c>
      <c r="D24" s="52">
        <v>29.39</v>
      </c>
      <c r="E24" s="52">
        <v>9.2200000000000006</v>
      </c>
      <c r="F24" s="52">
        <v>25.51</v>
      </c>
      <c r="G24" s="52">
        <v>49.53</v>
      </c>
      <c r="H24" s="52">
        <v>16.61</v>
      </c>
      <c r="I24" s="52">
        <v>4.74</v>
      </c>
      <c r="J24" s="52">
        <v>2.13</v>
      </c>
      <c r="K24" s="52">
        <v>309.39999999999998</v>
      </c>
      <c r="L24" s="52">
        <v>41.6</v>
      </c>
      <c r="M24" s="52">
        <v>27.97</v>
      </c>
      <c r="N24" s="52">
        <v>481.1</v>
      </c>
      <c r="O24" s="52">
        <v>0</v>
      </c>
      <c r="P24" s="52">
        <v>0.48</v>
      </c>
      <c r="Q24" s="52">
        <v>4.54</v>
      </c>
      <c r="R24" s="50"/>
      <c r="S24" s="50"/>
      <c r="T24" s="50"/>
      <c r="U24" s="50"/>
    </row>
    <row r="25" spans="1:21" customFormat="1">
      <c r="A25" s="51" t="s">
        <v>624</v>
      </c>
      <c r="B25" s="52">
        <v>9.66</v>
      </c>
      <c r="C25" s="52">
        <v>48.43</v>
      </c>
      <c r="D25" s="52">
        <v>32</v>
      </c>
      <c r="E25" s="52">
        <v>8.7200000000000006</v>
      </c>
      <c r="F25" s="52">
        <v>28.57</v>
      </c>
      <c r="G25" s="52">
        <v>205.7</v>
      </c>
      <c r="H25" s="52">
        <v>18.37</v>
      </c>
      <c r="I25" s="52">
        <v>4.66</v>
      </c>
      <c r="J25" s="52">
        <v>1.59</v>
      </c>
      <c r="K25" s="52">
        <v>343.4</v>
      </c>
      <c r="L25" s="52">
        <v>36.57</v>
      </c>
      <c r="M25" s="52">
        <v>38.92</v>
      </c>
      <c r="N25" s="52">
        <v>205.9</v>
      </c>
      <c r="O25" s="52">
        <v>0</v>
      </c>
      <c r="P25" s="52">
        <v>0.44</v>
      </c>
      <c r="Q25" s="52">
        <v>4.53</v>
      </c>
      <c r="R25" s="50"/>
      <c r="S25" s="50"/>
      <c r="T25" s="50"/>
      <c r="U25" s="50"/>
    </row>
    <row r="26" spans="1:21" customFormat="1">
      <c r="A26" s="51" t="s">
        <v>625</v>
      </c>
      <c r="B26" s="52">
        <v>8.2799999999999994</v>
      </c>
      <c r="C26" s="52">
        <v>52.02</v>
      </c>
      <c r="D26" s="52">
        <v>32.770000000000003</v>
      </c>
      <c r="E26" s="52">
        <v>8.56</v>
      </c>
      <c r="F26" s="52">
        <v>41.42</v>
      </c>
      <c r="G26" s="52">
        <v>205.7</v>
      </c>
      <c r="H26" s="52">
        <v>19.32</v>
      </c>
      <c r="I26" s="52">
        <v>4.7</v>
      </c>
      <c r="J26" s="52">
        <v>0.25</v>
      </c>
      <c r="K26" s="52">
        <v>238.52</v>
      </c>
      <c r="L26" s="52">
        <v>37.71</v>
      </c>
      <c r="M26" s="52">
        <v>31.37</v>
      </c>
      <c r="N26" s="52">
        <v>116.7</v>
      </c>
      <c r="O26" s="52">
        <v>0</v>
      </c>
      <c r="P26" s="52">
        <v>0.62</v>
      </c>
      <c r="Q26" s="52">
        <v>4.75</v>
      </c>
      <c r="R26" s="50"/>
      <c r="S26" s="50"/>
      <c r="T26" s="50"/>
      <c r="U26" s="50"/>
    </row>
    <row r="27" spans="1:21" customFormat="1">
      <c r="A27" s="51" t="s">
        <v>626</v>
      </c>
      <c r="B27" s="52">
        <v>6.2</v>
      </c>
      <c r="C27" s="52">
        <v>40.049999999999997</v>
      </c>
      <c r="D27" s="52">
        <v>24.85</v>
      </c>
      <c r="E27" s="52">
        <v>13.58</v>
      </c>
      <c r="F27" s="52">
        <v>40.29</v>
      </c>
      <c r="G27" s="52">
        <v>64.97</v>
      </c>
      <c r="H27" s="52">
        <v>19.32</v>
      </c>
      <c r="I27" s="52">
        <v>4.3499999999999996</v>
      </c>
      <c r="J27" s="52">
        <v>0.35</v>
      </c>
      <c r="K27" s="52">
        <v>231.47</v>
      </c>
      <c r="L27" s="52">
        <v>36.53</v>
      </c>
      <c r="M27" s="52">
        <v>29.5</v>
      </c>
      <c r="N27" s="52">
        <v>10.9</v>
      </c>
      <c r="O27" s="52">
        <v>0</v>
      </c>
      <c r="P27" s="52">
        <v>0.61</v>
      </c>
      <c r="Q27" s="52">
        <v>4.8</v>
      </c>
      <c r="R27" s="50"/>
      <c r="S27" s="50"/>
      <c r="T27" s="50"/>
      <c r="U27" s="50"/>
    </row>
    <row r="28" spans="1:21" customFormat="1">
      <c r="A28" s="51" t="s">
        <v>627</v>
      </c>
      <c r="B28" s="52">
        <v>7.21</v>
      </c>
      <c r="C28" s="52">
        <v>52.25</v>
      </c>
      <c r="D28" s="52">
        <v>31.93</v>
      </c>
      <c r="E28" s="52">
        <v>16.04</v>
      </c>
      <c r="F28" s="52">
        <v>34.54</v>
      </c>
      <c r="G28" s="52">
        <v>58.85</v>
      </c>
      <c r="H28" s="52">
        <v>17.53</v>
      </c>
      <c r="I28" s="52">
        <v>6.15</v>
      </c>
      <c r="J28" s="52">
        <v>0.53</v>
      </c>
      <c r="K28" s="52">
        <v>247.7</v>
      </c>
      <c r="L28" s="52">
        <v>35.950000000000003</v>
      </c>
      <c r="M28" s="52">
        <v>26.58</v>
      </c>
      <c r="N28" s="52">
        <v>0</v>
      </c>
      <c r="O28" s="52">
        <v>0</v>
      </c>
      <c r="P28" s="52">
        <v>0.69</v>
      </c>
      <c r="Q28" s="52">
        <v>4.99</v>
      </c>
      <c r="R28" s="50"/>
      <c r="S28" s="50"/>
      <c r="T28" s="50"/>
      <c r="U28" s="50"/>
    </row>
    <row r="29" spans="1:21" customFormat="1">
      <c r="A29" s="51" t="s">
        <v>628</v>
      </c>
      <c r="B29" s="52">
        <v>9.32</v>
      </c>
      <c r="C29" s="52">
        <v>53.59</v>
      </c>
      <c r="D29" s="52">
        <v>34.24</v>
      </c>
      <c r="E29" s="52">
        <v>12.44</v>
      </c>
      <c r="F29" s="52">
        <v>29.3</v>
      </c>
      <c r="G29" s="52">
        <v>60.64</v>
      </c>
      <c r="H29" s="52">
        <v>17.79</v>
      </c>
      <c r="I29" s="52">
        <v>6.68</v>
      </c>
      <c r="J29" s="52">
        <v>0.24</v>
      </c>
      <c r="K29" s="52">
        <v>180.32</v>
      </c>
      <c r="L29" s="52">
        <v>34.57</v>
      </c>
      <c r="M29" s="52">
        <v>36.42</v>
      </c>
      <c r="N29" s="52">
        <v>0</v>
      </c>
      <c r="O29" s="52">
        <v>0</v>
      </c>
      <c r="P29" s="52">
        <v>0.78</v>
      </c>
      <c r="Q29" s="52">
        <v>5.04</v>
      </c>
      <c r="R29" s="50"/>
      <c r="S29" s="50"/>
      <c r="T29" s="50"/>
      <c r="U29" s="50"/>
    </row>
    <row r="30" spans="1:21" customFormat="1">
      <c r="A30" s="51" t="s">
        <v>629</v>
      </c>
      <c r="B30" s="52">
        <v>11.47</v>
      </c>
      <c r="C30" s="52">
        <v>56.03</v>
      </c>
      <c r="D30" s="52">
        <v>36.72</v>
      </c>
      <c r="E30" s="52">
        <v>12.56</v>
      </c>
      <c r="F30" s="52">
        <v>19.27</v>
      </c>
      <c r="G30" s="52">
        <v>69.33</v>
      </c>
      <c r="H30" s="52">
        <v>18.84</v>
      </c>
      <c r="I30" s="52">
        <v>7.31</v>
      </c>
      <c r="J30" s="52">
        <v>0.12</v>
      </c>
      <c r="K30" s="52">
        <v>164.81</v>
      </c>
      <c r="L30" s="52">
        <v>32.28</v>
      </c>
      <c r="M30" s="52">
        <v>40.79</v>
      </c>
      <c r="N30" s="52">
        <v>0</v>
      </c>
      <c r="O30" s="52">
        <v>0</v>
      </c>
      <c r="P30" s="52">
        <v>0.79</v>
      </c>
      <c r="Q30" s="52">
        <v>5.09</v>
      </c>
      <c r="R30" s="50"/>
      <c r="S30" s="50"/>
      <c r="T30" s="50"/>
      <c r="U30" s="50"/>
    </row>
    <row r="31" spans="1:21" customFormat="1">
      <c r="A31" s="51" t="s">
        <v>630</v>
      </c>
      <c r="B31" s="52">
        <v>13.55</v>
      </c>
      <c r="C31" s="52">
        <v>55.58</v>
      </c>
      <c r="D31" s="52">
        <v>37.61</v>
      </c>
      <c r="E31" s="52">
        <v>8.64</v>
      </c>
      <c r="F31" s="52">
        <v>21.37</v>
      </c>
      <c r="G31" s="52">
        <v>69.33</v>
      </c>
      <c r="H31" s="52">
        <v>21.78</v>
      </c>
      <c r="I31" s="52">
        <v>7</v>
      </c>
      <c r="J31" s="52">
        <v>0.12</v>
      </c>
      <c r="K31" s="52">
        <v>228.38</v>
      </c>
      <c r="L31" s="52">
        <v>32.01</v>
      </c>
      <c r="M31" s="52">
        <v>40.479999999999997</v>
      </c>
      <c r="N31" s="52">
        <v>0</v>
      </c>
      <c r="O31" s="52">
        <v>0</v>
      </c>
      <c r="P31" s="52">
        <v>0.77</v>
      </c>
      <c r="Q31" s="52">
        <v>5.19</v>
      </c>
      <c r="R31" s="50"/>
      <c r="S31" s="50"/>
      <c r="T31" s="50"/>
      <c r="U31" s="50"/>
    </row>
    <row r="32" spans="1:21" customFormat="1">
      <c r="A32" s="51" t="s">
        <v>631</v>
      </c>
      <c r="B32" s="52">
        <v>14.46</v>
      </c>
      <c r="C32" s="52">
        <v>54.63</v>
      </c>
      <c r="D32" s="52">
        <v>39.090000000000003</v>
      </c>
      <c r="E32" s="52">
        <v>8.42</v>
      </c>
      <c r="F32" s="52">
        <v>22.29</v>
      </c>
      <c r="G32" s="52">
        <v>58.54</v>
      </c>
      <c r="H32" s="52">
        <v>21.78</v>
      </c>
      <c r="I32" s="52">
        <v>6.52</v>
      </c>
      <c r="J32" s="52">
        <v>0.18</v>
      </c>
      <c r="K32" s="52">
        <v>163.80000000000001</v>
      </c>
      <c r="L32" s="52">
        <v>32.06</v>
      </c>
      <c r="M32" s="52">
        <v>42.51</v>
      </c>
      <c r="N32" s="52">
        <v>0</v>
      </c>
      <c r="O32" s="52">
        <v>0</v>
      </c>
      <c r="P32" s="52">
        <v>0.73</v>
      </c>
      <c r="Q32" s="52">
        <v>5.22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5.12</v>
      </c>
      <c r="C34" s="41">
        <f t="shared" si="0"/>
        <v>40.049999999999997</v>
      </c>
      <c r="D34" s="41">
        <f t="shared" si="0"/>
        <v>24.85</v>
      </c>
      <c r="E34" s="41">
        <f t="shared" si="0"/>
        <v>7.14</v>
      </c>
      <c r="F34" s="41">
        <f t="shared" si="0"/>
        <v>12.07</v>
      </c>
      <c r="G34" s="41">
        <f t="shared" si="0"/>
        <v>36.72</v>
      </c>
      <c r="H34" s="41">
        <f t="shared" si="0"/>
        <v>16.61</v>
      </c>
      <c r="I34" s="41">
        <f t="shared" si="0"/>
        <v>4.3499999999999996</v>
      </c>
      <c r="J34" s="41">
        <f t="shared" si="0"/>
        <v>0.12</v>
      </c>
      <c r="K34" s="41">
        <f t="shared" si="0"/>
        <v>163.80000000000001</v>
      </c>
      <c r="L34" s="41">
        <f t="shared" si="0"/>
        <v>29.48</v>
      </c>
      <c r="M34" s="41">
        <f t="shared" si="0"/>
        <v>15.88</v>
      </c>
      <c r="N34" s="41">
        <f t="shared" si="0"/>
        <v>0</v>
      </c>
      <c r="O34" s="41">
        <f t="shared" si="0"/>
        <v>0</v>
      </c>
      <c r="P34" s="41">
        <f t="shared" si="0"/>
        <v>0.44</v>
      </c>
      <c r="Q34" s="41">
        <f t="shared" si="0"/>
        <v>4.43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14.58</v>
      </c>
      <c r="C35" s="33">
        <f t="shared" si="1"/>
        <v>61.07</v>
      </c>
      <c r="D35" s="33">
        <f t="shared" si="1"/>
        <v>41.7</v>
      </c>
      <c r="E35" s="33">
        <f t="shared" si="1"/>
        <v>16.04</v>
      </c>
      <c r="F35" s="33">
        <f t="shared" si="1"/>
        <v>48.79</v>
      </c>
      <c r="G35" s="33">
        <f t="shared" si="1"/>
        <v>205.7</v>
      </c>
      <c r="H35" s="33">
        <f t="shared" si="1"/>
        <v>21.78</v>
      </c>
      <c r="I35" s="33">
        <f t="shared" si="1"/>
        <v>7.31</v>
      </c>
      <c r="J35" s="33">
        <f t="shared" si="1"/>
        <v>2.13</v>
      </c>
      <c r="K35" s="33">
        <f t="shared" si="1"/>
        <v>343.4</v>
      </c>
      <c r="L35" s="33">
        <f t="shared" si="1"/>
        <v>42.56</v>
      </c>
      <c r="M35" s="33">
        <f t="shared" si="1"/>
        <v>51.91</v>
      </c>
      <c r="N35" s="33">
        <f t="shared" si="1"/>
        <v>826.3</v>
      </c>
      <c r="O35" s="33">
        <f t="shared" si="1"/>
        <v>0</v>
      </c>
      <c r="P35" s="33">
        <f t="shared" si="1"/>
        <v>0.79</v>
      </c>
      <c r="Q35" s="33">
        <f t="shared" si="1"/>
        <v>5.22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10.070416666666667</v>
      </c>
      <c r="C36" s="41">
        <f t="shared" si="2"/>
        <v>52.568750000000001</v>
      </c>
      <c r="D36" s="41">
        <f t="shared" si="2"/>
        <v>34.266249999999999</v>
      </c>
      <c r="E36" s="41">
        <f t="shared" si="2"/>
        <v>10.112916666666667</v>
      </c>
      <c r="F36" s="41">
        <f t="shared" si="2"/>
        <v>26.65499999999999</v>
      </c>
      <c r="G36" s="41">
        <f t="shared" si="2"/>
        <v>62.10499999999999</v>
      </c>
      <c r="H36" s="41">
        <f t="shared" si="2"/>
        <v>18.670833333333331</v>
      </c>
      <c r="I36" s="41">
        <f t="shared" si="2"/>
        <v>5.2445833333333329</v>
      </c>
      <c r="J36" s="41">
        <f t="shared" si="2"/>
        <v>0.70041666666666658</v>
      </c>
      <c r="K36" s="41">
        <f t="shared" si="2"/>
        <v>256.26791666666668</v>
      </c>
      <c r="L36" s="41">
        <f t="shared" si="2"/>
        <v>35.329166666666673</v>
      </c>
      <c r="M36" s="41">
        <f t="shared" si="2"/>
        <v>36.372083333333329</v>
      </c>
      <c r="N36" s="41">
        <f t="shared" si="2"/>
        <v>188.38333333333333</v>
      </c>
      <c r="O36" s="41">
        <f t="shared" si="2"/>
        <v>0</v>
      </c>
      <c r="P36" s="41">
        <f t="shared" si="2"/>
        <v>0.59249999999999992</v>
      </c>
      <c r="Q36" s="41">
        <f t="shared" si="2"/>
        <v>4.8858333333333333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3.1594736479173342</v>
      </c>
      <c r="C37" s="41">
        <f t="shared" ref="C37:Q37" si="3">STDEV(C9:C32)</f>
        <v>5.5285026768399002</v>
      </c>
      <c r="D37" s="41">
        <f t="shared" si="3"/>
        <v>5.1810850068133574</v>
      </c>
      <c r="E37" s="41">
        <f t="shared" si="3"/>
        <v>2.5701065434972747</v>
      </c>
      <c r="F37" s="41">
        <f t="shared" si="3"/>
        <v>10.508183560403335</v>
      </c>
      <c r="G37" s="41">
        <f t="shared" si="3"/>
        <v>45.369168615587022</v>
      </c>
      <c r="H37" s="41">
        <f t="shared" si="3"/>
        <v>1.4182564821905468</v>
      </c>
      <c r="I37" s="41">
        <f t="shared" si="3"/>
        <v>0.81706781777315496</v>
      </c>
      <c r="J37" s="41">
        <f t="shared" si="3"/>
        <v>0.50843732602234604</v>
      </c>
      <c r="K37" s="41">
        <f t="shared" si="3"/>
        <v>46.148447520089803</v>
      </c>
      <c r="L37" s="41">
        <f t="shared" si="3"/>
        <v>4.2926376979424852</v>
      </c>
      <c r="M37" s="41">
        <f t="shared" si="3"/>
        <v>10.682984023433134</v>
      </c>
      <c r="N37" s="41">
        <f t="shared" si="3"/>
        <v>288.60038064795572</v>
      </c>
      <c r="O37" s="41">
        <f t="shared" si="3"/>
        <v>0</v>
      </c>
      <c r="P37" s="41">
        <f t="shared" si="3"/>
        <v>9.4512479047225748E-2</v>
      </c>
      <c r="Q37" s="41">
        <f t="shared" si="3"/>
        <v>0.26351993022006359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632</v>
      </c>
      <c r="B9" s="52">
        <v>14.93</v>
      </c>
      <c r="C9" s="52">
        <v>56.99</v>
      </c>
      <c r="D9" s="52">
        <v>40.32</v>
      </c>
      <c r="E9" s="52">
        <v>7.59</v>
      </c>
      <c r="F9" s="52">
        <v>22.25</v>
      </c>
      <c r="G9" s="52">
        <v>58.54</v>
      </c>
      <c r="H9" s="52">
        <v>20.25</v>
      </c>
      <c r="I9" s="52">
        <v>6.25</v>
      </c>
      <c r="J9" s="52">
        <v>0.34</v>
      </c>
      <c r="K9" s="52">
        <v>255.95</v>
      </c>
      <c r="L9" s="52">
        <v>31.43</v>
      </c>
      <c r="M9" s="52">
        <v>42.91</v>
      </c>
      <c r="N9" s="52">
        <v>0</v>
      </c>
      <c r="O9" s="52">
        <v>0</v>
      </c>
      <c r="P9" s="52">
        <v>0.72</v>
      </c>
      <c r="Q9" s="52">
        <v>5.28</v>
      </c>
      <c r="R9" s="50"/>
      <c r="S9" s="50"/>
      <c r="T9" s="50"/>
      <c r="U9" s="50"/>
    </row>
    <row r="10" spans="1:21" customFormat="1">
      <c r="A10" s="51" t="s">
        <v>633</v>
      </c>
      <c r="B10" s="52">
        <v>15</v>
      </c>
      <c r="C10" s="52">
        <v>55.39</v>
      </c>
      <c r="D10" s="52">
        <v>39.92</v>
      </c>
      <c r="E10" s="52">
        <v>7.51</v>
      </c>
      <c r="F10" s="52">
        <v>22.29</v>
      </c>
      <c r="G10" s="52">
        <v>48.56</v>
      </c>
      <c r="H10" s="52">
        <v>19.7</v>
      </c>
      <c r="I10" s="52">
        <v>6.02</v>
      </c>
      <c r="J10" s="52">
        <v>0.31</v>
      </c>
      <c r="K10" s="52">
        <v>217.96</v>
      </c>
      <c r="L10" s="52">
        <v>31.33</v>
      </c>
      <c r="M10" s="52">
        <v>44.29</v>
      </c>
      <c r="N10" s="52">
        <v>0</v>
      </c>
      <c r="O10" s="52">
        <v>0</v>
      </c>
      <c r="P10" s="52">
        <v>0.67</v>
      </c>
      <c r="Q10" s="52">
        <v>5.31</v>
      </c>
      <c r="R10" s="50"/>
      <c r="S10" s="50"/>
      <c r="T10" s="50"/>
      <c r="U10" s="50"/>
    </row>
    <row r="11" spans="1:21" customFormat="1">
      <c r="A11" s="51" t="s">
        <v>634</v>
      </c>
      <c r="B11" s="52">
        <v>15.99</v>
      </c>
      <c r="C11" s="52">
        <v>54.22</v>
      </c>
      <c r="D11" s="52">
        <v>40.11</v>
      </c>
      <c r="E11" s="52">
        <v>7.48</v>
      </c>
      <c r="F11" s="52">
        <v>18.350000000000001</v>
      </c>
      <c r="G11" s="52">
        <v>46.32</v>
      </c>
      <c r="H11" s="52">
        <v>19.7</v>
      </c>
      <c r="I11" s="52">
        <v>5.81</v>
      </c>
      <c r="J11" s="52">
        <v>0.51</v>
      </c>
      <c r="K11" s="52">
        <v>246.24</v>
      </c>
      <c r="L11" s="52">
        <v>31.2</v>
      </c>
      <c r="M11" s="52">
        <v>44.75</v>
      </c>
      <c r="N11" s="52">
        <v>0</v>
      </c>
      <c r="O11" s="52">
        <v>0</v>
      </c>
      <c r="P11" s="52">
        <v>0.67</v>
      </c>
      <c r="Q11" s="52">
        <v>5.33</v>
      </c>
      <c r="R11" s="50"/>
      <c r="S11" s="50"/>
      <c r="T11" s="50"/>
      <c r="U11" s="50"/>
    </row>
    <row r="12" spans="1:21" customFormat="1">
      <c r="A12" s="51" t="s">
        <v>635</v>
      </c>
      <c r="B12" s="52">
        <v>16.239999999999998</v>
      </c>
      <c r="C12" s="52">
        <v>58.1</v>
      </c>
      <c r="D12" s="52">
        <v>42.33</v>
      </c>
      <c r="E12" s="52">
        <v>7.29</v>
      </c>
      <c r="F12" s="52">
        <v>16.57</v>
      </c>
      <c r="G12" s="52">
        <v>38.89</v>
      </c>
      <c r="H12" s="52">
        <v>18.97</v>
      </c>
      <c r="I12" s="52">
        <v>5.57</v>
      </c>
      <c r="J12" s="52">
        <v>0.45</v>
      </c>
      <c r="K12" s="52">
        <v>238.68</v>
      </c>
      <c r="L12" s="52">
        <v>30.56</v>
      </c>
      <c r="M12" s="52">
        <v>45.78</v>
      </c>
      <c r="N12" s="52">
        <v>0</v>
      </c>
      <c r="O12" s="52">
        <v>0</v>
      </c>
      <c r="P12" s="52">
        <v>0.66</v>
      </c>
      <c r="Q12" s="52">
        <v>5.31</v>
      </c>
      <c r="R12" s="50"/>
      <c r="S12" s="50"/>
      <c r="T12" s="50"/>
      <c r="U12" s="50"/>
    </row>
    <row r="13" spans="1:21" customFormat="1">
      <c r="A13" s="51" t="s">
        <v>636</v>
      </c>
      <c r="B13" s="52">
        <v>16.22</v>
      </c>
      <c r="C13" s="52">
        <v>56.57</v>
      </c>
      <c r="D13" s="52">
        <v>41.52</v>
      </c>
      <c r="E13" s="52">
        <v>7.02</v>
      </c>
      <c r="F13" s="52">
        <v>16.05</v>
      </c>
      <c r="G13" s="52">
        <v>39.299999999999997</v>
      </c>
      <c r="H13" s="52">
        <v>16.57</v>
      </c>
      <c r="I13" s="52">
        <v>5.58</v>
      </c>
      <c r="J13" s="52">
        <v>0.61</v>
      </c>
      <c r="K13" s="52">
        <v>246.95</v>
      </c>
      <c r="L13" s="52">
        <v>30.87</v>
      </c>
      <c r="M13" s="52">
        <v>43.89</v>
      </c>
      <c r="N13" s="52">
        <v>0</v>
      </c>
      <c r="O13" s="52">
        <v>0</v>
      </c>
      <c r="P13" s="52">
        <v>0.64</v>
      </c>
      <c r="Q13" s="52">
        <v>5.3</v>
      </c>
      <c r="R13" s="50"/>
      <c r="S13" s="50"/>
      <c r="T13" s="50"/>
      <c r="U13" s="50"/>
    </row>
    <row r="14" spans="1:21" customFormat="1">
      <c r="A14" s="51" t="s">
        <v>637</v>
      </c>
      <c r="B14" s="52">
        <v>16.14</v>
      </c>
      <c r="C14" s="52">
        <v>54.93</v>
      </c>
      <c r="D14" s="52">
        <v>40.6</v>
      </c>
      <c r="E14" s="52">
        <v>7.11</v>
      </c>
      <c r="F14" s="52">
        <v>18.87</v>
      </c>
      <c r="G14" s="52">
        <v>39.299999999999997</v>
      </c>
      <c r="H14" s="52">
        <v>15.4</v>
      </c>
      <c r="I14" s="52">
        <v>5.51</v>
      </c>
      <c r="J14" s="52">
        <v>0.47</v>
      </c>
      <c r="K14" s="52">
        <v>247.96</v>
      </c>
      <c r="L14" s="52">
        <v>30.38</v>
      </c>
      <c r="M14" s="52">
        <v>49.33</v>
      </c>
      <c r="N14" s="52">
        <v>20.8</v>
      </c>
      <c r="O14" s="52">
        <v>0</v>
      </c>
      <c r="P14" s="52">
        <v>0.62</v>
      </c>
      <c r="Q14" s="52">
        <v>5.26</v>
      </c>
      <c r="R14" s="50"/>
      <c r="S14" s="50"/>
      <c r="T14" s="50"/>
      <c r="U14" s="50"/>
    </row>
    <row r="15" spans="1:21" customFormat="1">
      <c r="A15" s="51" t="s">
        <v>638</v>
      </c>
      <c r="B15" s="52">
        <v>15.61</v>
      </c>
      <c r="C15" s="52">
        <v>56.55</v>
      </c>
      <c r="D15" s="52">
        <v>40.76</v>
      </c>
      <c r="E15" s="52">
        <v>6.99</v>
      </c>
      <c r="F15" s="52">
        <v>15.31</v>
      </c>
      <c r="G15" s="52">
        <v>35.79</v>
      </c>
      <c r="H15" s="52">
        <v>16.39</v>
      </c>
      <c r="I15" s="52">
        <v>5.47</v>
      </c>
      <c r="J15" s="52">
        <v>0.67</v>
      </c>
      <c r="K15" s="52">
        <v>249.7</v>
      </c>
      <c r="L15" s="52">
        <v>31.44</v>
      </c>
      <c r="M15" s="52">
        <v>50.05</v>
      </c>
      <c r="N15" s="52">
        <v>65.3</v>
      </c>
      <c r="O15" s="52">
        <v>0</v>
      </c>
      <c r="P15" s="52">
        <v>0.6</v>
      </c>
      <c r="Q15" s="52">
        <v>5.26</v>
      </c>
      <c r="R15" s="50"/>
      <c r="S15" s="50"/>
      <c r="T15" s="50"/>
      <c r="U15" s="50"/>
    </row>
    <row r="16" spans="1:21" customFormat="1">
      <c r="A16" s="51" t="s">
        <v>639</v>
      </c>
      <c r="B16" s="52">
        <v>15.18</v>
      </c>
      <c r="C16" s="52">
        <v>55.12</v>
      </c>
      <c r="D16" s="52">
        <v>39.54</v>
      </c>
      <c r="E16" s="52">
        <v>7.66</v>
      </c>
      <c r="F16" s="52">
        <v>17.78</v>
      </c>
      <c r="G16" s="52">
        <v>41.28</v>
      </c>
      <c r="H16" s="52">
        <v>17.41</v>
      </c>
      <c r="I16" s="52">
        <v>5.38</v>
      </c>
      <c r="J16" s="52">
        <v>1.07</v>
      </c>
      <c r="K16" s="52">
        <v>261.57</v>
      </c>
      <c r="L16" s="52">
        <v>33.1</v>
      </c>
      <c r="M16" s="52">
        <v>48.58</v>
      </c>
      <c r="N16" s="52">
        <v>188.4</v>
      </c>
      <c r="O16" s="52">
        <v>0</v>
      </c>
      <c r="P16" s="52">
        <v>0.6</v>
      </c>
      <c r="Q16" s="52">
        <v>5.21</v>
      </c>
      <c r="R16" s="50"/>
      <c r="S16" s="50"/>
      <c r="T16" s="50"/>
      <c r="U16" s="50"/>
    </row>
    <row r="17" spans="1:21" customFormat="1">
      <c r="A17" s="51" t="s">
        <v>640</v>
      </c>
      <c r="B17" s="52">
        <v>13.92</v>
      </c>
      <c r="C17" s="52">
        <v>55.55</v>
      </c>
      <c r="D17" s="52">
        <v>39.14</v>
      </c>
      <c r="E17" s="52">
        <v>7.21</v>
      </c>
      <c r="F17" s="52">
        <v>11.66</v>
      </c>
      <c r="G17" s="52">
        <v>41.28</v>
      </c>
      <c r="H17" s="52">
        <v>17.41</v>
      </c>
      <c r="I17" s="52">
        <v>5.44</v>
      </c>
      <c r="J17" s="52">
        <v>1.61</v>
      </c>
      <c r="K17" s="52">
        <v>261.26</v>
      </c>
      <c r="L17" s="52">
        <v>34.28</v>
      </c>
      <c r="M17" s="52">
        <v>36.03</v>
      </c>
      <c r="N17" s="52">
        <v>259.7</v>
      </c>
      <c r="O17" s="52">
        <v>0</v>
      </c>
      <c r="P17" s="52">
        <v>0.59</v>
      </c>
      <c r="Q17" s="52">
        <v>5.0599999999999996</v>
      </c>
      <c r="R17" s="50"/>
      <c r="S17" s="50"/>
      <c r="T17" s="50"/>
      <c r="U17" s="50"/>
    </row>
    <row r="18" spans="1:21" customFormat="1">
      <c r="A18" s="51" t="s">
        <v>641</v>
      </c>
      <c r="B18" s="52">
        <v>11.7</v>
      </c>
      <c r="C18" s="52">
        <v>58.76</v>
      </c>
      <c r="D18" s="52">
        <v>38.82</v>
      </c>
      <c r="E18" s="52">
        <v>8.3800000000000008</v>
      </c>
      <c r="F18" s="52">
        <v>11.46</v>
      </c>
      <c r="G18" s="52">
        <v>49.17</v>
      </c>
      <c r="H18" s="52">
        <v>18.37</v>
      </c>
      <c r="I18" s="52">
        <v>5.65</v>
      </c>
      <c r="J18" s="52">
        <v>1.69</v>
      </c>
      <c r="K18" s="52">
        <v>264.45999999999998</v>
      </c>
      <c r="L18" s="52">
        <v>33.520000000000003</v>
      </c>
      <c r="M18" s="52">
        <v>49.37</v>
      </c>
      <c r="N18" s="52">
        <v>253.1</v>
      </c>
      <c r="O18" s="52">
        <v>0</v>
      </c>
      <c r="P18" s="52">
        <v>0.63</v>
      </c>
      <c r="Q18" s="52">
        <v>5.0199999999999996</v>
      </c>
      <c r="R18" s="50"/>
      <c r="S18" s="50"/>
      <c r="T18" s="50"/>
      <c r="U18" s="50"/>
    </row>
    <row r="19" spans="1:21" customFormat="1">
      <c r="A19" s="51" t="s">
        <v>642</v>
      </c>
      <c r="B19" s="52">
        <v>11</v>
      </c>
      <c r="C19" s="52">
        <v>53.67</v>
      </c>
      <c r="D19" s="52">
        <v>35.6</v>
      </c>
      <c r="E19" s="52">
        <v>9.44</v>
      </c>
      <c r="F19" s="52">
        <v>20.07</v>
      </c>
      <c r="G19" s="52">
        <v>55.83</v>
      </c>
      <c r="H19" s="52">
        <v>18.37</v>
      </c>
      <c r="I19" s="52">
        <v>5.83</v>
      </c>
      <c r="J19" s="52">
        <v>0.92</v>
      </c>
      <c r="K19" s="52">
        <v>277.5</v>
      </c>
      <c r="L19" s="52">
        <v>37.08</v>
      </c>
      <c r="M19" s="52">
        <v>43.6</v>
      </c>
      <c r="N19" s="52">
        <v>273.5</v>
      </c>
      <c r="O19" s="52">
        <v>0</v>
      </c>
      <c r="P19" s="52">
        <v>0.62</v>
      </c>
      <c r="Q19" s="52">
        <v>5</v>
      </c>
      <c r="R19" s="50"/>
      <c r="S19" s="50"/>
      <c r="T19" s="50"/>
      <c r="U19" s="50"/>
    </row>
    <row r="20" spans="1:21" customFormat="1">
      <c r="A20" s="51" t="s">
        <v>643</v>
      </c>
      <c r="B20" s="52">
        <v>9.06</v>
      </c>
      <c r="C20" s="52">
        <v>49.6</v>
      </c>
      <c r="D20" s="52">
        <v>32.14</v>
      </c>
      <c r="E20" s="52">
        <v>10.52</v>
      </c>
      <c r="F20" s="52">
        <v>26.35</v>
      </c>
      <c r="G20" s="52">
        <v>55.83</v>
      </c>
      <c r="H20" s="52">
        <v>16.22</v>
      </c>
      <c r="I20" s="52">
        <v>6.07</v>
      </c>
      <c r="J20" s="52">
        <v>1.45</v>
      </c>
      <c r="K20" s="52">
        <v>309.8</v>
      </c>
      <c r="L20" s="52">
        <v>38.520000000000003</v>
      </c>
      <c r="M20" s="52">
        <v>27.13</v>
      </c>
      <c r="N20" s="52">
        <v>832.4</v>
      </c>
      <c r="O20" s="52">
        <v>0</v>
      </c>
      <c r="P20" s="52">
        <v>0.65</v>
      </c>
      <c r="Q20" s="52">
        <v>4.7300000000000004</v>
      </c>
      <c r="R20" s="50"/>
      <c r="S20" s="50"/>
      <c r="T20" s="50"/>
      <c r="U20" s="50"/>
    </row>
    <row r="21" spans="1:21" customFormat="1">
      <c r="A21" s="51" t="s">
        <v>644</v>
      </c>
      <c r="B21" s="52">
        <v>6.24</v>
      </c>
      <c r="C21" s="52">
        <v>47.43</v>
      </c>
      <c r="D21" s="52">
        <v>28.74</v>
      </c>
      <c r="E21" s="52">
        <v>9.11</v>
      </c>
      <c r="F21" s="52">
        <v>25.95</v>
      </c>
      <c r="G21" s="52">
        <v>61.15</v>
      </c>
      <c r="H21" s="52">
        <v>16.57</v>
      </c>
      <c r="I21" s="52">
        <v>6.11</v>
      </c>
      <c r="J21" s="52">
        <v>1.31</v>
      </c>
      <c r="K21" s="52">
        <v>285.79000000000002</v>
      </c>
      <c r="L21" s="52">
        <v>40.22</v>
      </c>
      <c r="M21" s="52">
        <v>23.53</v>
      </c>
      <c r="N21" s="52">
        <v>857.4</v>
      </c>
      <c r="O21" s="52">
        <v>0</v>
      </c>
      <c r="P21" s="52">
        <v>0.61</v>
      </c>
      <c r="Q21" s="52">
        <v>4.53</v>
      </c>
      <c r="R21" s="50"/>
      <c r="S21" s="50"/>
      <c r="T21" s="50"/>
      <c r="U21" s="50"/>
    </row>
    <row r="22" spans="1:21" customFormat="1">
      <c r="A22" s="51" t="s">
        <v>645</v>
      </c>
      <c r="B22" s="52">
        <v>4.49</v>
      </c>
      <c r="C22" s="52">
        <v>49.26</v>
      </c>
      <c r="D22" s="52">
        <v>28.29</v>
      </c>
      <c r="E22" s="52">
        <v>6.08</v>
      </c>
      <c r="F22" s="52">
        <v>28.15</v>
      </c>
      <c r="G22" s="52">
        <v>61.15</v>
      </c>
      <c r="H22" s="52">
        <v>17.86</v>
      </c>
      <c r="I22" s="52">
        <v>6.15</v>
      </c>
      <c r="J22" s="52">
        <v>1.56</v>
      </c>
      <c r="K22" s="52">
        <v>282.86</v>
      </c>
      <c r="L22" s="52">
        <v>40.799999999999997</v>
      </c>
      <c r="M22" s="52">
        <v>20.94</v>
      </c>
      <c r="N22" s="52">
        <v>834.7</v>
      </c>
      <c r="O22" s="52">
        <v>0</v>
      </c>
      <c r="P22" s="52">
        <v>0.6</v>
      </c>
      <c r="Q22" s="52">
        <v>4.53</v>
      </c>
      <c r="R22" s="50"/>
      <c r="S22" s="50"/>
      <c r="T22" s="50"/>
      <c r="U22" s="50"/>
    </row>
    <row r="23" spans="1:21" customFormat="1">
      <c r="A23" s="51" t="s">
        <v>646</v>
      </c>
      <c r="B23" s="52">
        <v>4.51</v>
      </c>
      <c r="C23" s="52">
        <v>47.64</v>
      </c>
      <c r="D23" s="52">
        <v>27.35</v>
      </c>
      <c r="E23" s="52">
        <v>5.75</v>
      </c>
      <c r="F23" s="52">
        <v>23.87</v>
      </c>
      <c r="G23" s="52">
        <v>53.94</v>
      </c>
      <c r="H23" s="52">
        <v>17.86</v>
      </c>
      <c r="I23" s="52">
        <v>5.84</v>
      </c>
      <c r="J23" s="52">
        <v>1.64</v>
      </c>
      <c r="K23" s="52">
        <v>278.18</v>
      </c>
      <c r="L23" s="52">
        <v>41.01</v>
      </c>
      <c r="M23" s="52">
        <v>18.14</v>
      </c>
      <c r="N23" s="52">
        <v>739.2</v>
      </c>
      <c r="O23" s="52">
        <v>0</v>
      </c>
      <c r="P23" s="52">
        <v>0.52</v>
      </c>
      <c r="Q23" s="52">
        <v>4.4800000000000004</v>
      </c>
      <c r="R23" s="50"/>
      <c r="S23" s="50"/>
      <c r="T23" s="50"/>
      <c r="U23" s="50"/>
    </row>
    <row r="24" spans="1:21" customFormat="1">
      <c r="A24" s="51" t="s">
        <v>647</v>
      </c>
      <c r="B24" s="52">
        <v>4.8499999999999996</v>
      </c>
      <c r="C24" s="52">
        <v>46.66</v>
      </c>
      <c r="D24" s="52">
        <v>27.22</v>
      </c>
      <c r="E24" s="52">
        <v>4.3899999999999997</v>
      </c>
      <c r="F24" s="52">
        <v>18.510000000000002</v>
      </c>
      <c r="G24" s="52">
        <v>56.41</v>
      </c>
      <c r="H24" s="52">
        <v>16.22</v>
      </c>
      <c r="I24" s="52">
        <v>5.74</v>
      </c>
      <c r="J24" s="52">
        <v>1.77</v>
      </c>
      <c r="K24" s="52">
        <v>287.89999999999998</v>
      </c>
      <c r="L24" s="52">
        <v>40.79</v>
      </c>
      <c r="M24" s="52">
        <v>16.66</v>
      </c>
      <c r="N24" s="52">
        <v>608.1</v>
      </c>
      <c r="O24" s="52">
        <v>0</v>
      </c>
      <c r="P24" s="52">
        <v>0.5</v>
      </c>
      <c r="Q24" s="52">
        <v>4.4000000000000004</v>
      </c>
      <c r="R24" s="50"/>
      <c r="S24" s="50"/>
      <c r="T24" s="50"/>
      <c r="U24" s="50"/>
    </row>
    <row r="25" spans="1:21" customFormat="1">
      <c r="A25" s="51" t="s">
        <v>648</v>
      </c>
      <c r="B25" s="52">
        <v>5.57</v>
      </c>
      <c r="C25" s="52">
        <v>48.09</v>
      </c>
      <c r="D25" s="52">
        <v>28.55</v>
      </c>
      <c r="E25" s="52">
        <v>5.08</v>
      </c>
      <c r="F25" s="52">
        <v>23.89</v>
      </c>
      <c r="G25" s="52">
        <v>56.41</v>
      </c>
      <c r="H25" s="52">
        <v>15.56</v>
      </c>
      <c r="I25" s="52">
        <v>5.23</v>
      </c>
      <c r="J25" s="52">
        <v>1.71</v>
      </c>
      <c r="K25" s="52">
        <v>299.06</v>
      </c>
      <c r="L25" s="52">
        <v>40.35</v>
      </c>
      <c r="M25" s="52">
        <v>18.93</v>
      </c>
      <c r="N25" s="52">
        <v>395.2</v>
      </c>
      <c r="O25" s="52">
        <v>0</v>
      </c>
      <c r="P25" s="52">
        <v>0.47</v>
      </c>
      <c r="Q25" s="52">
        <v>4.47</v>
      </c>
      <c r="R25" s="50"/>
      <c r="S25" s="50"/>
      <c r="T25" s="50"/>
      <c r="U25" s="50"/>
    </row>
    <row r="26" spans="1:21" customFormat="1">
      <c r="A26" s="51" t="s">
        <v>649</v>
      </c>
      <c r="B26" s="52">
        <v>7.42</v>
      </c>
      <c r="C26" s="52">
        <v>52.55</v>
      </c>
      <c r="D26" s="52">
        <v>32.36</v>
      </c>
      <c r="E26" s="52">
        <v>4.92</v>
      </c>
      <c r="F26" s="52">
        <v>24.75</v>
      </c>
      <c r="G26" s="52">
        <v>54.2</v>
      </c>
      <c r="H26" s="52">
        <v>15.56</v>
      </c>
      <c r="I26" s="52">
        <v>4.72</v>
      </c>
      <c r="J26" s="52">
        <v>1.72</v>
      </c>
      <c r="K26" s="52">
        <v>303.32</v>
      </c>
      <c r="L26" s="52">
        <v>39.19</v>
      </c>
      <c r="M26" s="52">
        <v>19.34</v>
      </c>
      <c r="N26" s="52">
        <v>95.5</v>
      </c>
      <c r="O26" s="52">
        <v>0</v>
      </c>
      <c r="P26" s="52">
        <v>0.48</v>
      </c>
      <c r="Q26" s="52">
        <v>4.51</v>
      </c>
      <c r="R26" s="50"/>
      <c r="S26" s="50"/>
      <c r="T26" s="50"/>
      <c r="U26" s="50"/>
    </row>
    <row r="27" spans="1:21" customFormat="1">
      <c r="A27" s="51" t="s">
        <v>650</v>
      </c>
      <c r="B27" s="52">
        <v>9.0399999999999991</v>
      </c>
      <c r="C27" s="52">
        <v>57.47</v>
      </c>
      <c r="D27" s="52">
        <v>36.229999999999997</v>
      </c>
      <c r="E27" s="52">
        <v>6.76</v>
      </c>
      <c r="F27" s="52">
        <v>22.2</v>
      </c>
      <c r="G27" s="52">
        <v>61.84</v>
      </c>
      <c r="H27" s="52">
        <v>13.95</v>
      </c>
      <c r="I27" s="52">
        <v>4.54</v>
      </c>
      <c r="J27" s="52">
        <v>1.1599999999999999</v>
      </c>
      <c r="K27" s="52">
        <v>297.43</v>
      </c>
      <c r="L27" s="52">
        <v>38.31</v>
      </c>
      <c r="M27" s="52">
        <v>19.239999999999998</v>
      </c>
      <c r="N27" s="52">
        <v>12.3</v>
      </c>
      <c r="O27" s="52">
        <v>0</v>
      </c>
      <c r="P27" s="52">
        <v>0.54</v>
      </c>
      <c r="Q27" s="52">
        <v>4.7699999999999996</v>
      </c>
      <c r="R27" s="50"/>
      <c r="S27" s="50"/>
      <c r="T27" s="50"/>
      <c r="U27" s="50"/>
    </row>
    <row r="28" spans="1:21" customFormat="1">
      <c r="A28" s="51" t="s">
        <v>651</v>
      </c>
      <c r="B28" s="52">
        <v>7.58</v>
      </c>
      <c r="C28" s="52">
        <v>50.06</v>
      </c>
      <c r="D28" s="52">
        <v>31.19</v>
      </c>
      <c r="E28" s="52">
        <v>9.3800000000000008</v>
      </c>
      <c r="F28" s="52">
        <v>33.619999999999997</v>
      </c>
      <c r="G28" s="52">
        <v>61.84</v>
      </c>
      <c r="H28" s="52">
        <v>12.26</v>
      </c>
      <c r="I28" s="52">
        <v>4.95</v>
      </c>
      <c r="J28" s="52">
        <v>0.67</v>
      </c>
      <c r="K28" s="52">
        <v>251.25</v>
      </c>
      <c r="L28" s="52">
        <v>36.85</v>
      </c>
      <c r="M28" s="52">
        <v>23.72</v>
      </c>
      <c r="N28" s="52">
        <v>0</v>
      </c>
      <c r="O28" s="52">
        <v>0</v>
      </c>
      <c r="P28" s="52">
        <v>0.51</v>
      </c>
      <c r="Q28" s="52">
        <v>4.79</v>
      </c>
      <c r="R28" s="50"/>
      <c r="S28" s="50"/>
      <c r="T28" s="50"/>
      <c r="U28" s="50"/>
    </row>
    <row r="29" spans="1:21" customFormat="1">
      <c r="A29" s="51" t="s">
        <v>652</v>
      </c>
      <c r="B29" s="52">
        <v>8.58</v>
      </c>
      <c r="C29" s="52">
        <v>50.93</v>
      </c>
      <c r="D29" s="52">
        <v>32.25</v>
      </c>
      <c r="E29" s="52">
        <v>12.96</v>
      </c>
      <c r="F29" s="52">
        <v>28.78</v>
      </c>
      <c r="G29" s="52">
        <v>52.47</v>
      </c>
      <c r="H29" s="52">
        <v>11.2</v>
      </c>
      <c r="I29" s="52">
        <v>5.33</v>
      </c>
      <c r="J29" s="52">
        <v>0.25</v>
      </c>
      <c r="K29" s="52">
        <v>205.09</v>
      </c>
      <c r="L29" s="52">
        <v>34.76</v>
      </c>
      <c r="M29" s="52">
        <v>31.54</v>
      </c>
      <c r="N29" s="52">
        <v>0</v>
      </c>
      <c r="O29" s="52">
        <v>0</v>
      </c>
      <c r="P29" s="52">
        <v>0.63</v>
      </c>
      <c r="Q29" s="52">
        <v>4.99</v>
      </c>
      <c r="R29" s="50"/>
      <c r="S29" s="50"/>
      <c r="T29" s="50"/>
      <c r="U29" s="50"/>
    </row>
    <row r="30" spans="1:21" customFormat="1">
      <c r="A30" s="51" t="s">
        <v>653</v>
      </c>
      <c r="B30" s="52">
        <v>10.42</v>
      </c>
      <c r="C30" s="52">
        <v>57.22</v>
      </c>
      <c r="D30" s="52">
        <v>36.369999999999997</v>
      </c>
      <c r="E30" s="52">
        <v>12.77</v>
      </c>
      <c r="F30" s="52">
        <v>27.46</v>
      </c>
      <c r="G30" s="52">
        <v>60.59</v>
      </c>
      <c r="H30" s="52">
        <v>13.24</v>
      </c>
      <c r="I30" s="52">
        <v>5.85</v>
      </c>
      <c r="J30" s="52">
        <v>0.32</v>
      </c>
      <c r="K30" s="52">
        <v>245.41</v>
      </c>
      <c r="L30" s="52">
        <v>32.56</v>
      </c>
      <c r="M30" s="52">
        <v>36.31</v>
      </c>
      <c r="N30" s="52">
        <v>0</v>
      </c>
      <c r="O30" s="52">
        <v>0</v>
      </c>
      <c r="P30" s="52">
        <v>0.68</v>
      </c>
      <c r="Q30" s="52">
        <v>5.0599999999999996</v>
      </c>
      <c r="R30" s="50"/>
      <c r="S30" s="50"/>
      <c r="T30" s="50"/>
      <c r="U30" s="50"/>
    </row>
    <row r="31" spans="1:21" customFormat="1">
      <c r="A31" s="51" t="s">
        <v>654</v>
      </c>
      <c r="B31" s="52">
        <v>12.82</v>
      </c>
      <c r="C31" s="52">
        <v>62.01</v>
      </c>
      <c r="D31" s="52">
        <v>41.3</v>
      </c>
      <c r="E31" s="52">
        <v>12.87</v>
      </c>
      <c r="F31" s="52">
        <v>24.09</v>
      </c>
      <c r="G31" s="52">
        <v>69.52</v>
      </c>
      <c r="H31" s="52">
        <v>15.41</v>
      </c>
      <c r="I31" s="52">
        <v>5.77</v>
      </c>
      <c r="J31" s="52">
        <v>0.22</v>
      </c>
      <c r="K31" s="52">
        <v>219.42</v>
      </c>
      <c r="L31" s="52">
        <v>33.119999999999997</v>
      </c>
      <c r="M31" s="52">
        <v>42.85</v>
      </c>
      <c r="N31" s="52">
        <v>0</v>
      </c>
      <c r="O31" s="52">
        <v>0</v>
      </c>
      <c r="P31" s="52">
        <v>0.69</v>
      </c>
      <c r="Q31" s="52">
        <v>5.33</v>
      </c>
      <c r="R31" s="50"/>
      <c r="S31" s="50"/>
      <c r="T31" s="50"/>
      <c r="U31" s="50"/>
    </row>
    <row r="32" spans="1:21" customFormat="1">
      <c r="A32" s="51" t="s">
        <v>655</v>
      </c>
      <c r="B32" s="52">
        <v>14.23</v>
      </c>
      <c r="C32" s="52">
        <v>58.6</v>
      </c>
      <c r="D32" s="52">
        <v>40.98</v>
      </c>
      <c r="E32" s="52">
        <v>9.41</v>
      </c>
      <c r="F32" s="52">
        <v>17.84</v>
      </c>
      <c r="G32" s="52">
        <v>69.52</v>
      </c>
      <c r="H32" s="52">
        <v>17.52</v>
      </c>
      <c r="I32" s="52">
        <v>5.85</v>
      </c>
      <c r="J32" s="52">
        <v>0.18</v>
      </c>
      <c r="K32" s="52">
        <v>196.6</v>
      </c>
      <c r="L32" s="52">
        <v>30.66</v>
      </c>
      <c r="M32" s="52">
        <v>46.94</v>
      </c>
      <c r="N32" s="52">
        <v>0</v>
      </c>
      <c r="O32" s="52">
        <v>0</v>
      </c>
      <c r="P32" s="52">
        <v>0.7</v>
      </c>
      <c r="Q32" s="52">
        <v>5.22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4.49</v>
      </c>
      <c r="C34" s="41">
        <f t="shared" si="0"/>
        <v>46.66</v>
      </c>
      <c r="D34" s="41">
        <f t="shared" si="0"/>
        <v>27.22</v>
      </c>
      <c r="E34" s="41">
        <f t="shared" si="0"/>
        <v>4.3899999999999997</v>
      </c>
      <c r="F34" s="41">
        <f t="shared" si="0"/>
        <v>11.46</v>
      </c>
      <c r="G34" s="41">
        <f t="shared" si="0"/>
        <v>35.79</v>
      </c>
      <c r="H34" s="41">
        <f t="shared" si="0"/>
        <v>11.2</v>
      </c>
      <c r="I34" s="41">
        <f t="shared" si="0"/>
        <v>4.54</v>
      </c>
      <c r="J34" s="41">
        <f t="shared" si="0"/>
        <v>0.18</v>
      </c>
      <c r="K34" s="41">
        <f t="shared" si="0"/>
        <v>196.6</v>
      </c>
      <c r="L34" s="41">
        <f t="shared" si="0"/>
        <v>30.38</v>
      </c>
      <c r="M34" s="41">
        <f t="shared" si="0"/>
        <v>16.66</v>
      </c>
      <c r="N34" s="41">
        <f t="shared" si="0"/>
        <v>0</v>
      </c>
      <c r="O34" s="41">
        <f t="shared" si="0"/>
        <v>0</v>
      </c>
      <c r="P34" s="41">
        <f t="shared" si="0"/>
        <v>0.47</v>
      </c>
      <c r="Q34" s="41">
        <f t="shared" si="0"/>
        <v>4.4000000000000004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16.239999999999998</v>
      </c>
      <c r="C35" s="33">
        <f t="shared" si="1"/>
        <v>62.01</v>
      </c>
      <c r="D35" s="33">
        <f t="shared" si="1"/>
        <v>42.33</v>
      </c>
      <c r="E35" s="33">
        <f t="shared" si="1"/>
        <v>12.96</v>
      </c>
      <c r="F35" s="33">
        <f t="shared" si="1"/>
        <v>33.619999999999997</v>
      </c>
      <c r="G35" s="33">
        <f t="shared" si="1"/>
        <v>69.52</v>
      </c>
      <c r="H35" s="33">
        <f t="shared" si="1"/>
        <v>20.25</v>
      </c>
      <c r="I35" s="33">
        <f t="shared" si="1"/>
        <v>6.25</v>
      </c>
      <c r="J35" s="33">
        <f t="shared" si="1"/>
        <v>1.77</v>
      </c>
      <c r="K35" s="33">
        <f t="shared" si="1"/>
        <v>309.8</v>
      </c>
      <c r="L35" s="33">
        <f t="shared" si="1"/>
        <v>41.01</v>
      </c>
      <c r="M35" s="33">
        <f t="shared" si="1"/>
        <v>50.05</v>
      </c>
      <c r="N35" s="33">
        <f t="shared" si="1"/>
        <v>857.4</v>
      </c>
      <c r="O35" s="33">
        <f t="shared" si="1"/>
        <v>0</v>
      </c>
      <c r="P35" s="33">
        <f t="shared" si="1"/>
        <v>0.72</v>
      </c>
      <c r="Q35" s="33">
        <f t="shared" si="1"/>
        <v>5.33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11.114166666666664</v>
      </c>
      <c r="C36" s="41">
        <f t="shared" si="2"/>
        <v>53.89041666666666</v>
      </c>
      <c r="D36" s="41">
        <f t="shared" si="2"/>
        <v>35.901250000000005</v>
      </c>
      <c r="E36" s="41">
        <f t="shared" si="2"/>
        <v>8.0699999999999985</v>
      </c>
      <c r="F36" s="41">
        <f t="shared" si="2"/>
        <v>21.504999999999995</v>
      </c>
      <c r="G36" s="41">
        <f t="shared" si="2"/>
        <v>52.880416666666662</v>
      </c>
      <c r="H36" s="41">
        <f t="shared" si="2"/>
        <v>16.582083333333333</v>
      </c>
      <c r="I36" s="41">
        <f t="shared" si="2"/>
        <v>5.6108333333333329</v>
      </c>
      <c r="J36" s="41">
        <f t="shared" si="2"/>
        <v>0.94208333333333349</v>
      </c>
      <c r="K36" s="41">
        <f t="shared" si="2"/>
        <v>259.59750000000003</v>
      </c>
      <c r="L36" s="41">
        <f t="shared" si="2"/>
        <v>35.09708333333333</v>
      </c>
      <c r="M36" s="41">
        <f t="shared" si="2"/>
        <v>35.160416666666663</v>
      </c>
      <c r="N36" s="41">
        <f t="shared" si="2"/>
        <v>226.48333333333335</v>
      </c>
      <c r="O36" s="41">
        <f t="shared" si="2"/>
        <v>0</v>
      </c>
      <c r="P36" s="41">
        <f t="shared" si="2"/>
        <v>0.60833333333333328</v>
      </c>
      <c r="Q36" s="41">
        <f t="shared" si="2"/>
        <v>4.9645833333333345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4.2294001184942172</v>
      </c>
      <c r="C37" s="41">
        <f t="shared" ref="C37:Q37" si="3">STDEV(C9:C32)</f>
        <v>4.2572919328429961</v>
      </c>
      <c r="D37" s="41">
        <f t="shared" si="3"/>
        <v>5.2483556948819583</v>
      </c>
      <c r="E37" s="41">
        <f t="shared" si="3"/>
        <v>2.3835778733368223</v>
      </c>
      <c r="F37" s="41">
        <f t="shared" si="3"/>
        <v>5.5098591475723957</v>
      </c>
      <c r="G37" s="41">
        <f t="shared" si="3"/>
        <v>9.7560903962007774</v>
      </c>
      <c r="H37" s="41">
        <f t="shared" si="3"/>
        <v>2.2975695649527177</v>
      </c>
      <c r="I37" s="41">
        <f t="shared" si="3"/>
        <v>0.43443032829779155</v>
      </c>
      <c r="J37" s="41">
        <f t="shared" si="3"/>
        <v>0.58430917342185151</v>
      </c>
      <c r="K37" s="41">
        <f t="shared" si="3"/>
        <v>30.734569299080277</v>
      </c>
      <c r="L37" s="41">
        <f t="shared" si="3"/>
        <v>3.921638387833335</v>
      </c>
      <c r="M37" s="41">
        <f t="shared" si="3"/>
        <v>12.238766092666948</v>
      </c>
      <c r="N37" s="41">
        <f t="shared" si="3"/>
        <v>310.80749482690999</v>
      </c>
      <c r="O37" s="41">
        <f t="shared" si="3"/>
        <v>0</v>
      </c>
      <c r="P37" s="41">
        <f t="shared" si="3"/>
        <v>7.1302580395204956E-2</v>
      </c>
      <c r="Q37" s="41">
        <f t="shared" si="3"/>
        <v>0.33276155670867363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656</v>
      </c>
      <c r="B9" s="52">
        <v>15.69</v>
      </c>
      <c r="C9" s="52">
        <v>60.44</v>
      </c>
      <c r="D9" s="52">
        <v>43.11</v>
      </c>
      <c r="E9" s="52">
        <v>8.85</v>
      </c>
      <c r="F9" s="52">
        <v>13.44</v>
      </c>
      <c r="G9" s="52">
        <v>64.64</v>
      </c>
      <c r="H9" s="52">
        <v>17.52</v>
      </c>
      <c r="I9" s="52">
        <v>6.06</v>
      </c>
      <c r="J9" s="52">
        <v>0.22</v>
      </c>
      <c r="K9" s="52">
        <v>194.55</v>
      </c>
      <c r="L9" s="52">
        <v>29.64</v>
      </c>
      <c r="M9" s="52">
        <v>48.56</v>
      </c>
      <c r="N9" s="52">
        <v>0</v>
      </c>
      <c r="O9" s="52">
        <v>0</v>
      </c>
      <c r="P9" s="52">
        <v>0.7</v>
      </c>
      <c r="Q9" s="52">
        <v>5.33</v>
      </c>
      <c r="R9" s="50"/>
      <c r="S9" s="50"/>
      <c r="T9" s="50"/>
      <c r="U9" s="50"/>
    </row>
    <row r="10" spans="1:21" customFormat="1">
      <c r="A10" s="51" t="s">
        <v>657</v>
      </c>
      <c r="B10" s="52">
        <v>17.36</v>
      </c>
      <c r="C10" s="52">
        <v>61.04</v>
      </c>
      <c r="D10" s="52">
        <v>44.48</v>
      </c>
      <c r="E10" s="52">
        <v>7.86</v>
      </c>
      <c r="F10" s="52">
        <v>11.44</v>
      </c>
      <c r="G10" s="52">
        <v>64.64</v>
      </c>
      <c r="H10" s="52">
        <v>18.68</v>
      </c>
      <c r="I10" s="52">
        <v>5.95</v>
      </c>
      <c r="J10" s="52">
        <v>0.23</v>
      </c>
      <c r="K10" s="52">
        <v>194.42</v>
      </c>
      <c r="L10" s="52">
        <v>29.3</v>
      </c>
      <c r="M10" s="52">
        <v>49.68</v>
      </c>
      <c r="N10" s="52">
        <v>0</v>
      </c>
      <c r="O10" s="52">
        <v>0</v>
      </c>
      <c r="P10" s="52">
        <v>0.7</v>
      </c>
      <c r="Q10" s="52">
        <v>5.4</v>
      </c>
      <c r="R10" s="50"/>
      <c r="S10" s="50"/>
      <c r="T10" s="50"/>
      <c r="U10" s="50"/>
    </row>
    <row r="11" spans="1:21" customFormat="1">
      <c r="A11" s="51" t="s">
        <v>658</v>
      </c>
      <c r="B11" s="52">
        <v>19.329999999999998</v>
      </c>
      <c r="C11" s="52">
        <v>60.73</v>
      </c>
      <c r="D11" s="52">
        <v>46.19</v>
      </c>
      <c r="E11" s="52">
        <v>6.49</v>
      </c>
      <c r="F11" s="52">
        <v>11.38</v>
      </c>
      <c r="G11" s="52">
        <v>61.05</v>
      </c>
      <c r="H11" s="52">
        <v>18.68</v>
      </c>
      <c r="I11" s="52">
        <v>6.08</v>
      </c>
      <c r="J11" s="52">
        <v>0.19</v>
      </c>
      <c r="K11" s="52">
        <v>184.43</v>
      </c>
      <c r="L11" s="52">
        <v>28.88</v>
      </c>
      <c r="M11" s="52">
        <v>52.35</v>
      </c>
      <c r="N11" s="52">
        <v>0</v>
      </c>
      <c r="O11" s="52">
        <v>0</v>
      </c>
      <c r="P11" s="52">
        <v>0.7</v>
      </c>
      <c r="Q11" s="52">
        <v>5.42</v>
      </c>
      <c r="R11" s="50"/>
      <c r="S11" s="50"/>
      <c r="T11" s="50"/>
      <c r="U11" s="50"/>
    </row>
    <row r="12" spans="1:21" customFormat="1">
      <c r="A12" s="51" t="s">
        <v>659</v>
      </c>
      <c r="B12" s="52">
        <v>20.7</v>
      </c>
      <c r="C12" s="52">
        <v>62.01</v>
      </c>
      <c r="D12" s="52">
        <v>47.95</v>
      </c>
      <c r="E12" s="52">
        <v>6.17</v>
      </c>
      <c r="F12" s="52">
        <v>9.67</v>
      </c>
      <c r="G12" s="52">
        <v>61.05</v>
      </c>
      <c r="H12" s="52">
        <v>16.55</v>
      </c>
      <c r="I12" s="52">
        <v>5.99</v>
      </c>
      <c r="J12" s="52">
        <v>0.13</v>
      </c>
      <c r="K12" s="52">
        <v>205.74</v>
      </c>
      <c r="L12" s="52">
        <v>28.19</v>
      </c>
      <c r="M12" s="52">
        <v>53.25</v>
      </c>
      <c r="N12" s="52">
        <v>0</v>
      </c>
      <c r="O12" s="52">
        <v>0</v>
      </c>
      <c r="P12" s="52">
        <v>0.7</v>
      </c>
      <c r="Q12" s="52">
        <v>5.53</v>
      </c>
      <c r="R12" s="50"/>
      <c r="S12" s="50"/>
      <c r="T12" s="50"/>
      <c r="U12" s="50"/>
    </row>
    <row r="13" spans="1:21" customFormat="1">
      <c r="A13" s="51" t="s">
        <v>660</v>
      </c>
      <c r="B13" s="52">
        <v>22.36</v>
      </c>
      <c r="C13" s="52">
        <v>59.66</v>
      </c>
      <c r="D13" s="52">
        <v>48.05</v>
      </c>
      <c r="E13" s="52">
        <v>6.11</v>
      </c>
      <c r="F13" s="52">
        <v>7.92</v>
      </c>
      <c r="G13" s="52">
        <v>55.81</v>
      </c>
      <c r="H13" s="52">
        <v>16.11</v>
      </c>
      <c r="I13" s="52">
        <v>5.9</v>
      </c>
      <c r="J13" s="52">
        <v>0.18</v>
      </c>
      <c r="K13" s="52">
        <v>177.91</v>
      </c>
      <c r="L13" s="52">
        <v>27.98</v>
      </c>
      <c r="M13" s="52">
        <v>55.88</v>
      </c>
      <c r="N13" s="52">
        <v>0</v>
      </c>
      <c r="O13" s="52">
        <v>0</v>
      </c>
      <c r="P13" s="52">
        <v>0.68</v>
      </c>
      <c r="Q13" s="52">
        <v>5.51</v>
      </c>
      <c r="R13" s="50"/>
      <c r="S13" s="50"/>
      <c r="T13" s="50"/>
      <c r="U13" s="50"/>
    </row>
    <row r="14" spans="1:21" customFormat="1">
      <c r="A14" s="51" t="s">
        <v>661</v>
      </c>
      <c r="B14" s="52">
        <v>22.66</v>
      </c>
      <c r="C14" s="52">
        <v>57.62</v>
      </c>
      <c r="D14" s="52">
        <v>47.03</v>
      </c>
      <c r="E14" s="52">
        <v>6.11</v>
      </c>
      <c r="F14" s="52">
        <v>9.1300000000000008</v>
      </c>
      <c r="G14" s="52">
        <v>51.89</v>
      </c>
      <c r="H14" s="52">
        <v>17.399999999999999</v>
      </c>
      <c r="I14" s="52">
        <v>5.81</v>
      </c>
      <c r="J14" s="52">
        <v>0.19</v>
      </c>
      <c r="K14" s="52">
        <v>195.53</v>
      </c>
      <c r="L14" s="52">
        <v>28.08</v>
      </c>
      <c r="M14" s="52">
        <v>56.84</v>
      </c>
      <c r="N14" s="52">
        <v>34</v>
      </c>
      <c r="O14" s="52">
        <v>0</v>
      </c>
      <c r="P14" s="52">
        <v>0.67</v>
      </c>
      <c r="Q14" s="52">
        <v>5.57</v>
      </c>
      <c r="R14" s="50"/>
      <c r="S14" s="50"/>
      <c r="T14" s="50"/>
      <c r="U14" s="50"/>
    </row>
    <row r="15" spans="1:21" customFormat="1">
      <c r="A15" s="51" t="s">
        <v>662</v>
      </c>
      <c r="B15" s="52">
        <v>23.4</v>
      </c>
      <c r="C15" s="52">
        <v>57.09</v>
      </c>
      <c r="D15" s="52">
        <v>47.55</v>
      </c>
      <c r="E15" s="52">
        <v>8.31</v>
      </c>
      <c r="F15" s="52">
        <v>8.67</v>
      </c>
      <c r="G15" s="52">
        <v>50.43</v>
      </c>
      <c r="H15" s="52">
        <v>18.489999999999998</v>
      </c>
      <c r="I15" s="52">
        <v>5.7</v>
      </c>
      <c r="J15" s="52">
        <v>1.18</v>
      </c>
      <c r="K15" s="52">
        <v>303.92</v>
      </c>
      <c r="L15" s="52">
        <v>30.51</v>
      </c>
      <c r="M15" s="52">
        <v>56.26</v>
      </c>
      <c r="N15" s="52">
        <v>69.7</v>
      </c>
      <c r="O15" s="52">
        <v>0</v>
      </c>
      <c r="P15" s="52">
        <v>0.68</v>
      </c>
      <c r="Q15" s="52">
        <v>5.59</v>
      </c>
      <c r="R15" s="50"/>
      <c r="S15" s="50"/>
      <c r="T15" s="50"/>
      <c r="U15" s="50"/>
    </row>
    <row r="16" spans="1:21" customFormat="1">
      <c r="A16" s="51" t="s">
        <v>663</v>
      </c>
      <c r="B16" s="52">
        <v>23.37</v>
      </c>
      <c r="C16" s="52">
        <v>56.58</v>
      </c>
      <c r="D16" s="52">
        <v>47.26</v>
      </c>
      <c r="E16" s="52">
        <v>24.15</v>
      </c>
      <c r="F16" s="52">
        <v>10.18</v>
      </c>
      <c r="G16" s="52">
        <v>55.62</v>
      </c>
      <c r="H16" s="52">
        <v>18.489999999999998</v>
      </c>
      <c r="I16" s="52">
        <v>6.15</v>
      </c>
      <c r="J16" s="52">
        <v>0.88</v>
      </c>
      <c r="K16" s="52">
        <v>340.55</v>
      </c>
      <c r="L16" s="52">
        <v>32.68</v>
      </c>
      <c r="M16" s="52">
        <v>40.98</v>
      </c>
      <c r="N16" s="52">
        <v>106</v>
      </c>
      <c r="O16" s="52">
        <v>0</v>
      </c>
      <c r="P16" s="52">
        <v>0.71</v>
      </c>
      <c r="Q16" s="52">
        <v>5.61</v>
      </c>
      <c r="R16" s="50"/>
      <c r="S16" s="50"/>
      <c r="T16" s="50"/>
      <c r="U16" s="50"/>
    </row>
    <row r="17" spans="1:21" customFormat="1">
      <c r="A17" s="51" t="s">
        <v>664</v>
      </c>
      <c r="B17" s="52">
        <v>22.47</v>
      </c>
      <c r="C17" s="52">
        <v>58.85</v>
      </c>
      <c r="D17" s="52">
        <v>46.66</v>
      </c>
      <c r="E17" s="52">
        <v>14.45</v>
      </c>
      <c r="F17" s="52">
        <v>12.31</v>
      </c>
      <c r="G17" s="52">
        <v>73.8</v>
      </c>
      <c r="H17" s="52">
        <v>17.86</v>
      </c>
      <c r="I17" s="52">
        <v>6.23</v>
      </c>
      <c r="J17" s="52">
        <v>1.35</v>
      </c>
      <c r="K17" s="52">
        <v>75.03</v>
      </c>
      <c r="L17" s="52">
        <v>34.17</v>
      </c>
      <c r="M17" s="52">
        <v>36.51</v>
      </c>
      <c r="N17" s="52">
        <v>123.8</v>
      </c>
      <c r="O17" s="52">
        <v>0</v>
      </c>
      <c r="P17" s="52">
        <v>0.7</v>
      </c>
      <c r="Q17" s="52">
        <v>5.66</v>
      </c>
      <c r="R17" s="50"/>
      <c r="S17" s="50"/>
      <c r="T17" s="50"/>
      <c r="U17" s="50"/>
    </row>
    <row r="18" spans="1:21" customFormat="1">
      <c r="A18" s="51" t="s">
        <v>665</v>
      </c>
      <c r="B18" s="52">
        <v>18.649999999999999</v>
      </c>
      <c r="C18" s="52">
        <v>53.54</v>
      </c>
      <c r="D18" s="52">
        <v>41.89</v>
      </c>
      <c r="E18" s="52">
        <v>9.34</v>
      </c>
      <c r="F18" s="52">
        <v>18.649999999999999</v>
      </c>
      <c r="G18" s="52">
        <v>73.8</v>
      </c>
      <c r="H18" s="52">
        <v>18.5</v>
      </c>
      <c r="I18" s="52">
        <v>6.14</v>
      </c>
      <c r="J18" s="52">
        <v>0.97</v>
      </c>
      <c r="K18" s="52">
        <v>64.97</v>
      </c>
      <c r="L18" s="52">
        <v>35.74</v>
      </c>
      <c r="M18" s="52">
        <v>32.979999999999997</v>
      </c>
      <c r="N18" s="52">
        <v>151.9</v>
      </c>
      <c r="O18" s="52">
        <v>0</v>
      </c>
      <c r="P18" s="52">
        <v>0.66</v>
      </c>
      <c r="Q18" s="52">
        <v>5.42</v>
      </c>
      <c r="R18" s="50"/>
      <c r="S18" s="50"/>
      <c r="T18" s="50"/>
      <c r="U18" s="50"/>
    </row>
    <row r="19" spans="1:21" customFormat="1">
      <c r="A19" s="51" t="s">
        <v>666</v>
      </c>
      <c r="B19" s="52">
        <v>14.58</v>
      </c>
      <c r="C19" s="52">
        <v>48.79</v>
      </c>
      <c r="D19" s="52">
        <v>36.14</v>
      </c>
      <c r="E19" s="52">
        <v>20.2</v>
      </c>
      <c r="F19" s="52">
        <v>28.29</v>
      </c>
      <c r="G19" s="52">
        <v>72.069999999999993</v>
      </c>
      <c r="H19" s="52">
        <v>20.54</v>
      </c>
      <c r="I19" s="52">
        <v>5.92</v>
      </c>
      <c r="J19" s="52">
        <v>1.17</v>
      </c>
      <c r="K19" s="52">
        <v>54.38</v>
      </c>
      <c r="L19" s="52">
        <v>37.590000000000003</v>
      </c>
      <c r="M19" s="52">
        <v>29.53</v>
      </c>
      <c r="N19" s="52">
        <v>191.6</v>
      </c>
      <c r="O19" s="52">
        <v>0</v>
      </c>
      <c r="P19" s="52">
        <v>0.63</v>
      </c>
      <c r="Q19" s="52">
        <v>5.1100000000000003</v>
      </c>
      <c r="R19" s="50"/>
      <c r="S19" s="50"/>
      <c r="T19" s="50"/>
      <c r="U19" s="50"/>
    </row>
    <row r="20" spans="1:21" customFormat="1">
      <c r="A20" s="51" t="s">
        <v>667</v>
      </c>
      <c r="B20" s="52">
        <v>11.26</v>
      </c>
      <c r="C20" s="52">
        <v>47.68</v>
      </c>
      <c r="D20" s="52">
        <v>32.9</v>
      </c>
      <c r="E20" s="52">
        <v>24.19</v>
      </c>
      <c r="F20" s="52">
        <v>29.21</v>
      </c>
      <c r="G20" s="52">
        <v>73.25</v>
      </c>
      <c r="H20" s="52">
        <v>20.54</v>
      </c>
      <c r="I20" s="52">
        <v>5.55</v>
      </c>
      <c r="J20" s="52">
        <v>0.78</v>
      </c>
      <c r="K20" s="52">
        <v>349.81</v>
      </c>
      <c r="L20" s="52">
        <v>38.200000000000003</v>
      </c>
      <c r="M20" s="52">
        <v>26.8</v>
      </c>
      <c r="N20" s="52">
        <v>850.6</v>
      </c>
      <c r="O20" s="52">
        <v>0</v>
      </c>
      <c r="P20" s="52">
        <v>0.59</v>
      </c>
      <c r="Q20" s="52">
        <v>4.8899999999999997</v>
      </c>
      <c r="R20" s="50"/>
      <c r="S20" s="50"/>
      <c r="T20" s="50"/>
      <c r="U20" s="50"/>
    </row>
    <row r="21" spans="1:21" customFormat="1">
      <c r="A21" s="51" t="s">
        <v>668</v>
      </c>
      <c r="B21" s="52">
        <v>8.91</v>
      </c>
      <c r="C21" s="52">
        <v>49.84</v>
      </c>
      <c r="D21" s="52">
        <v>31.72</v>
      </c>
      <c r="E21" s="52">
        <v>11.22</v>
      </c>
      <c r="F21" s="52">
        <v>36.1</v>
      </c>
      <c r="G21" s="52">
        <v>73.25</v>
      </c>
      <c r="H21" s="52">
        <v>19.68</v>
      </c>
      <c r="I21" s="52">
        <v>5.48</v>
      </c>
      <c r="J21" s="52">
        <v>1.1000000000000001</v>
      </c>
      <c r="K21" s="52">
        <v>347.77</v>
      </c>
      <c r="L21" s="52">
        <v>39.270000000000003</v>
      </c>
      <c r="M21" s="52">
        <v>25.11</v>
      </c>
      <c r="N21" s="52">
        <v>862.9</v>
      </c>
      <c r="O21" s="52">
        <v>0</v>
      </c>
      <c r="P21" s="52">
        <v>0.57999999999999996</v>
      </c>
      <c r="Q21" s="52">
        <v>4.78</v>
      </c>
      <c r="R21" s="50"/>
      <c r="S21" s="50"/>
      <c r="T21" s="50"/>
      <c r="U21" s="50"/>
    </row>
    <row r="22" spans="1:21" customFormat="1">
      <c r="A22" s="51" t="s">
        <v>669</v>
      </c>
      <c r="B22" s="52">
        <v>6.95</v>
      </c>
      <c r="C22" s="52">
        <v>50.84</v>
      </c>
      <c r="D22" s="52">
        <v>30.53</v>
      </c>
      <c r="E22" s="52">
        <v>8.3000000000000007</v>
      </c>
      <c r="F22" s="52">
        <v>28.19</v>
      </c>
      <c r="G22" s="52">
        <v>70.2</v>
      </c>
      <c r="H22" s="52">
        <v>19.68</v>
      </c>
      <c r="I22" s="52">
        <v>5.77</v>
      </c>
      <c r="J22" s="52">
        <v>1.08</v>
      </c>
      <c r="K22" s="52">
        <v>273.47000000000003</v>
      </c>
      <c r="L22" s="52">
        <v>40.28</v>
      </c>
      <c r="M22" s="52">
        <v>23.22</v>
      </c>
      <c r="N22" s="52">
        <v>841.8</v>
      </c>
      <c r="O22" s="52">
        <v>0</v>
      </c>
      <c r="P22" s="52">
        <v>0.56999999999999995</v>
      </c>
      <c r="Q22" s="52">
        <v>4.8099999999999996</v>
      </c>
      <c r="R22" s="50"/>
      <c r="S22" s="50"/>
      <c r="T22" s="50"/>
      <c r="U22" s="50"/>
    </row>
    <row r="23" spans="1:21" customFormat="1">
      <c r="A23" s="51" t="s">
        <v>670</v>
      </c>
      <c r="B23" s="52">
        <v>5.91</v>
      </c>
      <c r="C23" s="52">
        <v>52.21</v>
      </c>
      <c r="D23" s="52">
        <v>30.98</v>
      </c>
      <c r="E23" s="52">
        <v>6.79</v>
      </c>
      <c r="F23" s="52">
        <v>20.34</v>
      </c>
      <c r="G23" s="52">
        <v>66.55</v>
      </c>
      <c r="H23" s="52">
        <v>18.47</v>
      </c>
      <c r="I23" s="52">
        <v>5.72</v>
      </c>
      <c r="J23" s="52">
        <v>1.35</v>
      </c>
      <c r="K23" s="52">
        <v>271.62</v>
      </c>
      <c r="L23" s="52">
        <v>40.31</v>
      </c>
      <c r="M23" s="52">
        <v>19.89</v>
      </c>
      <c r="N23" s="52">
        <v>763.4</v>
      </c>
      <c r="O23" s="52">
        <v>0</v>
      </c>
      <c r="P23" s="52">
        <v>0.54</v>
      </c>
      <c r="Q23" s="52">
        <v>4.67</v>
      </c>
      <c r="R23" s="50"/>
      <c r="S23" s="50"/>
      <c r="T23" s="50"/>
      <c r="U23" s="50"/>
    </row>
    <row r="24" spans="1:21" customFormat="1">
      <c r="A24" s="51" t="s">
        <v>671</v>
      </c>
      <c r="B24" s="52">
        <v>5.99</v>
      </c>
      <c r="C24" s="52">
        <v>46.05</v>
      </c>
      <c r="D24" s="52">
        <v>27.82</v>
      </c>
      <c r="E24" s="52">
        <v>7.46</v>
      </c>
      <c r="F24" s="52">
        <v>22.99</v>
      </c>
      <c r="G24" s="52">
        <v>64.69</v>
      </c>
      <c r="H24" s="52">
        <v>16.68</v>
      </c>
      <c r="I24" s="52">
        <v>5.36</v>
      </c>
      <c r="J24" s="52">
        <v>1.4</v>
      </c>
      <c r="K24" s="52">
        <v>280.8</v>
      </c>
      <c r="L24" s="52">
        <v>39.840000000000003</v>
      </c>
      <c r="M24" s="52">
        <v>21.42</v>
      </c>
      <c r="N24" s="52">
        <v>461.9</v>
      </c>
      <c r="O24" s="52">
        <v>0</v>
      </c>
      <c r="P24" s="52">
        <v>0.49</v>
      </c>
      <c r="Q24" s="52">
        <v>4.54</v>
      </c>
      <c r="R24" s="50"/>
      <c r="S24" s="50"/>
      <c r="T24" s="50"/>
      <c r="U24" s="50"/>
    </row>
    <row r="25" spans="1:21" customFormat="1">
      <c r="A25" s="51" t="s">
        <v>672</v>
      </c>
      <c r="B25" s="52">
        <v>6.89</v>
      </c>
      <c r="C25" s="52">
        <v>48.54</v>
      </c>
      <c r="D25" s="52">
        <v>29.81</v>
      </c>
      <c r="E25" s="52">
        <v>7.07</v>
      </c>
      <c r="F25" s="52">
        <v>17.39</v>
      </c>
      <c r="G25" s="52">
        <v>55.43</v>
      </c>
      <c r="H25" s="52">
        <v>14.68</v>
      </c>
      <c r="I25" s="52">
        <v>5.0199999999999996</v>
      </c>
      <c r="J25" s="52">
        <v>1.76</v>
      </c>
      <c r="K25" s="52">
        <v>291.5</v>
      </c>
      <c r="L25" s="52">
        <v>39.39</v>
      </c>
      <c r="M25" s="52">
        <v>17.73</v>
      </c>
      <c r="N25" s="52">
        <v>273.10000000000002</v>
      </c>
      <c r="O25" s="52">
        <v>0</v>
      </c>
      <c r="P25" s="52">
        <v>0.48</v>
      </c>
      <c r="Q25" s="52">
        <v>4.53</v>
      </c>
      <c r="R25" s="50"/>
      <c r="S25" s="50"/>
      <c r="T25" s="50"/>
      <c r="U25" s="50"/>
    </row>
    <row r="26" spans="1:21" customFormat="1">
      <c r="A26" s="51" t="s">
        <v>673</v>
      </c>
      <c r="B26" s="52">
        <v>9.23</v>
      </c>
      <c r="C26" s="52">
        <v>51.21</v>
      </c>
      <c r="D26" s="52">
        <v>33.11</v>
      </c>
      <c r="E26" s="52">
        <v>9.4700000000000006</v>
      </c>
      <c r="F26" s="52">
        <v>14.43</v>
      </c>
      <c r="G26" s="52">
        <v>55.86</v>
      </c>
      <c r="H26" s="52">
        <v>14.05</v>
      </c>
      <c r="I26" s="52">
        <v>4.7300000000000004</v>
      </c>
      <c r="J26" s="52">
        <v>2.7</v>
      </c>
      <c r="K26" s="52">
        <v>305.95</v>
      </c>
      <c r="L26" s="52">
        <v>38.19</v>
      </c>
      <c r="M26" s="52">
        <v>24.57</v>
      </c>
      <c r="N26" s="52">
        <v>87.7</v>
      </c>
      <c r="O26" s="52">
        <v>0</v>
      </c>
      <c r="P26" s="52">
        <v>0.47</v>
      </c>
      <c r="Q26" s="52">
        <v>4.59</v>
      </c>
      <c r="R26" s="50"/>
      <c r="S26" s="50"/>
      <c r="T26" s="50"/>
      <c r="U26" s="50"/>
    </row>
    <row r="27" spans="1:21" customFormat="1">
      <c r="A27" s="51" t="s">
        <v>674</v>
      </c>
      <c r="B27" s="52">
        <v>11.42</v>
      </c>
      <c r="C27" s="52">
        <v>55.34</v>
      </c>
      <c r="D27" s="52">
        <v>36.29</v>
      </c>
      <c r="E27" s="52">
        <v>7.97</v>
      </c>
      <c r="F27" s="52">
        <v>13.58</v>
      </c>
      <c r="G27" s="52">
        <v>78.8</v>
      </c>
      <c r="H27" s="52">
        <v>14.05</v>
      </c>
      <c r="I27" s="52">
        <v>4.66</v>
      </c>
      <c r="J27" s="52">
        <v>1.59</v>
      </c>
      <c r="K27" s="52">
        <v>309.57</v>
      </c>
      <c r="L27" s="52">
        <v>36.11</v>
      </c>
      <c r="M27" s="52">
        <v>20.04</v>
      </c>
      <c r="N27" s="52">
        <v>1.9</v>
      </c>
      <c r="O27" s="52">
        <v>0</v>
      </c>
      <c r="P27" s="52">
        <v>0.5</v>
      </c>
      <c r="Q27" s="52">
        <v>4.83</v>
      </c>
      <c r="R27" s="50"/>
      <c r="S27" s="50"/>
      <c r="T27" s="50"/>
      <c r="U27" s="50"/>
    </row>
    <row r="28" spans="1:21" customFormat="1">
      <c r="A28" s="51" t="s">
        <v>675</v>
      </c>
      <c r="B28" s="52">
        <v>15.85</v>
      </c>
      <c r="C28" s="52">
        <v>58.37</v>
      </c>
      <c r="D28" s="52">
        <v>40.880000000000003</v>
      </c>
      <c r="E28" s="52">
        <v>24.01</v>
      </c>
      <c r="F28" s="52">
        <v>14.21</v>
      </c>
      <c r="G28" s="52">
        <v>78.8</v>
      </c>
      <c r="H28" s="52">
        <v>13.37</v>
      </c>
      <c r="I28" s="52">
        <v>4.72</v>
      </c>
      <c r="J28" s="52">
        <v>0.9</v>
      </c>
      <c r="K28" s="52">
        <v>298.39999999999998</v>
      </c>
      <c r="L28" s="52">
        <v>35.81</v>
      </c>
      <c r="M28" s="52">
        <v>20.68</v>
      </c>
      <c r="N28" s="52">
        <v>0</v>
      </c>
      <c r="O28" s="52">
        <v>0</v>
      </c>
      <c r="P28" s="52">
        <v>0.55000000000000004</v>
      </c>
      <c r="Q28" s="52">
        <v>5.0599999999999996</v>
      </c>
      <c r="R28" s="50"/>
      <c r="S28" s="50"/>
      <c r="T28" s="50"/>
      <c r="U28" s="50"/>
    </row>
    <row r="29" spans="1:21" customFormat="1">
      <c r="A29" s="51" t="s">
        <v>676</v>
      </c>
      <c r="B29" s="52">
        <v>18.12</v>
      </c>
      <c r="C29" s="52">
        <v>60.65</v>
      </c>
      <c r="D29" s="52">
        <v>44.13</v>
      </c>
      <c r="E29" s="52">
        <v>10.91</v>
      </c>
      <c r="F29" s="52">
        <v>12.72</v>
      </c>
      <c r="G29" s="52">
        <v>63.69</v>
      </c>
      <c r="H29" s="52">
        <v>14.03</v>
      </c>
      <c r="I29" s="52">
        <v>4.91</v>
      </c>
      <c r="J29" s="52">
        <v>0.94</v>
      </c>
      <c r="K29" s="52">
        <v>288.94</v>
      </c>
      <c r="L29" s="52">
        <v>34.82</v>
      </c>
      <c r="M29" s="52">
        <v>26.27</v>
      </c>
      <c r="N29" s="52">
        <v>0</v>
      </c>
      <c r="O29" s="52">
        <v>0</v>
      </c>
      <c r="P29" s="52">
        <v>0.61</v>
      </c>
      <c r="Q29" s="52">
        <v>5.34</v>
      </c>
      <c r="R29" s="50"/>
      <c r="S29" s="50"/>
      <c r="T29" s="50"/>
      <c r="U29" s="50"/>
    </row>
    <row r="30" spans="1:21" customFormat="1">
      <c r="A30" s="51" t="s">
        <v>677</v>
      </c>
      <c r="B30" s="52">
        <v>23.68</v>
      </c>
      <c r="C30" s="52">
        <v>63.69</v>
      </c>
      <c r="D30" s="52">
        <v>50.53</v>
      </c>
      <c r="E30" s="52">
        <v>19.600000000000001</v>
      </c>
      <c r="F30" s="52">
        <v>8.08</v>
      </c>
      <c r="G30" s="52">
        <v>59.8</v>
      </c>
      <c r="H30" s="52">
        <v>14.03</v>
      </c>
      <c r="I30" s="52">
        <v>5.76</v>
      </c>
      <c r="J30" s="52">
        <v>0.68</v>
      </c>
      <c r="K30" s="52">
        <v>298.29000000000002</v>
      </c>
      <c r="L30" s="52">
        <v>33.97</v>
      </c>
      <c r="M30" s="52">
        <v>29.98</v>
      </c>
      <c r="N30" s="52">
        <v>0</v>
      </c>
      <c r="O30" s="52">
        <v>0</v>
      </c>
      <c r="P30" s="52">
        <v>0.68</v>
      </c>
      <c r="Q30" s="52">
        <v>5.54</v>
      </c>
      <c r="R30" s="50"/>
      <c r="S30" s="50"/>
      <c r="T30" s="50"/>
      <c r="U30" s="50"/>
    </row>
    <row r="31" spans="1:21" customFormat="1">
      <c r="A31" s="51" t="s">
        <v>678</v>
      </c>
      <c r="B31" s="52">
        <v>19.3</v>
      </c>
      <c r="C31" s="52">
        <v>63.51</v>
      </c>
      <c r="D31" s="52">
        <v>47.62</v>
      </c>
      <c r="E31" s="52">
        <v>22.61</v>
      </c>
      <c r="F31" s="52">
        <v>10.02</v>
      </c>
      <c r="G31" s="52">
        <v>66.11</v>
      </c>
      <c r="H31" s="52">
        <v>15.68</v>
      </c>
      <c r="I31" s="52">
        <v>5.7</v>
      </c>
      <c r="J31" s="52">
        <v>0.83</v>
      </c>
      <c r="K31" s="52">
        <v>259.25</v>
      </c>
      <c r="L31" s="52">
        <v>33.04</v>
      </c>
      <c r="M31" s="52">
        <v>32.82</v>
      </c>
      <c r="N31" s="52">
        <v>0</v>
      </c>
      <c r="O31" s="52">
        <v>0</v>
      </c>
      <c r="P31" s="52">
        <v>0.73</v>
      </c>
      <c r="Q31" s="52">
        <v>5.64</v>
      </c>
      <c r="R31" s="50"/>
      <c r="S31" s="50"/>
      <c r="T31" s="50"/>
      <c r="U31" s="50"/>
    </row>
    <row r="32" spans="1:21" customFormat="1">
      <c r="A32" s="51" t="s">
        <v>679</v>
      </c>
      <c r="B32" s="52">
        <v>19.71</v>
      </c>
      <c r="C32" s="52">
        <v>63.95</v>
      </c>
      <c r="D32" s="52">
        <v>47.57</v>
      </c>
      <c r="E32" s="52">
        <v>26.27</v>
      </c>
      <c r="F32" s="52">
        <v>9.7899999999999991</v>
      </c>
      <c r="G32" s="52">
        <v>72.77</v>
      </c>
      <c r="H32" s="52">
        <v>20.09</v>
      </c>
      <c r="I32" s="52">
        <v>8.1199999999999992</v>
      </c>
      <c r="J32" s="52">
        <v>0.69</v>
      </c>
      <c r="K32" s="52">
        <v>259.43</v>
      </c>
      <c r="L32" s="52">
        <v>32.26</v>
      </c>
      <c r="M32" s="52">
        <v>35.94</v>
      </c>
      <c r="N32" s="52">
        <v>0</v>
      </c>
      <c r="O32" s="52">
        <v>0</v>
      </c>
      <c r="P32" s="52">
        <v>1.08</v>
      </c>
      <c r="Q32" s="52">
        <v>5.66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5.91</v>
      </c>
      <c r="C34" s="41">
        <f t="shared" si="0"/>
        <v>46.05</v>
      </c>
      <c r="D34" s="41">
        <f t="shared" si="0"/>
        <v>27.82</v>
      </c>
      <c r="E34" s="41">
        <f t="shared" si="0"/>
        <v>6.11</v>
      </c>
      <c r="F34" s="41">
        <f t="shared" si="0"/>
        <v>7.92</v>
      </c>
      <c r="G34" s="41">
        <f t="shared" si="0"/>
        <v>50.43</v>
      </c>
      <c r="H34" s="41">
        <f t="shared" si="0"/>
        <v>13.37</v>
      </c>
      <c r="I34" s="41">
        <f t="shared" si="0"/>
        <v>4.66</v>
      </c>
      <c r="J34" s="41">
        <f t="shared" si="0"/>
        <v>0.13</v>
      </c>
      <c r="K34" s="41">
        <f t="shared" si="0"/>
        <v>54.38</v>
      </c>
      <c r="L34" s="41">
        <f t="shared" si="0"/>
        <v>27.98</v>
      </c>
      <c r="M34" s="41">
        <f t="shared" si="0"/>
        <v>17.73</v>
      </c>
      <c r="N34" s="41">
        <f t="shared" si="0"/>
        <v>0</v>
      </c>
      <c r="O34" s="41">
        <f t="shared" si="0"/>
        <v>0</v>
      </c>
      <c r="P34" s="41">
        <f t="shared" si="0"/>
        <v>0.47</v>
      </c>
      <c r="Q34" s="41">
        <f t="shared" si="0"/>
        <v>4.53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23.68</v>
      </c>
      <c r="C35" s="33">
        <f t="shared" si="1"/>
        <v>63.95</v>
      </c>
      <c r="D35" s="33">
        <f t="shared" si="1"/>
        <v>50.53</v>
      </c>
      <c r="E35" s="33">
        <f t="shared" si="1"/>
        <v>26.27</v>
      </c>
      <c r="F35" s="33">
        <f t="shared" si="1"/>
        <v>36.1</v>
      </c>
      <c r="G35" s="33">
        <f t="shared" si="1"/>
        <v>78.8</v>
      </c>
      <c r="H35" s="33">
        <f t="shared" si="1"/>
        <v>20.54</v>
      </c>
      <c r="I35" s="33">
        <f t="shared" si="1"/>
        <v>8.1199999999999992</v>
      </c>
      <c r="J35" s="33">
        <f t="shared" si="1"/>
        <v>2.7</v>
      </c>
      <c r="K35" s="33">
        <f t="shared" si="1"/>
        <v>349.81</v>
      </c>
      <c r="L35" s="33">
        <f t="shared" si="1"/>
        <v>40.31</v>
      </c>
      <c r="M35" s="33">
        <f t="shared" si="1"/>
        <v>56.84</v>
      </c>
      <c r="N35" s="33">
        <f t="shared" si="1"/>
        <v>862.9</v>
      </c>
      <c r="O35" s="33">
        <f t="shared" si="1"/>
        <v>0</v>
      </c>
      <c r="P35" s="33">
        <f t="shared" si="1"/>
        <v>1.08</v>
      </c>
      <c r="Q35" s="33">
        <f t="shared" si="1"/>
        <v>5.66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15.991250000000001</v>
      </c>
      <c r="C36" s="41">
        <f t="shared" si="2"/>
        <v>56.176250000000003</v>
      </c>
      <c r="D36" s="41">
        <f t="shared" si="2"/>
        <v>40.841666666666669</v>
      </c>
      <c r="E36" s="41">
        <f t="shared" si="2"/>
        <v>12.662916666666666</v>
      </c>
      <c r="F36" s="41">
        <f t="shared" si="2"/>
        <v>15.755416666666667</v>
      </c>
      <c r="G36" s="41">
        <f t="shared" si="2"/>
        <v>65.166666666666657</v>
      </c>
      <c r="H36" s="41">
        <f t="shared" si="2"/>
        <v>17.243749999999995</v>
      </c>
      <c r="I36" s="41">
        <f t="shared" si="2"/>
        <v>5.7262500000000003</v>
      </c>
      <c r="J36" s="41">
        <f t="shared" si="2"/>
        <v>0.93708333333333327</v>
      </c>
      <c r="K36" s="41">
        <f t="shared" si="2"/>
        <v>242.75958333333332</v>
      </c>
      <c r="L36" s="41">
        <f t="shared" si="2"/>
        <v>34.343750000000007</v>
      </c>
      <c r="M36" s="41">
        <f t="shared" si="2"/>
        <v>34.887083333333329</v>
      </c>
      <c r="N36" s="41">
        <f t="shared" si="2"/>
        <v>200.84583333333333</v>
      </c>
      <c r="O36" s="41">
        <f t="shared" si="2"/>
        <v>0</v>
      </c>
      <c r="P36" s="41">
        <f t="shared" si="2"/>
        <v>0.64166666666666683</v>
      </c>
      <c r="Q36" s="41">
        <f t="shared" si="2"/>
        <v>5.2095833333333337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6.1661976956418627</v>
      </c>
      <c r="C37" s="41">
        <f t="shared" ref="C37:Q37" si="3">STDEV(C9:C32)</f>
        <v>5.5901114654048873</v>
      </c>
      <c r="D37" s="41">
        <f t="shared" si="3"/>
        <v>7.3677798358898237</v>
      </c>
      <c r="E37" s="41">
        <f t="shared" si="3"/>
        <v>7.1286168419764433</v>
      </c>
      <c r="F37" s="41">
        <f t="shared" si="3"/>
        <v>7.8440362165575639</v>
      </c>
      <c r="G37" s="41">
        <f t="shared" si="3"/>
        <v>8.3517484067275536</v>
      </c>
      <c r="H37" s="41">
        <f t="shared" si="3"/>
        <v>2.2809376647411823</v>
      </c>
      <c r="I37" s="41">
        <f t="shared" si="3"/>
        <v>0.70101673055764369</v>
      </c>
      <c r="J37" s="41">
        <f t="shared" si="3"/>
        <v>0.60616025407740859</v>
      </c>
      <c r="K37" s="41">
        <f t="shared" si="3"/>
        <v>85.923852814149029</v>
      </c>
      <c r="L37" s="41">
        <f t="shared" si="3"/>
        <v>4.2585972506775027</v>
      </c>
      <c r="M37" s="41">
        <f t="shared" si="3"/>
        <v>13.399617930687651</v>
      </c>
      <c r="N37" s="41">
        <f t="shared" si="3"/>
        <v>307.82386406227806</v>
      </c>
      <c r="O37" s="41">
        <f t="shared" si="3"/>
        <v>0</v>
      </c>
      <c r="P37" s="41">
        <f t="shared" si="3"/>
        <v>0.12464442179278512</v>
      </c>
      <c r="Q37" s="41">
        <f t="shared" si="3"/>
        <v>0.40066769454158691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680</v>
      </c>
      <c r="B9" s="52">
        <v>19.38</v>
      </c>
      <c r="C9" s="52">
        <v>63.01</v>
      </c>
      <c r="D9" s="52">
        <v>47.16</v>
      </c>
      <c r="E9" s="52">
        <v>17.98</v>
      </c>
      <c r="F9" s="52">
        <v>9.0299999999999994</v>
      </c>
      <c r="G9" s="52">
        <v>72.77</v>
      </c>
      <c r="H9" s="52">
        <v>20.09</v>
      </c>
      <c r="I9" s="52">
        <v>9.83</v>
      </c>
      <c r="J9" s="52">
        <v>0.64</v>
      </c>
      <c r="K9" s="52">
        <v>258.70999999999998</v>
      </c>
      <c r="L9" s="52">
        <v>31.54</v>
      </c>
      <c r="M9" s="52">
        <v>38.75</v>
      </c>
      <c r="N9" s="52">
        <v>0</v>
      </c>
      <c r="O9" s="52">
        <v>0</v>
      </c>
      <c r="P9" s="52">
        <v>1</v>
      </c>
      <c r="Q9" s="52">
        <v>5.67</v>
      </c>
      <c r="R9" s="50"/>
      <c r="S9" s="50"/>
      <c r="T9" s="50"/>
      <c r="U9" s="50"/>
    </row>
    <row r="10" spans="1:21" customFormat="1">
      <c r="A10" s="51" t="s">
        <v>681</v>
      </c>
      <c r="B10" s="52">
        <v>21.97</v>
      </c>
      <c r="C10" s="52">
        <v>65.03</v>
      </c>
      <c r="D10" s="52">
        <v>50.55</v>
      </c>
      <c r="E10" s="52">
        <v>33</v>
      </c>
      <c r="F10" s="52">
        <v>5.14</v>
      </c>
      <c r="G10" s="52">
        <v>84.62</v>
      </c>
      <c r="H10" s="52">
        <v>23.3</v>
      </c>
      <c r="I10" s="52">
        <v>16.68</v>
      </c>
      <c r="J10" s="52">
        <v>0.34</v>
      </c>
      <c r="K10" s="52">
        <v>248.17</v>
      </c>
      <c r="L10" s="52">
        <v>30.67</v>
      </c>
      <c r="M10" s="52">
        <v>43.91</v>
      </c>
      <c r="N10" s="52">
        <v>0</v>
      </c>
      <c r="O10" s="52">
        <v>0</v>
      </c>
      <c r="P10" s="52">
        <v>1.37</v>
      </c>
      <c r="Q10" s="52">
        <v>5.82</v>
      </c>
      <c r="R10" s="50"/>
      <c r="S10" s="50"/>
      <c r="T10" s="50"/>
      <c r="U10" s="50"/>
    </row>
    <row r="11" spans="1:21" customFormat="1">
      <c r="A11" s="51" t="s">
        <v>682</v>
      </c>
      <c r="B11" s="52">
        <v>27.28</v>
      </c>
      <c r="C11" s="52">
        <v>65.400000000000006</v>
      </c>
      <c r="D11" s="52">
        <v>54.98</v>
      </c>
      <c r="E11" s="52">
        <v>12.87</v>
      </c>
      <c r="F11" s="52">
        <v>4.2</v>
      </c>
      <c r="G11" s="52">
        <v>103.75</v>
      </c>
      <c r="H11" s="52">
        <v>23.3</v>
      </c>
      <c r="I11" s="52">
        <v>16.71</v>
      </c>
      <c r="J11" s="52">
        <v>0.39</v>
      </c>
      <c r="K11" s="52">
        <v>201.49</v>
      </c>
      <c r="L11" s="52">
        <v>29.01</v>
      </c>
      <c r="M11" s="52">
        <v>47.62</v>
      </c>
      <c r="N11" s="52">
        <v>0</v>
      </c>
      <c r="O11" s="52">
        <v>0</v>
      </c>
      <c r="P11" s="52">
        <v>1.33</v>
      </c>
      <c r="Q11" s="52">
        <v>5.94</v>
      </c>
      <c r="R11" s="50"/>
      <c r="S11" s="50"/>
      <c r="T11" s="50"/>
      <c r="U11" s="50"/>
    </row>
    <row r="12" spans="1:21" customFormat="1">
      <c r="A12" s="51" t="s">
        <v>683</v>
      </c>
      <c r="B12" s="52">
        <v>32.69</v>
      </c>
      <c r="C12" s="52">
        <v>65.8</v>
      </c>
      <c r="D12" s="52">
        <v>59.55</v>
      </c>
      <c r="E12" s="52">
        <v>10.85</v>
      </c>
      <c r="F12" s="52">
        <v>4.07</v>
      </c>
      <c r="G12" s="52">
        <v>103.75</v>
      </c>
      <c r="H12" s="52">
        <v>23.9</v>
      </c>
      <c r="I12" s="52">
        <v>16.63</v>
      </c>
      <c r="J12" s="52">
        <v>0.79</v>
      </c>
      <c r="K12" s="52">
        <v>167.76</v>
      </c>
      <c r="L12" s="52">
        <v>28.2</v>
      </c>
      <c r="M12" s="52">
        <v>51.35</v>
      </c>
      <c r="N12" s="52">
        <v>0</v>
      </c>
      <c r="O12" s="52">
        <v>0</v>
      </c>
      <c r="P12" s="52">
        <v>1.25</v>
      </c>
      <c r="Q12" s="52">
        <v>6.12</v>
      </c>
      <c r="R12" s="50"/>
      <c r="S12" s="50"/>
      <c r="T12" s="50"/>
      <c r="U12" s="50"/>
    </row>
    <row r="13" spans="1:21" customFormat="1">
      <c r="A13" s="51" t="s">
        <v>684</v>
      </c>
      <c r="B13" s="52">
        <v>37.11</v>
      </c>
      <c r="C13" s="52">
        <v>63.31</v>
      </c>
      <c r="D13" s="52">
        <v>61.79</v>
      </c>
      <c r="E13" s="52">
        <v>9.15</v>
      </c>
      <c r="F13" s="52">
        <v>4.3</v>
      </c>
      <c r="G13" s="52">
        <v>96.64</v>
      </c>
      <c r="H13" s="52">
        <v>23.9</v>
      </c>
      <c r="I13" s="52">
        <v>15.29</v>
      </c>
      <c r="J13" s="52">
        <v>0.79</v>
      </c>
      <c r="K13" s="52">
        <v>193.97</v>
      </c>
      <c r="L13" s="52">
        <v>27.87</v>
      </c>
      <c r="M13" s="52">
        <v>51.99</v>
      </c>
      <c r="N13" s="52">
        <v>0</v>
      </c>
      <c r="O13" s="52">
        <v>0</v>
      </c>
      <c r="P13" s="52">
        <v>1.19</v>
      </c>
      <c r="Q13" s="52">
        <v>6.22</v>
      </c>
      <c r="R13" s="50"/>
      <c r="S13" s="50"/>
      <c r="T13" s="50"/>
      <c r="U13" s="50"/>
    </row>
    <row r="14" spans="1:21" customFormat="1">
      <c r="A14" s="51" t="s">
        <v>685</v>
      </c>
      <c r="B14" s="52">
        <v>39.22</v>
      </c>
      <c r="C14" s="52">
        <v>65.23</v>
      </c>
      <c r="D14" s="52">
        <v>64.42</v>
      </c>
      <c r="E14" s="52">
        <v>6.83</v>
      </c>
      <c r="F14" s="52">
        <v>3.78</v>
      </c>
      <c r="G14" s="52">
        <v>96.03</v>
      </c>
      <c r="H14" s="52">
        <v>23.82</v>
      </c>
      <c r="I14" s="52">
        <v>14.09</v>
      </c>
      <c r="J14" s="52">
        <v>0.24</v>
      </c>
      <c r="K14" s="52">
        <v>212.7</v>
      </c>
      <c r="L14" s="52">
        <v>26.39</v>
      </c>
      <c r="M14" s="52">
        <v>57.73</v>
      </c>
      <c r="N14" s="52">
        <v>21.1</v>
      </c>
      <c r="O14" s="52">
        <v>0</v>
      </c>
      <c r="P14" s="52">
        <v>1.1499999999999999</v>
      </c>
      <c r="Q14" s="52">
        <v>6.36</v>
      </c>
      <c r="R14" s="50"/>
      <c r="S14" s="50"/>
      <c r="T14" s="50"/>
      <c r="U14" s="50"/>
    </row>
    <row r="15" spans="1:21" customFormat="1">
      <c r="A15" s="51" t="s">
        <v>686</v>
      </c>
      <c r="B15" s="52">
        <v>39.46</v>
      </c>
      <c r="C15" s="52">
        <v>63.86</v>
      </c>
      <c r="D15" s="52">
        <v>63.94</v>
      </c>
      <c r="E15" s="52">
        <v>7.39</v>
      </c>
      <c r="F15" s="52">
        <v>4.5199999999999996</v>
      </c>
      <c r="G15" s="52">
        <v>96.03</v>
      </c>
      <c r="H15" s="52">
        <v>23.82</v>
      </c>
      <c r="I15" s="52">
        <v>13.7</v>
      </c>
      <c r="J15" s="52">
        <v>0.3</v>
      </c>
      <c r="K15" s="52">
        <v>187.53</v>
      </c>
      <c r="L15" s="52">
        <v>29.68</v>
      </c>
      <c r="M15" s="52">
        <v>56.5</v>
      </c>
      <c r="N15" s="52">
        <v>63.4</v>
      </c>
      <c r="O15" s="52">
        <v>0</v>
      </c>
      <c r="P15" s="52">
        <v>1.1100000000000001</v>
      </c>
      <c r="Q15" s="52">
        <v>6.38</v>
      </c>
      <c r="R15" s="50"/>
      <c r="S15" s="50"/>
      <c r="T15" s="50"/>
      <c r="U15" s="50"/>
    </row>
    <row r="16" spans="1:21" customFormat="1">
      <c r="A16" s="51" t="s">
        <v>687</v>
      </c>
      <c r="B16" s="52">
        <v>36.74</v>
      </c>
      <c r="C16" s="52">
        <v>62.72</v>
      </c>
      <c r="D16" s="52">
        <v>60.56</v>
      </c>
      <c r="E16" s="52">
        <v>12.83</v>
      </c>
      <c r="F16" s="52">
        <v>7.49</v>
      </c>
      <c r="G16" s="52">
        <v>92.55</v>
      </c>
      <c r="H16" s="52">
        <v>26.3</v>
      </c>
      <c r="I16" s="52">
        <v>13.12</v>
      </c>
      <c r="J16" s="52">
        <v>0.47</v>
      </c>
      <c r="K16" s="52">
        <v>111.63</v>
      </c>
      <c r="L16" s="52">
        <v>32.200000000000003</v>
      </c>
      <c r="M16" s="52">
        <v>47.76</v>
      </c>
      <c r="N16" s="52">
        <v>98.7</v>
      </c>
      <c r="O16" s="52">
        <v>0</v>
      </c>
      <c r="P16" s="52">
        <v>1.05</v>
      </c>
      <c r="Q16" s="52">
        <v>6.37</v>
      </c>
      <c r="R16" s="50"/>
      <c r="S16" s="50"/>
      <c r="T16" s="50"/>
      <c r="U16" s="50"/>
    </row>
    <row r="17" spans="1:21" customFormat="1">
      <c r="A17" s="51" t="s">
        <v>688</v>
      </c>
      <c r="B17" s="52">
        <v>32.799999999999997</v>
      </c>
      <c r="C17" s="52">
        <v>62.99</v>
      </c>
      <c r="D17" s="52">
        <v>56.71</v>
      </c>
      <c r="E17" s="52">
        <v>21.31</v>
      </c>
      <c r="F17" s="52">
        <v>11.4</v>
      </c>
      <c r="G17" s="52">
        <v>97.7</v>
      </c>
      <c r="H17" s="52">
        <v>29.01</v>
      </c>
      <c r="I17" s="52">
        <v>12.49</v>
      </c>
      <c r="J17" s="52">
        <v>0.6</v>
      </c>
      <c r="K17" s="52">
        <v>77.75</v>
      </c>
      <c r="L17" s="52">
        <v>34.340000000000003</v>
      </c>
      <c r="M17" s="52">
        <v>37.590000000000003</v>
      </c>
      <c r="N17" s="52">
        <v>124.6</v>
      </c>
      <c r="O17" s="52">
        <v>0</v>
      </c>
      <c r="P17" s="52">
        <v>1.02</v>
      </c>
      <c r="Q17" s="52">
        <v>6.25</v>
      </c>
      <c r="R17" s="50"/>
      <c r="S17" s="50"/>
      <c r="T17" s="50"/>
      <c r="U17" s="50"/>
    </row>
    <row r="18" spans="1:21" customFormat="1">
      <c r="A18" s="51" t="s">
        <v>689</v>
      </c>
      <c r="B18" s="52">
        <v>26.5</v>
      </c>
      <c r="C18" s="52">
        <v>57.05</v>
      </c>
      <c r="D18" s="52">
        <v>50.01</v>
      </c>
      <c r="E18" s="52">
        <v>22.33</v>
      </c>
      <c r="F18" s="52">
        <v>21.28</v>
      </c>
      <c r="G18" s="52">
        <v>97.7</v>
      </c>
      <c r="H18" s="52">
        <v>29.01</v>
      </c>
      <c r="I18" s="52">
        <v>11.67</v>
      </c>
      <c r="J18" s="52">
        <v>0.44</v>
      </c>
      <c r="K18" s="52">
        <v>354.67</v>
      </c>
      <c r="L18" s="52">
        <v>36.33</v>
      </c>
      <c r="M18" s="52">
        <v>32.74</v>
      </c>
      <c r="N18" s="52">
        <v>146.9</v>
      </c>
      <c r="O18" s="52">
        <v>0</v>
      </c>
      <c r="P18" s="52">
        <v>0.96</v>
      </c>
      <c r="Q18" s="52">
        <v>6.01</v>
      </c>
      <c r="R18" s="50"/>
      <c r="S18" s="50"/>
      <c r="T18" s="50"/>
      <c r="U18" s="50"/>
    </row>
    <row r="19" spans="1:21" customFormat="1">
      <c r="A19" s="51" t="s">
        <v>690</v>
      </c>
      <c r="B19" s="52">
        <v>19.440000000000001</v>
      </c>
      <c r="C19" s="52">
        <v>52.91</v>
      </c>
      <c r="D19" s="52">
        <v>42.18</v>
      </c>
      <c r="E19" s="52">
        <v>15.64</v>
      </c>
      <c r="F19" s="52">
        <v>26.51</v>
      </c>
      <c r="G19" s="52">
        <v>97.17</v>
      </c>
      <c r="H19" s="52">
        <v>28.98</v>
      </c>
      <c r="I19" s="52">
        <v>10.199999999999999</v>
      </c>
      <c r="J19" s="52">
        <v>1.26</v>
      </c>
      <c r="K19" s="52">
        <v>312.54000000000002</v>
      </c>
      <c r="L19" s="52">
        <v>37.409999999999997</v>
      </c>
      <c r="M19" s="52">
        <v>28.33</v>
      </c>
      <c r="N19" s="52">
        <v>219.1</v>
      </c>
      <c r="O19" s="52">
        <v>0</v>
      </c>
      <c r="P19" s="52">
        <v>0.88</v>
      </c>
      <c r="Q19" s="52">
        <v>5.56</v>
      </c>
      <c r="R19" s="50"/>
      <c r="S19" s="50"/>
      <c r="T19" s="50"/>
      <c r="U19" s="50"/>
    </row>
    <row r="20" spans="1:21" customFormat="1">
      <c r="A20" s="51" t="s">
        <v>691</v>
      </c>
      <c r="B20" s="52">
        <v>11.76</v>
      </c>
      <c r="C20" s="52">
        <v>52.4</v>
      </c>
      <c r="D20" s="52">
        <v>35.76</v>
      </c>
      <c r="E20" s="52">
        <v>19.12</v>
      </c>
      <c r="F20" s="52">
        <v>43.48</v>
      </c>
      <c r="G20" s="52">
        <v>94.67</v>
      </c>
      <c r="H20" s="52">
        <v>27.28</v>
      </c>
      <c r="I20" s="52">
        <v>9.4600000000000009</v>
      </c>
      <c r="J20" s="52">
        <v>1.2</v>
      </c>
      <c r="K20" s="52">
        <v>335.93</v>
      </c>
      <c r="L20" s="52">
        <v>38.840000000000003</v>
      </c>
      <c r="M20" s="52">
        <v>26.28</v>
      </c>
      <c r="N20" s="52">
        <v>746.7</v>
      </c>
      <c r="O20" s="52">
        <v>0</v>
      </c>
      <c r="P20" s="52">
        <v>0.83</v>
      </c>
      <c r="Q20" s="52">
        <v>5.16</v>
      </c>
      <c r="R20" s="50"/>
      <c r="S20" s="50"/>
      <c r="T20" s="50"/>
      <c r="U20" s="50"/>
    </row>
    <row r="21" spans="1:21" customFormat="1">
      <c r="A21" s="51" t="s">
        <v>692</v>
      </c>
      <c r="B21" s="52">
        <v>7.09</v>
      </c>
      <c r="C21" s="52">
        <v>51.04</v>
      </c>
      <c r="D21" s="52">
        <v>30.87</v>
      </c>
      <c r="E21" s="52">
        <v>23.15</v>
      </c>
      <c r="F21" s="52">
        <v>44.01</v>
      </c>
      <c r="G21" s="52">
        <v>94.67</v>
      </c>
      <c r="H21" s="52">
        <v>27.28</v>
      </c>
      <c r="I21" s="52">
        <v>8.3000000000000007</v>
      </c>
      <c r="J21" s="52">
        <v>1.1000000000000001</v>
      </c>
      <c r="K21" s="52">
        <v>309.39999999999998</v>
      </c>
      <c r="L21" s="52">
        <v>39.630000000000003</v>
      </c>
      <c r="M21" s="52">
        <v>23.33</v>
      </c>
      <c r="N21" s="52">
        <v>831.4</v>
      </c>
      <c r="O21" s="52">
        <v>0</v>
      </c>
      <c r="P21" s="52">
        <v>0.74</v>
      </c>
      <c r="Q21" s="52">
        <v>4.95</v>
      </c>
      <c r="R21" s="50"/>
      <c r="S21" s="50"/>
      <c r="T21" s="50"/>
      <c r="U21" s="50"/>
    </row>
    <row r="22" spans="1:21" customFormat="1">
      <c r="A22" s="51" t="s">
        <v>693</v>
      </c>
      <c r="B22" s="52">
        <v>5.87</v>
      </c>
      <c r="C22" s="52">
        <v>54.96</v>
      </c>
      <c r="D22" s="52">
        <v>32.049999999999997</v>
      </c>
      <c r="E22" s="52">
        <v>8.76</v>
      </c>
      <c r="F22" s="52">
        <v>26.41</v>
      </c>
      <c r="G22" s="52">
        <v>89.8</v>
      </c>
      <c r="H22" s="52">
        <v>24.85</v>
      </c>
      <c r="I22" s="52">
        <v>7.71</v>
      </c>
      <c r="J22" s="52">
        <v>1.1399999999999999</v>
      </c>
      <c r="K22" s="52">
        <v>305.37</v>
      </c>
      <c r="L22" s="52">
        <v>40.450000000000003</v>
      </c>
      <c r="M22" s="52">
        <v>20.61</v>
      </c>
      <c r="N22" s="52">
        <v>831.2</v>
      </c>
      <c r="O22" s="52">
        <v>0</v>
      </c>
      <c r="P22" s="52">
        <v>0.67</v>
      </c>
      <c r="Q22" s="52">
        <v>4.83</v>
      </c>
      <c r="R22" s="50"/>
      <c r="S22" s="50"/>
      <c r="T22" s="50"/>
      <c r="U22" s="50"/>
    </row>
    <row r="23" spans="1:21" customFormat="1">
      <c r="A23" s="51" t="s">
        <v>694</v>
      </c>
      <c r="B23" s="52">
        <v>8.3800000000000008</v>
      </c>
      <c r="C23" s="52">
        <v>52.2</v>
      </c>
      <c r="D23" s="52">
        <v>32.950000000000003</v>
      </c>
      <c r="E23" s="52">
        <v>8.16</v>
      </c>
      <c r="F23" s="52">
        <v>34.32</v>
      </c>
      <c r="G23" s="52">
        <v>86.68</v>
      </c>
      <c r="H23" s="52">
        <v>22.82</v>
      </c>
      <c r="I23" s="52">
        <v>7.18</v>
      </c>
      <c r="J23" s="52">
        <v>1.2</v>
      </c>
      <c r="K23" s="52">
        <v>303.72000000000003</v>
      </c>
      <c r="L23" s="52">
        <v>40.61</v>
      </c>
      <c r="M23" s="52">
        <v>19.47</v>
      </c>
      <c r="N23" s="52">
        <v>679</v>
      </c>
      <c r="O23" s="52">
        <v>0</v>
      </c>
      <c r="P23" s="52">
        <v>0.59</v>
      </c>
      <c r="Q23" s="52">
        <v>4.75</v>
      </c>
      <c r="R23" s="50"/>
      <c r="S23" s="50"/>
      <c r="T23" s="50"/>
      <c r="U23" s="50"/>
    </row>
    <row r="24" spans="1:21" customFormat="1">
      <c r="A24" s="51" t="s">
        <v>695</v>
      </c>
      <c r="B24" s="52">
        <v>6.8</v>
      </c>
      <c r="C24" s="52">
        <v>46.76</v>
      </c>
      <c r="D24" s="52">
        <v>28.37</v>
      </c>
      <c r="E24" s="52">
        <v>8.27</v>
      </c>
      <c r="F24" s="52">
        <v>33.74</v>
      </c>
      <c r="G24" s="52">
        <v>72.22</v>
      </c>
      <c r="H24" s="52">
        <v>20.89</v>
      </c>
      <c r="I24" s="52">
        <v>6.3</v>
      </c>
      <c r="J24" s="52">
        <v>0.75</v>
      </c>
      <c r="K24" s="52">
        <v>269.44</v>
      </c>
      <c r="L24" s="52">
        <v>40.32</v>
      </c>
      <c r="M24" s="52">
        <v>18.89</v>
      </c>
      <c r="N24" s="52">
        <v>403.3</v>
      </c>
      <c r="O24" s="52">
        <v>0</v>
      </c>
      <c r="P24" s="52">
        <v>0.51</v>
      </c>
      <c r="Q24" s="52">
        <v>4.72</v>
      </c>
      <c r="R24" s="50"/>
      <c r="S24" s="50"/>
      <c r="T24" s="50"/>
      <c r="U24" s="50"/>
    </row>
    <row r="25" spans="1:21" customFormat="1">
      <c r="A25" s="51" t="s">
        <v>696</v>
      </c>
      <c r="B25" s="52">
        <v>11.31</v>
      </c>
      <c r="C25" s="52">
        <v>51.37</v>
      </c>
      <c r="D25" s="52">
        <v>34.58</v>
      </c>
      <c r="E25" s="52">
        <v>16.05</v>
      </c>
      <c r="F25" s="52">
        <v>27.56</v>
      </c>
      <c r="G25" s="52">
        <v>62.27</v>
      </c>
      <c r="H25" s="52">
        <v>16.43</v>
      </c>
      <c r="I25" s="52">
        <v>5.17</v>
      </c>
      <c r="J25" s="52">
        <v>0.75</v>
      </c>
      <c r="K25" s="52">
        <v>297.14</v>
      </c>
      <c r="L25" s="52">
        <v>39.159999999999997</v>
      </c>
      <c r="M25" s="52">
        <v>22.2</v>
      </c>
      <c r="N25" s="52">
        <v>191.5</v>
      </c>
      <c r="O25" s="52">
        <v>0</v>
      </c>
      <c r="P25" s="52">
        <v>0.52</v>
      </c>
      <c r="Q25" s="52">
        <v>4.8499999999999996</v>
      </c>
      <c r="R25" s="50"/>
      <c r="S25" s="50"/>
      <c r="T25" s="50"/>
      <c r="U25" s="50"/>
    </row>
    <row r="26" spans="1:21" customFormat="1">
      <c r="A26" s="51" t="s">
        <v>697</v>
      </c>
      <c r="B26" s="52">
        <v>20.13</v>
      </c>
      <c r="C26" s="52">
        <v>56.52</v>
      </c>
      <c r="D26" s="52">
        <v>44.62</v>
      </c>
      <c r="E26" s="52">
        <v>16.05</v>
      </c>
      <c r="F26" s="52">
        <v>24.46</v>
      </c>
      <c r="G26" s="52">
        <v>64.900000000000006</v>
      </c>
      <c r="H26" s="52">
        <v>16.09</v>
      </c>
      <c r="I26" s="52">
        <v>4.75</v>
      </c>
      <c r="J26" s="52">
        <v>1.0900000000000001</v>
      </c>
      <c r="K26" s="52">
        <v>55.63</v>
      </c>
      <c r="L26" s="52">
        <v>38.659999999999997</v>
      </c>
      <c r="M26" s="52">
        <v>23.95</v>
      </c>
      <c r="N26" s="52">
        <v>94.4</v>
      </c>
      <c r="O26" s="52">
        <v>0</v>
      </c>
      <c r="P26" s="52">
        <v>0.64</v>
      </c>
      <c r="Q26" s="52">
        <v>5.16</v>
      </c>
      <c r="R26" s="50"/>
      <c r="S26" s="50"/>
      <c r="T26" s="50"/>
      <c r="U26" s="50"/>
    </row>
    <row r="27" spans="1:21" customFormat="1">
      <c r="A27" s="51" t="s">
        <v>698</v>
      </c>
      <c r="B27" s="52">
        <v>13.8</v>
      </c>
      <c r="C27" s="52">
        <v>60.92</v>
      </c>
      <c r="D27" s="52">
        <v>41.85</v>
      </c>
      <c r="E27" s="52">
        <v>5.77</v>
      </c>
      <c r="F27" s="52">
        <v>16.71</v>
      </c>
      <c r="G27" s="52">
        <v>84.05</v>
      </c>
      <c r="H27" s="52">
        <v>19.489999999999998</v>
      </c>
      <c r="I27" s="52">
        <v>5.83</v>
      </c>
      <c r="J27" s="52">
        <v>4.3899999999999997</v>
      </c>
      <c r="K27" s="52">
        <v>45.22</v>
      </c>
      <c r="L27" s="52">
        <v>35.479999999999997</v>
      </c>
      <c r="M27" s="52">
        <v>41.94</v>
      </c>
      <c r="N27" s="52">
        <v>0.7</v>
      </c>
      <c r="O27" s="52">
        <v>0</v>
      </c>
      <c r="P27" s="52">
        <v>0.6</v>
      </c>
      <c r="Q27" s="52">
        <v>5.32</v>
      </c>
      <c r="R27" s="50"/>
      <c r="S27" s="50"/>
      <c r="T27" s="50"/>
      <c r="U27" s="50"/>
    </row>
    <row r="28" spans="1:21" customFormat="1">
      <c r="A28" s="51" t="s">
        <v>699</v>
      </c>
      <c r="B28" s="52">
        <v>9.3000000000000007</v>
      </c>
      <c r="C28" s="52">
        <v>66.52</v>
      </c>
      <c r="D28" s="52">
        <v>41.17</v>
      </c>
      <c r="E28" s="52">
        <v>4.07</v>
      </c>
      <c r="F28" s="52">
        <v>11.68</v>
      </c>
      <c r="G28" s="52">
        <v>84.05</v>
      </c>
      <c r="H28" s="52">
        <v>22.82</v>
      </c>
      <c r="I28" s="52">
        <v>5.28</v>
      </c>
      <c r="J28" s="52">
        <v>3.02</v>
      </c>
      <c r="K28" s="52">
        <v>140.79</v>
      </c>
      <c r="L28" s="52">
        <v>27.91</v>
      </c>
      <c r="M28" s="52">
        <v>50.69</v>
      </c>
      <c r="N28" s="52">
        <v>0</v>
      </c>
      <c r="O28" s="52">
        <v>0</v>
      </c>
      <c r="P28" s="52">
        <v>0.5</v>
      </c>
      <c r="Q28" s="52">
        <v>5</v>
      </c>
      <c r="R28" s="50"/>
      <c r="S28" s="50"/>
      <c r="T28" s="50"/>
      <c r="U28" s="50"/>
    </row>
    <row r="29" spans="1:21" customFormat="1">
      <c r="A29" s="51" t="s">
        <v>700</v>
      </c>
      <c r="B29" s="52">
        <v>11.68</v>
      </c>
      <c r="C29" s="52">
        <v>66.680000000000007</v>
      </c>
      <c r="D29" s="52">
        <v>42.89</v>
      </c>
      <c r="E29" s="52">
        <v>4.8899999999999997</v>
      </c>
      <c r="F29" s="52">
        <v>7.01</v>
      </c>
      <c r="G29" s="52">
        <v>23.67</v>
      </c>
      <c r="H29" s="52">
        <v>22.82</v>
      </c>
      <c r="I29" s="52">
        <v>5.0999999999999996</v>
      </c>
      <c r="J29" s="52">
        <v>1.19</v>
      </c>
      <c r="K29" s="52">
        <v>103.58</v>
      </c>
      <c r="L29" s="52">
        <v>27.47</v>
      </c>
      <c r="M29" s="52">
        <v>48.96</v>
      </c>
      <c r="N29" s="52">
        <v>0</v>
      </c>
      <c r="O29" s="52">
        <v>0</v>
      </c>
      <c r="P29" s="52">
        <v>0.49</v>
      </c>
      <c r="Q29" s="52">
        <v>5.1100000000000003</v>
      </c>
      <c r="R29" s="50"/>
      <c r="S29" s="50"/>
      <c r="T29" s="50"/>
      <c r="U29" s="50"/>
    </row>
    <row r="30" spans="1:21" customFormat="1">
      <c r="A30" s="51" t="s">
        <v>701</v>
      </c>
      <c r="B30" s="52">
        <v>15.34</v>
      </c>
      <c r="C30" s="52">
        <v>67.91</v>
      </c>
      <c r="D30" s="52">
        <v>46.71</v>
      </c>
      <c r="E30" s="52">
        <v>4.58</v>
      </c>
      <c r="F30" s="52">
        <v>6.35</v>
      </c>
      <c r="G30" s="52">
        <v>43.12</v>
      </c>
      <c r="H30" s="52">
        <v>15.09</v>
      </c>
      <c r="I30" s="52">
        <v>4.9800000000000004</v>
      </c>
      <c r="J30" s="52">
        <v>1.29</v>
      </c>
      <c r="K30" s="52">
        <v>87.63</v>
      </c>
      <c r="L30" s="52">
        <v>27.53</v>
      </c>
      <c r="M30" s="52">
        <v>46.79</v>
      </c>
      <c r="N30" s="52">
        <v>0</v>
      </c>
      <c r="O30" s="52">
        <v>0</v>
      </c>
      <c r="P30" s="52">
        <v>0.49</v>
      </c>
      <c r="Q30" s="52">
        <v>5.28</v>
      </c>
      <c r="R30" s="50"/>
      <c r="S30" s="50"/>
      <c r="T30" s="50"/>
      <c r="U30" s="50"/>
    </row>
    <row r="31" spans="1:21" customFormat="1">
      <c r="A31" s="51" t="s">
        <v>702</v>
      </c>
      <c r="B31" s="52">
        <v>19.07</v>
      </c>
      <c r="C31" s="52">
        <v>68.08</v>
      </c>
      <c r="D31" s="52">
        <v>49.7</v>
      </c>
      <c r="E31" s="52">
        <v>4.4400000000000004</v>
      </c>
      <c r="F31" s="52">
        <v>4.63</v>
      </c>
      <c r="G31" s="52">
        <v>43.12</v>
      </c>
      <c r="H31" s="52">
        <v>11.48</v>
      </c>
      <c r="I31" s="52">
        <v>4.8899999999999997</v>
      </c>
      <c r="J31" s="52">
        <v>0.3</v>
      </c>
      <c r="K31" s="52">
        <v>117.52</v>
      </c>
      <c r="L31" s="52">
        <v>27.29</v>
      </c>
      <c r="M31" s="52">
        <v>49.42</v>
      </c>
      <c r="N31" s="52">
        <v>0</v>
      </c>
      <c r="O31" s="52">
        <v>0</v>
      </c>
      <c r="P31" s="52">
        <v>0.48</v>
      </c>
      <c r="Q31" s="52">
        <v>5.44</v>
      </c>
      <c r="R31" s="50"/>
      <c r="S31" s="50"/>
      <c r="T31" s="50"/>
      <c r="U31" s="50"/>
    </row>
    <row r="32" spans="1:21" customFormat="1">
      <c r="A32" s="51" t="s">
        <v>703</v>
      </c>
      <c r="B32" s="52">
        <v>21.12</v>
      </c>
      <c r="C32" s="52">
        <v>68.239999999999995</v>
      </c>
      <c r="D32" s="52">
        <v>51.05</v>
      </c>
      <c r="E32" s="52">
        <v>4.29</v>
      </c>
      <c r="F32" s="52">
        <v>3.94</v>
      </c>
      <c r="G32" s="52">
        <v>38.049999999999997</v>
      </c>
      <c r="H32" s="52">
        <v>11.51</v>
      </c>
      <c r="I32" s="52">
        <v>4.8899999999999997</v>
      </c>
      <c r="J32" s="52">
        <v>0.24</v>
      </c>
      <c r="K32" s="52">
        <v>238.86</v>
      </c>
      <c r="L32" s="52">
        <v>26.27</v>
      </c>
      <c r="M32" s="52">
        <v>54.17</v>
      </c>
      <c r="N32" s="52">
        <v>0</v>
      </c>
      <c r="O32" s="52">
        <v>0</v>
      </c>
      <c r="P32" s="52">
        <v>0.49</v>
      </c>
      <c r="Q32" s="52">
        <v>5.58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5.87</v>
      </c>
      <c r="C34" s="41">
        <f t="shared" si="0"/>
        <v>46.76</v>
      </c>
      <c r="D34" s="41">
        <f t="shared" si="0"/>
        <v>28.37</v>
      </c>
      <c r="E34" s="41">
        <f t="shared" si="0"/>
        <v>4.07</v>
      </c>
      <c r="F34" s="41">
        <f t="shared" si="0"/>
        <v>3.78</v>
      </c>
      <c r="G34" s="41">
        <f t="shared" si="0"/>
        <v>23.67</v>
      </c>
      <c r="H34" s="41">
        <f t="shared" si="0"/>
        <v>11.48</v>
      </c>
      <c r="I34" s="41">
        <f t="shared" si="0"/>
        <v>4.75</v>
      </c>
      <c r="J34" s="41">
        <f t="shared" si="0"/>
        <v>0.24</v>
      </c>
      <c r="K34" s="41">
        <f t="shared" si="0"/>
        <v>45.22</v>
      </c>
      <c r="L34" s="41">
        <f t="shared" si="0"/>
        <v>26.27</v>
      </c>
      <c r="M34" s="41">
        <f t="shared" si="0"/>
        <v>18.89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4.72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39.46</v>
      </c>
      <c r="C35" s="33">
        <f t="shared" si="1"/>
        <v>68.239999999999995</v>
      </c>
      <c r="D35" s="33">
        <f t="shared" si="1"/>
        <v>64.42</v>
      </c>
      <c r="E35" s="33">
        <f t="shared" si="1"/>
        <v>33</v>
      </c>
      <c r="F35" s="33">
        <f t="shared" si="1"/>
        <v>44.01</v>
      </c>
      <c r="G35" s="33">
        <f t="shared" si="1"/>
        <v>103.75</v>
      </c>
      <c r="H35" s="33">
        <f t="shared" si="1"/>
        <v>29.01</v>
      </c>
      <c r="I35" s="33">
        <f t="shared" si="1"/>
        <v>16.71</v>
      </c>
      <c r="J35" s="33">
        <f t="shared" si="1"/>
        <v>4.3899999999999997</v>
      </c>
      <c r="K35" s="33">
        <f t="shared" si="1"/>
        <v>354.67</v>
      </c>
      <c r="L35" s="33">
        <f t="shared" si="1"/>
        <v>40.61</v>
      </c>
      <c r="M35" s="33">
        <f t="shared" si="1"/>
        <v>57.73</v>
      </c>
      <c r="N35" s="33">
        <f t="shared" si="1"/>
        <v>831.4</v>
      </c>
      <c r="O35" s="33">
        <f t="shared" si="1"/>
        <v>0</v>
      </c>
      <c r="P35" s="33">
        <f t="shared" si="1"/>
        <v>1.37</v>
      </c>
      <c r="Q35" s="33">
        <f t="shared" si="1"/>
        <v>6.38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20.593333333333334</v>
      </c>
      <c r="C36" s="41">
        <f t="shared" si="2"/>
        <v>60.454583333333339</v>
      </c>
      <c r="D36" s="41">
        <f t="shared" si="2"/>
        <v>46.850833333333334</v>
      </c>
      <c r="E36" s="41">
        <f t="shared" si="2"/>
        <v>12.407499999999999</v>
      </c>
      <c r="F36" s="41">
        <f t="shared" si="2"/>
        <v>16.084166666666665</v>
      </c>
      <c r="G36" s="41">
        <f t="shared" si="2"/>
        <v>79.999166666666667</v>
      </c>
      <c r="H36" s="41">
        <f t="shared" si="2"/>
        <v>22.261666666666667</v>
      </c>
      <c r="I36" s="41">
        <f t="shared" si="2"/>
        <v>9.5937499999999982</v>
      </c>
      <c r="J36" s="41">
        <f t="shared" si="2"/>
        <v>0.99666666666666659</v>
      </c>
      <c r="K36" s="41">
        <f t="shared" si="2"/>
        <v>205.71458333333337</v>
      </c>
      <c r="L36" s="41">
        <f t="shared" si="2"/>
        <v>33.052499999999995</v>
      </c>
      <c r="M36" s="41">
        <f t="shared" si="2"/>
        <v>39.207083333333344</v>
      </c>
      <c r="N36" s="41">
        <f t="shared" si="2"/>
        <v>185.5</v>
      </c>
      <c r="O36" s="41">
        <f t="shared" si="2"/>
        <v>0</v>
      </c>
      <c r="P36" s="41">
        <f t="shared" si="2"/>
        <v>0.82750000000000001</v>
      </c>
      <c r="Q36" s="41">
        <f t="shared" si="2"/>
        <v>5.5354166666666664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11.038157796309664</v>
      </c>
      <c r="C37" s="41">
        <f t="shared" ref="C37:Q37" si="3">STDEV(C9:C32)</f>
        <v>6.5628022773723895</v>
      </c>
      <c r="D37" s="41">
        <f t="shared" si="3"/>
        <v>10.971283828275492</v>
      </c>
      <c r="E37" s="41">
        <f t="shared" si="3"/>
        <v>7.5445443865087052</v>
      </c>
      <c r="F37" s="41">
        <f t="shared" si="3"/>
        <v>13.301334001967023</v>
      </c>
      <c r="G37" s="41">
        <f t="shared" si="3"/>
        <v>22.776190641653095</v>
      </c>
      <c r="H37" s="41">
        <f t="shared" si="3"/>
        <v>5.0757759455353506</v>
      </c>
      <c r="I37" s="41">
        <f t="shared" si="3"/>
        <v>4.3183046316007365</v>
      </c>
      <c r="J37" s="41">
        <f t="shared" si="3"/>
        <v>0.9305896525586751</v>
      </c>
      <c r="K37" s="41">
        <f t="shared" si="3"/>
        <v>95.741266691249265</v>
      </c>
      <c r="L37" s="41">
        <f t="shared" si="3"/>
        <v>5.2995342289185148</v>
      </c>
      <c r="M37" s="41">
        <f t="shared" si="3"/>
        <v>13.17365469714874</v>
      </c>
      <c r="N37" s="41">
        <f t="shared" si="3"/>
        <v>286.08499193193558</v>
      </c>
      <c r="O37" s="41">
        <f t="shared" si="3"/>
        <v>0</v>
      </c>
      <c r="P37" s="41">
        <f t="shared" si="3"/>
        <v>0.30346190936389794</v>
      </c>
      <c r="Q37" s="41">
        <f t="shared" si="3"/>
        <v>0.56582359493018575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704</v>
      </c>
      <c r="B9" s="52">
        <v>23.07</v>
      </c>
      <c r="C9" s="52">
        <v>67.099999999999994</v>
      </c>
      <c r="D9" s="52">
        <v>52.52</v>
      </c>
      <c r="E9" s="52">
        <v>4.18</v>
      </c>
      <c r="F9" s="52">
        <v>3.86</v>
      </c>
      <c r="G9" s="52">
        <v>33.64</v>
      </c>
      <c r="H9" s="52">
        <v>11.51</v>
      </c>
      <c r="I9" s="52">
        <v>4.78</v>
      </c>
      <c r="J9" s="52">
        <v>0.16</v>
      </c>
      <c r="K9" s="52">
        <v>199.91</v>
      </c>
      <c r="L9" s="52">
        <v>25.8</v>
      </c>
      <c r="M9" s="52">
        <v>57.16</v>
      </c>
      <c r="N9" s="52">
        <v>0</v>
      </c>
      <c r="O9" s="52">
        <v>0</v>
      </c>
      <c r="P9" s="52">
        <v>0.48</v>
      </c>
      <c r="Q9" s="52">
        <v>5.63</v>
      </c>
      <c r="R9" s="50"/>
      <c r="S9" s="50"/>
      <c r="T9" s="50"/>
      <c r="U9" s="50"/>
    </row>
    <row r="10" spans="1:21" customFormat="1">
      <c r="A10" s="51" t="s">
        <v>705</v>
      </c>
      <c r="B10" s="52">
        <v>25.17</v>
      </c>
      <c r="C10" s="52">
        <v>67.16</v>
      </c>
      <c r="D10" s="52">
        <v>53.87</v>
      </c>
      <c r="E10" s="52">
        <v>4.45</v>
      </c>
      <c r="F10" s="52">
        <v>3.87</v>
      </c>
      <c r="G10" s="52">
        <v>33.64</v>
      </c>
      <c r="H10" s="52">
        <v>9.76</v>
      </c>
      <c r="I10" s="52">
        <v>4.67</v>
      </c>
      <c r="J10" s="52">
        <v>0.23</v>
      </c>
      <c r="K10" s="52">
        <v>179.6</v>
      </c>
      <c r="L10" s="52">
        <v>25.67</v>
      </c>
      <c r="M10" s="52">
        <v>60.68</v>
      </c>
      <c r="N10" s="52">
        <v>0</v>
      </c>
      <c r="O10" s="52">
        <v>0</v>
      </c>
      <c r="P10" s="52">
        <v>0.48</v>
      </c>
      <c r="Q10" s="52">
        <v>5.77</v>
      </c>
      <c r="R10" s="50"/>
      <c r="S10" s="50"/>
      <c r="T10" s="50"/>
      <c r="U10" s="50"/>
    </row>
    <row r="11" spans="1:21" customFormat="1">
      <c r="A11" s="51" t="s">
        <v>706</v>
      </c>
      <c r="B11" s="52">
        <v>26.37</v>
      </c>
      <c r="C11" s="52">
        <v>65.349999999999994</v>
      </c>
      <c r="D11" s="52">
        <v>54.24</v>
      </c>
      <c r="E11" s="52">
        <v>7.37</v>
      </c>
      <c r="F11" s="52">
        <v>3.66</v>
      </c>
      <c r="G11" s="52">
        <v>19.39</v>
      </c>
      <c r="H11" s="52">
        <v>9.5</v>
      </c>
      <c r="I11" s="52">
        <v>4.62</v>
      </c>
      <c r="J11" s="52">
        <v>0.24</v>
      </c>
      <c r="K11" s="52">
        <v>184.16</v>
      </c>
      <c r="L11" s="52">
        <v>24.95</v>
      </c>
      <c r="M11" s="52">
        <v>62.83</v>
      </c>
      <c r="N11" s="52">
        <v>0</v>
      </c>
      <c r="O11" s="52">
        <v>0</v>
      </c>
      <c r="P11" s="52">
        <v>0.48</v>
      </c>
      <c r="Q11" s="52">
        <v>5.8</v>
      </c>
      <c r="R11" s="50"/>
      <c r="S11" s="50"/>
      <c r="T11" s="50"/>
      <c r="U11" s="50"/>
    </row>
    <row r="12" spans="1:21" customFormat="1">
      <c r="A12" s="51" t="s">
        <v>707</v>
      </c>
      <c r="B12" s="52">
        <v>28.11</v>
      </c>
      <c r="C12" s="52">
        <v>65.3</v>
      </c>
      <c r="D12" s="52">
        <v>55.04</v>
      </c>
      <c r="E12" s="52">
        <v>7.36</v>
      </c>
      <c r="F12" s="52">
        <v>3.78</v>
      </c>
      <c r="G12" s="52">
        <v>13.86</v>
      </c>
      <c r="H12" s="52">
        <v>7.93</v>
      </c>
      <c r="I12" s="52">
        <v>4.54</v>
      </c>
      <c r="J12" s="52">
        <v>0.17</v>
      </c>
      <c r="K12" s="52">
        <v>190.42</v>
      </c>
      <c r="L12" s="52">
        <v>24.56</v>
      </c>
      <c r="M12" s="52">
        <v>64.150000000000006</v>
      </c>
      <c r="N12" s="52">
        <v>0</v>
      </c>
      <c r="O12" s="52">
        <v>0</v>
      </c>
      <c r="P12" s="52">
        <v>0.48</v>
      </c>
      <c r="Q12" s="52">
        <v>5.86</v>
      </c>
      <c r="R12" s="50"/>
      <c r="S12" s="50"/>
      <c r="T12" s="50"/>
      <c r="U12" s="50"/>
    </row>
    <row r="13" spans="1:21" customFormat="1">
      <c r="A13" s="51" t="s">
        <v>708</v>
      </c>
      <c r="B13" s="52">
        <v>33.86</v>
      </c>
      <c r="C13" s="52">
        <v>64.67</v>
      </c>
      <c r="D13" s="52">
        <v>59.69</v>
      </c>
      <c r="E13" s="52">
        <v>7.39</v>
      </c>
      <c r="F13" s="52">
        <v>3.77</v>
      </c>
      <c r="G13" s="52">
        <v>36.76</v>
      </c>
      <c r="H13" s="52">
        <v>5.64</v>
      </c>
      <c r="I13" s="52">
        <v>5.03</v>
      </c>
      <c r="J13" s="52">
        <v>0.26</v>
      </c>
      <c r="K13" s="52">
        <v>221.17</v>
      </c>
      <c r="L13" s="52">
        <v>24.61</v>
      </c>
      <c r="M13" s="52">
        <v>67.2</v>
      </c>
      <c r="N13" s="52">
        <v>0</v>
      </c>
      <c r="O13" s="52">
        <v>0</v>
      </c>
      <c r="P13" s="52">
        <v>0.49</v>
      </c>
      <c r="Q13" s="52">
        <v>6.16</v>
      </c>
      <c r="R13" s="50"/>
      <c r="S13" s="50"/>
      <c r="T13" s="50"/>
      <c r="U13" s="50"/>
    </row>
    <row r="14" spans="1:21" customFormat="1">
      <c r="A14" s="51" t="s">
        <v>709</v>
      </c>
      <c r="B14" s="52">
        <v>38.06</v>
      </c>
      <c r="C14" s="52">
        <v>65.62</v>
      </c>
      <c r="D14" s="52">
        <v>63.18</v>
      </c>
      <c r="E14" s="52">
        <v>7.79</v>
      </c>
      <c r="F14" s="52">
        <v>3.65</v>
      </c>
      <c r="G14" s="52">
        <v>44.58</v>
      </c>
      <c r="H14" s="52">
        <v>9.2100000000000009</v>
      </c>
      <c r="I14" s="52">
        <v>5.39</v>
      </c>
      <c r="J14" s="52">
        <v>1</v>
      </c>
      <c r="K14" s="52">
        <v>59.47</v>
      </c>
      <c r="L14" s="52">
        <v>24.19</v>
      </c>
      <c r="M14" s="52">
        <v>66.17</v>
      </c>
      <c r="N14" s="52">
        <v>22.1</v>
      </c>
      <c r="O14" s="52">
        <v>0</v>
      </c>
      <c r="P14" s="52">
        <v>0.5</v>
      </c>
      <c r="Q14" s="52">
        <v>6.3</v>
      </c>
      <c r="R14" s="50"/>
      <c r="S14" s="50"/>
      <c r="T14" s="50"/>
      <c r="U14" s="50"/>
    </row>
    <row r="15" spans="1:21" customFormat="1">
      <c r="A15" s="51" t="s">
        <v>710</v>
      </c>
      <c r="B15" s="52">
        <v>42.04</v>
      </c>
      <c r="C15" s="52">
        <v>64.87</v>
      </c>
      <c r="D15" s="52">
        <v>66.56</v>
      </c>
      <c r="E15" s="52">
        <v>7.92</v>
      </c>
      <c r="F15" s="52">
        <v>3.85</v>
      </c>
      <c r="G15" s="52">
        <v>97.7</v>
      </c>
      <c r="H15" s="52">
        <v>12.85</v>
      </c>
      <c r="I15" s="52">
        <v>5.65</v>
      </c>
      <c r="J15" s="52">
        <v>0.87</v>
      </c>
      <c r="K15" s="52">
        <v>56.91</v>
      </c>
      <c r="L15" s="52">
        <v>26.03</v>
      </c>
      <c r="M15" s="52">
        <v>64.58</v>
      </c>
      <c r="N15" s="52">
        <v>71.8</v>
      </c>
      <c r="O15" s="52">
        <v>0</v>
      </c>
      <c r="P15" s="52">
        <v>0.54</v>
      </c>
      <c r="Q15" s="52">
        <v>6.52</v>
      </c>
      <c r="R15" s="50"/>
      <c r="S15" s="50"/>
      <c r="T15" s="50"/>
      <c r="U15" s="50"/>
    </row>
    <row r="16" spans="1:21" customFormat="1">
      <c r="A16" s="51" t="s">
        <v>711</v>
      </c>
      <c r="B16" s="52">
        <v>42.45</v>
      </c>
      <c r="C16" s="52">
        <v>66.17</v>
      </c>
      <c r="D16" s="52">
        <v>67.41</v>
      </c>
      <c r="E16" s="52">
        <v>8.25</v>
      </c>
      <c r="F16" s="52">
        <v>4.1399999999999997</v>
      </c>
      <c r="G16" s="52">
        <v>99.43</v>
      </c>
      <c r="H16" s="52">
        <v>15.83</v>
      </c>
      <c r="I16" s="52">
        <v>5.84</v>
      </c>
      <c r="J16" s="52">
        <v>0.94</v>
      </c>
      <c r="K16" s="52">
        <v>65.650000000000006</v>
      </c>
      <c r="L16" s="52">
        <v>28.74</v>
      </c>
      <c r="M16" s="52">
        <v>57.54</v>
      </c>
      <c r="N16" s="52">
        <v>107.9</v>
      </c>
      <c r="O16" s="52">
        <v>0</v>
      </c>
      <c r="P16" s="52">
        <v>0.56999999999999995</v>
      </c>
      <c r="Q16" s="52">
        <v>6.63</v>
      </c>
      <c r="R16" s="50"/>
      <c r="S16" s="50"/>
      <c r="T16" s="50"/>
      <c r="U16" s="50"/>
    </row>
    <row r="17" spans="1:21" customFormat="1">
      <c r="A17" s="51" t="s">
        <v>712</v>
      </c>
      <c r="B17" s="52">
        <v>41.2</v>
      </c>
      <c r="C17" s="52">
        <v>65.709999999999994</v>
      </c>
      <c r="D17" s="52">
        <v>65.38</v>
      </c>
      <c r="E17" s="52">
        <v>9.2799999999999994</v>
      </c>
      <c r="F17" s="52">
        <v>6.49</v>
      </c>
      <c r="G17" s="52">
        <v>101.89</v>
      </c>
      <c r="H17" s="52">
        <v>16.940000000000001</v>
      </c>
      <c r="I17" s="52">
        <v>5.93</v>
      </c>
      <c r="J17" s="52">
        <v>0.89</v>
      </c>
      <c r="K17" s="52">
        <v>88.18</v>
      </c>
      <c r="L17" s="52">
        <v>31.66</v>
      </c>
      <c r="M17" s="52">
        <v>49.32</v>
      </c>
      <c r="N17" s="52">
        <v>136.19999999999999</v>
      </c>
      <c r="O17" s="52">
        <v>0</v>
      </c>
      <c r="P17" s="52">
        <v>0.61</v>
      </c>
      <c r="Q17" s="52">
        <v>6.56</v>
      </c>
      <c r="R17" s="50"/>
      <c r="S17" s="50"/>
      <c r="T17" s="50"/>
      <c r="U17" s="50"/>
    </row>
    <row r="18" spans="1:21" customFormat="1">
      <c r="A18" s="51" t="s">
        <v>713</v>
      </c>
      <c r="B18" s="52">
        <v>32.799999999999997</v>
      </c>
      <c r="C18" s="52">
        <v>64.739999999999995</v>
      </c>
      <c r="D18" s="52">
        <v>59.09</v>
      </c>
      <c r="E18" s="52">
        <v>13.92</v>
      </c>
      <c r="F18" s="52">
        <v>15.22</v>
      </c>
      <c r="G18" s="52">
        <v>101.89</v>
      </c>
      <c r="H18" s="52">
        <v>18.41</v>
      </c>
      <c r="I18" s="52">
        <v>6.23</v>
      </c>
      <c r="J18" s="52">
        <v>0.63</v>
      </c>
      <c r="K18" s="52">
        <v>68.239999999999995</v>
      </c>
      <c r="L18" s="52">
        <v>33.83</v>
      </c>
      <c r="M18" s="52">
        <v>41.17</v>
      </c>
      <c r="N18" s="52">
        <v>184.9</v>
      </c>
      <c r="O18" s="52">
        <v>0</v>
      </c>
      <c r="P18" s="52">
        <v>0.61</v>
      </c>
      <c r="Q18" s="52">
        <v>6.39</v>
      </c>
      <c r="R18" s="50"/>
      <c r="S18" s="50"/>
      <c r="T18" s="50"/>
      <c r="U18" s="50"/>
    </row>
    <row r="19" spans="1:21" customFormat="1">
      <c r="A19" s="51" t="s">
        <v>714</v>
      </c>
      <c r="B19" s="52">
        <v>24.88</v>
      </c>
      <c r="C19" s="52">
        <v>58.56</v>
      </c>
      <c r="D19" s="52">
        <v>49.5</v>
      </c>
      <c r="E19" s="52">
        <v>14.46</v>
      </c>
      <c r="F19" s="52">
        <v>26.46</v>
      </c>
      <c r="G19" s="52">
        <v>83.97</v>
      </c>
      <c r="H19" s="52">
        <v>20.65</v>
      </c>
      <c r="I19" s="52">
        <v>6.54</v>
      </c>
      <c r="J19" s="52">
        <v>0.99</v>
      </c>
      <c r="K19" s="52">
        <v>49.22</v>
      </c>
      <c r="L19" s="52">
        <v>34.68</v>
      </c>
      <c r="M19" s="52">
        <v>36.07</v>
      </c>
      <c r="N19" s="52">
        <v>252.8</v>
      </c>
      <c r="O19" s="52">
        <v>0</v>
      </c>
      <c r="P19" s="52">
        <v>0.61</v>
      </c>
      <c r="Q19" s="52">
        <v>6</v>
      </c>
      <c r="R19" s="50"/>
      <c r="S19" s="50"/>
      <c r="T19" s="50"/>
      <c r="U19" s="50"/>
    </row>
    <row r="20" spans="1:21" customFormat="1">
      <c r="A20" s="51" t="s">
        <v>715</v>
      </c>
      <c r="B20" s="52">
        <v>16.579999999999998</v>
      </c>
      <c r="C20" s="52">
        <v>57.58</v>
      </c>
      <c r="D20" s="52">
        <v>40.32</v>
      </c>
      <c r="E20" s="52">
        <v>18.64</v>
      </c>
      <c r="F20" s="52">
        <v>36.479999999999997</v>
      </c>
      <c r="G20" s="52">
        <v>88.66</v>
      </c>
      <c r="H20" s="52">
        <v>22.92</v>
      </c>
      <c r="I20" s="52">
        <v>6.66</v>
      </c>
      <c r="J20" s="52">
        <v>1.32</v>
      </c>
      <c r="K20" s="52">
        <v>58.94</v>
      </c>
      <c r="L20" s="52">
        <v>36.200000000000003</v>
      </c>
      <c r="M20" s="52">
        <v>38.08</v>
      </c>
      <c r="N20" s="52">
        <v>842.3</v>
      </c>
      <c r="O20" s="52">
        <v>0</v>
      </c>
      <c r="P20" s="52">
        <v>0.62</v>
      </c>
      <c r="Q20" s="52">
        <v>5.5</v>
      </c>
      <c r="R20" s="50"/>
      <c r="S20" s="50"/>
      <c r="T20" s="50"/>
      <c r="U20" s="50"/>
    </row>
    <row r="21" spans="1:21" customFormat="1">
      <c r="A21" s="51" t="s">
        <v>716</v>
      </c>
      <c r="B21" s="52">
        <v>11.41</v>
      </c>
      <c r="C21" s="52">
        <v>55.93</v>
      </c>
      <c r="D21" s="52">
        <v>37.22</v>
      </c>
      <c r="E21" s="52">
        <v>13.69</v>
      </c>
      <c r="F21" s="52">
        <v>29.81</v>
      </c>
      <c r="G21" s="52">
        <v>88.66</v>
      </c>
      <c r="H21" s="52">
        <v>22.92</v>
      </c>
      <c r="I21" s="52">
        <v>6.26</v>
      </c>
      <c r="J21" s="52">
        <v>1.17</v>
      </c>
      <c r="K21" s="52">
        <v>337.18</v>
      </c>
      <c r="L21" s="52">
        <v>38.03</v>
      </c>
      <c r="M21" s="52">
        <v>29.54</v>
      </c>
      <c r="N21" s="52">
        <v>825.3</v>
      </c>
      <c r="O21" s="52">
        <v>0</v>
      </c>
      <c r="P21" s="52">
        <v>0.6</v>
      </c>
      <c r="Q21" s="52">
        <v>5.38</v>
      </c>
      <c r="R21" s="50"/>
      <c r="S21" s="50"/>
      <c r="T21" s="50"/>
      <c r="U21" s="50"/>
    </row>
    <row r="22" spans="1:21" customFormat="1">
      <c r="A22" s="51" t="s">
        <v>717</v>
      </c>
      <c r="B22" s="52">
        <v>8.11</v>
      </c>
      <c r="C22" s="52">
        <v>58.26</v>
      </c>
      <c r="D22" s="52">
        <v>34.44</v>
      </c>
      <c r="E22" s="52">
        <v>17.66</v>
      </c>
      <c r="F22" s="52">
        <v>38.229999999999997</v>
      </c>
      <c r="G22" s="52">
        <v>75.94</v>
      </c>
      <c r="H22" s="52">
        <v>22.71</v>
      </c>
      <c r="I22" s="52">
        <v>6.04</v>
      </c>
      <c r="J22" s="52">
        <v>1.47</v>
      </c>
      <c r="K22" s="52">
        <v>54.25</v>
      </c>
      <c r="L22" s="52">
        <v>38.26</v>
      </c>
      <c r="M22" s="52">
        <v>27.9</v>
      </c>
      <c r="N22" s="52">
        <v>751.6</v>
      </c>
      <c r="O22" s="52">
        <v>0</v>
      </c>
      <c r="P22" s="52">
        <v>0.59</v>
      </c>
      <c r="Q22" s="52">
        <v>5.1100000000000003</v>
      </c>
      <c r="R22" s="50"/>
      <c r="S22" s="50"/>
      <c r="T22" s="50"/>
      <c r="U22" s="50"/>
    </row>
    <row r="23" spans="1:21" customFormat="1">
      <c r="A23" s="51" t="s">
        <v>718</v>
      </c>
      <c r="B23" s="52">
        <v>6.14</v>
      </c>
      <c r="C23" s="52">
        <v>55.68</v>
      </c>
      <c r="D23" s="52">
        <v>32.96</v>
      </c>
      <c r="E23" s="52">
        <v>29.06</v>
      </c>
      <c r="F23" s="52">
        <v>35.43</v>
      </c>
      <c r="G23" s="52">
        <v>75.94</v>
      </c>
      <c r="H23" s="52">
        <v>19.239999999999998</v>
      </c>
      <c r="I23" s="52">
        <v>6.22</v>
      </c>
      <c r="J23" s="52">
        <v>1.0900000000000001</v>
      </c>
      <c r="K23" s="52">
        <v>51.07</v>
      </c>
      <c r="L23" s="52">
        <v>38.9</v>
      </c>
      <c r="M23" s="52">
        <v>25.52</v>
      </c>
      <c r="N23" s="52">
        <v>684.3</v>
      </c>
      <c r="O23" s="52">
        <v>0</v>
      </c>
      <c r="P23" s="52">
        <v>0.55000000000000004</v>
      </c>
      <c r="Q23" s="52">
        <v>5.0199999999999996</v>
      </c>
      <c r="R23" s="50"/>
      <c r="S23" s="50"/>
      <c r="T23" s="50"/>
      <c r="U23" s="50"/>
    </row>
    <row r="24" spans="1:21" customFormat="1">
      <c r="A24" s="51" t="s">
        <v>719</v>
      </c>
      <c r="B24" s="52">
        <v>6.1</v>
      </c>
      <c r="C24" s="52">
        <v>47.84</v>
      </c>
      <c r="D24" s="52">
        <v>28.62</v>
      </c>
      <c r="E24" s="52">
        <v>14.55</v>
      </c>
      <c r="F24" s="52">
        <v>39.58</v>
      </c>
      <c r="G24" s="52">
        <v>65.180000000000007</v>
      </c>
      <c r="H24" s="52">
        <v>18.61</v>
      </c>
      <c r="I24" s="52">
        <v>5.5</v>
      </c>
      <c r="J24" s="52">
        <v>0.84</v>
      </c>
      <c r="K24" s="52">
        <v>47.04</v>
      </c>
      <c r="L24" s="52">
        <v>39.630000000000003</v>
      </c>
      <c r="M24" s="52">
        <v>23.53</v>
      </c>
      <c r="N24" s="52">
        <v>584.20000000000005</v>
      </c>
      <c r="O24" s="52">
        <v>0</v>
      </c>
      <c r="P24" s="52">
        <v>0.51</v>
      </c>
      <c r="Q24" s="52">
        <v>4.83</v>
      </c>
      <c r="R24" s="50"/>
      <c r="S24" s="50"/>
      <c r="T24" s="50"/>
      <c r="U24" s="50"/>
    </row>
    <row r="25" spans="1:21" customFormat="1">
      <c r="A25" s="51" t="s">
        <v>720</v>
      </c>
      <c r="B25" s="52">
        <v>6.09</v>
      </c>
      <c r="C25" s="52">
        <v>45.89</v>
      </c>
      <c r="D25" s="52">
        <v>27.46</v>
      </c>
      <c r="E25" s="52">
        <v>14.42</v>
      </c>
      <c r="F25" s="52">
        <v>43.8</v>
      </c>
      <c r="G25" s="52">
        <v>62.8</v>
      </c>
      <c r="H25" s="52">
        <v>19.25</v>
      </c>
      <c r="I25" s="52">
        <v>5.2</v>
      </c>
      <c r="J25" s="52">
        <v>0.49</v>
      </c>
      <c r="K25" s="52">
        <v>93.85</v>
      </c>
      <c r="L25" s="52">
        <v>39.81</v>
      </c>
      <c r="M25" s="52">
        <v>23.45</v>
      </c>
      <c r="N25" s="52">
        <v>395.1</v>
      </c>
      <c r="O25" s="52">
        <v>0</v>
      </c>
      <c r="P25" s="52">
        <v>0.52</v>
      </c>
      <c r="Q25" s="52">
        <v>4.78</v>
      </c>
      <c r="R25" s="50"/>
      <c r="S25" s="50"/>
      <c r="T25" s="50"/>
      <c r="U25" s="50"/>
    </row>
    <row r="26" spans="1:21" customFormat="1">
      <c r="A26" s="51" t="s">
        <v>721</v>
      </c>
      <c r="B26" s="52">
        <v>7.54</v>
      </c>
      <c r="C26" s="52">
        <v>51.15</v>
      </c>
      <c r="D26" s="52">
        <v>31.73</v>
      </c>
      <c r="E26" s="52">
        <v>15.48</v>
      </c>
      <c r="F26" s="52">
        <v>43.44</v>
      </c>
      <c r="G26" s="52">
        <v>64.89</v>
      </c>
      <c r="H26" s="52">
        <v>19.25</v>
      </c>
      <c r="I26" s="52">
        <v>4.75</v>
      </c>
      <c r="J26" s="52">
        <v>0.56999999999999995</v>
      </c>
      <c r="K26" s="52">
        <v>99.73</v>
      </c>
      <c r="L26" s="52">
        <v>38.659999999999997</v>
      </c>
      <c r="M26" s="52">
        <v>27.14</v>
      </c>
      <c r="N26" s="52">
        <v>89.4</v>
      </c>
      <c r="O26" s="52">
        <v>0</v>
      </c>
      <c r="P26" s="52">
        <v>0.56999999999999995</v>
      </c>
      <c r="Q26" s="52">
        <v>4.78</v>
      </c>
      <c r="R26" s="50"/>
      <c r="S26" s="50"/>
      <c r="T26" s="50"/>
      <c r="U26" s="50"/>
    </row>
    <row r="27" spans="1:21" customFormat="1">
      <c r="A27" s="51" t="s">
        <v>722</v>
      </c>
      <c r="B27" s="52">
        <v>12.2</v>
      </c>
      <c r="C27" s="52">
        <v>66</v>
      </c>
      <c r="D27" s="52">
        <v>43.23</v>
      </c>
      <c r="E27" s="52">
        <v>14.58</v>
      </c>
      <c r="F27" s="52">
        <v>50.06</v>
      </c>
      <c r="G27" s="52">
        <v>64.89</v>
      </c>
      <c r="H27" s="52">
        <v>18.16</v>
      </c>
      <c r="I27" s="52">
        <v>4.6100000000000003</v>
      </c>
      <c r="J27" s="52">
        <v>0.37</v>
      </c>
      <c r="K27" s="52">
        <v>164.11</v>
      </c>
      <c r="L27" s="52">
        <v>36</v>
      </c>
      <c r="M27" s="52">
        <v>32.18</v>
      </c>
      <c r="N27" s="52">
        <v>1.4</v>
      </c>
      <c r="O27" s="52">
        <v>0</v>
      </c>
      <c r="P27" s="52">
        <v>0.81</v>
      </c>
      <c r="Q27" s="52">
        <v>5.01</v>
      </c>
      <c r="R27" s="50"/>
      <c r="S27" s="50"/>
      <c r="T27" s="50"/>
      <c r="U27" s="50"/>
    </row>
    <row r="28" spans="1:21" customFormat="1">
      <c r="A28" s="51" t="s">
        <v>723</v>
      </c>
      <c r="B28" s="52">
        <v>17.64</v>
      </c>
      <c r="C28" s="52">
        <v>63.63</v>
      </c>
      <c r="D28" s="52">
        <v>45.99</v>
      </c>
      <c r="E28" s="52">
        <v>30.44</v>
      </c>
      <c r="F28" s="52">
        <v>21.23</v>
      </c>
      <c r="G28" s="52">
        <v>93.27</v>
      </c>
      <c r="H28" s="52">
        <v>22.47</v>
      </c>
      <c r="I28" s="52">
        <v>7.06</v>
      </c>
      <c r="J28" s="52">
        <v>0.45</v>
      </c>
      <c r="K28" s="52">
        <v>93.12</v>
      </c>
      <c r="L28" s="52">
        <v>34.64</v>
      </c>
      <c r="M28" s="52">
        <v>33.11</v>
      </c>
      <c r="N28" s="52">
        <v>0</v>
      </c>
      <c r="O28" s="52">
        <v>0</v>
      </c>
      <c r="P28" s="52">
        <v>0.83</v>
      </c>
      <c r="Q28" s="52">
        <v>5.36</v>
      </c>
      <c r="R28" s="50"/>
      <c r="S28" s="50"/>
      <c r="T28" s="50"/>
      <c r="U28" s="50"/>
    </row>
    <row r="29" spans="1:21" customFormat="1">
      <c r="A29" s="51" t="s">
        <v>724</v>
      </c>
      <c r="B29" s="52">
        <v>23.68</v>
      </c>
      <c r="C29" s="52">
        <v>61.8</v>
      </c>
      <c r="D29" s="52">
        <v>50.24</v>
      </c>
      <c r="E29" s="52">
        <v>15.08</v>
      </c>
      <c r="F29" s="52">
        <v>13.55</v>
      </c>
      <c r="G29" s="52">
        <v>108.42</v>
      </c>
      <c r="H29" s="52">
        <v>24.66</v>
      </c>
      <c r="I29" s="52">
        <v>7.02</v>
      </c>
      <c r="J29" s="52">
        <v>0.48</v>
      </c>
      <c r="K29" s="52">
        <v>151.05000000000001</v>
      </c>
      <c r="L29" s="52">
        <v>33.83</v>
      </c>
      <c r="M29" s="52">
        <v>38.619999999999997</v>
      </c>
      <c r="N29" s="52">
        <v>0</v>
      </c>
      <c r="O29" s="52">
        <v>0</v>
      </c>
      <c r="P29" s="52">
        <v>0.79</v>
      </c>
      <c r="Q29" s="52">
        <v>5.54</v>
      </c>
      <c r="R29" s="50"/>
      <c r="S29" s="50"/>
      <c r="T29" s="50"/>
      <c r="U29" s="50"/>
    </row>
    <row r="30" spans="1:21" customFormat="1">
      <c r="A30" s="51" t="s">
        <v>725</v>
      </c>
      <c r="B30" s="52">
        <v>25.16</v>
      </c>
      <c r="C30" s="52">
        <v>64.790000000000006</v>
      </c>
      <c r="D30" s="52">
        <v>52.99</v>
      </c>
      <c r="E30" s="52">
        <v>20.309999999999999</v>
      </c>
      <c r="F30" s="52">
        <v>12.31</v>
      </c>
      <c r="G30" s="52">
        <v>118.98</v>
      </c>
      <c r="H30" s="52">
        <v>25.72</v>
      </c>
      <c r="I30" s="52">
        <v>6.66</v>
      </c>
      <c r="J30" s="52">
        <v>0.84</v>
      </c>
      <c r="K30" s="52">
        <v>281.07</v>
      </c>
      <c r="L30" s="52">
        <v>33.15</v>
      </c>
      <c r="M30" s="52">
        <v>37.01</v>
      </c>
      <c r="N30" s="52">
        <v>0</v>
      </c>
      <c r="O30" s="52">
        <v>0</v>
      </c>
      <c r="P30" s="52">
        <v>0.77</v>
      </c>
      <c r="Q30" s="52">
        <v>5.87</v>
      </c>
      <c r="R30" s="50"/>
      <c r="S30" s="50"/>
      <c r="T30" s="50"/>
      <c r="U30" s="50"/>
    </row>
    <row r="31" spans="1:21" customFormat="1">
      <c r="A31" s="51" t="s">
        <v>726</v>
      </c>
      <c r="B31" s="52">
        <v>22.82</v>
      </c>
      <c r="C31" s="52">
        <v>64</v>
      </c>
      <c r="D31" s="52">
        <v>50.7</v>
      </c>
      <c r="E31" s="52">
        <v>11.5</v>
      </c>
      <c r="F31" s="52">
        <v>13.61</v>
      </c>
      <c r="G31" s="52">
        <v>118.98</v>
      </c>
      <c r="H31" s="52">
        <v>25.72</v>
      </c>
      <c r="I31" s="52">
        <v>6.5</v>
      </c>
      <c r="J31" s="52">
        <v>0.69</v>
      </c>
      <c r="K31" s="52">
        <v>325.33999999999997</v>
      </c>
      <c r="L31" s="52">
        <v>32.04</v>
      </c>
      <c r="M31" s="52">
        <v>38.42</v>
      </c>
      <c r="N31" s="52">
        <v>0</v>
      </c>
      <c r="O31" s="52">
        <v>0</v>
      </c>
      <c r="P31" s="52">
        <v>0.7</v>
      </c>
      <c r="Q31" s="52">
        <v>5.82</v>
      </c>
      <c r="R31" s="50"/>
      <c r="S31" s="50"/>
      <c r="T31" s="50"/>
      <c r="U31" s="50"/>
    </row>
    <row r="32" spans="1:21" customFormat="1">
      <c r="A32" s="51" t="s">
        <v>727</v>
      </c>
      <c r="B32" s="52">
        <v>25.28</v>
      </c>
      <c r="C32" s="52">
        <v>64.36</v>
      </c>
      <c r="D32" s="52">
        <v>52.85</v>
      </c>
      <c r="E32" s="52">
        <v>12.45</v>
      </c>
      <c r="F32" s="52">
        <v>11.93</v>
      </c>
      <c r="G32" s="52">
        <v>106.66</v>
      </c>
      <c r="H32" s="52">
        <v>23.84</v>
      </c>
      <c r="I32" s="52">
        <v>5.93</v>
      </c>
      <c r="J32" s="52">
        <v>1.21</v>
      </c>
      <c r="K32" s="52">
        <v>59.76</v>
      </c>
      <c r="L32" s="52">
        <v>31.5</v>
      </c>
      <c r="M32" s="52">
        <v>40.299999999999997</v>
      </c>
      <c r="N32" s="52">
        <v>0</v>
      </c>
      <c r="O32" s="52">
        <v>0</v>
      </c>
      <c r="P32" s="52">
        <v>0.71</v>
      </c>
      <c r="Q32" s="52">
        <v>5.89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6.09</v>
      </c>
      <c r="C34" s="41">
        <f t="shared" si="0"/>
        <v>45.89</v>
      </c>
      <c r="D34" s="41">
        <f t="shared" si="0"/>
        <v>27.46</v>
      </c>
      <c r="E34" s="41">
        <f t="shared" si="0"/>
        <v>4.18</v>
      </c>
      <c r="F34" s="41">
        <f t="shared" si="0"/>
        <v>3.65</v>
      </c>
      <c r="G34" s="41">
        <f t="shared" si="0"/>
        <v>13.86</v>
      </c>
      <c r="H34" s="41">
        <f t="shared" si="0"/>
        <v>5.64</v>
      </c>
      <c r="I34" s="41">
        <f t="shared" si="0"/>
        <v>4.54</v>
      </c>
      <c r="J34" s="41">
        <f t="shared" si="0"/>
        <v>0.16</v>
      </c>
      <c r="K34" s="41">
        <f t="shared" si="0"/>
        <v>47.04</v>
      </c>
      <c r="L34" s="41">
        <f t="shared" si="0"/>
        <v>24.19</v>
      </c>
      <c r="M34" s="41">
        <f t="shared" si="0"/>
        <v>23.45</v>
      </c>
      <c r="N34" s="41">
        <f t="shared" si="0"/>
        <v>0</v>
      </c>
      <c r="O34" s="41">
        <f t="shared" si="0"/>
        <v>0</v>
      </c>
      <c r="P34" s="41">
        <f t="shared" si="0"/>
        <v>0.48</v>
      </c>
      <c r="Q34" s="41">
        <f t="shared" si="0"/>
        <v>4.78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42.45</v>
      </c>
      <c r="C35" s="33">
        <f t="shared" si="1"/>
        <v>67.16</v>
      </c>
      <c r="D35" s="33">
        <f t="shared" si="1"/>
        <v>67.41</v>
      </c>
      <c r="E35" s="33">
        <f t="shared" si="1"/>
        <v>30.44</v>
      </c>
      <c r="F35" s="33">
        <f t="shared" si="1"/>
        <v>50.06</v>
      </c>
      <c r="G35" s="33">
        <f t="shared" si="1"/>
        <v>118.98</v>
      </c>
      <c r="H35" s="33">
        <f t="shared" si="1"/>
        <v>25.72</v>
      </c>
      <c r="I35" s="33">
        <f t="shared" si="1"/>
        <v>7.06</v>
      </c>
      <c r="J35" s="33">
        <f t="shared" si="1"/>
        <v>1.47</v>
      </c>
      <c r="K35" s="33">
        <f t="shared" si="1"/>
        <v>337.18</v>
      </c>
      <c r="L35" s="33">
        <f t="shared" si="1"/>
        <v>39.81</v>
      </c>
      <c r="M35" s="33">
        <f t="shared" si="1"/>
        <v>67.2</v>
      </c>
      <c r="N35" s="33">
        <f t="shared" si="1"/>
        <v>842.3</v>
      </c>
      <c r="O35" s="33">
        <f t="shared" si="1"/>
        <v>0</v>
      </c>
      <c r="P35" s="33">
        <f t="shared" si="1"/>
        <v>0.83</v>
      </c>
      <c r="Q35" s="33">
        <f t="shared" si="1"/>
        <v>6.63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22.781666666666666</v>
      </c>
      <c r="C36" s="41">
        <f t="shared" si="2"/>
        <v>61.34</v>
      </c>
      <c r="D36" s="41">
        <f t="shared" si="2"/>
        <v>48.967916666666667</v>
      </c>
      <c r="E36" s="41">
        <f t="shared" si="2"/>
        <v>13.342916666666667</v>
      </c>
      <c r="F36" s="41">
        <f t="shared" si="2"/>
        <v>19.508750000000003</v>
      </c>
      <c r="G36" s="41">
        <f t="shared" si="2"/>
        <v>75.000833333333347</v>
      </c>
      <c r="H36" s="41">
        <f t="shared" si="2"/>
        <v>17.654166666666665</v>
      </c>
      <c r="I36" s="41">
        <f t="shared" si="2"/>
        <v>5.7345833333333331</v>
      </c>
      <c r="J36" s="41">
        <f t="shared" si="2"/>
        <v>0.72375</v>
      </c>
      <c r="K36" s="41">
        <f t="shared" si="2"/>
        <v>132.47666666666669</v>
      </c>
      <c r="L36" s="41">
        <f t="shared" si="2"/>
        <v>32.307083333333331</v>
      </c>
      <c r="M36" s="41">
        <f t="shared" si="2"/>
        <v>43.40291666666667</v>
      </c>
      <c r="N36" s="41">
        <f t="shared" si="2"/>
        <v>206.2208333333333</v>
      </c>
      <c r="O36" s="41">
        <f t="shared" si="2"/>
        <v>0</v>
      </c>
      <c r="P36" s="41">
        <f t="shared" si="2"/>
        <v>0.60083333333333344</v>
      </c>
      <c r="Q36" s="41">
        <f t="shared" si="2"/>
        <v>5.6879166666666663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11.805000291573819</v>
      </c>
      <c r="C37" s="41">
        <f t="shared" ref="C37:Q37" si="3">STDEV(C9:C32)</f>
        <v>6.1410245569200423</v>
      </c>
      <c r="D37" s="41">
        <f t="shared" si="3"/>
        <v>12.107296750367055</v>
      </c>
      <c r="E37" s="41">
        <f t="shared" si="3"/>
        <v>6.6751971012532394</v>
      </c>
      <c r="F37" s="41">
        <f t="shared" si="3"/>
        <v>15.995206703884756</v>
      </c>
      <c r="G37" s="41">
        <f t="shared" si="3"/>
        <v>31.224603999531112</v>
      </c>
      <c r="H37" s="41">
        <f t="shared" si="3"/>
        <v>6.0565364737588263</v>
      </c>
      <c r="I37" s="41">
        <f t="shared" si="3"/>
        <v>0.81308312408182604</v>
      </c>
      <c r="J37" s="41">
        <f t="shared" si="3"/>
        <v>0.38545075250762678</v>
      </c>
      <c r="K37" s="41">
        <f t="shared" si="3"/>
        <v>90.064991831583399</v>
      </c>
      <c r="L37" s="41">
        <f t="shared" si="3"/>
        <v>5.4616652016910319</v>
      </c>
      <c r="M37" s="41">
        <f t="shared" si="3"/>
        <v>15.166658363192495</v>
      </c>
      <c r="N37" s="41">
        <f t="shared" si="3"/>
        <v>297.9954755699236</v>
      </c>
      <c r="O37" s="41">
        <f t="shared" si="3"/>
        <v>0</v>
      </c>
      <c r="P37" s="41">
        <f t="shared" si="3"/>
        <v>0.11170289267464828</v>
      </c>
      <c r="Q37" s="41">
        <f t="shared" si="3"/>
        <v>0.57316041586874922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selection activeCell="A9" sqref="A9:Q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29/05/2023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1" t="s">
        <v>728</v>
      </c>
      <c r="B9" s="52">
        <v>25.39</v>
      </c>
      <c r="C9" s="52">
        <v>65.63</v>
      </c>
      <c r="D9" s="52">
        <v>53.61</v>
      </c>
      <c r="E9" s="52">
        <v>20.56</v>
      </c>
      <c r="F9" s="52">
        <v>8.73</v>
      </c>
      <c r="G9" s="52">
        <v>81.34</v>
      </c>
      <c r="H9" s="52">
        <v>23.06</v>
      </c>
      <c r="I9" s="52">
        <v>5.93</v>
      </c>
      <c r="J9" s="52">
        <v>0.6</v>
      </c>
      <c r="K9" s="52">
        <v>162.66999999999999</v>
      </c>
      <c r="L9" s="52">
        <v>30.22</v>
      </c>
      <c r="M9" s="52">
        <v>46.7</v>
      </c>
      <c r="N9" s="52">
        <v>0</v>
      </c>
      <c r="O9" s="52">
        <v>0</v>
      </c>
      <c r="P9" s="52">
        <v>0.7</v>
      </c>
      <c r="Q9" s="52">
        <v>6.03</v>
      </c>
      <c r="R9" s="50"/>
      <c r="S9" s="50"/>
      <c r="T9" s="50"/>
      <c r="U9" s="50"/>
    </row>
    <row r="10" spans="1:21">
      <c r="A10" s="51" t="s">
        <v>729</v>
      </c>
      <c r="B10" s="52">
        <v>27.47</v>
      </c>
      <c r="C10" s="52">
        <v>62.51</v>
      </c>
      <c r="D10" s="52">
        <v>52.87</v>
      </c>
      <c r="E10" s="52">
        <v>11.3</v>
      </c>
      <c r="F10" s="52">
        <v>9.39</v>
      </c>
      <c r="G10" s="52">
        <v>68.12</v>
      </c>
      <c r="H10" s="52">
        <v>22.63</v>
      </c>
      <c r="I10" s="52">
        <v>5.76</v>
      </c>
      <c r="J10" s="52">
        <v>0.72</v>
      </c>
      <c r="K10" s="52">
        <v>57.11</v>
      </c>
      <c r="L10" s="52">
        <v>29.1</v>
      </c>
      <c r="M10" s="52">
        <v>46.9</v>
      </c>
      <c r="N10" s="52">
        <v>0</v>
      </c>
      <c r="O10" s="52">
        <v>0</v>
      </c>
      <c r="P10" s="52">
        <v>0.67</v>
      </c>
      <c r="Q10" s="52">
        <v>6.13</v>
      </c>
      <c r="R10" s="50"/>
      <c r="S10" s="50"/>
      <c r="T10" s="50"/>
      <c r="U10" s="50"/>
    </row>
    <row r="11" spans="1:21">
      <c r="A11" s="51" t="s">
        <v>730</v>
      </c>
      <c r="B11" s="52">
        <v>28.44</v>
      </c>
      <c r="C11" s="52">
        <v>64.28</v>
      </c>
      <c r="D11" s="52">
        <v>54.71</v>
      </c>
      <c r="E11" s="52">
        <v>9.5399999999999991</v>
      </c>
      <c r="F11" s="52">
        <v>9.25</v>
      </c>
      <c r="G11" s="52">
        <v>66.12</v>
      </c>
      <c r="H11" s="52">
        <v>21.43</v>
      </c>
      <c r="I11" s="52">
        <v>5.68</v>
      </c>
      <c r="J11" s="52">
        <v>0.97</v>
      </c>
      <c r="K11" s="52">
        <v>72.260000000000005</v>
      </c>
      <c r="L11" s="52">
        <v>28.92</v>
      </c>
      <c r="M11" s="52">
        <v>47.1</v>
      </c>
      <c r="N11" s="52">
        <v>0</v>
      </c>
      <c r="O11" s="52">
        <v>0</v>
      </c>
      <c r="P11" s="52">
        <v>0.66</v>
      </c>
      <c r="Q11" s="52">
        <v>6.12</v>
      </c>
      <c r="R11" s="50"/>
      <c r="S11" s="50"/>
      <c r="T11" s="50"/>
      <c r="U11" s="50"/>
    </row>
    <row r="12" spans="1:21">
      <c r="A12" s="51" t="s">
        <v>731</v>
      </c>
      <c r="B12" s="52">
        <v>28.66</v>
      </c>
      <c r="C12" s="52">
        <v>66.680000000000007</v>
      </c>
      <c r="D12" s="52">
        <v>55.86</v>
      </c>
      <c r="E12" s="52">
        <v>8.5</v>
      </c>
      <c r="F12" s="52">
        <v>7.38</v>
      </c>
      <c r="G12" s="52">
        <v>53.97</v>
      </c>
      <c r="H12" s="52">
        <v>18.2</v>
      </c>
      <c r="I12" s="52">
        <v>5.65</v>
      </c>
      <c r="J12" s="52">
        <v>1.07</v>
      </c>
      <c r="K12" s="52">
        <v>62.51</v>
      </c>
      <c r="L12" s="52">
        <v>28.54</v>
      </c>
      <c r="M12" s="52">
        <v>48.67</v>
      </c>
      <c r="N12" s="52">
        <v>0</v>
      </c>
      <c r="O12" s="52">
        <v>0</v>
      </c>
      <c r="P12" s="52">
        <v>0.63</v>
      </c>
      <c r="Q12" s="52">
        <v>6.08</v>
      </c>
      <c r="R12" s="50"/>
      <c r="S12" s="50"/>
      <c r="T12" s="50"/>
      <c r="U12" s="50"/>
    </row>
    <row r="13" spans="1:21">
      <c r="A13" s="51" t="s">
        <v>732</v>
      </c>
      <c r="B13" s="52">
        <v>29.35</v>
      </c>
      <c r="C13" s="52">
        <v>65.05</v>
      </c>
      <c r="D13" s="52">
        <v>56.48</v>
      </c>
      <c r="E13" s="52">
        <v>9.2799999999999994</v>
      </c>
      <c r="F13" s="52">
        <v>6.81</v>
      </c>
      <c r="G13" s="52">
        <v>43.68</v>
      </c>
      <c r="H13" s="52">
        <v>15.16</v>
      </c>
      <c r="I13" s="52">
        <v>5.58</v>
      </c>
      <c r="J13" s="52">
        <v>1.1100000000000001</v>
      </c>
      <c r="K13" s="52">
        <v>62.5</v>
      </c>
      <c r="L13" s="52">
        <v>28.19</v>
      </c>
      <c r="M13" s="52">
        <v>50.05</v>
      </c>
      <c r="N13" s="52">
        <v>0</v>
      </c>
      <c r="O13" s="52">
        <v>0</v>
      </c>
      <c r="P13" s="52">
        <v>0.61</v>
      </c>
      <c r="Q13" s="52">
        <v>6.07</v>
      </c>
      <c r="R13" s="50"/>
      <c r="S13" s="50"/>
      <c r="T13" s="50"/>
      <c r="U13" s="50"/>
    </row>
    <row r="14" spans="1:21">
      <c r="A14" s="51" t="s">
        <v>733</v>
      </c>
      <c r="B14" s="52">
        <v>30.28</v>
      </c>
      <c r="C14" s="52">
        <v>65.37</v>
      </c>
      <c r="D14" s="52">
        <v>57.39</v>
      </c>
      <c r="E14" s="52">
        <v>10.39</v>
      </c>
      <c r="F14" s="52">
        <v>6.03</v>
      </c>
      <c r="G14" s="52">
        <v>40.630000000000003</v>
      </c>
      <c r="H14" s="52">
        <v>15.15</v>
      </c>
      <c r="I14" s="52">
        <v>5.49</v>
      </c>
      <c r="J14" s="52">
        <v>0.37</v>
      </c>
      <c r="K14" s="52">
        <v>319.61</v>
      </c>
      <c r="L14" s="52">
        <v>28.13</v>
      </c>
      <c r="M14" s="52">
        <v>50.48</v>
      </c>
      <c r="N14" s="52">
        <v>30.6</v>
      </c>
      <c r="O14" s="52">
        <v>0</v>
      </c>
      <c r="P14" s="52">
        <v>0.59</v>
      </c>
      <c r="Q14" s="52">
        <v>6.1</v>
      </c>
      <c r="R14" s="50"/>
      <c r="S14" s="50"/>
      <c r="T14" s="50"/>
      <c r="U14" s="50"/>
    </row>
    <row r="15" spans="1:21">
      <c r="A15" s="51" t="s">
        <v>734</v>
      </c>
      <c r="B15" s="52">
        <v>30.15</v>
      </c>
      <c r="C15" s="52">
        <v>64.55</v>
      </c>
      <c r="D15" s="52">
        <v>56.86</v>
      </c>
      <c r="E15" s="52">
        <v>16.34</v>
      </c>
      <c r="F15" s="52">
        <v>6.95</v>
      </c>
      <c r="G15" s="52">
        <v>46.62</v>
      </c>
      <c r="H15" s="52">
        <v>15.15</v>
      </c>
      <c r="I15" s="52">
        <v>5.59</v>
      </c>
      <c r="J15" s="52">
        <v>0.45</v>
      </c>
      <c r="K15" s="52">
        <v>296.58</v>
      </c>
      <c r="L15" s="52">
        <v>29.19</v>
      </c>
      <c r="M15" s="52">
        <v>50.12</v>
      </c>
      <c r="N15" s="52">
        <v>60.9</v>
      </c>
      <c r="O15" s="52">
        <v>0</v>
      </c>
      <c r="P15" s="52">
        <v>0.66</v>
      </c>
      <c r="Q15" s="52">
        <v>6.19</v>
      </c>
      <c r="R15" s="50"/>
      <c r="S15" s="50"/>
      <c r="T15" s="50"/>
      <c r="U15" s="50"/>
    </row>
    <row r="16" spans="1:21">
      <c r="A16" s="51" t="s">
        <v>735</v>
      </c>
      <c r="B16" s="52">
        <v>32.85</v>
      </c>
      <c r="C16" s="52">
        <v>64.41</v>
      </c>
      <c r="D16" s="52">
        <v>58.95</v>
      </c>
      <c r="E16" s="52">
        <v>53.07</v>
      </c>
      <c r="F16" s="52">
        <v>6.74</v>
      </c>
      <c r="G16" s="52">
        <v>66.75</v>
      </c>
      <c r="H16" s="52">
        <v>23.34</v>
      </c>
      <c r="I16" s="52">
        <v>6.55</v>
      </c>
      <c r="J16" s="52">
        <v>0.75</v>
      </c>
      <c r="K16" s="52">
        <v>59.83</v>
      </c>
      <c r="L16" s="52">
        <v>31.38</v>
      </c>
      <c r="M16" s="52">
        <v>47.78</v>
      </c>
      <c r="N16" s="52">
        <v>157.69999999999999</v>
      </c>
      <c r="O16" s="52">
        <v>0</v>
      </c>
      <c r="P16" s="52">
        <v>0.75</v>
      </c>
      <c r="Q16" s="52">
        <v>6.29</v>
      </c>
      <c r="R16" s="50"/>
      <c r="S16" s="50"/>
      <c r="T16" s="50"/>
      <c r="U16" s="50"/>
    </row>
    <row r="17" spans="1:21">
      <c r="A17" s="51" t="s">
        <v>736</v>
      </c>
      <c r="B17" s="52">
        <v>33.049999999999997</v>
      </c>
      <c r="C17" s="52">
        <v>65.19</v>
      </c>
      <c r="D17" s="52">
        <v>59.46</v>
      </c>
      <c r="E17" s="52">
        <v>36.5</v>
      </c>
      <c r="F17" s="52">
        <v>11.49</v>
      </c>
      <c r="G17" s="52">
        <v>92.37</v>
      </c>
      <c r="H17" s="52">
        <v>28.14</v>
      </c>
      <c r="I17" s="52">
        <v>6.63</v>
      </c>
      <c r="J17" s="52">
        <v>0.77</v>
      </c>
      <c r="K17" s="52">
        <v>299.20999999999998</v>
      </c>
      <c r="L17" s="52">
        <v>31.87</v>
      </c>
      <c r="M17" s="52">
        <v>44.25</v>
      </c>
      <c r="N17" s="52">
        <v>211.9</v>
      </c>
      <c r="O17" s="52">
        <v>0</v>
      </c>
      <c r="P17" s="52">
        <v>0.76</v>
      </c>
      <c r="Q17" s="52">
        <v>6.35</v>
      </c>
      <c r="R17" s="50"/>
      <c r="S17" s="50"/>
      <c r="T17" s="50"/>
      <c r="U17" s="50"/>
    </row>
    <row r="18" spans="1:21">
      <c r="A18" s="51" t="s">
        <v>737</v>
      </c>
      <c r="B18" s="52">
        <v>31.17</v>
      </c>
      <c r="C18" s="52">
        <v>68.099999999999994</v>
      </c>
      <c r="D18" s="52">
        <v>58.53</v>
      </c>
      <c r="E18" s="52">
        <v>60.56</v>
      </c>
      <c r="F18" s="52">
        <v>13.82</v>
      </c>
      <c r="G18" s="52">
        <v>98.01</v>
      </c>
      <c r="H18" s="52">
        <v>28.14</v>
      </c>
      <c r="I18" s="52">
        <v>6.91</v>
      </c>
      <c r="J18" s="52">
        <v>0.9</v>
      </c>
      <c r="K18" s="52">
        <v>324.49</v>
      </c>
      <c r="L18" s="52">
        <v>32.119999999999997</v>
      </c>
      <c r="M18" s="52">
        <v>41.95</v>
      </c>
      <c r="N18" s="52">
        <v>181.5</v>
      </c>
      <c r="O18" s="52">
        <v>0</v>
      </c>
      <c r="P18" s="52">
        <v>0.8</v>
      </c>
      <c r="Q18" s="52">
        <v>6.38</v>
      </c>
      <c r="R18" s="50"/>
      <c r="S18" s="50"/>
      <c r="T18" s="50"/>
      <c r="U18" s="50"/>
    </row>
    <row r="19" spans="1:21">
      <c r="A19" s="51" t="s">
        <v>738</v>
      </c>
      <c r="B19" s="52">
        <v>24.63</v>
      </c>
      <c r="C19" s="52">
        <v>63.39</v>
      </c>
      <c r="D19" s="52">
        <v>51.83</v>
      </c>
      <c r="E19" s="52">
        <v>61.39</v>
      </c>
      <c r="F19" s="52">
        <v>15.68</v>
      </c>
      <c r="G19" s="52">
        <v>111.8</v>
      </c>
      <c r="H19" s="52">
        <v>34.1</v>
      </c>
      <c r="I19" s="52">
        <v>6.97</v>
      </c>
      <c r="J19" s="52">
        <v>0.21</v>
      </c>
      <c r="K19" s="52">
        <v>246.02</v>
      </c>
      <c r="L19" s="52">
        <v>33.03</v>
      </c>
      <c r="M19" s="52">
        <v>42.92</v>
      </c>
      <c r="N19" s="52">
        <v>215.9</v>
      </c>
      <c r="O19" s="52">
        <v>0</v>
      </c>
      <c r="P19" s="52">
        <v>0.8</v>
      </c>
      <c r="Q19" s="52">
        <v>6.11</v>
      </c>
      <c r="R19" s="50"/>
      <c r="S19" s="50"/>
      <c r="T19" s="50"/>
      <c r="U19" s="50"/>
    </row>
    <row r="20" spans="1:21">
      <c r="A20" s="51" t="s">
        <v>739</v>
      </c>
      <c r="B20" s="52">
        <v>25.57</v>
      </c>
      <c r="C20" s="52">
        <v>67.42</v>
      </c>
      <c r="D20" s="52">
        <v>54.69</v>
      </c>
      <c r="E20" s="52">
        <v>59.95</v>
      </c>
      <c r="F20" s="52">
        <v>23.78</v>
      </c>
      <c r="G20" s="52">
        <v>117.6</v>
      </c>
      <c r="H20" s="52">
        <v>34.1</v>
      </c>
      <c r="I20" s="52">
        <v>7.14</v>
      </c>
      <c r="J20" s="52">
        <v>0.54</v>
      </c>
      <c r="K20" s="52">
        <v>344.59</v>
      </c>
      <c r="L20" s="52">
        <v>33.64</v>
      </c>
      <c r="M20" s="52">
        <v>39.979999999999997</v>
      </c>
      <c r="N20" s="52">
        <v>443.3</v>
      </c>
      <c r="O20" s="52">
        <v>0</v>
      </c>
      <c r="P20" s="52">
        <v>0.86</v>
      </c>
      <c r="Q20" s="52">
        <v>6.1</v>
      </c>
      <c r="R20" s="50"/>
      <c r="S20" s="50"/>
      <c r="T20" s="50"/>
      <c r="U20" s="50"/>
    </row>
    <row r="21" spans="1:21">
      <c r="A21" s="51" t="s">
        <v>740</v>
      </c>
      <c r="B21" s="52">
        <v>19.46</v>
      </c>
      <c r="C21" s="52">
        <v>59.72</v>
      </c>
      <c r="D21" s="52">
        <v>45.25</v>
      </c>
      <c r="E21" s="52">
        <v>33.17</v>
      </c>
      <c r="F21" s="52">
        <v>39.049999999999997</v>
      </c>
      <c r="G21" s="52">
        <v>119.61</v>
      </c>
      <c r="H21" s="52">
        <v>38.380000000000003</v>
      </c>
      <c r="I21" s="52">
        <v>7.45</v>
      </c>
      <c r="J21" s="52">
        <v>1.04</v>
      </c>
      <c r="K21" s="52">
        <v>332.2</v>
      </c>
      <c r="L21" s="52">
        <v>36.950000000000003</v>
      </c>
      <c r="M21" s="52">
        <v>36.79</v>
      </c>
      <c r="N21" s="52">
        <v>793</v>
      </c>
      <c r="O21" s="52">
        <v>0</v>
      </c>
      <c r="P21" s="52">
        <v>0.85</v>
      </c>
      <c r="Q21" s="52">
        <v>5.87</v>
      </c>
      <c r="R21" s="50"/>
      <c r="S21" s="50"/>
      <c r="T21" s="50"/>
      <c r="U21" s="50"/>
    </row>
    <row r="22" spans="1:21">
      <c r="A22" s="51" t="s">
        <v>741</v>
      </c>
      <c r="B22" s="52">
        <v>12.03</v>
      </c>
      <c r="C22" s="52">
        <v>53.89</v>
      </c>
      <c r="D22" s="52">
        <v>36.76</v>
      </c>
      <c r="E22" s="52">
        <v>20.54</v>
      </c>
      <c r="F22" s="52">
        <v>37.840000000000003</v>
      </c>
      <c r="G22" s="52">
        <v>119.61</v>
      </c>
      <c r="H22" s="52">
        <v>38.380000000000003</v>
      </c>
      <c r="I22" s="52">
        <v>7.19</v>
      </c>
      <c r="J22" s="52">
        <v>0.77</v>
      </c>
      <c r="K22" s="52">
        <v>323.24</v>
      </c>
      <c r="L22" s="52">
        <v>38.72</v>
      </c>
      <c r="M22" s="52">
        <v>25.63</v>
      </c>
      <c r="N22" s="52">
        <v>784</v>
      </c>
      <c r="O22" s="52">
        <v>0</v>
      </c>
      <c r="P22" s="52">
        <v>0.76</v>
      </c>
      <c r="Q22" s="52">
        <v>5.32</v>
      </c>
      <c r="R22" s="50"/>
      <c r="S22" s="50"/>
      <c r="T22" s="50"/>
      <c r="U22" s="50"/>
    </row>
    <row r="23" spans="1:21">
      <c r="A23" s="51" t="s">
        <v>742</v>
      </c>
      <c r="B23" s="52">
        <v>7.94</v>
      </c>
      <c r="C23" s="52">
        <v>56.32</v>
      </c>
      <c r="D23" s="52">
        <v>34.54</v>
      </c>
      <c r="E23" s="52">
        <v>17.62</v>
      </c>
      <c r="F23" s="52">
        <v>38.25</v>
      </c>
      <c r="G23" s="52">
        <v>101.96</v>
      </c>
      <c r="H23" s="52">
        <v>32.979999999999997</v>
      </c>
      <c r="I23" s="52">
        <v>6.72</v>
      </c>
      <c r="J23" s="52">
        <v>0.69</v>
      </c>
      <c r="K23" s="52">
        <v>301.10000000000002</v>
      </c>
      <c r="L23" s="52">
        <v>39.159999999999997</v>
      </c>
      <c r="M23" s="52">
        <v>24.23</v>
      </c>
      <c r="N23" s="52">
        <v>666.5</v>
      </c>
      <c r="O23" s="52">
        <v>0</v>
      </c>
      <c r="P23" s="52">
        <v>0.72</v>
      </c>
      <c r="Q23" s="52">
        <v>5.13</v>
      </c>
      <c r="R23" s="50"/>
      <c r="S23" s="50"/>
      <c r="T23" s="50"/>
      <c r="U23" s="50"/>
    </row>
    <row r="24" spans="1:21">
      <c r="A24" s="51" t="s">
        <v>743</v>
      </c>
      <c r="B24" s="52">
        <v>5.81</v>
      </c>
      <c r="C24" s="52">
        <v>51.23</v>
      </c>
      <c r="D24" s="52">
        <v>30.23</v>
      </c>
      <c r="E24" s="52">
        <v>13.82</v>
      </c>
      <c r="F24" s="52">
        <v>40.4</v>
      </c>
      <c r="G24" s="52">
        <v>80.81</v>
      </c>
      <c r="H24" s="52">
        <v>26.34</v>
      </c>
      <c r="I24" s="52">
        <v>6.45</v>
      </c>
      <c r="J24" s="52">
        <v>0.54</v>
      </c>
      <c r="K24" s="52">
        <v>304.11</v>
      </c>
      <c r="L24" s="52">
        <v>39.979999999999997</v>
      </c>
      <c r="M24" s="52">
        <v>22.24</v>
      </c>
      <c r="N24" s="52">
        <v>572.5</v>
      </c>
      <c r="O24" s="52">
        <v>0</v>
      </c>
      <c r="P24" s="52">
        <v>0.65</v>
      </c>
      <c r="Q24" s="52">
        <v>4.92</v>
      </c>
      <c r="R24" s="50"/>
      <c r="S24" s="50"/>
      <c r="T24" s="50"/>
      <c r="U24" s="50"/>
    </row>
    <row r="25" spans="1:21">
      <c r="A25" s="51" t="s">
        <v>744</v>
      </c>
      <c r="B25" s="52">
        <v>4.82</v>
      </c>
      <c r="C25" s="52">
        <v>45.59</v>
      </c>
      <c r="D25" s="52">
        <v>26.64</v>
      </c>
      <c r="E25" s="52">
        <v>12.56</v>
      </c>
      <c r="F25" s="52">
        <v>54.64</v>
      </c>
      <c r="G25" s="52">
        <v>72.44</v>
      </c>
      <c r="H25" s="52">
        <v>23.75</v>
      </c>
      <c r="I25" s="52">
        <v>5.98</v>
      </c>
      <c r="J25" s="52">
        <v>0.32</v>
      </c>
      <c r="K25" s="52">
        <v>261.86</v>
      </c>
      <c r="L25" s="52">
        <v>40.31</v>
      </c>
      <c r="M25" s="52">
        <v>22.82</v>
      </c>
      <c r="N25" s="52">
        <v>403</v>
      </c>
      <c r="O25" s="52">
        <v>0</v>
      </c>
      <c r="P25" s="52">
        <v>0.56999999999999995</v>
      </c>
      <c r="Q25" s="52">
        <v>4.75</v>
      </c>
      <c r="R25" s="50"/>
      <c r="S25" s="50"/>
      <c r="T25" s="50"/>
      <c r="U25" s="50"/>
    </row>
    <row r="26" spans="1:21">
      <c r="A26" s="51" t="s">
        <v>745</v>
      </c>
      <c r="B26" s="52">
        <v>4.79</v>
      </c>
      <c r="C26" s="52">
        <v>48.3</v>
      </c>
      <c r="D26" s="52">
        <v>28.03</v>
      </c>
      <c r="E26" s="52">
        <v>17.97</v>
      </c>
      <c r="F26" s="52">
        <v>75.89</v>
      </c>
      <c r="G26" s="52">
        <v>64.489999999999995</v>
      </c>
      <c r="H26" s="52">
        <v>23.75</v>
      </c>
      <c r="I26" s="52">
        <v>4.97</v>
      </c>
      <c r="J26" s="52">
        <v>0.26</v>
      </c>
      <c r="K26" s="52">
        <v>184.08</v>
      </c>
      <c r="L26" s="52">
        <v>38.700000000000003</v>
      </c>
      <c r="M26" s="52">
        <v>28.33</v>
      </c>
      <c r="N26" s="52">
        <v>114.2</v>
      </c>
      <c r="O26" s="52">
        <v>0</v>
      </c>
      <c r="P26" s="52">
        <v>0.59</v>
      </c>
      <c r="Q26" s="52">
        <v>4.63</v>
      </c>
      <c r="R26" s="50"/>
      <c r="S26" s="50"/>
      <c r="T26" s="50"/>
      <c r="U26" s="50"/>
    </row>
    <row r="27" spans="1:21">
      <c r="A27" s="51" t="s">
        <v>746</v>
      </c>
      <c r="B27" s="52">
        <v>3.74</v>
      </c>
      <c r="C27" s="52">
        <v>43</v>
      </c>
      <c r="D27" s="52">
        <v>24.42</v>
      </c>
      <c r="E27" s="52">
        <v>14.01</v>
      </c>
      <c r="F27" s="52">
        <v>72.91</v>
      </c>
      <c r="G27" s="52">
        <v>57.75</v>
      </c>
      <c r="H27" s="52">
        <v>23.42</v>
      </c>
      <c r="I27" s="52">
        <v>4.51</v>
      </c>
      <c r="J27" s="52">
        <v>0.3</v>
      </c>
      <c r="K27" s="52">
        <v>166.04</v>
      </c>
      <c r="L27" s="52">
        <v>36.26</v>
      </c>
      <c r="M27" s="52">
        <v>35.94</v>
      </c>
      <c r="N27" s="52">
        <v>8.9</v>
      </c>
      <c r="O27" s="52">
        <v>0</v>
      </c>
      <c r="P27" s="52">
        <v>0.62</v>
      </c>
      <c r="Q27" s="52">
        <v>4.63</v>
      </c>
      <c r="R27" s="50"/>
      <c r="S27" s="50"/>
      <c r="T27" s="50"/>
      <c r="U27" s="50"/>
    </row>
    <row r="28" spans="1:21">
      <c r="A28" s="51" t="s">
        <v>747</v>
      </c>
      <c r="B28" s="52">
        <v>4.82</v>
      </c>
      <c r="C28" s="52">
        <v>47.48</v>
      </c>
      <c r="D28" s="52">
        <v>27.62</v>
      </c>
      <c r="E28" s="52">
        <v>14.39</v>
      </c>
      <c r="F28" s="52">
        <v>45.68</v>
      </c>
      <c r="G28" s="52">
        <v>63.15</v>
      </c>
      <c r="H28" s="52">
        <v>22.33</v>
      </c>
      <c r="I28" s="52">
        <v>6.46</v>
      </c>
      <c r="J28" s="52">
        <v>0.19</v>
      </c>
      <c r="K28" s="52">
        <v>162.72</v>
      </c>
      <c r="L28" s="52">
        <v>33.56</v>
      </c>
      <c r="M28" s="52">
        <v>39.67</v>
      </c>
      <c r="N28" s="52">
        <v>0</v>
      </c>
      <c r="O28" s="52">
        <v>0</v>
      </c>
      <c r="P28" s="52">
        <v>0.71</v>
      </c>
      <c r="Q28" s="52">
        <v>4.66</v>
      </c>
      <c r="R28" s="50"/>
      <c r="S28" s="50"/>
      <c r="T28" s="50"/>
      <c r="U28" s="50"/>
    </row>
    <row r="29" spans="1:21">
      <c r="A29" s="51" t="s">
        <v>748</v>
      </c>
      <c r="B29" s="52">
        <v>6.07</v>
      </c>
      <c r="C29" s="52">
        <v>54.02</v>
      </c>
      <c r="D29" s="52">
        <v>32.049999999999997</v>
      </c>
      <c r="E29" s="52">
        <v>13.69</v>
      </c>
      <c r="F29" s="52">
        <v>44.17</v>
      </c>
      <c r="G29" s="52">
        <v>63.83</v>
      </c>
      <c r="H29" s="52">
        <v>22.33</v>
      </c>
      <c r="I29" s="52">
        <v>6.84</v>
      </c>
      <c r="J29" s="52">
        <v>0.24</v>
      </c>
      <c r="K29" s="52">
        <v>190.86</v>
      </c>
      <c r="L29" s="52">
        <v>32.53</v>
      </c>
      <c r="M29" s="52">
        <v>43.45</v>
      </c>
      <c r="N29" s="52">
        <v>0</v>
      </c>
      <c r="O29" s="52">
        <v>0</v>
      </c>
      <c r="P29" s="52">
        <v>0.77</v>
      </c>
      <c r="Q29" s="52">
        <v>4.87</v>
      </c>
      <c r="R29" s="50"/>
      <c r="S29" s="50"/>
      <c r="T29" s="50"/>
      <c r="U29" s="50"/>
    </row>
    <row r="30" spans="1:21">
      <c r="A30" s="51" t="s">
        <v>749</v>
      </c>
      <c r="B30" s="52">
        <v>7.86</v>
      </c>
      <c r="C30" s="52">
        <v>53.55</v>
      </c>
      <c r="D30" s="52">
        <v>32.93</v>
      </c>
      <c r="E30" s="52">
        <v>11.91</v>
      </c>
      <c r="F30" s="52">
        <v>23.2</v>
      </c>
      <c r="G30" s="52">
        <v>69.08</v>
      </c>
      <c r="H30" s="52">
        <v>25.3</v>
      </c>
      <c r="I30" s="52">
        <v>7.23</v>
      </c>
      <c r="J30" s="52">
        <v>0.22</v>
      </c>
      <c r="K30" s="52">
        <v>202.09</v>
      </c>
      <c r="L30" s="52">
        <v>31.65</v>
      </c>
      <c r="M30" s="52">
        <v>45.72</v>
      </c>
      <c r="N30" s="52">
        <v>0</v>
      </c>
      <c r="O30" s="52">
        <v>0</v>
      </c>
      <c r="P30" s="52">
        <v>0.81</v>
      </c>
      <c r="Q30" s="52">
        <v>4.93</v>
      </c>
      <c r="R30" s="50"/>
      <c r="S30" s="50"/>
      <c r="T30" s="50"/>
      <c r="U30" s="50"/>
    </row>
    <row r="31" spans="1:21">
      <c r="A31" s="51" t="s">
        <v>750</v>
      </c>
      <c r="B31" s="52">
        <v>9.76</v>
      </c>
      <c r="C31" s="52">
        <v>56.38</v>
      </c>
      <c r="D31" s="52">
        <v>36.24</v>
      </c>
      <c r="E31" s="52">
        <v>13.02</v>
      </c>
      <c r="F31" s="52">
        <v>19.239999999999998</v>
      </c>
      <c r="G31" s="52">
        <v>69.08</v>
      </c>
      <c r="H31" s="52">
        <v>25.36</v>
      </c>
      <c r="I31" s="52">
        <v>7.75</v>
      </c>
      <c r="J31" s="52">
        <v>0.44</v>
      </c>
      <c r="K31" s="52">
        <v>249.02</v>
      </c>
      <c r="L31" s="52">
        <v>31.24</v>
      </c>
      <c r="M31" s="52">
        <v>47.97</v>
      </c>
      <c r="N31" s="52">
        <v>0</v>
      </c>
      <c r="O31" s="52">
        <v>0</v>
      </c>
      <c r="P31" s="52">
        <v>0.93</v>
      </c>
      <c r="Q31" s="52">
        <v>5.0199999999999996</v>
      </c>
      <c r="R31" s="50"/>
      <c r="S31" s="50"/>
      <c r="T31" s="50"/>
      <c r="U31" s="50"/>
    </row>
    <row r="32" spans="1:21">
      <c r="A32" s="51" t="s">
        <v>751</v>
      </c>
      <c r="B32" s="52">
        <v>10.73</v>
      </c>
      <c r="C32" s="52">
        <v>57.39</v>
      </c>
      <c r="D32" s="52">
        <v>37.549999999999997</v>
      </c>
      <c r="E32" s="52">
        <v>13.73</v>
      </c>
      <c r="F32" s="52">
        <v>33.26</v>
      </c>
      <c r="G32" s="52">
        <v>79.19</v>
      </c>
      <c r="H32" s="52">
        <v>26.66</v>
      </c>
      <c r="I32" s="52">
        <v>9.11</v>
      </c>
      <c r="J32" s="52">
        <v>0.2</v>
      </c>
      <c r="K32" s="52">
        <v>263.63</v>
      </c>
      <c r="L32" s="52">
        <v>31.79</v>
      </c>
      <c r="M32" s="52">
        <v>47.01</v>
      </c>
      <c r="N32" s="52">
        <v>0</v>
      </c>
      <c r="O32" s="52">
        <v>0</v>
      </c>
      <c r="P32" s="52">
        <v>0.95</v>
      </c>
      <c r="Q32" s="52">
        <v>5.2</v>
      </c>
      <c r="R32" s="50"/>
      <c r="S32" s="50"/>
      <c r="T32" s="50"/>
      <c r="U32" s="50"/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3.74</v>
      </c>
      <c r="C34" s="41">
        <f t="shared" si="0"/>
        <v>43</v>
      </c>
      <c r="D34" s="41">
        <f t="shared" si="0"/>
        <v>24.42</v>
      </c>
      <c r="E34" s="41">
        <f t="shared" si="0"/>
        <v>8.5</v>
      </c>
      <c r="F34" s="41">
        <f t="shared" si="0"/>
        <v>6.03</v>
      </c>
      <c r="G34" s="41">
        <f t="shared" si="0"/>
        <v>40.630000000000003</v>
      </c>
      <c r="H34" s="41">
        <f t="shared" si="0"/>
        <v>15.15</v>
      </c>
      <c r="I34" s="41">
        <f t="shared" si="0"/>
        <v>4.51</v>
      </c>
      <c r="J34" s="41">
        <f t="shared" si="0"/>
        <v>0.19</v>
      </c>
      <c r="K34" s="41">
        <f t="shared" si="0"/>
        <v>57.11</v>
      </c>
      <c r="L34" s="41">
        <f t="shared" si="0"/>
        <v>28.13</v>
      </c>
      <c r="M34" s="41">
        <f t="shared" si="0"/>
        <v>22.24</v>
      </c>
      <c r="N34" s="41">
        <f t="shared" si="0"/>
        <v>0</v>
      </c>
      <c r="O34" s="41">
        <f t="shared" si="0"/>
        <v>0</v>
      </c>
      <c r="P34" s="41">
        <f t="shared" si="0"/>
        <v>0.56999999999999995</v>
      </c>
      <c r="Q34" s="41">
        <f t="shared" si="0"/>
        <v>4.63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33.049999999999997</v>
      </c>
      <c r="C35" s="33">
        <f t="shared" si="1"/>
        <v>68.099999999999994</v>
      </c>
      <c r="D35" s="33">
        <f t="shared" si="1"/>
        <v>59.46</v>
      </c>
      <c r="E35" s="33">
        <f t="shared" si="1"/>
        <v>61.39</v>
      </c>
      <c r="F35" s="33">
        <f t="shared" si="1"/>
        <v>75.89</v>
      </c>
      <c r="G35" s="33">
        <f t="shared" si="1"/>
        <v>119.61</v>
      </c>
      <c r="H35" s="33">
        <f t="shared" si="1"/>
        <v>38.380000000000003</v>
      </c>
      <c r="I35" s="33">
        <f t="shared" si="1"/>
        <v>9.11</v>
      </c>
      <c r="J35" s="33">
        <f t="shared" si="1"/>
        <v>1.1100000000000001</v>
      </c>
      <c r="K35" s="33">
        <f t="shared" si="1"/>
        <v>344.59</v>
      </c>
      <c r="L35" s="33">
        <f t="shared" si="1"/>
        <v>40.31</v>
      </c>
      <c r="M35" s="33">
        <f t="shared" si="1"/>
        <v>50.48</v>
      </c>
      <c r="N35" s="33">
        <f t="shared" si="1"/>
        <v>793</v>
      </c>
      <c r="O35" s="33">
        <f t="shared" si="1"/>
        <v>0</v>
      </c>
      <c r="P35" s="33">
        <f t="shared" si="1"/>
        <v>0.95</v>
      </c>
      <c r="Q35" s="33">
        <f t="shared" si="1"/>
        <v>6.38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18.535</v>
      </c>
      <c r="C36" s="41">
        <f t="shared" si="2"/>
        <v>58.727083333333347</v>
      </c>
      <c r="D36" s="41">
        <f t="shared" si="2"/>
        <v>44.312499999999993</v>
      </c>
      <c r="E36" s="41">
        <f t="shared" si="2"/>
        <v>23.075416666666669</v>
      </c>
      <c r="F36" s="41">
        <f t="shared" si="2"/>
        <v>27.107499999999998</v>
      </c>
      <c r="G36" s="41">
        <f t="shared" si="2"/>
        <v>77.000416666666666</v>
      </c>
      <c r="H36" s="41">
        <f t="shared" si="2"/>
        <v>25.31583333333333</v>
      </c>
      <c r="I36" s="41">
        <f t="shared" si="2"/>
        <v>6.4391666666666652</v>
      </c>
      <c r="J36" s="41">
        <f t="shared" si="2"/>
        <v>0.56958333333333333</v>
      </c>
      <c r="K36" s="41">
        <f t="shared" si="2"/>
        <v>218.6804166666667</v>
      </c>
      <c r="L36" s="41">
        <f t="shared" si="2"/>
        <v>33.132499999999986</v>
      </c>
      <c r="M36" s="41">
        <f t="shared" si="2"/>
        <v>40.69583333333334</v>
      </c>
      <c r="N36" s="41">
        <f t="shared" si="2"/>
        <v>193.49583333333331</v>
      </c>
      <c r="O36" s="41">
        <f t="shared" si="2"/>
        <v>0</v>
      </c>
      <c r="P36" s="41">
        <f t="shared" si="2"/>
        <v>0.72583333333333322</v>
      </c>
      <c r="Q36" s="41">
        <f t="shared" si="2"/>
        <v>5.5783333333333331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11.205153317539457</v>
      </c>
      <c r="C37" s="41">
        <f t="shared" ref="C37:Q37" si="3">STDEV(C9:C32)</f>
        <v>7.6074005611049573</v>
      </c>
      <c r="D37" s="41">
        <f t="shared" si="3"/>
        <v>12.652606622661844</v>
      </c>
      <c r="E37" s="41">
        <f t="shared" si="3"/>
        <v>17.655125374597421</v>
      </c>
      <c r="F37" s="41">
        <f t="shared" si="3"/>
        <v>21.001678866638056</v>
      </c>
      <c r="G37" s="41">
        <f t="shared" si="3"/>
        <v>23.826024222551723</v>
      </c>
      <c r="H37" s="41">
        <f t="shared" si="3"/>
        <v>6.5651119508761173</v>
      </c>
      <c r="I37" s="41">
        <f t="shared" si="3"/>
        <v>0.99382404473029384</v>
      </c>
      <c r="J37" s="41">
        <f t="shared" si="3"/>
        <v>0.30420929818374925</v>
      </c>
      <c r="K37" s="41">
        <f t="shared" si="3"/>
        <v>99.148020282332368</v>
      </c>
      <c r="L37" s="41">
        <f t="shared" si="3"/>
        <v>3.9780356196627071</v>
      </c>
      <c r="M37" s="41">
        <f t="shared" si="3"/>
        <v>9.3174758275565797</v>
      </c>
      <c r="N37" s="41">
        <f t="shared" si="3"/>
        <v>267.26668570218754</v>
      </c>
      <c r="O37" s="41">
        <f t="shared" si="3"/>
        <v>0</v>
      </c>
      <c r="P37" s="41">
        <f t="shared" si="3"/>
        <v>0.10668591311870178</v>
      </c>
      <c r="Q37" s="41">
        <f t="shared" si="3"/>
        <v>0.6504892250330222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752</v>
      </c>
      <c r="B9" s="52">
        <v>11.03</v>
      </c>
      <c r="C9" s="52">
        <v>55.37</v>
      </c>
      <c r="D9" s="52">
        <v>36.729999999999997</v>
      </c>
      <c r="E9" s="52">
        <v>12.24</v>
      </c>
      <c r="F9" s="52">
        <v>31.15</v>
      </c>
      <c r="G9" s="52">
        <v>79.19</v>
      </c>
      <c r="H9" s="52">
        <v>27.53</v>
      </c>
      <c r="I9" s="52">
        <v>8.25</v>
      </c>
      <c r="J9" s="52">
        <v>0.16</v>
      </c>
      <c r="K9" s="52">
        <v>214.8</v>
      </c>
      <c r="L9" s="52">
        <v>30.87</v>
      </c>
      <c r="M9" s="52">
        <v>48.94</v>
      </c>
      <c r="N9" s="52">
        <v>0</v>
      </c>
      <c r="O9" s="52">
        <v>0</v>
      </c>
      <c r="P9" s="52">
        <v>0.84</v>
      </c>
      <c r="Q9" s="52">
        <v>5.19</v>
      </c>
      <c r="R9" s="50"/>
      <c r="S9" s="50"/>
      <c r="T9" s="50"/>
      <c r="U9" s="50"/>
    </row>
    <row r="10" spans="1:21" customFormat="1">
      <c r="A10" s="51" t="s">
        <v>753</v>
      </c>
      <c r="B10" s="52">
        <v>11.96</v>
      </c>
      <c r="C10" s="52">
        <v>56.35</v>
      </c>
      <c r="D10" s="52">
        <v>37.78</v>
      </c>
      <c r="E10" s="52">
        <v>9.85</v>
      </c>
      <c r="F10" s="52">
        <v>26.75</v>
      </c>
      <c r="G10" s="52">
        <v>76.849999999999994</v>
      </c>
      <c r="H10" s="52">
        <v>28.67</v>
      </c>
      <c r="I10" s="52">
        <v>7.6</v>
      </c>
      <c r="J10" s="52">
        <v>0.22</v>
      </c>
      <c r="K10" s="52">
        <v>238.94</v>
      </c>
      <c r="L10" s="52">
        <v>30.02</v>
      </c>
      <c r="M10" s="52">
        <v>50.87</v>
      </c>
      <c r="N10" s="52">
        <v>0</v>
      </c>
      <c r="O10" s="52">
        <v>0</v>
      </c>
      <c r="P10" s="52">
        <v>0.84</v>
      </c>
      <c r="Q10" s="52">
        <v>5.18</v>
      </c>
      <c r="R10" s="50"/>
      <c r="S10" s="50"/>
      <c r="T10" s="50"/>
      <c r="U10" s="50"/>
    </row>
    <row r="11" spans="1:21" customFormat="1">
      <c r="A11" s="51" t="s">
        <v>754</v>
      </c>
      <c r="B11" s="52">
        <v>13.06</v>
      </c>
      <c r="C11" s="52">
        <v>56.19</v>
      </c>
      <c r="D11" s="52">
        <v>38.78</v>
      </c>
      <c r="E11" s="52">
        <v>7.38</v>
      </c>
      <c r="F11" s="52">
        <v>16.12</v>
      </c>
      <c r="G11" s="52">
        <v>64.39</v>
      </c>
      <c r="H11" s="52">
        <v>28.67</v>
      </c>
      <c r="I11" s="52">
        <v>7.26</v>
      </c>
      <c r="J11" s="52">
        <v>0.16</v>
      </c>
      <c r="K11" s="52">
        <v>226.56</v>
      </c>
      <c r="L11" s="52">
        <v>29.74</v>
      </c>
      <c r="M11" s="52">
        <v>54.99</v>
      </c>
      <c r="N11" s="52">
        <v>0</v>
      </c>
      <c r="O11" s="52">
        <v>0</v>
      </c>
      <c r="P11" s="52">
        <v>0.8</v>
      </c>
      <c r="Q11" s="52">
        <v>5.28</v>
      </c>
      <c r="R11" s="50"/>
      <c r="S11" s="50"/>
      <c r="T11" s="50"/>
      <c r="U11" s="50"/>
    </row>
    <row r="12" spans="1:21" customFormat="1">
      <c r="A12" s="51" t="s">
        <v>755</v>
      </c>
      <c r="B12" s="52">
        <v>15.11</v>
      </c>
      <c r="C12" s="52">
        <v>56.45</v>
      </c>
      <c r="D12" s="52">
        <v>39.909999999999997</v>
      </c>
      <c r="E12" s="52">
        <v>7.61</v>
      </c>
      <c r="F12" s="52">
        <v>13.65</v>
      </c>
      <c r="G12" s="52">
        <v>53.15</v>
      </c>
      <c r="H12" s="52">
        <v>26.67</v>
      </c>
      <c r="I12" s="52">
        <v>7.11</v>
      </c>
      <c r="J12" s="52">
        <v>0.12</v>
      </c>
      <c r="K12" s="52">
        <v>229.86</v>
      </c>
      <c r="L12" s="52">
        <v>29.18</v>
      </c>
      <c r="M12" s="52">
        <v>55.89</v>
      </c>
      <c r="N12" s="52">
        <v>0</v>
      </c>
      <c r="O12" s="52">
        <v>0</v>
      </c>
      <c r="P12" s="52">
        <v>0.77</v>
      </c>
      <c r="Q12" s="52">
        <v>5.31</v>
      </c>
      <c r="R12" s="50"/>
      <c r="S12" s="50"/>
      <c r="T12" s="50"/>
      <c r="U12" s="50"/>
    </row>
    <row r="13" spans="1:21" customFormat="1">
      <c r="A13" s="51" t="s">
        <v>756</v>
      </c>
      <c r="B13" s="52">
        <v>17.37</v>
      </c>
      <c r="C13" s="52">
        <v>58.78</v>
      </c>
      <c r="D13" s="52">
        <v>43.59</v>
      </c>
      <c r="E13" s="52">
        <v>7.09</v>
      </c>
      <c r="F13" s="52">
        <v>9.4700000000000006</v>
      </c>
      <c r="G13" s="52">
        <v>47.01</v>
      </c>
      <c r="H13" s="52">
        <v>23.06</v>
      </c>
      <c r="I13" s="52">
        <v>6.84</v>
      </c>
      <c r="J13" s="52">
        <v>0.21</v>
      </c>
      <c r="K13" s="52">
        <v>249.28</v>
      </c>
      <c r="L13" s="52">
        <v>28.48</v>
      </c>
      <c r="M13" s="52">
        <v>58.83</v>
      </c>
      <c r="N13" s="52">
        <v>0</v>
      </c>
      <c r="O13" s="52">
        <v>0</v>
      </c>
      <c r="P13" s="52">
        <v>0.77</v>
      </c>
      <c r="Q13" s="52">
        <v>5.37</v>
      </c>
      <c r="R13" s="50"/>
      <c r="S13" s="50"/>
      <c r="T13" s="50"/>
      <c r="U13" s="50"/>
    </row>
    <row r="14" spans="1:21" customFormat="1">
      <c r="A14" s="51" t="s">
        <v>757</v>
      </c>
      <c r="B14" s="52">
        <v>18.52</v>
      </c>
      <c r="C14" s="52">
        <v>58.61</v>
      </c>
      <c r="D14" s="52">
        <v>44.43</v>
      </c>
      <c r="E14" s="52">
        <v>6.94</v>
      </c>
      <c r="F14" s="52">
        <v>9.77</v>
      </c>
      <c r="G14" s="52">
        <v>46.64</v>
      </c>
      <c r="H14" s="52">
        <v>21.92</v>
      </c>
      <c r="I14" s="52">
        <v>6.61</v>
      </c>
      <c r="J14" s="52">
        <v>0.23</v>
      </c>
      <c r="K14" s="52">
        <v>245.63</v>
      </c>
      <c r="L14" s="52">
        <v>28.73</v>
      </c>
      <c r="M14" s="52">
        <v>59.18</v>
      </c>
      <c r="N14" s="52">
        <v>25.3</v>
      </c>
      <c r="O14" s="52">
        <v>0</v>
      </c>
      <c r="P14" s="52">
        <v>0.74</v>
      </c>
      <c r="Q14" s="52">
        <v>5.45</v>
      </c>
      <c r="R14" s="50"/>
      <c r="S14" s="50"/>
      <c r="T14" s="50"/>
      <c r="U14" s="50"/>
    </row>
    <row r="15" spans="1:21" customFormat="1">
      <c r="A15" s="51" t="s">
        <v>758</v>
      </c>
      <c r="B15" s="52">
        <v>19.89</v>
      </c>
      <c r="C15" s="52">
        <v>59.6</v>
      </c>
      <c r="D15" s="52">
        <v>46.04</v>
      </c>
      <c r="E15" s="52">
        <v>8.89</v>
      </c>
      <c r="F15" s="52">
        <v>9.0399999999999991</v>
      </c>
      <c r="G15" s="52">
        <v>42.45</v>
      </c>
      <c r="H15" s="52">
        <v>19.600000000000001</v>
      </c>
      <c r="I15" s="52">
        <v>6.98</v>
      </c>
      <c r="J15" s="52">
        <v>1.0900000000000001</v>
      </c>
      <c r="K15" s="52">
        <v>258.83999999999997</v>
      </c>
      <c r="L15" s="52">
        <v>31.26</v>
      </c>
      <c r="M15" s="52">
        <v>56.71</v>
      </c>
      <c r="N15" s="52">
        <v>73.8</v>
      </c>
      <c r="O15" s="52">
        <v>0</v>
      </c>
      <c r="P15" s="52">
        <v>0.78</v>
      </c>
      <c r="Q15" s="52">
        <v>5.53</v>
      </c>
      <c r="R15" s="50"/>
      <c r="S15" s="50"/>
      <c r="T15" s="50"/>
      <c r="U15" s="50"/>
    </row>
    <row r="16" spans="1:21" customFormat="1">
      <c r="A16" s="51" t="s">
        <v>759</v>
      </c>
      <c r="B16" s="52">
        <v>18.059999999999999</v>
      </c>
      <c r="C16" s="52">
        <v>57.45</v>
      </c>
      <c r="D16" s="52">
        <v>43.46</v>
      </c>
      <c r="E16" s="52">
        <v>6.85</v>
      </c>
      <c r="F16" s="52">
        <v>12.12</v>
      </c>
      <c r="G16" s="52">
        <v>45.5</v>
      </c>
      <c r="H16" s="52">
        <v>19.27</v>
      </c>
      <c r="I16" s="52">
        <v>6.92</v>
      </c>
      <c r="J16" s="52">
        <v>1.06</v>
      </c>
      <c r="K16" s="52">
        <v>259.52</v>
      </c>
      <c r="L16" s="52">
        <v>33.159999999999997</v>
      </c>
      <c r="M16" s="52">
        <v>46.91</v>
      </c>
      <c r="N16" s="52">
        <v>109.6</v>
      </c>
      <c r="O16" s="52">
        <v>0</v>
      </c>
      <c r="P16" s="52">
        <v>0.75</v>
      </c>
      <c r="Q16" s="52">
        <v>5.44</v>
      </c>
      <c r="R16" s="50"/>
      <c r="S16" s="50"/>
      <c r="T16" s="50"/>
      <c r="U16" s="50"/>
    </row>
    <row r="17" spans="1:21" customFormat="1">
      <c r="A17" s="51" t="s">
        <v>760</v>
      </c>
      <c r="B17" s="52">
        <v>14.84</v>
      </c>
      <c r="C17" s="52">
        <v>52.77</v>
      </c>
      <c r="D17" s="52">
        <v>38.380000000000003</v>
      </c>
      <c r="E17" s="52">
        <v>9.15</v>
      </c>
      <c r="F17" s="52">
        <v>15.7</v>
      </c>
      <c r="G17" s="52">
        <v>45.5</v>
      </c>
      <c r="H17" s="52">
        <v>19.27</v>
      </c>
      <c r="I17" s="52">
        <v>6.48</v>
      </c>
      <c r="J17" s="52">
        <v>0.96</v>
      </c>
      <c r="K17" s="52">
        <v>265.42</v>
      </c>
      <c r="L17" s="52">
        <v>35.18</v>
      </c>
      <c r="M17" s="52">
        <v>43.38</v>
      </c>
      <c r="N17" s="52">
        <v>144.4</v>
      </c>
      <c r="O17" s="52">
        <v>0</v>
      </c>
      <c r="P17" s="52">
        <v>0.71</v>
      </c>
      <c r="Q17" s="52">
        <v>5.25</v>
      </c>
      <c r="R17" s="50"/>
      <c r="S17" s="50"/>
      <c r="T17" s="50"/>
      <c r="U17" s="50"/>
    </row>
    <row r="18" spans="1:21" customFormat="1">
      <c r="A18" s="51" t="s">
        <v>761</v>
      </c>
      <c r="B18" s="52">
        <v>11.37</v>
      </c>
      <c r="C18" s="52">
        <v>53.24</v>
      </c>
      <c r="D18" s="52">
        <v>34.97</v>
      </c>
      <c r="E18" s="52">
        <v>12.32</v>
      </c>
      <c r="F18" s="52">
        <v>21.35</v>
      </c>
      <c r="G18" s="52">
        <v>45.63</v>
      </c>
      <c r="H18" s="52">
        <v>19.27</v>
      </c>
      <c r="I18" s="52">
        <v>6.13</v>
      </c>
      <c r="J18" s="52">
        <v>0.96</v>
      </c>
      <c r="K18" s="52">
        <v>289.87</v>
      </c>
      <c r="L18" s="52">
        <v>36.71</v>
      </c>
      <c r="M18" s="52">
        <v>37.380000000000003</v>
      </c>
      <c r="N18" s="52">
        <v>177.7</v>
      </c>
      <c r="O18" s="52">
        <v>0</v>
      </c>
      <c r="P18" s="52">
        <v>0.77</v>
      </c>
      <c r="Q18" s="52">
        <v>5.0199999999999996</v>
      </c>
      <c r="R18" s="50"/>
      <c r="S18" s="50"/>
      <c r="T18" s="50"/>
      <c r="U18" s="50"/>
    </row>
    <row r="19" spans="1:21" customFormat="1">
      <c r="A19" s="51" t="s">
        <v>762</v>
      </c>
      <c r="B19" s="52">
        <v>8.44</v>
      </c>
      <c r="C19" s="52">
        <v>51.56</v>
      </c>
      <c r="D19" s="52">
        <v>32.659999999999997</v>
      </c>
      <c r="E19" s="52">
        <v>14.74</v>
      </c>
      <c r="F19" s="52">
        <v>29.78</v>
      </c>
      <c r="G19" s="52">
        <v>50.75</v>
      </c>
      <c r="H19" s="52">
        <v>22.39</v>
      </c>
      <c r="I19" s="52">
        <v>6.8</v>
      </c>
      <c r="J19" s="52">
        <v>1.07</v>
      </c>
      <c r="K19" s="52">
        <v>294.75</v>
      </c>
      <c r="L19" s="52">
        <v>38.049999999999997</v>
      </c>
      <c r="M19" s="52">
        <v>33.619999999999997</v>
      </c>
      <c r="N19" s="52">
        <v>213.4</v>
      </c>
      <c r="O19" s="52">
        <v>0</v>
      </c>
      <c r="P19" s="52">
        <v>0.79</v>
      </c>
      <c r="Q19" s="52">
        <v>4.79</v>
      </c>
      <c r="R19" s="50"/>
      <c r="S19" s="50"/>
      <c r="T19" s="50"/>
      <c r="U19" s="50"/>
    </row>
    <row r="20" spans="1:21" customFormat="1">
      <c r="A20" s="51" t="s">
        <v>763</v>
      </c>
      <c r="B20" s="52">
        <v>4</v>
      </c>
      <c r="C20" s="52">
        <v>44.84</v>
      </c>
      <c r="D20" s="52">
        <v>25.59</v>
      </c>
      <c r="E20" s="52">
        <v>17.84</v>
      </c>
      <c r="F20" s="52">
        <v>43.05</v>
      </c>
      <c r="G20" s="52">
        <v>56.15</v>
      </c>
      <c r="H20" s="52">
        <v>22.39</v>
      </c>
      <c r="I20" s="52">
        <v>7.08</v>
      </c>
      <c r="J20" s="52">
        <v>1.2</v>
      </c>
      <c r="K20" s="52">
        <v>305.08</v>
      </c>
      <c r="L20" s="52">
        <v>39.229999999999997</v>
      </c>
      <c r="M20" s="52">
        <v>30.84</v>
      </c>
      <c r="N20" s="52">
        <v>746.9</v>
      </c>
      <c r="O20" s="52">
        <v>0</v>
      </c>
      <c r="P20" s="52">
        <v>0.83</v>
      </c>
      <c r="Q20" s="52">
        <v>4.5999999999999996</v>
      </c>
      <c r="R20" s="50"/>
      <c r="S20" s="50"/>
      <c r="T20" s="50"/>
      <c r="U20" s="50"/>
    </row>
    <row r="21" spans="1:21" customFormat="1">
      <c r="A21" s="51" t="s">
        <v>764</v>
      </c>
      <c r="B21" s="52">
        <v>2.46</v>
      </c>
      <c r="C21" s="52">
        <v>41.97</v>
      </c>
      <c r="D21" s="52">
        <v>22.67</v>
      </c>
      <c r="E21" s="52">
        <v>12.65</v>
      </c>
      <c r="F21" s="52">
        <v>35.4</v>
      </c>
      <c r="G21" s="52">
        <v>57.39</v>
      </c>
      <c r="H21" s="52">
        <v>22.94</v>
      </c>
      <c r="I21" s="52">
        <v>6.61</v>
      </c>
      <c r="J21" s="52">
        <v>1.06</v>
      </c>
      <c r="K21" s="52">
        <v>296.37</v>
      </c>
      <c r="L21" s="52">
        <v>40.69</v>
      </c>
      <c r="M21" s="52">
        <v>24.97</v>
      </c>
      <c r="N21" s="52">
        <v>796.8</v>
      </c>
      <c r="O21" s="52">
        <v>0</v>
      </c>
      <c r="P21" s="52">
        <v>0.74</v>
      </c>
      <c r="Q21" s="52">
        <v>4.41</v>
      </c>
      <c r="R21" s="50"/>
      <c r="S21" s="50"/>
      <c r="T21" s="50"/>
      <c r="U21" s="50"/>
    </row>
    <row r="22" spans="1:21" customFormat="1">
      <c r="A22" s="51" t="s">
        <v>765</v>
      </c>
      <c r="B22" s="52">
        <v>2.77</v>
      </c>
      <c r="C22" s="52">
        <v>41.23</v>
      </c>
      <c r="D22" s="52">
        <v>22.72</v>
      </c>
      <c r="E22" s="52">
        <v>11.68</v>
      </c>
      <c r="F22" s="52">
        <v>38.270000000000003</v>
      </c>
      <c r="G22" s="52">
        <v>58.67</v>
      </c>
      <c r="H22" s="52">
        <v>22.94</v>
      </c>
      <c r="I22" s="52">
        <v>6.31</v>
      </c>
      <c r="J22" s="52">
        <v>1.05</v>
      </c>
      <c r="K22" s="52">
        <v>285.58999999999997</v>
      </c>
      <c r="L22" s="52">
        <v>40.9</v>
      </c>
      <c r="M22" s="52">
        <v>23.37</v>
      </c>
      <c r="N22" s="52">
        <v>748</v>
      </c>
      <c r="O22" s="52">
        <v>0</v>
      </c>
      <c r="P22" s="52">
        <v>0.68</v>
      </c>
      <c r="Q22" s="52">
        <v>4.4800000000000004</v>
      </c>
      <c r="R22" s="50"/>
      <c r="S22" s="50"/>
      <c r="T22" s="50"/>
      <c r="U22" s="50"/>
    </row>
    <row r="23" spans="1:21" customFormat="1">
      <c r="A23" s="51" t="s">
        <v>766</v>
      </c>
      <c r="B23" s="52">
        <v>3.52</v>
      </c>
      <c r="C23" s="52">
        <v>46.03</v>
      </c>
      <c r="D23" s="52">
        <v>25.2</v>
      </c>
      <c r="E23" s="52">
        <v>8.85</v>
      </c>
      <c r="F23" s="52">
        <v>25.47</v>
      </c>
      <c r="G23" s="52">
        <v>58.67</v>
      </c>
      <c r="H23" s="52">
        <v>20.89</v>
      </c>
      <c r="I23" s="52">
        <v>6.45</v>
      </c>
      <c r="J23" s="52">
        <v>1.1200000000000001</v>
      </c>
      <c r="K23" s="52">
        <v>305.45999999999998</v>
      </c>
      <c r="L23" s="52">
        <v>41.34</v>
      </c>
      <c r="M23" s="52">
        <v>20.98</v>
      </c>
      <c r="N23" s="52">
        <v>686.5</v>
      </c>
      <c r="O23" s="52">
        <v>0</v>
      </c>
      <c r="P23" s="52">
        <v>0.66</v>
      </c>
      <c r="Q23" s="52">
        <v>4.71</v>
      </c>
      <c r="R23" s="50"/>
      <c r="S23" s="50"/>
      <c r="T23" s="50"/>
      <c r="U23" s="50"/>
    </row>
    <row r="24" spans="1:21" customFormat="1">
      <c r="A24" s="51" t="s">
        <v>767</v>
      </c>
      <c r="B24" s="52">
        <v>4.6100000000000003</v>
      </c>
      <c r="C24" s="52">
        <v>43.15</v>
      </c>
      <c r="D24" s="52">
        <v>25.2</v>
      </c>
      <c r="E24" s="52">
        <v>10.32</v>
      </c>
      <c r="F24" s="52">
        <v>34.979999999999997</v>
      </c>
      <c r="G24" s="52">
        <v>49.98</v>
      </c>
      <c r="H24" s="52">
        <v>16.95</v>
      </c>
      <c r="I24" s="52">
        <v>6.01</v>
      </c>
      <c r="J24" s="52">
        <v>1.1399999999999999</v>
      </c>
      <c r="K24" s="52">
        <v>285.23</v>
      </c>
      <c r="L24" s="52">
        <v>40.9</v>
      </c>
      <c r="M24" s="52">
        <v>22.19</v>
      </c>
      <c r="N24" s="52">
        <v>531.70000000000005</v>
      </c>
      <c r="O24" s="52">
        <v>0</v>
      </c>
      <c r="P24" s="52">
        <v>0.62</v>
      </c>
      <c r="Q24" s="52">
        <v>4.68</v>
      </c>
      <c r="R24" s="50"/>
      <c r="S24" s="50"/>
      <c r="T24" s="50"/>
      <c r="U24" s="50"/>
    </row>
    <row r="25" spans="1:21" customFormat="1">
      <c r="A25" s="51" t="s">
        <v>768</v>
      </c>
      <c r="B25" s="52">
        <v>2.29</v>
      </c>
      <c r="C25" s="52">
        <v>40.03</v>
      </c>
      <c r="D25" s="52">
        <v>21.71</v>
      </c>
      <c r="E25" s="52">
        <v>13.18</v>
      </c>
      <c r="F25" s="52">
        <v>38.32</v>
      </c>
      <c r="G25" s="52">
        <v>47.42</v>
      </c>
      <c r="H25" s="52">
        <v>16.84</v>
      </c>
      <c r="I25" s="52">
        <v>5.49</v>
      </c>
      <c r="J25" s="52">
        <v>1.1499999999999999</v>
      </c>
      <c r="K25" s="52">
        <v>275.10000000000002</v>
      </c>
      <c r="L25" s="52">
        <v>40.03</v>
      </c>
      <c r="M25" s="52">
        <v>23.23</v>
      </c>
      <c r="N25" s="52">
        <v>260.89999999999998</v>
      </c>
      <c r="O25" s="52">
        <v>0</v>
      </c>
      <c r="P25" s="52">
        <v>0.53</v>
      </c>
      <c r="Q25" s="52">
        <v>4.51</v>
      </c>
      <c r="R25" s="50"/>
      <c r="S25" s="50"/>
      <c r="T25" s="50"/>
      <c r="U25" s="50"/>
    </row>
    <row r="26" spans="1:21" customFormat="1">
      <c r="A26" s="51" t="s">
        <v>769</v>
      </c>
      <c r="B26" s="52">
        <v>1.85</v>
      </c>
      <c r="C26" s="52">
        <v>39.4</v>
      </c>
      <c r="D26" s="52">
        <v>21.02</v>
      </c>
      <c r="E26" s="52">
        <v>15.88</v>
      </c>
      <c r="F26" s="52">
        <v>41.21</v>
      </c>
      <c r="G26" s="52">
        <v>48.17</v>
      </c>
      <c r="H26" s="52">
        <v>17.309999999999999</v>
      </c>
      <c r="I26" s="52">
        <v>4.96</v>
      </c>
      <c r="J26" s="52">
        <v>1.17</v>
      </c>
      <c r="K26" s="52">
        <v>280.62</v>
      </c>
      <c r="L26" s="52">
        <v>39.29</v>
      </c>
      <c r="M26" s="52">
        <v>22.78</v>
      </c>
      <c r="N26" s="52">
        <v>125.1</v>
      </c>
      <c r="O26" s="52">
        <v>0</v>
      </c>
      <c r="P26" s="52">
        <v>0.51</v>
      </c>
      <c r="Q26" s="52">
        <v>4.3499999999999996</v>
      </c>
      <c r="R26" s="50"/>
      <c r="S26" s="50"/>
      <c r="T26" s="50"/>
      <c r="U26" s="50"/>
    </row>
    <row r="27" spans="1:21" customFormat="1">
      <c r="A27" s="51" t="s">
        <v>770</v>
      </c>
      <c r="B27" s="52">
        <v>4.62</v>
      </c>
      <c r="C27" s="52">
        <v>48.17</v>
      </c>
      <c r="D27" s="52">
        <v>27.43</v>
      </c>
      <c r="E27" s="52">
        <v>9.27</v>
      </c>
      <c r="F27" s="52">
        <v>29.93</v>
      </c>
      <c r="G27" s="52">
        <v>50.71</v>
      </c>
      <c r="H27" s="52">
        <v>17.309999999999999</v>
      </c>
      <c r="I27" s="52">
        <v>4.4800000000000004</v>
      </c>
      <c r="J27" s="52">
        <v>1.1399999999999999</v>
      </c>
      <c r="K27" s="52">
        <v>285.32</v>
      </c>
      <c r="L27" s="52">
        <v>38.450000000000003</v>
      </c>
      <c r="M27" s="52">
        <v>23.41</v>
      </c>
      <c r="N27" s="52">
        <v>24</v>
      </c>
      <c r="O27" s="52">
        <v>0</v>
      </c>
      <c r="P27" s="52">
        <v>0.59</v>
      </c>
      <c r="Q27" s="52">
        <v>4.5199999999999996</v>
      </c>
      <c r="R27" s="50"/>
      <c r="S27" s="50"/>
      <c r="T27" s="50"/>
      <c r="U27" s="50"/>
    </row>
    <row r="28" spans="1:21" customFormat="1">
      <c r="A28" s="51" t="s">
        <v>771</v>
      </c>
      <c r="B28" s="52">
        <v>5.56</v>
      </c>
      <c r="C28" s="52">
        <v>53.97</v>
      </c>
      <c r="D28" s="52">
        <v>31.61</v>
      </c>
      <c r="E28" s="52">
        <v>10.02</v>
      </c>
      <c r="F28" s="52">
        <v>28.73</v>
      </c>
      <c r="G28" s="52">
        <v>54.7</v>
      </c>
      <c r="H28" s="52">
        <v>17.16</v>
      </c>
      <c r="I28" s="52">
        <v>5.93</v>
      </c>
      <c r="J28" s="52">
        <v>0.69</v>
      </c>
      <c r="K28" s="52">
        <v>273.19</v>
      </c>
      <c r="L28" s="52">
        <v>37</v>
      </c>
      <c r="M28" s="52">
        <v>26.1</v>
      </c>
      <c r="N28" s="52">
        <v>0</v>
      </c>
      <c r="O28" s="52">
        <v>0</v>
      </c>
      <c r="P28" s="52">
        <v>0.68</v>
      </c>
      <c r="Q28" s="52">
        <v>4.7</v>
      </c>
      <c r="R28" s="50"/>
      <c r="S28" s="50"/>
      <c r="T28" s="50"/>
      <c r="U28" s="50"/>
    </row>
    <row r="29" spans="1:21" customFormat="1">
      <c r="A29" s="51" t="s">
        <v>772</v>
      </c>
      <c r="B29" s="52">
        <v>5.41</v>
      </c>
      <c r="C29" s="52">
        <v>49.15</v>
      </c>
      <c r="D29" s="52">
        <v>28.95</v>
      </c>
      <c r="E29" s="52">
        <v>11.32</v>
      </c>
      <c r="F29" s="52">
        <v>31.96</v>
      </c>
      <c r="G29" s="52">
        <v>54.7</v>
      </c>
      <c r="H29" s="52">
        <v>17.16</v>
      </c>
      <c r="I29" s="52">
        <v>6.86</v>
      </c>
      <c r="J29" s="52">
        <v>0.28999999999999998</v>
      </c>
      <c r="K29" s="52">
        <v>236.04</v>
      </c>
      <c r="L29" s="52">
        <v>35.79</v>
      </c>
      <c r="M29" s="52">
        <v>32.83</v>
      </c>
      <c r="N29" s="52">
        <v>0</v>
      </c>
      <c r="O29" s="52">
        <v>0</v>
      </c>
      <c r="P29" s="52">
        <v>0.7</v>
      </c>
      <c r="Q29" s="52">
        <v>4.9000000000000004</v>
      </c>
      <c r="R29" s="50"/>
      <c r="S29" s="50"/>
      <c r="T29" s="50"/>
      <c r="U29" s="50"/>
    </row>
    <row r="30" spans="1:21" customFormat="1">
      <c r="A30" s="51" t="s">
        <v>773</v>
      </c>
      <c r="B30" s="52">
        <v>7.33</v>
      </c>
      <c r="C30" s="52">
        <v>46.72</v>
      </c>
      <c r="D30" s="52">
        <v>29.24</v>
      </c>
      <c r="E30" s="52">
        <v>10.68</v>
      </c>
      <c r="F30" s="52">
        <v>34.270000000000003</v>
      </c>
      <c r="G30" s="52">
        <v>55.15</v>
      </c>
      <c r="H30" s="52">
        <v>17.11</v>
      </c>
      <c r="I30" s="52">
        <v>5.3</v>
      </c>
      <c r="J30" s="52">
        <v>0.35</v>
      </c>
      <c r="K30" s="52">
        <v>115.99</v>
      </c>
      <c r="L30" s="52">
        <v>34.07</v>
      </c>
      <c r="M30" s="52">
        <v>38.380000000000003</v>
      </c>
      <c r="N30" s="52">
        <v>0</v>
      </c>
      <c r="O30" s="52">
        <v>0</v>
      </c>
      <c r="P30" s="52">
        <v>0.62</v>
      </c>
      <c r="Q30" s="52">
        <v>4.8499999999999996</v>
      </c>
      <c r="R30" s="50"/>
      <c r="S30" s="50"/>
      <c r="T30" s="50"/>
      <c r="U30" s="50"/>
    </row>
    <row r="31" spans="1:21" customFormat="1">
      <c r="A31" s="51" t="s">
        <v>774</v>
      </c>
      <c r="B31" s="52">
        <v>7.51</v>
      </c>
      <c r="C31" s="52">
        <v>47.63</v>
      </c>
      <c r="D31" s="52">
        <v>29.79</v>
      </c>
      <c r="E31" s="52">
        <v>8.59</v>
      </c>
      <c r="F31" s="52">
        <v>23.99</v>
      </c>
      <c r="G31" s="52">
        <v>55.15</v>
      </c>
      <c r="H31" s="52">
        <v>20.100000000000001</v>
      </c>
      <c r="I31" s="52">
        <v>5</v>
      </c>
      <c r="J31" s="52">
        <v>0.33</v>
      </c>
      <c r="K31" s="52">
        <v>175.93</v>
      </c>
      <c r="L31" s="52">
        <v>32.340000000000003</v>
      </c>
      <c r="M31" s="52">
        <v>42.57</v>
      </c>
      <c r="N31" s="52">
        <v>0</v>
      </c>
      <c r="O31" s="52">
        <v>0</v>
      </c>
      <c r="P31" s="52">
        <v>0.64</v>
      </c>
      <c r="Q31" s="52">
        <v>4.88</v>
      </c>
      <c r="R31" s="50"/>
      <c r="S31" s="50"/>
      <c r="T31" s="50"/>
      <c r="U31" s="50"/>
    </row>
    <row r="32" spans="1:21" customFormat="1">
      <c r="A32" s="51" t="s">
        <v>775</v>
      </c>
      <c r="B32" s="52">
        <v>8.7100000000000009</v>
      </c>
      <c r="C32" s="52">
        <v>47.96</v>
      </c>
      <c r="D32" s="52">
        <v>31</v>
      </c>
      <c r="E32" s="52">
        <v>8.02</v>
      </c>
      <c r="F32" s="52">
        <v>28.35</v>
      </c>
      <c r="G32" s="52">
        <v>50.93</v>
      </c>
      <c r="H32" s="52">
        <v>20.100000000000001</v>
      </c>
      <c r="I32" s="52">
        <v>5.09</v>
      </c>
      <c r="J32" s="52">
        <v>0.15</v>
      </c>
      <c r="K32" s="52">
        <v>267.61</v>
      </c>
      <c r="L32" s="52">
        <v>31.57</v>
      </c>
      <c r="M32" s="52">
        <v>47.26</v>
      </c>
      <c r="N32" s="52">
        <v>0</v>
      </c>
      <c r="O32" s="52">
        <v>0</v>
      </c>
      <c r="P32" s="52">
        <v>0.64</v>
      </c>
      <c r="Q32" s="52">
        <v>4.97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1.85</v>
      </c>
      <c r="C34" s="41">
        <f t="shared" si="0"/>
        <v>39.4</v>
      </c>
      <c r="D34" s="41">
        <f t="shared" si="0"/>
        <v>21.02</v>
      </c>
      <c r="E34" s="41">
        <f t="shared" si="0"/>
        <v>6.85</v>
      </c>
      <c r="F34" s="41">
        <f t="shared" si="0"/>
        <v>9.0399999999999991</v>
      </c>
      <c r="G34" s="41">
        <f t="shared" si="0"/>
        <v>42.45</v>
      </c>
      <c r="H34" s="41">
        <f t="shared" si="0"/>
        <v>16.84</v>
      </c>
      <c r="I34" s="41">
        <f t="shared" si="0"/>
        <v>4.4800000000000004</v>
      </c>
      <c r="J34" s="41">
        <f t="shared" si="0"/>
        <v>0.12</v>
      </c>
      <c r="K34" s="41">
        <f t="shared" si="0"/>
        <v>115.99</v>
      </c>
      <c r="L34" s="41">
        <f t="shared" si="0"/>
        <v>28.48</v>
      </c>
      <c r="M34" s="41">
        <f t="shared" si="0"/>
        <v>20.98</v>
      </c>
      <c r="N34" s="41">
        <f t="shared" si="0"/>
        <v>0</v>
      </c>
      <c r="O34" s="41">
        <f t="shared" si="0"/>
        <v>0</v>
      </c>
      <c r="P34" s="41">
        <f t="shared" si="0"/>
        <v>0.51</v>
      </c>
      <c r="Q34" s="41">
        <f t="shared" si="0"/>
        <v>4.3499999999999996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19.89</v>
      </c>
      <c r="C35" s="33">
        <f t="shared" si="1"/>
        <v>59.6</v>
      </c>
      <c r="D35" s="33">
        <f t="shared" si="1"/>
        <v>46.04</v>
      </c>
      <c r="E35" s="33">
        <f t="shared" si="1"/>
        <v>17.84</v>
      </c>
      <c r="F35" s="33">
        <f t="shared" si="1"/>
        <v>43.05</v>
      </c>
      <c r="G35" s="33">
        <f t="shared" si="1"/>
        <v>79.19</v>
      </c>
      <c r="H35" s="33">
        <f t="shared" si="1"/>
        <v>28.67</v>
      </c>
      <c r="I35" s="33">
        <f t="shared" si="1"/>
        <v>8.25</v>
      </c>
      <c r="J35" s="33">
        <f t="shared" si="1"/>
        <v>1.2</v>
      </c>
      <c r="K35" s="33">
        <f t="shared" si="1"/>
        <v>305.45999999999998</v>
      </c>
      <c r="L35" s="33">
        <f t="shared" si="1"/>
        <v>41.34</v>
      </c>
      <c r="M35" s="33">
        <f t="shared" si="1"/>
        <v>59.18</v>
      </c>
      <c r="N35" s="33">
        <f t="shared" si="1"/>
        <v>796.8</v>
      </c>
      <c r="O35" s="33">
        <f t="shared" si="1"/>
        <v>0</v>
      </c>
      <c r="P35" s="33">
        <f t="shared" si="1"/>
        <v>0.84</v>
      </c>
      <c r="Q35" s="33">
        <f t="shared" si="1"/>
        <v>5.53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9.1787500000000026</v>
      </c>
      <c r="C36" s="41">
        <f t="shared" si="2"/>
        <v>50.275833333333338</v>
      </c>
      <c r="D36" s="41">
        <f t="shared" si="2"/>
        <v>32.452500000000001</v>
      </c>
      <c r="E36" s="41">
        <f t="shared" si="2"/>
        <v>10.473333333333334</v>
      </c>
      <c r="F36" s="41">
        <f t="shared" si="2"/>
        <v>26.201249999999998</v>
      </c>
      <c r="G36" s="41">
        <f t="shared" si="2"/>
        <v>53.952083333333341</v>
      </c>
      <c r="H36" s="41">
        <f t="shared" si="2"/>
        <v>21.063333333333336</v>
      </c>
      <c r="I36" s="41">
        <f t="shared" si="2"/>
        <v>6.356250000000002</v>
      </c>
      <c r="J36" s="41">
        <f t="shared" si="2"/>
        <v>0.71166666666666678</v>
      </c>
      <c r="K36" s="41">
        <f t="shared" si="2"/>
        <v>256.70833333333331</v>
      </c>
      <c r="L36" s="41">
        <f t="shared" si="2"/>
        <v>35.124166666666667</v>
      </c>
      <c r="M36" s="41">
        <f t="shared" si="2"/>
        <v>38.567083333333336</v>
      </c>
      <c r="N36" s="41">
        <f t="shared" si="2"/>
        <v>194.33749999999998</v>
      </c>
      <c r="O36" s="41">
        <f t="shared" si="2"/>
        <v>0</v>
      </c>
      <c r="P36" s="41">
        <f t="shared" si="2"/>
        <v>0.70833333333333315</v>
      </c>
      <c r="Q36" s="41">
        <f t="shared" si="2"/>
        <v>4.9320833333333329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5.7798874011147632</v>
      </c>
      <c r="C37" s="41">
        <f t="shared" ref="C37:Q37" si="3">STDEV(C9:C32)</f>
        <v>6.4253979180901215</v>
      </c>
      <c r="D37" s="41">
        <f t="shared" si="3"/>
        <v>7.8121194863855816</v>
      </c>
      <c r="E37" s="41">
        <f t="shared" si="3"/>
        <v>2.9182121785162494</v>
      </c>
      <c r="F37" s="41">
        <f t="shared" si="3"/>
        <v>10.560876656834399</v>
      </c>
      <c r="G37" s="41">
        <f t="shared" si="3"/>
        <v>9.0982124279474217</v>
      </c>
      <c r="H37" s="41">
        <f t="shared" si="3"/>
        <v>3.7704061212076918</v>
      </c>
      <c r="I37" s="41">
        <f t="shared" si="3"/>
        <v>0.92595338646878533</v>
      </c>
      <c r="J37" s="41">
        <f t="shared" si="3"/>
        <v>0.43642486944108311</v>
      </c>
      <c r="K37" s="41">
        <f t="shared" si="3"/>
        <v>43.40167785443019</v>
      </c>
      <c r="L37" s="41">
        <f t="shared" si="3"/>
        <v>4.4453413980174252</v>
      </c>
      <c r="M37" s="41">
        <f t="shared" si="3"/>
        <v>13.447589885622012</v>
      </c>
      <c r="N37" s="41">
        <f t="shared" si="3"/>
        <v>279.7664535511874</v>
      </c>
      <c r="O37" s="41">
        <f t="shared" si="3"/>
        <v>0</v>
      </c>
      <c r="P37" s="41">
        <f t="shared" si="3"/>
        <v>9.3001480430792732E-2</v>
      </c>
      <c r="Q37" s="41">
        <f t="shared" si="3"/>
        <v>0.36409481763943163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31/05/2023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1" t="s">
        <v>776</v>
      </c>
      <c r="B9" s="52">
        <v>9.31</v>
      </c>
      <c r="C9" s="52">
        <v>48.78</v>
      </c>
      <c r="D9" s="52">
        <v>31.91</v>
      </c>
      <c r="E9" s="52">
        <v>8</v>
      </c>
      <c r="F9" s="52">
        <v>23.06</v>
      </c>
      <c r="G9" s="52">
        <v>47.12</v>
      </c>
      <c r="H9" s="52">
        <v>19.489999999999998</v>
      </c>
      <c r="I9" s="52">
        <v>4.91</v>
      </c>
      <c r="J9" s="52">
        <v>0.17</v>
      </c>
      <c r="K9" s="52">
        <v>218.75</v>
      </c>
      <c r="L9" s="52">
        <v>30.55</v>
      </c>
      <c r="M9" s="52">
        <v>50.8</v>
      </c>
      <c r="N9" s="52">
        <v>0</v>
      </c>
      <c r="O9" s="52">
        <v>0</v>
      </c>
      <c r="P9" s="52">
        <v>0.63</v>
      </c>
      <c r="Q9" s="52">
        <v>4.96</v>
      </c>
      <c r="R9" s="50"/>
      <c r="S9" s="50"/>
      <c r="T9" s="50"/>
      <c r="U9" s="50"/>
    </row>
    <row r="10" spans="1:21" customFormat="1">
      <c r="A10" s="51" t="s">
        <v>777</v>
      </c>
      <c r="B10" s="52">
        <v>10.93</v>
      </c>
      <c r="C10" s="52">
        <v>49.77</v>
      </c>
      <c r="D10" s="52">
        <v>33.72</v>
      </c>
      <c r="E10" s="52">
        <v>7.74</v>
      </c>
      <c r="F10" s="52">
        <v>16.399999999999999</v>
      </c>
      <c r="G10" s="52">
        <v>46.06</v>
      </c>
      <c r="H10" s="52">
        <v>20.5</v>
      </c>
      <c r="I10" s="52">
        <v>5.16</v>
      </c>
      <c r="J10" s="52">
        <v>0.17</v>
      </c>
      <c r="K10" s="52">
        <v>225.46</v>
      </c>
      <c r="L10" s="52">
        <v>29.65</v>
      </c>
      <c r="M10" s="52">
        <v>51.93</v>
      </c>
      <c r="N10" s="52">
        <v>0</v>
      </c>
      <c r="O10" s="52">
        <v>0</v>
      </c>
      <c r="P10" s="52">
        <v>0.64</v>
      </c>
      <c r="Q10" s="52">
        <v>5.07</v>
      </c>
      <c r="R10" s="50"/>
      <c r="S10" s="50"/>
      <c r="T10" s="50"/>
      <c r="U10" s="50"/>
    </row>
    <row r="11" spans="1:21" customFormat="1">
      <c r="A11" s="51" t="s">
        <v>778</v>
      </c>
      <c r="B11" s="52">
        <v>12.74</v>
      </c>
      <c r="C11" s="52">
        <v>51.68</v>
      </c>
      <c r="D11" s="52">
        <v>36.17</v>
      </c>
      <c r="E11" s="52">
        <v>6.67</v>
      </c>
      <c r="F11" s="52">
        <v>16.23</v>
      </c>
      <c r="G11" s="52">
        <v>43.38</v>
      </c>
      <c r="H11" s="52">
        <v>20.5</v>
      </c>
      <c r="I11" s="52">
        <v>5.15</v>
      </c>
      <c r="J11" s="52">
        <v>0.25</v>
      </c>
      <c r="K11" s="52">
        <v>256.72000000000003</v>
      </c>
      <c r="L11" s="52">
        <v>29.59</v>
      </c>
      <c r="M11" s="52">
        <v>51.81</v>
      </c>
      <c r="N11" s="52">
        <v>0</v>
      </c>
      <c r="O11" s="52">
        <v>0</v>
      </c>
      <c r="P11" s="52">
        <v>0.64</v>
      </c>
      <c r="Q11" s="52">
        <v>5.09</v>
      </c>
      <c r="R11" s="50"/>
      <c r="S11" s="50"/>
      <c r="T11" s="50"/>
      <c r="U11" s="50"/>
    </row>
    <row r="12" spans="1:21" customFormat="1">
      <c r="A12" s="51" t="s">
        <v>779</v>
      </c>
      <c r="B12" s="52">
        <v>14.09</v>
      </c>
      <c r="C12" s="52">
        <v>53.61</v>
      </c>
      <c r="D12" s="52">
        <v>38.270000000000003</v>
      </c>
      <c r="E12" s="52">
        <v>6.53</v>
      </c>
      <c r="F12" s="52">
        <v>12.35</v>
      </c>
      <c r="G12" s="52">
        <v>42.28</v>
      </c>
      <c r="H12" s="52">
        <v>19.579999999999998</v>
      </c>
      <c r="I12" s="52">
        <v>5.14</v>
      </c>
      <c r="J12" s="52">
        <v>0.35</v>
      </c>
      <c r="K12" s="52">
        <v>239.68</v>
      </c>
      <c r="L12" s="52">
        <v>29.29</v>
      </c>
      <c r="M12" s="52">
        <v>52.47</v>
      </c>
      <c r="N12" s="52">
        <v>0</v>
      </c>
      <c r="O12" s="52">
        <v>0</v>
      </c>
      <c r="P12" s="52">
        <v>0.64</v>
      </c>
      <c r="Q12" s="52">
        <v>5.14</v>
      </c>
      <c r="R12" s="50"/>
      <c r="S12" s="50"/>
      <c r="T12" s="50"/>
      <c r="U12" s="50"/>
    </row>
    <row r="13" spans="1:21" customFormat="1">
      <c r="A13" s="51" t="s">
        <v>780</v>
      </c>
      <c r="B13" s="52">
        <v>14.76</v>
      </c>
      <c r="C13" s="52">
        <v>53.55</v>
      </c>
      <c r="D13" s="52">
        <v>38.630000000000003</v>
      </c>
      <c r="E13" s="52">
        <v>6.61</v>
      </c>
      <c r="F13" s="52">
        <v>9.6300000000000008</v>
      </c>
      <c r="G13" s="52">
        <v>39.93</v>
      </c>
      <c r="H13" s="52">
        <v>19.579999999999998</v>
      </c>
      <c r="I13" s="52">
        <v>5.31</v>
      </c>
      <c r="J13" s="52">
        <v>0.44</v>
      </c>
      <c r="K13" s="52">
        <v>252.59</v>
      </c>
      <c r="L13" s="52">
        <v>29.04</v>
      </c>
      <c r="M13" s="52">
        <v>51.7</v>
      </c>
      <c r="N13" s="52">
        <v>0</v>
      </c>
      <c r="O13" s="52">
        <v>0</v>
      </c>
      <c r="P13" s="52">
        <v>0.64</v>
      </c>
      <c r="Q13" s="52">
        <v>5.18</v>
      </c>
      <c r="R13" s="50"/>
      <c r="S13" s="50"/>
      <c r="T13" s="50"/>
      <c r="U13" s="50"/>
    </row>
    <row r="14" spans="1:21" customFormat="1">
      <c r="A14" s="51" t="s">
        <v>781</v>
      </c>
      <c r="B14" s="52">
        <v>14.7</v>
      </c>
      <c r="C14" s="52">
        <v>53.86</v>
      </c>
      <c r="D14" s="52">
        <v>38.89</v>
      </c>
      <c r="E14" s="52">
        <v>7.9</v>
      </c>
      <c r="F14" s="52">
        <v>10.7</v>
      </c>
      <c r="G14" s="52">
        <v>36.36</v>
      </c>
      <c r="H14" s="52">
        <v>18.37</v>
      </c>
      <c r="I14" s="52">
        <v>5.29</v>
      </c>
      <c r="J14" s="52">
        <v>0.44</v>
      </c>
      <c r="K14" s="52">
        <v>253.31</v>
      </c>
      <c r="L14" s="52">
        <v>29.21</v>
      </c>
      <c r="M14" s="52">
        <v>47.57</v>
      </c>
      <c r="N14" s="52">
        <v>12.3</v>
      </c>
      <c r="O14" s="52">
        <v>0</v>
      </c>
      <c r="P14" s="52">
        <v>0.66</v>
      </c>
      <c r="Q14" s="52">
        <v>5.21</v>
      </c>
      <c r="R14" s="50"/>
      <c r="S14" s="50"/>
      <c r="T14" s="50"/>
      <c r="U14" s="50"/>
    </row>
    <row r="15" spans="1:21" customFormat="1">
      <c r="A15" s="51" t="s">
        <v>782</v>
      </c>
      <c r="B15" s="52">
        <v>15.59</v>
      </c>
      <c r="C15" s="52">
        <v>56.23</v>
      </c>
      <c r="D15" s="52">
        <v>40.799999999999997</v>
      </c>
      <c r="E15" s="52">
        <v>8.3699999999999992</v>
      </c>
      <c r="F15" s="52">
        <v>8.81</v>
      </c>
      <c r="G15" s="52">
        <v>36.89</v>
      </c>
      <c r="H15" s="52">
        <v>18.09</v>
      </c>
      <c r="I15" s="52">
        <v>6.14</v>
      </c>
      <c r="J15" s="52">
        <v>0.54</v>
      </c>
      <c r="K15" s="52">
        <v>257.89999999999998</v>
      </c>
      <c r="L15" s="52">
        <v>30.43</v>
      </c>
      <c r="M15" s="52">
        <v>47.74</v>
      </c>
      <c r="N15" s="52">
        <v>71</v>
      </c>
      <c r="O15" s="52">
        <v>0</v>
      </c>
      <c r="P15" s="52">
        <v>0.7</v>
      </c>
      <c r="Q15" s="52">
        <v>5.24</v>
      </c>
      <c r="R15" s="50"/>
      <c r="S15" s="50"/>
      <c r="T15" s="50"/>
      <c r="U15" s="50"/>
    </row>
    <row r="16" spans="1:21" customFormat="1">
      <c r="A16" s="51" t="s">
        <v>783</v>
      </c>
      <c r="B16" s="52">
        <v>16.25</v>
      </c>
      <c r="C16" s="52">
        <v>57.22</v>
      </c>
      <c r="D16" s="52">
        <v>41.5</v>
      </c>
      <c r="E16" s="52">
        <v>10.08</v>
      </c>
      <c r="F16" s="52">
        <v>9.0299999999999994</v>
      </c>
      <c r="G16" s="52">
        <v>47.85</v>
      </c>
      <c r="H16" s="52">
        <v>20.93</v>
      </c>
      <c r="I16" s="52">
        <v>7.54</v>
      </c>
      <c r="J16" s="52">
        <v>0.79</v>
      </c>
      <c r="K16" s="52">
        <v>287.64999999999998</v>
      </c>
      <c r="L16" s="52">
        <v>32.68</v>
      </c>
      <c r="M16" s="52">
        <v>44.45</v>
      </c>
      <c r="N16" s="52">
        <v>109.4</v>
      </c>
      <c r="O16" s="52">
        <v>0</v>
      </c>
      <c r="P16" s="52">
        <v>0.93</v>
      </c>
      <c r="Q16" s="52">
        <v>5.25</v>
      </c>
      <c r="R16" s="50"/>
      <c r="S16" s="50"/>
      <c r="T16" s="50"/>
      <c r="U16" s="50"/>
    </row>
    <row r="17" spans="1:21" customFormat="1">
      <c r="A17" s="51" t="s">
        <v>784</v>
      </c>
      <c r="B17" s="52">
        <v>14.54</v>
      </c>
      <c r="C17" s="52">
        <v>56.84</v>
      </c>
      <c r="D17" s="52">
        <v>39.57</v>
      </c>
      <c r="E17" s="52">
        <v>11.85</v>
      </c>
      <c r="F17" s="52">
        <v>13.94</v>
      </c>
      <c r="G17" s="52">
        <v>59.46</v>
      </c>
      <c r="H17" s="52">
        <v>21.66</v>
      </c>
      <c r="I17" s="52">
        <v>8.6</v>
      </c>
      <c r="J17" s="52">
        <v>0.97</v>
      </c>
      <c r="K17" s="52">
        <v>305.5</v>
      </c>
      <c r="L17" s="52">
        <v>34.51</v>
      </c>
      <c r="M17" s="52">
        <v>38.72</v>
      </c>
      <c r="N17" s="52">
        <v>142.6</v>
      </c>
      <c r="O17" s="52">
        <v>0</v>
      </c>
      <c r="P17" s="52">
        <v>0.94</v>
      </c>
      <c r="Q17" s="52">
        <v>5.2</v>
      </c>
      <c r="R17" s="50"/>
      <c r="S17" s="50"/>
      <c r="T17" s="50"/>
      <c r="U17" s="50"/>
    </row>
    <row r="18" spans="1:21" customFormat="1">
      <c r="A18" s="51" t="s">
        <v>785</v>
      </c>
      <c r="B18" s="52">
        <v>12.28</v>
      </c>
      <c r="C18" s="52">
        <v>54.65</v>
      </c>
      <c r="D18" s="52">
        <v>36.479999999999997</v>
      </c>
      <c r="E18" s="52">
        <v>10.89</v>
      </c>
      <c r="F18" s="52">
        <v>24.88</v>
      </c>
      <c r="G18" s="52">
        <v>62.84</v>
      </c>
      <c r="H18" s="52">
        <v>24.12</v>
      </c>
      <c r="I18" s="52">
        <v>7.94</v>
      </c>
      <c r="J18" s="52">
        <v>0.96</v>
      </c>
      <c r="K18" s="52">
        <v>315.31</v>
      </c>
      <c r="L18" s="52">
        <v>36.659999999999997</v>
      </c>
      <c r="M18" s="52">
        <v>33.619999999999997</v>
      </c>
      <c r="N18" s="52">
        <v>169.2</v>
      </c>
      <c r="O18" s="52">
        <v>0</v>
      </c>
      <c r="P18" s="52">
        <v>0.87</v>
      </c>
      <c r="Q18" s="52">
        <v>5.05</v>
      </c>
      <c r="R18" s="50"/>
      <c r="S18" s="50"/>
      <c r="T18" s="50"/>
      <c r="U18" s="50"/>
    </row>
    <row r="19" spans="1:21" customFormat="1">
      <c r="A19" s="51" t="s">
        <v>786</v>
      </c>
      <c r="B19" s="52">
        <v>8.41</v>
      </c>
      <c r="C19" s="52">
        <v>51.32</v>
      </c>
      <c r="D19" s="52">
        <v>31.76</v>
      </c>
      <c r="E19" s="52">
        <v>18.32</v>
      </c>
      <c r="F19" s="52">
        <v>43.01</v>
      </c>
      <c r="G19" s="52">
        <v>65.16</v>
      </c>
      <c r="H19" s="52">
        <v>24.96</v>
      </c>
      <c r="I19" s="52">
        <v>7.85</v>
      </c>
      <c r="J19" s="52">
        <v>0.8</v>
      </c>
      <c r="K19" s="52">
        <v>325.29000000000002</v>
      </c>
      <c r="L19" s="52">
        <v>38.979999999999997</v>
      </c>
      <c r="M19" s="52">
        <v>29.49</v>
      </c>
      <c r="N19" s="52">
        <v>202.4</v>
      </c>
      <c r="O19" s="52">
        <v>0</v>
      </c>
      <c r="P19" s="52">
        <v>0.84</v>
      </c>
      <c r="Q19" s="52">
        <v>4.9000000000000004</v>
      </c>
      <c r="R19" s="50"/>
      <c r="S19" s="50"/>
      <c r="T19" s="50"/>
      <c r="U19" s="50"/>
    </row>
    <row r="20" spans="1:21" customFormat="1">
      <c r="A20" s="51" t="s">
        <v>787</v>
      </c>
      <c r="B20" s="52">
        <v>5.5</v>
      </c>
      <c r="C20" s="52">
        <v>47.81</v>
      </c>
      <c r="D20" s="52">
        <v>27.64</v>
      </c>
      <c r="E20" s="52">
        <v>22.96</v>
      </c>
      <c r="F20" s="52">
        <v>51.14</v>
      </c>
      <c r="G20" s="52">
        <v>73.260000000000005</v>
      </c>
      <c r="H20" s="52">
        <v>26.03</v>
      </c>
      <c r="I20" s="52">
        <v>7.28</v>
      </c>
      <c r="J20" s="52">
        <v>1.21</v>
      </c>
      <c r="K20" s="52">
        <v>343.8</v>
      </c>
      <c r="L20" s="52">
        <v>40.119999999999997</v>
      </c>
      <c r="M20" s="52">
        <v>26.42</v>
      </c>
      <c r="N20" s="52">
        <v>758.5</v>
      </c>
      <c r="O20" s="52">
        <v>0</v>
      </c>
      <c r="P20" s="52">
        <v>0.81</v>
      </c>
      <c r="Q20" s="52">
        <v>4.75</v>
      </c>
      <c r="R20" s="50"/>
      <c r="S20" s="50"/>
      <c r="T20" s="50"/>
      <c r="U20" s="50"/>
    </row>
    <row r="21" spans="1:21" customFormat="1">
      <c r="A21" s="51" t="s">
        <v>788</v>
      </c>
      <c r="B21" s="52">
        <v>4.84</v>
      </c>
      <c r="C21" s="52">
        <v>48.45</v>
      </c>
      <c r="D21" s="52">
        <v>28.15</v>
      </c>
      <c r="E21" s="52">
        <v>22.54</v>
      </c>
      <c r="F21" s="52">
        <v>47.58</v>
      </c>
      <c r="G21" s="52">
        <v>73.260000000000005</v>
      </c>
      <c r="H21" s="52">
        <v>26.03</v>
      </c>
      <c r="I21" s="52">
        <v>6.78</v>
      </c>
      <c r="J21" s="52">
        <v>1.03</v>
      </c>
      <c r="K21" s="52">
        <v>289.11</v>
      </c>
      <c r="L21" s="52">
        <v>41.03</v>
      </c>
      <c r="M21" s="52">
        <v>21.43</v>
      </c>
      <c r="N21" s="52">
        <v>776.2</v>
      </c>
      <c r="O21" s="52">
        <v>0</v>
      </c>
      <c r="P21" s="52">
        <v>0.72</v>
      </c>
      <c r="Q21" s="52">
        <v>4.6900000000000004</v>
      </c>
      <c r="R21" s="50"/>
      <c r="S21" s="50"/>
      <c r="T21" s="50"/>
      <c r="U21" s="50"/>
    </row>
    <row r="22" spans="1:21" customFormat="1">
      <c r="A22" s="51" t="s">
        <v>789</v>
      </c>
      <c r="B22" s="52">
        <v>4.1900000000000004</v>
      </c>
      <c r="C22" s="52">
        <v>41.78</v>
      </c>
      <c r="D22" s="52">
        <v>23.91</v>
      </c>
      <c r="E22" s="52">
        <v>22.29</v>
      </c>
      <c r="F22" s="52">
        <v>43.81</v>
      </c>
      <c r="G22" s="52">
        <v>69.98</v>
      </c>
      <c r="H22" s="52">
        <v>25.13</v>
      </c>
      <c r="I22" s="52">
        <v>6.36</v>
      </c>
      <c r="J22" s="52">
        <v>0.73</v>
      </c>
      <c r="K22" s="52">
        <v>354.34</v>
      </c>
      <c r="L22" s="52">
        <v>41.93</v>
      </c>
      <c r="M22" s="52">
        <v>19.66</v>
      </c>
      <c r="N22" s="52">
        <v>756.2</v>
      </c>
      <c r="O22" s="52">
        <v>0</v>
      </c>
      <c r="P22" s="52">
        <v>0.66</v>
      </c>
      <c r="Q22" s="52">
        <v>4.59</v>
      </c>
      <c r="R22" s="50"/>
      <c r="S22" s="50"/>
      <c r="T22" s="50"/>
      <c r="U22" s="50"/>
    </row>
    <row r="23" spans="1:21" customFormat="1">
      <c r="A23" s="51" t="s">
        <v>790</v>
      </c>
      <c r="B23" s="52">
        <v>4.55</v>
      </c>
      <c r="C23" s="52">
        <v>51.71</v>
      </c>
      <c r="D23" s="52">
        <v>29.38</v>
      </c>
      <c r="E23" s="52">
        <v>10.25</v>
      </c>
      <c r="F23" s="52">
        <v>36.96</v>
      </c>
      <c r="G23" s="52">
        <v>68.349999999999994</v>
      </c>
      <c r="H23" s="52">
        <v>25.13</v>
      </c>
      <c r="I23" s="52">
        <v>6.04</v>
      </c>
      <c r="J23" s="52">
        <v>0.95</v>
      </c>
      <c r="K23" s="52">
        <v>311.32</v>
      </c>
      <c r="L23" s="52">
        <v>42.03</v>
      </c>
      <c r="M23" s="52">
        <v>17.940000000000001</v>
      </c>
      <c r="N23" s="52">
        <v>697.2</v>
      </c>
      <c r="O23" s="52">
        <v>0</v>
      </c>
      <c r="P23" s="52">
        <v>0.63</v>
      </c>
      <c r="Q23" s="52">
        <v>4.8099999999999996</v>
      </c>
      <c r="R23" s="50"/>
      <c r="S23" s="50"/>
      <c r="T23" s="50"/>
      <c r="U23" s="50"/>
    </row>
    <row r="24" spans="1:21" customFormat="1">
      <c r="A24" s="51" t="s">
        <v>791</v>
      </c>
      <c r="B24" s="52">
        <v>4.9800000000000004</v>
      </c>
      <c r="C24" s="52">
        <v>46.91</v>
      </c>
      <c r="D24" s="52">
        <v>27.22</v>
      </c>
      <c r="E24" s="52">
        <v>13.98</v>
      </c>
      <c r="F24" s="52">
        <v>55.83</v>
      </c>
      <c r="G24" s="52">
        <v>58.34</v>
      </c>
      <c r="H24" s="52">
        <v>21.86</v>
      </c>
      <c r="I24" s="52">
        <v>5.71</v>
      </c>
      <c r="J24" s="52">
        <v>1.28</v>
      </c>
      <c r="K24" s="52">
        <v>324.81</v>
      </c>
      <c r="L24" s="52">
        <v>41.62</v>
      </c>
      <c r="M24" s="52">
        <v>17.84</v>
      </c>
      <c r="N24" s="52">
        <v>449.3</v>
      </c>
      <c r="O24" s="52">
        <v>0</v>
      </c>
      <c r="P24" s="52">
        <v>0.57999999999999996</v>
      </c>
      <c r="Q24" s="52">
        <v>4.7300000000000004</v>
      </c>
      <c r="R24" s="50"/>
      <c r="S24" s="50"/>
      <c r="T24" s="50"/>
      <c r="U24" s="50"/>
    </row>
    <row r="25" spans="1:21" customFormat="1">
      <c r="A25" s="51" t="s">
        <v>792</v>
      </c>
      <c r="B25" s="52">
        <v>5.86</v>
      </c>
      <c r="C25" s="52">
        <v>46.32</v>
      </c>
      <c r="D25" s="52">
        <v>27.53</v>
      </c>
      <c r="E25" s="52">
        <v>15.92</v>
      </c>
      <c r="F25" s="52">
        <v>52.81</v>
      </c>
      <c r="G25" s="52">
        <v>58.16</v>
      </c>
      <c r="H25" s="52">
        <v>22.35</v>
      </c>
      <c r="I25" s="52">
        <v>5.48</v>
      </c>
      <c r="J25" s="52">
        <v>0.86</v>
      </c>
      <c r="K25" s="52">
        <v>359.57</v>
      </c>
      <c r="L25" s="52">
        <v>40.090000000000003</v>
      </c>
      <c r="M25" s="52">
        <v>19.98</v>
      </c>
      <c r="N25" s="52">
        <v>165.3</v>
      </c>
      <c r="O25" s="52">
        <v>0</v>
      </c>
      <c r="P25" s="52">
        <v>0.55000000000000004</v>
      </c>
      <c r="Q25" s="52">
        <v>4.57</v>
      </c>
      <c r="R25" s="50"/>
      <c r="S25" s="50"/>
      <c r="T25" s="50"/>
      <c r="U25" s="50"/>
    </row>
    <row r="26" spans="1:21" customFormat="1">
      <c r="A26" s="51" t="s">
        <v>793</v>
      </c>
      <c r="B26" s="52">
        <v>11.57</v>
      </c>
      <c r="C26" s="52">
        <v>56.54</v>
      </c>
      <c r="D26" s="52">
        <v>37.770000000000003</v>
      </c>
      <c r="E26" s="52">
        <v>22.98</v>
      </c>
      <c r="F26" s="52">
        <v>41.36</v>
      </c>
      <c r="G26" s="52">
        <v>63.7</v>
      </c>
      <c r="H26" s="52">
        <v>22.35</v>
      </c>
      <c r="I26" s="52">
        <v>4.51</v>
      </c>
      <c r="J26" s="52">
        <v>0.74</v>
      </c>
      <c r="K26" s="52">
        <v>50.28</v>
      </c>
      <c r="L26" s="52">
        <v>39.51</v>
      </c>
      <c r="M26" s="52">
        <v>19.100000000000001</v>
      </c>
      <c r="N26" s="52">
        <v>103.6</v>
      </c>
      <c r="O26" s="52">
        <v>0</v>
      </c>
      <c r="P26" s="52">
        <v>0.67</v>
      </c>
      <c r="Q26" s="52">
        <v>4.68</v>
      </c>
      <c r="R26" s="50"/>
      <c r="S26" s="50"/>
      <c r="T26" s="50"/>
      <c r="U26" s="50"/>
    </row>
    <row r="27" spans="1:21" customFormat="1">
      <c r="A27" s="51" t="s">
        <v>794</v>
      </c>
      <c r="B27" s="52">
        <v>11.1</v>
      </c>
      <c r="C27" s="52">
        <v>60.17</v>
      </c>
      <c r="D27" s="52">
        <v>38.799999999999997</v>
      </c>
      <c r="E27" s="52">
        <v>17.489999999999998</v>
      </c>
      <c r="F27" s="52">
        <v>29.17</v>
      </c>
      <c r="G27" s="52">
        <v>67.180000000000007</v>
      </c>
      <c r="H27" s="52">
        <v>22.47</v>
      </c>
      <c r="I27" s="52">
        <v>5.29</v>
      </c>
      <c r="J27" s="52">
        <v>0.38</v>
      </c>
      <c r="K27" s="52">
        <v>157.88</v>
      </c>
      <c r="L27" s="52">
        <v>38.51</v>
      </c>
      <c r="M27" s="52">
        <v>25.1</v>
      </c>
      <c r="N27" s="52">
        <v>16.2</v>
      </c>
      <c r="O27" s="52">
        <v>0</v>
      </c>
      <c r="P27" s="52">
        <v>0.82</v>
      </c>
      <c r="Q27" s="52">
        <v>4.93</v>
      </c>
      <c r="R27" s="50"/>
      <c r="S27" s="50"/>
      <c r="T27" s="50"/>
      <c r="U27" s="50"/>
    </row>
    <row r="28" spans="1:21" customFormat="1">
      <c r="A28" s="51" t="s">
        <v>795</v>
      </c>
      <c r="B28" s="52">
        <v>8.16</v>
      </c>
      <c r="C28" s="52">
        <v>59.2</v>
      </c>
      <c r="D28" s="52">
        <v>36.4</v>
      </c>
      <c r="E28" s="52">
        <v>23.07</v>
      </c>
      <c r="F28" s="52">
        <v>49.1</v>
      </c>
      <c r="G28" s="52">
        <v>87.36</v>
      </c>
      <c r="H28" s="52">
        <v>26.55</v>
      </c>
      <c r="I28" s="52">
        <v>5.63</v>
      </c>
      <c r="J28" s="52">
        <v>0.31</v>
      </c>
      <c r="K28" s="52">
        <v>193.46</v>
      </c>
      <c r="L28" s="52">
        <v>36.54</v>
      </c>
      <c r="M28" s="52">
        <v>29.23</v>
      </c>
      <c r="N28" s="52">
        <v>0</v>
      </c>
      <c r="O28" s="52">
        <v>0</v>
      </c>
      <c r="P28" s="52">
        <v>0.75</v>
      </c>
      <c r="Q28" s="52">
        <v>5.13</v>
      </c>
      <c r="R28" s="50"/>
      <c r="S28" s="50"/>
      <c r="T28" s="50"/>
      <c r="U28" s="50"/>
    </row>
    <row r="29" spans="1:21" customFormat="1">
      <c r="A29" s="51" t="s">
        <v>796</v>
      </c>
      <c r="B29" s="52">
        <v>14.9</v>
      </c>
      <c r="C29" s="52">
        <v>61.74</v>
      </c>
      <c r="D29" s="52">
        <v>43.16</v>
      </c>
      <c r="E29" s="52">
        <v>10.02</v>
      </c>
      <c r="F29" s="52">
        <v>41.19</v>
      </c>
      <c r="G29" s="52">
        <v>87.36</v>
      </c>
      <c r="H29" s="52">
        <v>26.55</v>
      </c>
      <c r="I29" s="52">
        <v>5.07</v>
      </c>
      <c r="J29" s="52">
        <v>0.38</v>
      </c>
      <c r="K29" s="52">
        <v>248.16</v>
      </c>
      <c r="L29" s="52">
        <v>34.5</v>
      </c>
      <c r="M29" s="52">
        <v>32.28</v>
      </c>
      <c r="N29" s="52">
        <v>0</v>
      </c>
      <c r="O29" s="52">
        <v>0</v>
      </c>
      <c r="P29" s="52">
        <v>0.83</v>
      </c>
      <c r="Q29" s="52">
        <v>5.05</v>
      </c>
      <c r="R29" s="50"/>
      <c r="S29" s="50"/>
      <c r="T29" s="50"/>
      <c r="U29" s="50"/>
    </row>
    <row r="30" spans="1:21" customFormat="1">
      <c r="A30" s="51" t="s">
        <v>797</v>
      </c>
      <c r="B30" s="52">
        <v>13.31</v>
      </c>
      <c r="C30" s="52">
        <v>55.39</v>
      </c>
      <c r="D30" s="52">
        <v>38.57</v>
      </c>
      <c r="E30" s="52">
        <v>13.29</v>
      </c>
      <c r="F30" s="52">
        <v>20.05</v>
      </c>
      <c r="G30" s="52">
        <v>74.98</v>
      </c>
      <c r="H30" s="52">
        <v>25.47</v>
      </c>
      <c r="I30" s="52">
        <v>6.42</v>
      </c>
      <c r="J30" s="52">
        <v>0.43</v>
      </c>
      <c r="K30" s="52">
        <v>174.25</v>
      </c>
      <c r="L30" s="52">
        <v>34.1</v>
      </c>
      <c r="M30" s="52">
        <v>35.92</v>
      </c>
      <c r="N30" s="52">
        <v>0</v>
      </c>
      <c r="O30" s="52">
        <v>0</v>
      </c>
      <c r="P30" s="52">
        <v>0.81</v>
      </c>
      <c r="Q30" s="52">
        <v>5.21</v>
      </c>
      <c r="R30" s="50"/>
      <c r="S30" s="50"/>
      <c r="T30" s="50"/>
      <c r="U30" s="50"/>
    </row>
    <row r="31" spans="1:21" customFormat="1">
      <c r="A31" s="51" t="s">
        <v>798</v>
      </c>
      <c r="B31" s="52">
        <v>24.28</v>
      </c>
      <c r="C31" s="52">
        <v>59.19</v>
      </c>
      <c r="D31" s="52">
        <v>48.82</v>
      </c>
      <c r="E31" s="52">
        <v>10.94</v>
      </c>
      <c r="F31" s="52">
        <v>16.89</v>
      </c>
      <c r="G31" s="52">
        <v>81.010000000000005</v>
      </c>
      <c r="H31" s="52">
        <v>27.9</v>
      </c>
      <c r="I31" s="52">
        <v>6.44</v>
      </c>
      <c r="J31" s="52">
        <v>0.39</v>
      </c>
      <c r="K31" s="52">
        <v>249.47</v>
      </c>
      <c r="L31" s="52">
        <v>32.69</v>
      </c>
      <c r="M31" s="52">
        <v>39.89</v>
      </c>
      <c r="N31" s="52">
        <v>0</v>
      </c>
      <c r="O31" s="52">
        <v>0</v>
      </c>
      <c r="P31" s="52">
        <v>0.83</v>
      </c>
      <c r="Q31" s="52">
        <v>5.38</v>
      </c>
      <c r="R31" s="50"/>
      <c r="S31" s="50"/>
      <c r="T31" s="50"/>
      <c r="U31" s="50"/>
    </row>
    <row r="32" spans="1:21" customFormat="1">
      <c r="A32" s="51" t="s">
        <v>799</v>
      </c>
      <c r="B32" s="52">
        <v>25.32</v>
      </c>
      <c r="C32" s="52">
        <v>69.05</v>
      </c>
      <c r="D32" s="52">
        <v>55.34</v>
      </c>
      <c r="E32" s="52">
        <v>8.16</v>
      </c>
      <c r="F32" s="52">
        <v>5.91</v>
      </c>
      <c r="G32" s="52">
        <v>88.44</v>
      </c>
      <c r="H32" s="52">
        <v>27.9</v>
      </c>
      <c r="I32" s="52">
        <v>6.75</v>
      </c>
      <c r="J32" s="52">
        <v>0.28999999999999998</v>
      </c>
      <c r="K32" s="52">
        <v>197.75</v>
      </c>
      <c r="L32" s="52">
        <v>31.77</v>
      </c>
      <c r="M32" s="52">
        <v>44.2</v>
      </c>
      <c r="N32" s="52">
        <v>0</v>
      </c>
      <c r="O32" s="52">
        <v>0</v>
      </c>
      <c r="P32" s="52">
        <v>0.83</v>
      </c>
      <c r="Q32" s="52">
        <v>5.67</v>
      </c>
      <c r="R32" s="50"/>
      <c r="S32" s="50"/>
      <c r="T32" s="50"/>
      <c r="U32" s="50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4.1900000000000004</v>
      </c>
      <c r="C34" s="41">
        <f t="shared" si="0"/>
        <v>41.78</v>
      </c>
      <c r="D34" s="41">
        <f t="shared" si="0"/>
        <v>23.91</v>
      </c>
      <c r="E34" s="41">
        <f t="shared" si="0"/>
        <v>6.53</v>
      </c>
      <c r="F34" s="41">
        <f t="shared" si="0"/>
        <v>5.91</v>
      </c>
      <c r="G34" s="41">
        <f t="shared" si="0"/>
        <v>36.36</v>
      </c>
      <c r="H34" s="41">
        <f t="shared" si="0"/>
        <v>18.09</v>
      </c>
      <c r="I34" s="41">
        <f t="shared" si="0"/>
        <v>4.51</v>
      </c>
      <c r="J34" s="41">
        <f t="shared" si="0"/>
        <v>0.17</v>
      </c>
      <c r="K34" s="41">
        <f t="shared" si="0"/>
        <v>50.28</v>
      </c>
      <c r="L34" s="41">
        <f t="shared" si="0"/>
        <v>29.04</v>
      </c>
      <c r="M34" s="41">
        <f t="shared" si="0"/>
        <v>17.84</v>
      </c>
      <c r="N34" s="41">
        <f t="shared" si="0"/>
        <v>0</v>
      </c>
      <c r="O34" s="41">
        <f t="shared" si="0"/>
        <v>0</v>
      </c>
      <c r="P34" s="41">
        <f t="shared" si="0"/>
        <v>0.55000000000000004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25.32</v>
      </c>
      <c r="C35" s="33">
        <f t="shared" si="1"/>
        <v>69.05</v>
      </c>
      <c r="D35" s="33">
        <f t="shared" si="1"/>
        <v>55.34</v>
      </c>
      <c r="E35" s="33">
        <f t="shared" si="1"/>
        <v>23.07</v>
      </c>
      <c r="F35" s="33">
        <f t="shared" si="1"/>
        <v>55.83</v>
      </c>
      <c r="G35" s="33">
        <f t="shared" si="1"/>
        <v>88.44</v>
      </c>
      <c r="H35" s="33">
        <f t="shared" si="1"/>
        <v>27.9</v>
      </c>
      <c r="I35" s="33">
        <f t="shared" si="1"/>
        <v>8.6</v>
      </c>
      <c r="J35" s="33">
        <f t="shared" si="1"/>
        <v>1.28</v>
      </c>
      <c r="K35" s="33">
        <f t="shared" si="1"/>
        <v>359.57</v>
      </c>
      <c r="L35" s="33">
        <f t="shared" si="1"/>
        <v>42.03</v>
      </c>
      <c r="M35" s="33">
        <f t="shared" si="1"/>
        <v>52.47</v>
      </c>
      <c r="N35" s="33">
        <f t="shared" si="1"/>
        <v>776.2</v>
      </c>
      <c r="O35" s="33">
        <f t="shared" si="1"/>
        <v>0</v>
      </c>
      <c r="P35" s="33">
        <f t="shared" si="1"/>
        <v>0.94</v>
      </c>
      <c r="Q35" s="33">
        <f t="shared" si="1"/>
        <v>5.67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11.756666666666668</v>
      </c>
      <c r="C36" s="41">
        <f t="shared" si="2"/>
        <v>53.823750000000011</v>
      </c>
      <c r="D36" s="41">
        <f t="shared" si="2"/>
        <v>36.266249999999999</v>
      </c>
      <c r="E36" s="41">
        <f t="shared" si="2"/>
        <v>13.202083333333334</v>
      </c>
      <c r="F36" s="41">
        <f t="shared" si="2"/>
        <v>28.326666666666664</v>
      </c>
      <c r="G36" s="41">
        <f t="shared" si="2"/>
        <v>61.612916666666656</v>
      </c>
      <c r="H36" s="41">
        <f t="shared" si="2"/>
        <v>23.062500000000004</v>
      </c>
      <c r="I36" s="41">
        <f t="shared" si="2"/>
        <v>6.11625</v>
      </c>
      <c r="J36" s="41">
        <f t="shared" si="2"/>
        <v>0.61916666666666664</v>
      </c>
      <c r="K36" s="41">
        <f t="shared" si="2"/>
        <v>258.01500000000004</v>
      </c>
      <c r="L36" s="41">
        <f t="shared" si="2"/>
        <v>35.209583333333335</v>
      </c>
      <c r="M36" s="41">
        <f t="shared" si="2"/>
        <v>35.387083333333329</v>
      </c>
      <c r="N36" s="41">
        <f t="shared" si="2"/>
        <v>184.55833333333337</v>
      </c>
      <c r="O36" s="41">
        <f t="shared" si="2"/>
        <v>0</v>
      </c>
      <c r="P36" s="41">
        <f t="shared" si="2"/>
        <v>0.73416666666666675</v>
      </c>
      <c r="Q36" s="41">
        <f t="shared" si="2"/>
        <v>5.0200000000000005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5.6269287836467106</v>
      </c>
      <c r="C37" s="41">
        <f t="shared" ref="C37:Q37" si="3">STDEV(C9:C32)</f>
        <v>5.9011589226552665</v>
      </c>
      <c r="D37" s="41">
        <f t="shared" si="3"/>
        <v>7.2311048001280422</v>
      </c>
      <c r="E37" s="41">
        <f t="shared" si="3"/>
        <v>5.9558717678013142</v>
      </c>
      <c r="F37" s="41">
        <f t="shared" si="3"/>
        <v>16.746454437637968</v>
      </c>
      <c r="G37" s="41">
        <f t="shared" si="3"/>
        <v>16.326148266206154</v>
      </c>
      <c r="H37" s="41">
        <f t="shared" si="3"/>
        <v>3.0504999590230719</v>
      </c>
      <c r="I37" s="41">
        <f t="shared" si="3"/>
        <v>1.0982191612273793</v>
      </c>
      <c r="J37" s="41">
        <f t="shared" si="3"/>
        <v>0.33227694926746376</v>
      </c>
      <c r="K37" s="41">
        <f t="shared" si="3"/>
        <v>71.420482812827359</v>
      </c>
      <c r="L37" s="41">
        <f t="shared" si="3"/>
        <v>4.6858088060298515</v>
      </c>
      <c r="M37" s="41">
        <f t="shared" si="3"/>
        <v>12.614949888461958</v>
      </c>
      <c r="N37" s="41">
        <f t="shared" si="3"/>
        <v>277.06003731206408</v>
      </c>
      <c r="O37" s="41">
        <f t="shared" si="3"/>
        <v>0</v>
      </c>
      <c r="P37" s="41">
        <f t="shared" si="3"/>
        <v>0.1119750230948911</v>
      </c>
      <c r="Q37" s="41">
        <f t="shared" si="3"/>
        <v>0.26852252759515022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B45" sqref="B45:Q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01/05/2023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 t="str">
        <f>'01'!$B$2</f>
        <v>01/05/2023 01:00</v>
      </c>
      <c r="B9" s="17">
        <f>'01'!B36</f>
        <v>26.723333333333333</v>
      </c>
      <c r="C9" s="17">
        <f>'01'!C36</f>
        <v>59.740416666666675</v>
      </c>
      <c r="D9" s="17">
        <f>'01'!D36</f>
        <v>53.708333333333336</v>
      </c>
      <c r="E9" s="17">
        <f>'01'!E36</f>
        <v>7.949166666666664</v>
      </c>
      <c r="F9" s="17">
        <f>'01'!F36</f>
        <v>4.95</v>
      </c>
      <c r="G9" s="17">
        <f>'01'!G36</f>
        <v>16.900000000000002</v>
      </c>
      <c r="H9" s="17">
        <f>'01'!H36</f>
        <v>7.6612499999999981</v>
      </c>
      <c r="I9" s="17">
        <f>'01'!I36</f>
        <v>4.5791666666666666</v>
      </c>
      <c r="J9" s="17">
        <f>'01'!J36</f>
        <v>0.4291666666666667</v>
      </c>
      <c r="K9" s="17">
        <f>'01'!K36</f>
        <v>219.31958333333333</v>
      </c>
      <c r="L9" s="17">
        <f>'01'!L36</f>
        <v>25.189583333333331</v>
      </c>
      <c r="M9" s="17">
        <f>'01'!M36</f>
        <v>80.155416666666667</v>
      </c>
      <c r="N9" s="17">
        <f>'01'!N36</f>
        <v>238.46249999999998</v>
      </c>
      <c r="O9" s="17">
        <f>'01'!O36</f>
        <v>0</v>
      </c>
      <c r="P9" s="17">
        <f>'01'!P36</f>
        <v>0.56791666666666674</v>
      </c>
      <c r="Q9" s="17">
        <f>'01'!Q36</f>
        <v>6.2124999999999995</v>
      </c>
      <c r="R9" s="34"/>
      <c r="S9" s="34"/>
      <c r="T9" s="34"/>
      <c r="U9" s="35"/>
    </row>
    <row r="10" spans="1:21" s="2" customFormat="1">
      <c r="A10" s="16" t="str">
        <f>'02'!$B$2</f>
        <v>02/05/2023 01:00</v>
      </c>
      <c r="B10" s="17">
        <f>'02'!B36</f>
        <v>22.934583333333332</v>
      </c>
      <c r="C10" s="17">
        <f>'02'!C36</f>
        <v>53.900833333333331</v>
      </c>
      <c r="D10" s="17">
        <f>'02'!D36</f>
        <v>47.496666666666677</v>
      </c>
      <c r="E10" s="17">
        <f>'02'!E36</f>
        <v>7.4137499999999994</v>
      </c>
      <c r="F10" s="17">
        <f>'02'!F36</f>
        <v>10.0625</v>
      </c>
      <c r="G10" s="17">
        <f>'02'!G36</f>
        <v>26.012916666666669</v>
      </c>
      <c r="H10" s="17">
        <f>'02'!H36</f>
        <v>8.5800000000000018</v>
      </c>
      <c r="I10" s="17">
        <f>'02'!I36</f>
        <v>3.0787499999999999</v>
      </c>
      <c r="J10" s="17">
        <f>'02'!J36</f>
        <v>1.0041666666666664</v>
      </c>
      <c r="K10" s="17">
        <f>'02'!K36</f>
        <v>174.82833333333329</v>
      </c>
      <c r="L10" s="17">
        <f>'02'!L36</f>
        <v>26.36333333333333</v>
      </c>
      <c r="M10" s="17">
        <f>'02'!M36</f>
        <v>75.368333333333339</v>
      </c>
      <c r="N10" s="17">
        <f>'02'!N36</f>
        <v>268.10833333333335</v>
      </c>
      <c r="O10" s="17">
        <f>'02'!O36</f>
        <v>0</v>
      </c>
      <c r="P10" s="17">
        <f>'02'!P36</f>
        <v>0.40958333333333335</v>
      </c>
      <c r="Q10" s="17">
        <f>'02'!Q36</f>
        <v>5.899166666666666</v>
      </c>
      <c r="R10" s="36"/>
      <c r="S10" s="36"/>
      <c r="T10" s="36"/>
      <c r="U10" s="36"/>
    </row>
    <row r="11" spans="1:21" s="2" customFormat="1">
      <c r="A11" s="16" t="str">
        <f>'03'!$B$2</f>
        <v>03/05/2023 01:00</v>
      </c>
      <c r="B11" s="17">
        <f>'03'!B36</f>
        <v>22.848749999999999</v>
      </c>
      <c r="C11" s="17">
        <f>'03'!C36</f>
        <v>54.217500000000022</v>
      </c>
      <c r="D11" s="17">
        <f>'03'!D36</f>
        <v>47.709583333333335</v>
      </c>
      <c r="E11" s="17">
        <f>'03'!E36</f>
        <v>7.440833333333333</v>
      </c>
      <c r="F11" s="17">
        <f>'03'!F36</f>
        <v>4.9187500000000002</v>
      </c>
      <c r="G11" s="17">
        <f>'03'!G36</f>
        <v>23.112500000000001</v>
      </c>
      <c r="H11" s="17">
        <f>'03'!H36</f>
        <v>9.0162499999999994</v>
      </c>
      <c r="I11" s="17">
        <f>'03'!I36</f>
        <v>4.432083333333332</v>
      </c>
      <c r="J11" s="17">
        <f>'03'!J36</f>
        <v>0.78291666666666659</v>
      </c>
      <c r="K11" s="17">
        <f>'03'!K36</f>
        <v>256.20833333333331</v>
      </c>
      <c r="L11" s="17">
        <f>'03'!L36</f>
        <v>24.819999999999997</v>
      </c>
      <c r="M11" s="17">
        <f>'03'!M36</f>
        <v>82.922499999999999</v>
      </c>
      <c r="N11" s="17">
        <f>'03'!N36</f>
        <v>225.88750000000002</v>
      </c>
      <c r="O11" s="17">
        <f>'03'!O36</f>
        <v>0</v>
      </c>
      <c r="P11" s="17">
        <f>'03'!P36</f>
        <v>0.53625</v>
      </c>
      <c r="Q11" s="17">
        <f>'03'!Q36</f>
        <v>5.6383333333333319</v>
      </c>
      <c r="R11" s="36"/>
      <c r="S11" s="36"/>
      <c r="T11" s="36"/>
      <c r="U11" s="36"/>
    </row>
    <row r="12" spans="1:21" s="2" customFormat="1">
      <c r="A12" s="16" t="str">
        <f>'04'!$B$2</f>
        <v>04/05/2023 01:00</v>
      </c>
      <c r="B12" s="17">
        <f>'04'!B36</f>
        <v>30.517083333333332</v>
      </c>
      <c r="C12" s="17">
        <f>'04'!C36</f>
        <v>50.740416666666682</v>
      </c>
      <c r="D12" s="17">
        <f>'04'!D36</f>
        <v>51.93333333333333</v>
      </c>
      <c r="E12" s="17">
        <f>'04'!E36</f>
        <v>9.0341666666666658</v>
      </c>
      <c r="F12" s="17">
        <f>'04'!F36</f>
        <v>13.919166666666664</v>
      </c>
      <c r="G12" s="17">
        <f>'04'!G36</f>
        <v>47.644583333333337</v>
      </c>
      <c r="H12" s="17">
        <f>'04'!H36</f>
        <v>17.142083333333339</v>
      </c>
      <c r="I12" s="17">
        <f>'04'!I36</f>
        <v>5.1870833333333337</v>
      </c>
      <c r="J12" s="17">
        <f>'04'!J36</f>
        <v>0.52583333333333349</v>
      </c>
      <c r="K12" s="17">
        <f>'04'!K36</f>
        <v>205.54374999999996</v>
      </c>
      <c r="L12" s="17">
        <f>'04'!L36</f>
        <v>28.955416666666668</v>
      </c>
      <c r="M12" s="17">
        <f>'04'!M36</f>
        <v>66.061666666666682</v>
      </c>
      <c r="N12" s="17">
        <f>'04'!N36</f>
        <v>262.13749999999999</v>
      </c>
      <c r="O12" s="17">
        <f>'04'!O36</f>
        <v>0</v>
      </c>
      <c r="P12" s="17">
        <f>'04'!P36</f>
        <v>0.63791666666666669</v>
      </c>
      <c r="Q12" s="17">
        <f>'04'!Q36</f>
        <v>6.2041666666666657</v>
      </c>
      <c r="R12" s="36"/>
      <c r="S12" s="36"/>
      <c r="T12" s="36"/>
      <c r="U12" s="36"/>
    </row>
    <row r="13" spans="1:21" s="2" customFormat="1">
      <c r="A13" s="16" t="str">
        <f>'05'!$B$2</f>
        <v>05/05/2023 01:00</v>
      </c>
      <c r="B13" s="17">
        <f>'05'!B36</f>
        <v>27.188750000000002</v>
      </c>
      <c r="C13" s="17">
        <f>'05'!C36</f>
        <v>52.050416666666685</v>
      </c>
      <c r="D13" s="17">
        <f>'05'!D36</f>
        <v>49.909999999999989</v>
      </c>
      <c r="E13" s="17">
        <f>'05'!E36</f>
        <v>11.420000000000002</v>
      </c>
      <c r="F13" s="17">
        <f>'05'!F36</f>
        <v>11.719999999999999</v>
      </c>
      <c r="G13" s="17">
        <f>'05'!G36</f>
        <v>63.479583333333323</v>
      </c>
      <c r="H13" s="17">
        <f>'05'!H36</f>
        <v>25.857500000000005</v>
      </c>
      <c r="I13" s="17">
        <f>'05'!I36</f>
        <v>6.9070833333333326</v>
      </c>
      <c r="J13" s="17">
        <f>'05'!J36</f>
        <v>0.60416666666666641</v>
      </c>
      <c r="K13" s="17">
        <f>'05'!K36</f>
        <v>267.01</v>
      </c>
      <c r="L13" s="17">
        <f>'05'!L36</f>
        <v>30.44916666666667</v>
      </c>
      <c r="M13" s="17">
        <f>'05'!M36</f>
        <v>59.127083333333339</v>
      </c>
      <c r="N13" s="17">
        <f>'05'!N36</f>
        <v>227.78749999999999</v>
      </c>
      <c r="O13" s="17">
        <f>'05'!O36</f>
        <v>0</v>
      </c>
      <c r="P13" s="17">
        <f>'05'!P36</f>
        <v>0.66125</v>
      </c>
      <c r="Q13" s="17">
        <f>'05'!Q36</f>
        <v>5.8554166666666676</v>
      </c>
      <c r="R13" s="36"/>
      <c r="S13" s="36"/>
      <c r="T13" s="36"/>
      <c r="U13" s="36"/>
    </row>
    <row r="14" spans="1:21" s="2" customFormat="1">
      <c r="A14" s="16" t="str">
        <f>'06'!$B$2</f>
        <v>06/05/2023 01:00</v>
      </c>
      <c r="B14" s="18">
        <f>'06'!B36</f>
        <v>17.912500000000005</v>
      </c>
      <c r="C14" s="18">
        <f>'06'!C36</f>
        <v>49.417499999999997</v>
      </c>
      <c r="D14" s="18">
        <f>'06'!D36</f>
        <v>40.969583333333333</v>
      </c>
      <c r="E14" s="18">
        <f>'06'!E36</f>
        <v>9.3021739130434771</v>
      </c>
      <c r="F14" s="18">
        <f>'06'!F36</f>
        <v>17.531666666666663</v>
      </c>
      <c r="G14" s="18">
        <f>'06'!G36</f>
        <v>36.623913043478261</v>
      </c>
      <c r="H14" s="18">
        <f>'06'!H36</f>
        <v>16.532608695652176</v>
      </c>
      <c r="I14" s="18">
        <f>'06'!I36</f>
        <v>16.782083333333336</v>
      </c>
      <c r="J14" s="18">
        <f>'06'!J36</f>
        <v>0.5099999999999999</v>
      </c>
      <c r="K14" s="18">
        <f>'06'!K36</f>
        <v>247.09458333333328</v>
      </c>
      <c r="L14" s="18">
        <f>'06'!L36</f>
        <v>31.104166666666671</v>
      </c>
      <c r="M14" s="18">
        <f>'06'!M36</f>
        <v>59.805416666666666</v>
      </c>
      <c r="N14" s="18">
        <f>'06'!N36</f>
        <v>229.95833333333334</v>
      </c>
      <c r="O14" s="18">
        <f>'06'!O36</f>
        <v>0</v>
      </c>
      <c r="P14" s="18">
        <f>'06'!P36</f>
        <v>0.53166666666666662</v>
      </c>
      <c r="Q14" s="18">
        <f>'06'!Q36</f>
        <v>5.230833333333333</v>
      </c>
      <c r="R14" s="36"/>
      <c r="S14" s="36"/>
      <c r="T14" s="36"/>
      <c r="U14" s="36"/>
    </row>
    <row r="15" spans="1:21" s="2" customFormat="1">
      <c r="A15" s="16" t="str">
        <f>'07'!$B$2</f>
        <v>07/05/2023 01:00</v>
      </c>
      <c r="B15" s="18">
        <f>'07'!B36</f>
        <v>23.72904761904762</v>
      </c>
      <c r="C15" s="18">
        <f>'07'!C36</f>
        <v>53.653684210526308</v>
      </c>
      <c r="D15" s="18">
        <f>'07'!D36</f>
        <v>50.640952380952371</v>
      </c>
      <c r="E15" s="18">
        <f>'07'!E36</f>
        <v>8.7843478260869556</v>
      </c>
      <c r="F15" s="18">
        <f>'07'!F36</f>
        <v>12.367826086956523</v>
      </c>
      <c r="G15" s="18">
        <f>'07'!G36</f>
        <v>56.638333333333321</v>
      </c>
      <c r="H15" s="18">
        <f>'07'!H36</f>
        <v>25.749583333333334</v>
      </c>
      <c r="I15" s="18">
        <f>'07'!I36</f>
        <v>7.6487500000000006</v>
      </c>
      <c r="J15" s="18">
        <f>'07'!J36</f>
        <v>0.54875000000000007</v>
      </c>
      <c r="K15" s="18">
        <f>'07'!K36</f>
        <v>243.81500000000005</v>
      </c>
      <c r="L15" s="18">
        <f>'07'!L36</f>
        <v>30.647916666666664</v>
      </c>
      <c r="M15" s="18">
        <f>'07'!M36</f>
        <v>66.467916666666653</v>
      </c>
      <c r="N15" s="18">
        <f>'07'!N36</f>
        <v>193.85416666666666</v>
      </c>
      <c r="O15" s="18">
        <f>'07'!O36</f>
        <v>0</v>
      </c>
      <c r="P15" s="18">
        <f>'07'!P36</f>
        <v>0.81058823529411761</v>
      </c>
      <c r="Q15" s="18">
        <f>'07'!Q36</f>
        <v>5.8915000000000015</v>
      </c>
      <c r="R15" s="36"/>
      <c r="S15" s="36"/>
      <c r="T15" s="36"/>
      <c r="U15" s="36"/>
    </row>
    <row r="16" spans="1:21" s="2" customFormat="1">
      <c r="A16" s="16" t="str">
        <f>'08'!$B$2</f>
        <v>08/05/2023 01:00</v>
      </c>
      <c r="B16" s="18">
        <f>'08'!B36</f>
        <v>10.581666666666667</v>
      </c>
      <c r="C16" s="18">
        <f>'08'!C36</f>
        <v>61.058333333333337</v>
      </c>
      <c r="D16" s="18">
        <f>'08'!D36</f>
        <v>41.470833333333339</v>
      </c>
      <c r="E16" s="18">
        <f>'08'!E36</f>
        <v>10.095652173913043</v>
      </c>
      <c r="F16" s="18">
        <f>'08'!F36</f>
        <v>15.58173913043478</v>
      </c>
      <c r="G16" s="18">
        <f>'08'!G36</f>
        <v>58.82833333333334</v>
      </c>
      <c r="H16" s="18">
        <f>'08'!H36</f>
        <v>24.850833333333327</v>
      </c>
      <c r="I16" s="18">
        <f>'08'!I36</f>
        <v>2.7150000000000003</v>
      </c>
      <c r="J16" s="18">
        <f>'08'!J36</f>
        <v>0.50749999999999995</v>
      </c>
      <c r="K16" s="18">
        <f>'08'!K36</f>
        <v>215.96624999999997</v>
      </c>
      <c r="L16" s="18">
        <f>'08'!L36</f>
        <v>32.344583333333325</v>
      </c>
      <c r="M16" s="18">
        <f>'08'!M36</f>
        <v>58.986250000000005</v>
      </c>
      <c r="N16" s="18">
        <f>'08'!N36</f>
        <v>227.64583333333329</v>
      </c>
      <c r="O16" s="18">
        <f>'08'!O36</f>
        <v>0</v>
      </c>
      <c r="P16" s="18">
        <f>'08'!P36</f>
        <v>0.46166666666666667</v>
      </c>
      <c r="Q16" s="18">
        <f>'08'!Q36</f>
        <v>4.2641666666666662</v>
      </c>
      <c r="R16" s="36"/>
      <c r="S16" s="36"/>
      <c r="T16" s="36"/>
      <c r="U16" s="36"/>
    </row>
    <row r="17" spans="1:24" s="2" customFormat="1">
      <c r="A17" s="16" t="str">
        <f>'09'!$B$2</f>
        <v>09/05/2023 01:00</v>
      </c>
      <c r="B17" s="18">
        <f>'09'!B36</f>
        <v>18.544583333333332</v>
      </c>
      <c r="C17" s="18">
        <f>'09'!C36</f>
        <v>51.188636363636377</v>
      </c>
      <c r="D17" s="18">
        <f>'09'!D36</f>
        <v>46.857916666666675</v>
      </c>
      <c r="E17" s="18">
        <f>'09'!E36</f>
        <v>19.427500000000002</v>
      </c>
      <c r="F17" s="18">
        <f>'09'!F36</f>
        <v>33.576666666666668</v>
      </c>
      <c r="G17" s="18">
        <f>'09'!G36</f>
        <v>75.012083333333337</v>
      </c>
      <c r="H17" s="18">
        <f>'09'!H36</f>
        <v>29.030416666666664</v>
      </c>
      <c r="I17" s="18">
        <f>'09'!I36</f>
        <v>4.3579166666666671</v>
      </c>
      <c r="J17" s="18">
        <f>'09'!J36</f>
        <v>0.61583333333333334</v>
      </c>
      <c r="K17" s="18">
        <f>'09'!K36</f>
        <v>230.80500000000004</v>
      </c>
      <c r="L17" s="18">
        <f>'09'!L36</f>
        <v>32.08958333333333</v>
      </c>
      <c r="M17" s="18">
        <f>'09'!M36</f>
        <v>57.387916666666655</v>
      </c>
      <c r="N17" s="18">
        <f>'09'!N36</f>
        <v>191.81666666666669</v>
      </c>
      <c r="O17" s="18">
        <f>'09'!O36</f>
        <v>0</v>
      </c>
      <c r="P17" s="18">
        <f>'09'!P36</f>
        <v>0.44222222222222224</v>
      </c>
      <c r="Q17" s="18">
        <f>'09'!Q36</f>
        <v>4.6770000000000014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10/05/2023 01:00</v>
      </c>
      <c r="B18" s="18">
        <f>'10'!B36</f>
        <v>22.848181818181818</v>
      </c>
      <c r="C18" s="18">
        <f>'10'!C36</f>
        <v>51.842857142857135</v>
      </c>
      <c r="D18" s="18">
        <f>'10'!D36</f>
        <v>47.354090909090907</v>
      </c>
      <c r="E18" s="18">
        <f>'10'!E36</f>
        <v>12.266363636363637</v>
      </c>
      <c r="F18" s="18">
        <f>'10'!F36</f>
        <v>28.50181818181818</v>
      </c>
      <c r="G18" s="18">
        <f>'10'!G36</f>
        <v>60.40636363636365</v>
      </c>
      <c r="H18" s="18">
        <f>'10'!H36</f>
        <v>21.731363636363636</v>
      </c>
      <c r="I18" s="18">
        <f>'10'!I36</f>
        <v>4.1336363636363638</v>
      </c>
      <c r="J18" s="18">
        <f>'10'!J36</f>
        <v>0.51227272727272721</v>
      </c>
      <c r="K18" s="18">
        <f>'10'!K36</f>
        <v>228.09454545454545</v>
      </c>
      <c r="L18" s="18">
        <f>'10'!L36</f>
        <v>32.43545454545454</v>
      </c>
      <c r="M18" s="18">
        <f>'10'!M36</f>
        <v>53.950454545454548</v>
      </c>
      <c r="N18" s="18">
        <f>'10'!N36</f>
        <v>222.17272727272723</v>
      </c>
      <c r="O18" s="18">
        <f>'10'!O36</f>
        <v>0</v>
      </c>
      <c r="P18" s="18">
        <f>'10'!P36</f>
        <v>0.65071428571428569</v>
      </c>
      <c r="Q18" s="18">
        <f>'10'!Q36</f>
        <v>4.4045000000000005</v>
      </c>
      <c r="R18" s="36"/>
      <c r="S18" s="36"/>
      <c r="T18" s="36"/>
      <c r="U18" s="36"/>
    </row>
    <row r="19" spans="1:24" s="2" customFormat="1">
      <c r="A19" s="16" t="str">
        <f>'11'!$B$2</f>
        <v>11/05/2023 01:00</v>
      </c>
      <c r="B19" s="18">
        <f>'11'!B36</f>
        <v>36.698750000000011</v>
      </c>
      <c r="C19" s="18">
        <f>'11'!C36</f>
        <v>61.210833333333333</v>
      </c>
      <c r="D19" s="18">
        <f>'11'!D36</f>
        <v>62.192499999999995</v>
      </c>
      <c r="E19" s="18">
        <f>'11'!E36</f>
        <v>14.49416666666667</v>
      </c>
      <c r="F19" s="18">
        <f>'11'!F36</f>
        <v>18.939583333333335</v>
      </c>
      <c r="G19" s="18">
        <f>'11'!G36</f>
        <v>98.27833333333335</v>
      </c>
      <c r="H19" s="18">
        <f>'11'!H36</f>
        <v>28.008333333333329</v>
      </c>
      <c r="I19" s="18">
        <f>'11'!I36</f>
        <v>8.1624999999999996</v>
      </c>
      <c r="J19" s="18">
        <f>'11'!J36</f>
        <v>0.56624999999999992</v>
      </c>
      <c r="K19" s="18">
        <f>'11'!K36</f>
        <v>132.41041666666666</v>
      </c>
      <c r="L19" s="18">
        <f>'11'!L36</f>
        <v>32.240833333333327</v>
      </c>
      <c r="M19" s="18">
        <f>'11'!M36</f>
        <v>40.487083333333324</v>
      </c>
      <c r="N19" s="18">
        <f>'11'!N36</f>
        <v>242.85416666666671</v>
      </c>
      <c r="O19" s="18">
        <f>'11'!O36</f>
        <v>0</v>
      </c>
      <c r="P19" s="18">
        <f>'11'!P36</f>
        <v>0.88124999999999998</v>
      </c>
      <c r="Q19" s="18">
        <f>'11'!Q36</f>
        <v>5.6124999999999998</v>
      </c>
      <c r="R19" s="36"/>
      <c r="S19" s="36"/>
      <c r="T19" s="36"/>
      <c r="U19" s="36"/>
    </row>
    <row r="20" spans="1:24" s="2" customFormat="1">
      <c r="A20" s="16" t="str">
        <f>'12'!$B$2</f>
        <v>12/05/2023 01:00</v>
      </c>
      <c r="B20" s="18">
        <f>'12'!B36</f>
        <v>41.760416666666664</v>
      </c>
      <c r="C20" s="18">
        <f>'12'!C36</f>
        <v>66.257500000000007</v>
      </c>
      <c r="D20" s="18">
        <f>'12'!D36</f>
        <v>68.907916666666665</v>
      </c>
      <c r="E20" s="18">
        <f>'12'!E36</f>
        <v>18.126666666666669</v>
      </c>
      <c r="F20" s="18">
        <f>'12'!F36</f>
        <v>22.694166666666664</v>
      </c>
      <c r="G20" s="18">
        <f>'12'!G36</f>
        <v>107.84166666666668</v>
      </c>
      <c r="H20" s="18">
        <f>'12'!H36</f>
        <v>33.168333333333344</v>
      </c>
      <c r="I20" s="18">
        <f>'12'!I36</f>
        <v>10.087916666666667</v>
      </c>
      <c r="J20" s="18">
        <f>'12'!J36</f>
        <v>0.49708333333333338</v>
      </c>
      <c r="K20" s="18">
        <f>'12'!K36</f>
        <v>186.19624999999999</v>
      </c>
      <c r="L20" s="18">
        <f>'12'!L36</f>
        <v>31.502500000000001</v>
      </c>
      <c r="M20" s="18">
        <f>'12'!M36</f>
        <v>40.517916666666665</v>
      </c>
      <c r="N20" s="18">
        <f>'12'!N36</f>
        <v>222.47500000000002</v>
      </c>
      <c r="O20" s="18">
        <f>'12'!O36</f>
        <v>0</v>
      </c>
      <c r="P20" s="18">
        <f>'12'!P36</f>
        <v>1.0083333333333335</v>
      </c>
      <c r="Q20" s="18">
        <f>'12'!Q36</f>
        <v>6.2454166666666673</v>
      </c>
      <c r="R20" s="36"/>
      <c r="S20" s="36"/>
      <c r="T20" s="36"/>
      <c r="U20" s="36"/>
    </row>
    <row r="21" spans="1:24" s="2" customFormat="1">
      <c r="A21" s="16" t="str">
        <f>'13'!$B$2</f>
        <v>13/05/2023 01:00</v>
      </c>
      <c r="B21" s="18">
        <f>'13'!B36</f>
        <v>26.196521739130436</v>
      </c>
      <c r="C21" s="18">
        <f>'13'!C36</f>
        <v>63.513913043478269</v>
      </c>
      <c r="D21" s="18">
        <f>'13'!D36</f>
        <v>53.9304347826087</v>
      </c>
      <c r="E21" s="18">
        <f>'13'!E36</f>
        <v>17.440000000000001</v>
      </c>
      <c r="F21" s="18">
        <f>'13'!F36</f>
        <v>33.78875</v>
      </c>
      <c r="G21" s="18">
        <f>'13'!G36</f>
        <v>105.88869565217392</v>
      </c>
      <c r="H21" s="18">
        <f>'13'!H36</f>
        <v>34.539565217391299</v>
      </c>
      <c r="I21" s="18">
        <f>'13'!I36</f>
        <v>10.600416666666666</v>
      </c>
      <c r="J21" s="18">
        <f>'13'!J36</f>
        <v>0.61583333333333334</v>
      </c>
      <c r="K21" s="18">
        <f>'13'!K36</f>
        <v>171.87750000000003</v>
      </c>
      <c r="L21" s="18">
        <f>'13'!L36</f>
        <v>31.863333333333344</v>
      </c>
      <c r="M21" s="18">
        <f>'13'!M36</f>
        <v>39.455833333333331</v>
      </c>
      <c r="N21" s="18">
        <f>'13'!N36</f>
        <v>217.20000000000002</v>
      </c>
      <c r="O21" s="18">
        <f>'13'!O36</f>
        <v>0</v>
      </c>
      <c r="P21" s="18">
        <f>'13'!P36</f>
        <v>0.89666666666666683</v>
      </c>
      <c r="Q21" s="18">
        <f>'13'!Q36</f>
        <v>5.4541666666666666</v>
      </c>
      <c r="R21" s="36"/>
      <c r="S21" s="36"/>
      <c r="T21" s="36"/>
      <c r="U21" s="36"/>
    </row>
    <row r="22" spans="1:24" s="2" customFormat="1">
      <c r="A22" s="16" t="str">
        <f>'14'!$B$2</f>
        <v>14/05/2023 01:00</v>
      </c>
      <c r="B22" s="18">
        <f>'14'!B36</f>
        <v>16</v>
      </c>
      <c r="C22" s="18">
        <f>'14'!C36</f>
        <v>60.560000000000009</v>
      </c>
      <c r="D22" s="18">
        <f>'14'!D36</f>
        <v>43.148333333333319</v>
      </c>
      <c r="E22" s="18">
        <f>'14'!E36</f>
        <v>17.087916666666668</v>
      </c>
      <c r="F22" s="18">
        <f>'14'!F36</f>
        <v>31.611666666666661</v>
      </c>
      <c r="G22" s="18">
        <f>'14'!G36</f>
        <v>88.48</v>
      </c>
      <c r="H22" s="18">
        <f>'14'!H36</f>
        <v>32.156250000000007</v>
      </c>
      <c r="I22" s="18">
        <f>'14'!I36</f>
        <v>8.1595833333333321</v>
      </c>
      <c r="J22" s="18">
        <f>'14'!J36</f>
        <v>0.43875000000000003</v>
      </c>
      <c r="K22" s="18">
        <f>'14'!K36</f>
        <v>216.33166666666668</v>
      </c>
      <c r="L22" s="18">
        <f>'14'!L36</f>
        <v>33.044166666666669</v>
      </c>
      <c r="M22" s="18">
        <f>'14'!M36</f>
        <v>38.49583333333333</v>
      </c>
      <c r="N22" s="18">
        <f>'14'!N36</f>
        <v>209.30416666666667</v>
      </c>
      <c r="O22" s="18">
        <f>'14'!O36</f>
        <v>0</v>
      </c>
      <c r="P22" s="18">
        <f>'14'!P36</f>
        <v>0.8866666666666666</v>
      </c>
      <c r="Q22" s="18">
        <f>'14'!Q36</f>
        <v>5.1849999999999996</v>
      </c>
      <c r="R22" s="38"/>
      <c r="S22" s="38"/>
      <c r="T22" s="38"/>
      <c r="U22" s="38"/>
    </row>
    <row r="23" spans="1:24" s="2" customFormat="1">
      <c r="A23" s="16" t="str">
        <f>'15'!$B$2</f>
        <v>15/05/2023 01:00</v>
      </c>
      <c r="B23" s="19">
        <f>'15'!B36</f>
        <v>11.464999999999998</v>
      </c>
      <c r="C23" s="19">
        <f>'15'!C36</f>
        <v>58.539166666666667</v>
      </c>
      <c r="D23" s="19">
        <f>'15'!D36</f>
        <v>38.58958333333333</v>
      </c>
      <c r="E23" s="19">
        <f>'15'!E36</f>
        <v>10.545</v>
      </c>
      <c r="F23" s="19">
        <f>'15'!F36</f>
        <v>28.967083333333338</v>
      </c>
      <c r="G23" s="19">
        <f>'15'!G36</f>
        <v>68.094583333333318</v>
      </c>
      <c r="H23" s="19">
        <f>'15'!H36</f>
        <v>22.008333333333336</v>
      </c>
      <c r="I23" s="19">
        <f>'15'!I36</f>
        <v>6.3879166666666656</v>
      </c>
      <c r="J23" s="19">
        <f>'15'!J36</f>
        <v>0.69666666666666643</v>
      </c>
      <c r="K23" s="19">
        <f>'15'!K36</f>
        <v>218.28625</v>
      </c>
      <c r="L23" s="19">
        <f>'15'!L36</f>
        <v>34.35</v>
      </c>
      <c r="M23" s="19">
        <f>'15'!M36</f>
        <v>34.050000000000004</v>
      </c>
      <c r="N23" s="19">
        <f>'15'!N36</f>
        <v>203.41250000000005</v>
      </c>
      <c r="O23" s="19">
        <f>'15'!O36</f>
        <v>0</v>
      </c>
      <c r="P23" s="19">
        <f>'15'!P36</f>
        <v>0.72624999999999984</v>
      </c>
      <c r="Q23" s="19">
        <f>'15'!Q36</f>
        <v>4.9241666666666655</v>
      </c>
      <c r="R23" s="38"/>
      <c r="S23" s="38"/>
      <c r="T23" s="38"/>
      <c r="U23" s="36"/>
    </row>
    <row r="24" spans="1:24" s="2" customFormat="1">
      <c r="A24" s="16" t="str">
        <f>'16'!$B$2</f>
        <v>16/05/2023 01:00</v>
      </c>
      <c r="B24" s="18">
        <f>'16'!B36</f>
        <v>13.135416666666664</v>
      </c>
      <c r="C24" s="18">
        <f>'16'!C36</f>
        <v>55.666666666666657</v>
      </c>
      <c r="D24" s="18">
        <f>'16'!D36</f>
        <v>38.272499999999987</v>
      </c>
      <c r="E24" s="18">
        <f>'16'!E36</f>
        <v>12.445416666666668</v>
      </c>
      <c r="F24" s="18">
        <f>'16'!F36</f>
        <v>22.678749999999997</v>
      </c>
      <c r="G24" s="18">
        <f>'16'!G36</f>
        <v>62.484583333333326</v>
      </c>
      <c r="H24" s="18">
        <f>'16'!H36</f>
        <v>18.997916666666665</v>
      </c>
      <c r="I24" s="18">
        <f>'16'!I36</f>
        <v>7.592500000000002</v>
      </c>
      <c r="J24" s="18">
        <f>'16'!J36</f>
        <v>0.61458333333333337</v>
      </c>
      <c r="K24" s="18">
        <f>'16'!K36</f>
        <v>250.59791666666669</v>
      </c>
      <c r="L24" s="18">
        <f>'16'!L36</f>
        <v>34.608333333333334</v>
      </c>
      <c r="M24" s="18">
        <f>'16'!M36</f>
        <v>36.357083333333343</v>
      </c>
      <c r="N24" s="18">
        <f>'16'!N36</f>
        <v>223.53749999999999</v>
      </c>
      <c r="O24" s="18">
        <f>'16'!O36</f>
        <v>0</v>
      </c>
      <c r="P24" s="18">
        <f>'16'!P36</f>
        <v>0.75833333333333319</v>
      </c>
      <c r="Q24" s="18">
        <f>'16'!Q36</f>
        <v>5.0295833333333331</v>
      </c>
      <c r="R24" s="38"/>
      <c r="S24" s="38"/>
      <c r="T24" s="38"/>
      <c r="U24" s="36"/>
    </row>
    <row r="25" spans="1:24" s="2" customFormat="1">
      <c r="A25" s="16" t="str">
        <f>'17'!$B$2</f>
        <v>17/05/2023 01:00</v>
      </c>
      <c r="B25" s="18">
        <f>'17'!B36</f>
        <v>9.8366666666666678</v>
      </c>
      <c r="C25" s="18">
        <f>'17'!C36</f>
        <v>51.619166666666665</v>
      </c>
      <c r="D25" s="18">
        <f>'17'!D36</f>
        <v>33.654583333333328</v>
      </c>
      <c r="E25" s="18">
        <f>'17'!E36</f>
        <v>10.72875</v>
      </c>
      <c r="F25" s="18">
        <f>'17'!F36</f>
        <v>25.32041666666667</v>
      </c>
      <c r="G25" s="18">
        <f>'17'!G36</f>
        <v>47.226666666666667</v>
      </c>
      <c r="H25" s="18">
        <f>'17'!H36</f>
        <v>14.59958333333333</v>
      </c>
      <c r="I25" s="18">
        <f>'17'!I36</f>
        <v>6.213750000000001</v>
      </c>
      <c r="J25" s="18">
        <f>'17'!J36</f>
        <v>0.54958333333333331</v>
      </c>
      <c r="K25" s="18">
        <f>'17'!K36</f>
        <v>245.37083333333337</v>
      </c>
      <c r="L25" s="18">
        <f>'17'!L36</f>
        <v>35.01</v>
      </c>
      <c r="M25" s="18">
        <f>'17'!M36</f>
        <v>33.675833333333337</v>
      </c>
      <c r="N25" s="18">
        <f>'17'!N36</f>
        <v>210.2833333333333</v>
      </c>
      <c r="O25" s="18">
        <f>'17'!O36</f>
        <v>0</v>
      </c>
      <c r="P25" s="18">
        <f>'17'!P36</f>
        <v>0.59666666666666679</v>
      </c>
      <c r="Q25" s="18">
        <f>'17'!Q36</f>
        <v>4.8612499999999992</v>
      </c>
      <c r="R25" s="38"/>
      <c r="S25" s="38"/>
      <c r="T25" s="38"/>
      <c r="U25" s="36"/>
    </row>
    <row r="26" spans="1:24" s="2" customFormat="1">
      <c r="A26" s="16" t="str">
        <f>'18'!$B$2</f>
        <v>18/05/2023 01:00</v>
      </c>
      <c r="B26" s="18">
        <f>'18'!B36</f>
        <v>9.3116666666666656</v>
      </c>
      <c r="C26" s="18">
        <f>'18'!C36</f>
        <v>52.973750000000003</v>
      </c>
      <c r="D26" s="18">
        <f>'18'!D36</f>
        <v>33.929166666666667</v>
      </c>
      <c r="E26" s="18">
        <f>'18'!E36</f>
        <v>11.704999999999998</v>
      </c>
      <c r="F26" s="18">
        <f>'18'!F36</f>
        <v>24.872499999999999</v>
      </c>
      <c r="G26" s="18">
        <f>'18'!G36</f>
        <v>54.555000000000007</v>
      </c>
      <c r="H26" s="18">
        <f>'18'!H36</f>
        <v>16.494166666666668</v>
      </c>
      <c r="I26" s="18">
        <f>'18'!I36</f>
        <v>6.8704166666666673</v>
      </c>
      <c r="J26" s="18">
        <f>'18'!J36</f>
        <v>0.50208333333333344</v>
      </c>
      <c r="K26" s="18">
        <f>'18'!K36</f>
        <v>214.88625000000002</v>
      </c>
      <c r="L26" s="18">
        <f>'18'!L36</f>
        <v>33.760416666666664</v>
      </c>
      <c r="M26" s="18">
        <f>'18'!M36</f>
        <v>42.542083333333338</v>
      </c>
      <c r="N26" s="18">
        <f>'18'!N36</f>
        <v>179.00416666666663</v>
      </c>
      <c r="O26" s="18">
        <f>'18'!O36</f>
        <v>0</v>
      </c>
      <c r="P26" s="18">
        <f>'18'!P36</f>
        <v>0.70874999999999988</v>
      </c>
      <c r="Q26" s="18">
        <f>'18'!Q36</f>
        <v>4.8695833333333338</v>
      </c>
      <c r="R26" s="38"/>
      <c r="S26" s="38"/>
      <c r="T26" s="38"/>
      <c r="U26" s="36"/>
    </row>
    <row r="27" spans="1:24" s="2" customFormat="1">
      <c r="A27" s="16" t="str">
        <f>'19'!$B$2</f>
        <v>19/05/2023 01:00</v>
      </c>
      <c r="B27" s="18">
        <f>'19'!B36</f>
        <v>12.286250000000001</v>
      </c>
      <c r="C27" s="18">
        <f>'19'!C36</f>
        <v>53.819166666666668</v>
      </c>
      <c r="D27" s="18">
        <f>'19'!D36</f>
        <v>36.800416666666671</v>
      </c>
      <c r="E27" s="18">
        <f>'19'!E36</f>
        <v>9.8725000000000005</v>
      </c>
      <c r="F27" s="18">
        <f>'19'!F36</f>
        <v>23.543749999999999</v>
      </c>
      <c r="G27" s="18">
        <f>'19'!G36</f>
        <v>53.722499999999997</v>
      </c>
      <c r="H27" s="18">
        <f>'19'!H36</f>
        <v>16.7575</v>
      </c>
      <c r="I27" s="18">
        <f>'19'!I36</f>
        <v>9.1766666666666676</v>
      </c>
      <c r="J27" s="18">
        <f>'19'!J36</f>
        <v>0.5854166666666667</v>
      </c>
      <c r="K27" s="18">
        <f>'19'!K36</f>
        <v>217.33833333333337</v>
      </c>
      <c r="L27" s="18">
        <f>'19'!L36</f>
        <v>33.7425</v>
      </c>
      <c r="M27" s="18">
        <f>'19'!M36</f>
        <v>44.740416666666668</v>
      </c>
      <c r="N27" s="18">
        <f>'19'!N36</f>
        <v>181.59583333333333</v>
      </c>
      <c r="O27" s="18">
        <f>'19'!O36</f>
        <v>0</v>
      </c>
      <c r="P27" s="18">
        <f>'19'!P36</f>
        <v>0.71833333333333327</v>
      </c>
      <c r="Q27" s="18">
        <f>'19'!Q36</f>
        <v>5.050416666666667</v>
      </c>
      <c r="R27" s="38"/>
      <c r="S27" s="38"/>
      <c r="T27" s="38"/>
      <c r="U27" s="36"/>
    </row>
    <row r="28" spans="1:24" s="2" customFormat="1">
      <c r="A28" s="16" t="str">
        <f>'20'!$B$2</f>
        <v>20/05/2023 01:00</v>
      </c>
      <c r="B28" s="18">
        <f>'20'!B36</f>
        <v>9.8024999999999984</v>
      </c>
      <c r="C28" s="18">
        <f>'20'!C36</f>
        <v>54.25416666666667</v>
      </c>
      <c r="D28" s="18">
        <f>'20'!D36</f>
        <v>34.99</v>
      </c>
      <c r="E28" s="18">
        <f>'20'!E36</f>
        <v>11.474166666666667</v>
      </c>
      <c r="F28" s="18">
        <f>'20'!F36</f>
        <v>26.583333333333332</v>
      </c>
      <c r="G28" s="18">
        <f>'20'!G36</f>
        <v>35.705000000000005</v>
      </c>
      <c r="H28" s="18">
        <f>'20'!H36</f>
        <v>14.103333333333332</v>
      </c>
      <c r="I28" s="18">
        <f>'20'!I36</f>
        <v>5.1837500000000007</v>
      </c>
      <c r="J28" s="18">
        <f>'20'!J36</f>
        <v>0.59458333333333335</v>
      </c>
      <c r="K28" s="18">
        <f>'20'!K36</f>
        <v>249.94500000000002</v>
      </c>
      <c r="L28" s="18">
        <f>'20'!L36</f>
        <v>33.061250000000001</v>
      </c>
      <c r="M28" s="18">
        <f>'20'!M36</f>
        <v>46.807083333333331</v>
      </c>
      <c r="N28" s="18">
        <f>'20'!N36</f>
        <v>203.29999999999998</v>
      </c>
      <c r="O28" s="18">
        <f>'20'!O36</f>
        <v>0</v>
      </c>
      <c r="P28" s="18">
        <f>'20'!P36</f>
        <v>0.50624999999999998</v>
      </c>
      <c r="Q28" s="18">
        <f>'20'!Q36</f>
        <v>4.876666666666666</v>
      </c>
      <c r="R28" s="38"/>
      <c r="S28" s="38"/>
      <c r="T28" s="38"/>
      <c r="U28" s="36"/>
    </row>
    <row r="29" spans="1:24" s="2" customFormat="1">
      <c r="A29" s="16" t="str">
        <f>'21'!$B$2</f>
        <v>21/05/2023 01:00</v>
      </c>
      <c r="B29" s="18">
        <f>'21'!B36</f>
        <v>12.486666666666665</v>
      </c>
      <c r="C29" s="18">
        <f>'21'!C36</f>
        <v>55.261249999999997</v>
      </c>
      <c r="D29" s="18">
        <f>'21'!D36</f>
        <v>37.734999999999992</v>
      </c>
      <c r="E29" s="18">
        <f>'21'!E36</f>
        <v>12.625416666666668</v>
      </c>
      <c r="F29" s="18">
        <f>'21'!F36</f>
        <v>24.278333333333336</v>
      </c>
      <c r="G29" s="18">
        <f>'21'!G36</f>
        <v>47.922083333333347</v>
      </c>
      <c r="H29" s="18">
        <f>'21'!H36</f>
        <v>17.052916666666665</v>
      </c>
      <c r="I29" s="18">
        <f>'21'!I36</f>
        <v>5.4433333333333325</v>
      </c>
      <c r="J29" s="18">
        <f>'21'!J36</f>
        <v>0.58666666666666656</v>
      </c>
      <c r="K29" s="18">
        <f>'21'!K36</f>
        <v>239.82874999999999</v>
      </c>
      <c r="L29" s="18">
        <f>'21'!L36</f>
        <v>33.410416666666663</v>
      </c>
      <c r="M29" s="18">
        <f>'21'!M36</f>
        <v>42.884999999999998</v>
      </c>
      <c r="N29" s="18">
        <f>'21'!N36</f>
        <v>172.66250000000002</v>
      </c>
      <c r="O29" s="18">
        <f>'21'!O36</f>
        <v>0</v>
      </c>
      <c r="P29" s="18">
        <f>'21'!P36</f>
        <v>0.58916666666666673</v>
      </c>
      <c r="Q29" s="18">
        <f>'21'!Q36</f>
        <v>5.03125</v>
      </c>
      <c r="R29" s="38"/>
      <c r="S29" s="38"/>
      <c r="T29" s="38"/>
      <c r="U29" s="36"/>
    </row>
    <row r="30" spans="1:24" s="2" customFormat="1">
      <c r="A30" s="16" t="str">
        <f>'22'!$B$2</f>
        <v>22/05/2023 01:00</v>
      </c>
      <c r="B30" s="18">
        <f>'22'!B36</f>
        <v>8.4845833333333349</v>
      </c>
      <c r="C30" s="18">
        <f>'22'!C36</f>
        <v>52.500416666666666</v>
      </c>
      <c r="D30" s="18">
        <f>'22'!D36</f>
        <v>33.084999999999994</v>
      </c>
      <c r="E30" s="18">
        <f>'22'!E36</f>
        <v>8.6987499999999986</v>
      </c>
      <c r="F30" s="18">
        <f>'22'!F36</f>
        <v>20.528333333333332</v>
      </c>
      <c r="G30" s="18">
        <f>'22'!G36</f>
        <v>39.845416666666672</v>
      </c>
      <c r="H30" s="18">
        <f>'22'!H36</f>
        <v>13.706666666666665</v>
      </c>
      <c r="I30" s="18">
        <f>'22'!I36</f>
        <v>4.4833333333333343</v>
      </c>
      <c r="J30" s="18">
        <f>'22'!J36</f>
        <v>0.88416666666666643</v>
      </c>
      <c r="K30" s="18">
        <f>'22'!K36</f>
        <v>257.17374999999993</v>
      </c>
      <c r="L30" s="18">
        <f>'22'!L36</f>
        <v>33.599583333333335</v>
      </c>
      <c r="M30" s="18">
        <f>'22'!M36</f>
        <v>40.392500000000005</v>
      </c>
      <c r="N30" s="18">
        <f>'22'!N36</f>
        <v>213.48749999999995</v>
      </c>
      <c r="O30" s="18">
        <f>'22'!O36</f>
        <v>0</v>
      </c>
      <c r="P30" s="18">
        <f>'22'!P36</f>
        <v>0.48416666666666663</v>
      </c>
      <c r="Q30" s="18">
        <f>'22'!Q36</f>
        <v>4.7733333333333334</v>
      </c>
      <c r="R30" s="38"/>
      <c r="S30" s="36"/>
      <c r="T30" s="36"/>
      <c r="U30" s="36"/>
    </row>
    <row r="31" spans="1:24" s="2" customFormat="1">
      <c r="A31" s="16" t="str">
        <f>'23'!$B$2</f>
        <v>23/05/2023 01:00</v>
      </c>
      <c r="B31" s="18">
        <f>'23'!B36</f>
        <v>8.1279166666666658</v>
      </c>
      <c r="C31" s="18">
        <f>'23'!C36</f>
        <v>50.845833333333331</v>
      </c>
      <c r="D31" s="18">
        <f>'23'!D36</f>
        <v>31.853333333333335</v>
      </c>
      <c r="E31" s="18">
        <f>'23'!E36</f>
        <v>15.119583333333336</v>
      </c>
      <c r="F31" s="18">
        <f>'23'!F36</f>
        <v>35.155833333333341</v>
      </c>
      <c r="G31" s="18">
        <f>'23'!G36</f>
        <v>36.44086956521739</v>
      </c>
      <c r="H31" s="18">
        <f>'23'!H36</f>
        <v>11.668695652173913</v>
      </c>
      <c r="I31" s="18">
        <f>'23'!I36</f>
        <v>5.2545833333333336</v>
      </c>
      <c r="J31" s="18">
        <f>'23'!J36</f>
        <v>0.6383333333333332</v>
      </c>
      <c r="K31" s="18">
        <f>'23'!K36</f>
        <v>250.69416666666669</v>
      </c>
      <c r="L31" s="18">
        <f>'23'!L36</f>
        <v>33.715416666666663</v>
      </c>
      <c r="M31" s="18">
        <f>'23'!M36</f>
        <v>38.067083333333329</v>
      </c>
      <c r="N31" s="18">
        <f>'23'!N36</f>
        <v>207.78749999999999</v>
      </c>
      <c r="O31" s="18">
        <f>'23'!O36</f>
        <v>0</v>
      </c>
      <c r="P31" s="18">
        <f>'23'!P36</f>
        <v>0.55374999999999996</v>
      </c>
      <c r="Q31" s="18">
        <f>'23'!Q36</f>
        <v>4.7241666666666671</v>
      </c>
      <c r="R31" s="36"/>
      <c r="S31" s="36"/>
      <c r="T31" s="36"/>
      <c r="U31" s="36"/>
    </row>
    <row r="32" spans="1:24" s="2" customFormat="1">
      <c r="A32" s="16" t="str">
        <f>'24'!$B$2</f>
        <v>24/05/2023 01:00</v>
      </c>
      <c r="B32" s="18">
        <f>'24'!B36</f>
        <v>10.070416666666667</v>
      </c>
      <c r="C32" s="18">
        <f>'24'!C36</f>
        <v>52.568750000000001</v>
      </c>
      <c r="D32" s="18">
        <f>'24'!D36</f>
        <v>34.266249999999999</v>
      </c>
      <c r="E32" s="18">
        <f>'24'!E36</f>
        <v>10.112916666666667</v>
      </c>
      <c r="F32" s="18">
        <f>'24'!F36</f>
        <v>26.65499999999999</v>
      </c>
      <c r="G32" s="18">
        <f>'24'!G36</f>
        <v>62.10499999999999</v>
      </c>
      <c r="H32" s="18">
        <f>'24'!H36</f>
        <v>18.670833333333331</v>
      </c>
      <c r="I32" s="18">
        <f>'24'!I36</f>
        <v>5.2445833333333329</v>
      </c>
      <c r="J32" s="18">
        <f>'24'!J36</f>
        <v>0.70041666666666658</v>
      </c>
      <c r="K32" s="18">
        <f>'24'!K36</f>
        <v>256.26791666666668</v>
      </c>
      <c r="L32" s="18">
        <f>'24'!L36</f>
        <v>35.329166666666673</v>
      </c>
      <c r="M32" s="18">
        <f>'24'!M36</f>
        <v>36.372083333333329</v>
      </c>
      <c r="N32" s="18">
        <f>'24'!N36</f>
        <v>188.38333333333333</v>
      </c>
      <c r="O32" s="18">
        <f>'24'!O36</f>
        <v>0</v>
      </c>
      <c r="P32" s="18">
        <f>'24'!P36</f>
        <v>0.59249999999999992</v>
      </c>
      <c r="Q32" s="18">
        <f>'24'!Q36</f>
        <v>4.8858333333333333</v>
      </c>
      <c r="R32" s="36"/>
      <c r="S32" s="36"/>
      <c r="T32" s="36"/>
      <c r="U32" s="36"/>
    </row>
    <row r="33" spans="1:21" s="2" customFormat="1">
      <c r="A33" s="16" t="str">
        <f>'25'!$B$2</f>
        <v>25/05/2023 01:00</v>
      </c>
      <c r="B33" s="18">
        <f>'25'!B36</f>
        <v>11.114166666666664</v>
      </c>
      <c r="C33" s="18">
        <f>'25'!C36</f>
        <v>53.89041666666666</v>
      </c>
      <c r="D33" s="18">
        <f>'25'!D36</f>
        <v>35.901250000000005</v>
      </c>
      <c r="E33" s="18">
        <f>'25'!E36</f>
        <v>8.0699999999999985</v>
      </c>
      <c r="F33" s="18">
        <f>'25'!F36</f>
        <v>21.504999999999995</v>
      </c>
      <c r="G33" s="18">
        <f>'25'!G36</f>
        <v>52.880416666666662</v>
      </c>
      <c r="H33" s="18">
        <f>'25'!H36</f>
        <v>16.582083333333333</v>
      </c>
      <c r="I33" s="18">
        <f>'25'!I36</f>
        <v>5.6108333333333329</v>
      </c>
      <c r="J33" s="18">
        <f>'25'!J36</f>
        <v>0.94208333333333349</v>
      </c>
      <c r="K33" s="18">
        <f>'25'!K36</f>
        <v>259.59750000000003</v>
      </c>
      <c r="L33" s="18">
        <f>'25'!L36</f>
        <v>35.09708333333333</v>
      </c>
      <c r="M33" s="18">
        <f>'25'!M36</f>
        <v>35.160416666666663</v>
      </c>
      <c r="N33" s="18">
        <f>'25'!N36</f>
        <v>226.48333333333335</v>
      </c>
      <c r="O33" s="18">
        <f>'25'!O36</f>
        <v>0</v>
      </c>
      <c r="P33" s="18">
        <f>'25'!P36</f>
        <v>0.60833333333333328</v>
      </c>
      <c r="Q33" s="18">
        <f>'25'!Q36</f>
        <v>4.9645833333333345</v>
      </c>
      <c r="R33" s="36"/>
      <c r="S33" s="36"/>
      <c r="T33" s="36"/>
      <c r="U33" s="36"/>
    </row>
    <row r="34" spans="1:21" s="2" customFormat="1">
      <c r="A34" s="16" t="str">
        <f>'26'!$B$2</f>
        <v>26/05/2023 01:00</v>
      </c>
      <c r="B34" s="18">
        <f>'26'!B36</f>
        <v>15.991250000000001</v>
      </c>
      <c r="C34" s="18">
        <f>'26'!C36</f>
        <v>56.176250000000003</v>
      </c>
      <c r="D34" s="18">
        <f>'26'!D36</f>
        <v>40.841666666666669</v>
      </c>
      <c r="E34" s="18">
        <f>'26'!E36</f>
        <v>12.662916666666666</v>
      </c>
      <c r="F34" s="18">
        <f>'26'!F36</f>
        <v>15.755416666666667</v>
      </c>
      <c r="G34" s="18">
        <f>'26'!G36</f>
        <v>65.166666666666657</v>
      </c>
      <c r="H34" s="18">
        <f>'26'!H36</f>
        <v>17.243749999999995</v>
      </c>
      <c r="I34" s="18">
        <f>'26'!I36</f>
        <v>5.7262500000000003</v>
      </c>
      <c r="J34" s="18">
        <f>'26'!J36</f>
        <v>0.93708333333333327</v>
      </c>
      <c r="K34" s="18">
        <f>'26'!K36</f>
        <v>242.75958333333332</v>
      </c>
      <c r="L34" s="18">
        <f>'26'!L36</f>
        <v>34.343750000000007</v>
      </c>
      <c r="M34" s="18">
        <f>'26'!M36</f>
        <v>34.887083333333329</v>
      </c>
      <c r="N34" s="18">
        <f>'26'!N36</f>
        <v>200.84583333333333</v>
      </c>
      <c r="O34" s="18">
        <f>'26'!O36</f>
        <v>0</v>
      </c>
      <c r="P34" s="18">
        <f>'26'!P36</f>
        <v>0.64166666666666683</v>
      </c>
      <c r="Q34" s="18">
        <f>'26'!Q36</f>
        <v>5.2095833333333337</v>
      </c>
      <c r="R34" s="36"/>
      <c r="S34" s="36"/>
      <c r="T34" s="36"/>
      <c r="U34" s="36"/>
    </row>
    <row r="35" spans="1:21" s="2" customFormat="1">
      <c r="A35" s="16" t="str">
        <f>'27'!$B$2</f>
        <v>27/05/2023 01:00</v>
      </c>
      <c r="B35" s="18">
        <f>'27'!B36</f>
        <v>20.593333333333334</v>
      </c>
      <c r="C35" s="18">
        <f>'27'!C36</f>
        <v>60.454583333333339</v>
      </c>
      <c r="D35" s="18">
        <f>'27'!D36</f>
        <v>46.850833333333334</v>
      </c>
      <c r="E35" s="18">
        <f>'27'!E36</f>
        <v>12.407499999999999</v>
      </c>
      <c r="F35" s="18">
        <f>'27'!F36</f>
        <v>16.084166666666665</v>
      </c>
      <c r="G35" s="18">
        <f>'27'!G36</f>
        <v>79.999166666666667</v>
      </c>
      <c r="H35" s="18">
        <f>'27'!H36</f>
        <v>22.261666666666667</v>
      </c>
      <c r="I35" s="18">
        <f>'27'!I36</f>
        <v>9.5937499999999982</v>
      </c>
      <c r="J35" s="18">
        <f>'27'!J36</f>
        <v>0.99666666666666659</v>
      </c>
      <c r="K35" s="18">
        <f>'27'!K36</f>
        <v>205.71458333333337</v>
      </c>
      <c r="L35" s="18">
        <f>'27'!L36</f>
        <v>33.052499999999995</v>
      </c>
      <c r="M35" s="18">
        <f>'27'!M36</f>
        <v>39.207083333333344</v>
      </c>
      <c r="N35" s="18">
        <f>'27'!N36</f>
        <v>185.5</v>
      </c>
      <c r="O35" s="18">
        <f>'27'!O36</f>
        <v>0</v>
      </c>
      <c r="P35" s="18">
        <f>'27'!P36</f>
        <v>0.82750000000000001</v>
      </c>
      <c r="Q35" s="18">
        <f>'27'!Q36</f>
        <v>5.5354166666666664</v>
      </c>
      <c r="R35" s="36"/>
      <c r="S35" s="36"/>
      <c r="T35" s="36"/>
      <c r="U35" s="36"/>
    </row>
    <row r="36" spans="1:21" s="2" customFormat="1">
      <c r="A36" s="16" t="str">
        <f>'28'!$B$2</f>
        <v>28/05/2023 01:00</v>
      </c>
      <c r="B36" s="18">
        <f>'28'!B36</f>
        <v>22.781666666666666</v>
      </c>
      <c r="C36" s="18">
        <f>'28'!C36</f>
        <v>61.34</v>
      </c>
      <c r="D36" s="18">
        <f>'28'!D36</f>
        <v>48.967916666666667</v>
      </c>
      <c r="E36" s="18">
        <f>'28'!E36</f>
        <v>13.342916666666667</v>
      </c>
      <c r="F36" s="18">
        <f>'28'!F36</f>
        <v>19.508750000000003</v>
      </c>
      <c r="G36" s="18">
        <f>'28'!G36</f>
        <v>75.000833333333347</v>
      </c>
      <c r="H36" s="18">
        <f>'28'!H36</f>
        <v>17.654166666666665</v>
      </c>
      <c r="I36" s="18">
        <f>'28'!I36</f>
        <v>5.7345833333333331</v>
      </c>
      <c r="J36" s="18">
        <f>'28'!J36</f>
        <v>0.72375</v>
      </c>
      <c r="K36" s="18">
        <f>'28'!K36</f>
        <v>132.47666666666669</v>
      </c>
      <c r="L36" s="18">
        <f>'28'!L36</f>
        <v>32.307083333333331</v>
      </c>
      <c r="M36" s="18">
        <f>'28'!M36</f>
        <v>43.40291666666667</v>
      </c>
      <c r="N36" s="18">
        <f>'28'!N36</f>
        <v>206.2208333333333</v>
      </c>
      <c r="O36" s="18">
        <f>'28'!O36</f>
        <v>0</v>
      </c>
      <c r="P36" s="18">
        <f>'28'!P36</f>
        <v>0.60083333333333344</v>
      </c>
      <c r="Q36" s="18">
        <f>'28'!Q36</f>
        <v>5.6879166666666663</v>
      </c>
      <c r="R36" s="36"/>
      <c r="S36" s="36"/>
      <c r="T36" s="36"/>
      <c r="U36" s="36"/>
    </row>
    <row r="37" spans="1:21" s="2" customFormat="1">
      <c r="A37" s="16" t="str">
        <f>'29'!$B$2</f>
        <v>29/05/2023 01:00</v>
      </c>
      <c r="B37" s="18">
        <f>'29'!B36</f>
        <v>18.535</v>
      </c>
      <c r="C37" s="18">
        <f>'29'!C36</f>
        <v>58.727083333333347</v>
      </c>
      <c r="D37" s="18">
        <f>'29'!D36</f>
        <v>44.312499999999993</v>
      </c>
      <c r="E37" s="18">
        <f>'29'!E36</f>
        <v>23.075416666666669</v>
      </c>
      <c r="F37" s="18">
        <f>'29'!F36</f>
        <v>27.107499999999998</v>
      </c>
      <c r="G37" s="18">
        <f>'29'!G36</f>
        <v>77.000416666666666</v>
      </c>
      <c r="H37" s="18">
        <f>'29'!H36</f>
        <v>25.31583333333333</v>
      </c>
      <c r="I37" s="18">
        <f>'29'!I36</f>
        <v>6.4391666666666652</v>
      </c>
      <c r="J37" s="18">
        <f>'29'!J36</f>
        <v>0.56958333333333333</v>
      </c>
      <c r="K37" s="18">
        <f>'29'!K36</f>
        <v>218.6804166666667</v>
      </c>
      <c r="L37" s="18">
        <f>'29'!L36</f>
        <v>33.132499999999986</v>
      </c>
      <c r="M37" s="18">
        <f>'29'!M36</f>
        <v>40.69583333333334</v>
      </c>
      <c r="N37" s="18">
        <f>'29'!N36</f>
        <v>193.49583333333331</v>
      </c>
      <c r="O37" s="18">
        <f>'29'!O36</f>
        <v>0</v>
      </c>
      <c r="P37" s="18">
        <f>'29'!P36</f>
        <v>0.72583333333333322</v>
      </c>
      <c r="Q37" s="18">
        <f>'29'!Q36</f>
        <v>5.5783333333333331</v>
      </c>
      <c r="R37" s="36"/>
      <c r="S37" s="36"/>
      <c r="T37" s="36"/>
      <c r="U37" s="36"/>
    </row>
    <row r="38" spans="1:21" s="2" customFormat="1">
      <c r="A38" s="16" t="str">
        <f>'30'!$B$2</f>
        <v>30/05/2023 01:00</v>
      </c>
      <c r="B38" s="18">
        <f>'30'!B36</f>
        <v>9.1787500000000026</v>
      </c>
      <c r="C38" s="18">
        <f>'30'!C36</f>
        <v>50.275833333333338</v>
      </c>
      <c r="D38" s="18">
        <f>'30'!D36</f>
        <v>32.452500000000001</v>
      </c>
      <c r="E38" s="18">
        <f>'30'!E36</f>
        <v>10.473333333333334</v>
      </c>
      <c r="F38" s="18">
        <f>'30'!F36</f>
        <v>26.201249999999998</v>
      </c>
      <c r="G38" s="18">
        <f>'30'!G36</f>
        <v>53.952083333333341</v>
      </c>
      <c r="H38" s="18">
        <f>'30'!H36</f>
        <v>21.063333333333336</v>
      </c>
      <c r="I38" s="18">
        <f>'30'!I36</f>
        <v>6.356250000000002</v>
      </c>
      <c r="J38" s="18">
        <f>'30'!J36</f>
        <v>0.71166666666666678</v>
      </c>
      <c r="K38" s="18">
        <f>'30'!K36</f>
        <v>256.70833333333331</v>
      </c>
      <c r="L38" s="18">
        <f>'30'!L36</f>
        <v>35.124166666666667</v>
      </c>
      <c r="M38" s="18">
        <f>'30'!M36</f>
        <v>38.567083333333336</v>
      </c>
      <c r="N38" s="18">
        <f>'30'!N36</f>
        <v>194.33749999999998</v>
      </c>
      <c r="O38" s="18">
        <f>'30'!O36</f>
        <v>0</v>
      </c>
      <c r="P38" s="18">
        <f>'30'!P36</f>
        <v>0.70833333333333315</v>
      </c>
      <c r="Q38" s="18">
        <f>'30'!Q36</f>
        <v>4.9320833333333329</v>
      </c>
      <c r="R38" s="36"/>
      <c r="S38" s="36"/>
      <c r="T38" s="36"/>
      <c r="U38" s="36"/>
    </row>
    <row r="39" spans="1:21">
      <c r="A39" s="16" t="str">
        <f>'31'!$B$2</f>
        <v>31/05/2023 01:00</v>
      </c>
      <c r="B39" s="18">
        <f>'31'!B36</f>
        <v>11.756666666666668</v>
      </c>
      <c r="C39" s="18">
        <f>'31'!C36</f>
        <v>53.823750000000011</v>
      </c>
      <c r="D39" s="18">
        <f>'31'!D36</f>
        <v>36.266249999999999</v>
      </c>
      <c r="E39" s="18">
        <f>'31'!E36</f>
        <v>13.202083333333334</v>
      </c>
      <c r="F39" s="18">
        <f>'31'!F36</f>
        <v>28.326666666666664</v>
      </c>
      <c r="G39" s="18">
        <f>'31'!G36</f>
        <v>61.612916666666656</v>
      </c>
      <c r="H39" s="18">
        <f>'31'!H36</f>
        <v>23.062500000000004</v>
      </c>
      <c r="I39" s="18">
        <f>'31'!I36</f>
        <v>6.11625</v>
      </c>
      <c r="J39" s="18">
        <f>'31'!J36</f>
        <v>0.61916666666666664</v>
      </c>
      <c r="K39" s="18">
        <f>'31'!K36</f>
        <v>258.01500000000004</v>
      </c>
      <c r="L39" s="18">
        <f>'31'!L36</f>
        <v>35.209583333333335</v>
      </c>
      <c r="M39" s="18">
        <f>'31'!M36</f>
        <v>35.387083333333329</v>
      </c>
      <c r="N39" s="18">
        <f>'31'!N36</f>
        <v>184.55833333333337</v>
      </c>
      <c r="O39" s="18">
        <f>'31'!O36</f>
        <v>0</v>
      </c>
      <c r="P39" s="18">
        <f>'31'!P36</f>
        <v>0.73416666666666675</v>
      </c>
      <c r="Q39" s="18">
        <f>'31'!Q36</f>
        <v>5.0200000000000005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8.1279166666666658</v>
      </c>
      <c r="C41" s="20">
        <f t="shared" si="0"/>
        <v>49.417499999999997</v>
      </c>
      <c r="D41" s="20">
        <f t="shared" si="0"/>
        <v>31.853333333333335</v>
      </c>
      <c r="E41" s="20">
        <f t="shared" si="0"/>
        <v>7.4137499999999994</v>
      </c>
      <c r="F41" s="20">
        <f t="shared" si="0"/>
        <v>4.9187500000000002</v>
      </c>
      <c r="G41" s="20">
        <f t="shared" si="0"/>
        <v>16.900000000000002</v>
      </c>
      <c r="H41" s="20">
        <f t="shared" si="0"/>
        <v>7.6612499999999981</v>
      </c>
      <c r="I41" s="20">
        <f t="shared" si="0"/>
        <v>2.7150000000000003</v>
      </c>
      <c r="J41" s="20">
        <f t="shared" si="0"/>
        <v>0.4291666666666667</v>
      </c>
      <c r="K41" s="20">
        <f t="shared" si="0"/>
        <v>132.41041666666666</v>
      </c>
      <c r="L41" s="20">
        <f t="shared" si="0"/>
        <v>24.819999999999997</v>
      </c>
      <c r="M41" s="20">
        <f t="shared" si="0"/>
        <v>33.675833333333337</v>
      </c>
      <c r="N41" s="20">
        <f t="shared" si="0"/>
        <v>172.66250000000002</v>
      </c>
      <c r="O41" s="20">
        <f t="shared" si="0"/>
        <v>0</v>
      </c>
      <c r="P41" s="20">
        <f t="shared" si="0"/>
        <v>0.40958333333333335</v>
      </c>
      <c r="Q41" s="20">
        <f t="shared" si="0"/>
        <v>4.2641666666666662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41.760416666666664</v>
      </c>
      <c r="C42" s="20">
        <f t="shared" si="1"/>
        <v>66.257500000000007</v>
      </c>
      <c r="D42" s="20">
        <f t="shared" si="1"/>
        <v>68.907916666666665</v>
      </c>
      <c r="E42" s="20">
        <f t="shared" si="1"/>
        <v>23.075416666666669</v>
      </c>
      <c r="F42" s="20">
        <f t="shared" si="1"/>
        <v>35.155833333333341</v>
      </c>
      <c r="G42" s="20">
        <f t="shared" si="1"/>
        <v>107.84166666666668</v>
      </c>
      <c r="H42" s="20">
        <f t="shared" si="1"/>
        <v>34.539565217391299</v>
      </c>
      <c r="I42" s="20">
        <f t="shared" si="1"/>
        <v>16.782083333333336</v>
      </c>
      <c r="J42" s="20">
        <f t="shared" si="1"/>
        <v>1.0041666666666664</v>
      </c>
      <c r="K42" s="20">
        <f t="shared" si="1"/>
        <v>267.01</v>
      </c>
      <c r="L42" s="20">
        <f t="shared" si="1"/>
        <v>35.329166666666673</v>
      </c>
      <c r="M42" s="20">
        <f t="shared" si="1"/>
        <v>82.922499999999999</v>
      </c>
      <c r="N42" s="20">
        <f t="shared" si="1"/>
        <v>268.10833333333335</v>
      </c>
      <c r="O42" s="20">
        <f t="shared" si="1"/>
        <v>0</v>
      </c>
      <c r="P42" s="20">
        <f t="shared" si="1"/>
        <v>1.0083333333333335</v>
      </c>
      <c r="Q42" s="20">
        <f t="shared" si="1"/>
        <v>6.2454166666666673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18.256180594767553</v>
      </c>
      <c r="C43" s="20">
        <f t="shared" si="2"/>
        <v>55.608844692016611</v>
      </c>
      <c r="D43" s="20">
        <f t="shared" si="2"/>
        <v>43.624432602421741</v>
      </c>
      <c r="E43" s="20">
        <f t="shared" si="2"/>
        <v>12.121409584980235</v>
      </c>
      <c r="F43" s="20">
        <f t="shared" si="2"/>
        <v>21.49699055775142</v>
      </c>
      <c r="G43" s="20">
        <f t="shared" si="2"/>
        <v>59.241619729907789</v>
      </c>
      <c r="H43" s="20">
        <f t="shared" si="2"/>
        <v>19.940171662274924</v>
      </c>
      <c r="I43" s="20">
        <f t="shared" si="2"/>
        <v>6.604787878787878</v>
      </c>
      <c r="J43" s="20">
        <f t="shared" si="2"/>
        <v>0.64639520202020195</v>
      </c>
      <c r="K43" s="20">
        <f t="shared" si="2"/>
        <v>223.72758207070703</v>
      </c>
      <c r="L43" s="20">
        <f t="shared" si="2"/>
        <v>32.223140151515153</v>
      </c>
      <c r="M43" s="20">
        <f t="shared" si="2"/>
        <v>48.233306818181823</v>
      </c>
      <c r="N43" s="20">
        <f t="shared" si="2"/>
        <v>212.33339646464648</v>
      </c>
      <c r="O43" s="20">
        <f t="shared" si="2"/>
        <v>0</v>
      </c>
      <c r="P43" s="20">
        <f t="shared" si="2"/>
        <v>0.65764526921879862</v>
      </c>
      <c r="Q43" s="20">
        <f t="shared" si="2"/>
        <v>5.256961111111111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8.7274932754917938</v>
      </c>
      <c r="C44" s="20">
        <f t="shared" si="3"/>
        <v>4.4396653312919261</v>
      </c>
      <c r="D44" s="20">
        <f t="shared" si="3"/>
        <v>9.0776607397063742</v>
      </c>
      <c r="E44" s="20">
        <f t="shared" si="3"/>
        <v>3.8006061409929011</v>
      </c>
      <c r="F44" s="20">
        <f t="shared" si="3"/>
        <v>8.0467407834487172</v>
      </c>
      <c r="G44" s="20">
        <f t="shared" si="3"/>
        <v>22.750656758928415</v>
      </c>
      <c r="H44" s="20">
        <f t="shared" si="3"/>
        <v>7.1101564793418977</v>
      </c>
      <c r="I44" s="20">
        <f t="shared" si="3"/>
        <v>2.7429824389487529</v>
      </c>
      <c r="J44" s="20">
        <f t="shared" si="3"/>
        <v>0.16223205576922886</v>
      </c>
      <c r="K44" s="20">
        <f t="shared" si="3"/>
        <v>35.156150571013967</v>
      </c>
      <c r="L44" s="20">
        <f t="shared" si="3"/>
        <v>2.7467862405020806</v>
      </c>
      <c r="M44" s="20">
        <f t="shared" si="3"/>
        <v>14.292604889157365</v>
      </c>
      <c r="N44" s="20">
        <f t="shared" si="3"/>
        <v>23.083325482426996</v>
      </c>
      <c r="O44" s="20">
        <f t="shared" si="3"/>
        <v>0</v>
      </c>
      <c r="P44" s="20">
        <f t="shared" si="3"/>
        <v>0.14750778088353855</v>
      </c>
      <c r="Q44" s="20">
        <f t="shared" si="3"/>
        <v>0.53331920362629082</v>
      </c>
      <c r="R44" s="33"/>
      <c r="S44" s="33"/>
      <c r="T44" s="33"/>
      <c r="U44" s="33"/>
    </row>
    <row r="45" spans="1:21" s="1" customFormat="1">
      <c r="A45" s="3" t="s">
        <v>52</v>
      </c>
      <c r="B45" s="6">
        <f>COUNT(B9:B39)</f>
        <v>31</v>
      </c>
      <c r="C45" s="6">
        <f t="shared" ref="C45:Q45" si="4">COUNT(C9:C39)</f>
        <v>31</v>
      </c>
      <c r="D45" s="6">
        <f t="shared" si="4"/>
        <v>31</v>
      </c>
      <c r="E45" s="6">
        <f t="shared" si="4"/>
        <v>31</v>
      </c>
      <c r="F45" s="6">
        <f t="shared" si="4"/>
        <v>31</v>
      </c>
      <c r="G45" s="6">
        <f t="shared" si="4"/>
        <v>31</v>
      </c>
      <c r="H45" s="6">
        <f t="shared" si="4"/>
        <v>31</v>
      </c>
      <c r="I45" s="6">
        <f t="shared" si="4"/>
        <v>31</v>
      </c>
      <c r="J45" s="6">
        <f t="shared" si="4"/>
        <v>31</v>
      </c>
      <c r="K45" s="6">
        <f t="shared" si="4"/>
        <v>31</v>
      </c>
      <c r="L45" s="6">
        <f t="shared" si="4"/>
        <v>31</v>
      </c>
      <c r="M45" s="6">
        <f t="shared" si="4"/>
        <v>31</v>
      </c>
      <c r="N45" s="6">
        <f t="shared" si="4"/>
        <v>31</v>
      </c>
      <c r="O45" s="6">
        <f t="shared" si="4"/>
        <v>31</v>
      </c>
      <c r="P45" s="6">
        <f t="shared" si="4"/>
        <v>31</v>
      </c>
      <c r="Q45" s="6">
        <f t="shared" si="4"/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2023-06-01T13:55:53Z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